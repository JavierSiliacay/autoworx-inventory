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ASTER ITEM LIST" sheetId="2" r:id="rId6"/>
    <sheet state="visible" name="SALES" sheetId="3" r:id="rId7"/>
    <sheet state="visible" name="STOCK IN  TRANSFER" sheetId="4" r:id="rId8"/>
    <sheet state="visible" name="INVENTORY REPORT" sheetId="5" r:id="rId9"/>
    <sheet state="visible" name="PURCHASE ORDER" sheetId="6" r:id="rId10"/>
    <sheet state="visible" name="BILLING STATEMENT" sheetId="7" r:id="rId11"/>
    <sheet state="visible" name="SUPPLIERS LIST" sheetId="8" r:id="rId12"/>
    <sheet state="visible" name="CUSTOMERS LIST" sheetId="9" r:id="rId13"/>
    <sheet state="visible" name="DAILY REPORT" sheetId="10" r:id="rId14"/>
    <sheet state="visible" name="ACCOUNTS RECEIVABLE" sheetId="11" r:id="rId15"/>
    <sheet state="visible" name="CHECK_LOGS" sheetId="12" r:id="rId16"/>
  </sheets>
  <definedNames>
    <definedName hidden="1" localSheetId="1" name="_xlnm._FilterDatabase">'MASTER ITEM LIST'!$A$1:$F$1295</definedName>
    <definedName hidden="1" localSheetId="3" name="_xlnm._FilterDatabase">'STOCK IN  TRANSFER'!$A$1:$J$2000</definedName>
  </definedNames>
  <calcPr/>
</workbook>
</file>

<file path=xl/sharedStrings.xml><?xml version="1.0" encoding="utf-8"?>
<sst xmlns="http://schemas.openxmlformats.org/spreadsheetml/2006/main" count="17286" uniqueCount="1948">
  <si>
    <t>VALENCIA COLOURSMILE PAINT TRADING DATABASE</t>
  </si>
  <si>
    <t>SELECT MONTH</t>
  </si>
  <si>
    <t>AUGUST</t>
  </si>
  <si>
    <t>SELECT YEAR</t>
  </si>
  <si>
    <t>SELECT DAY</t>
  </si>
  <si>
    <t>TOTAL SALES</t>
  </si>
  <si>
    <t>TOTAL PURCHASES</t>
  </si>
  <si>
    <t>STOCK VALUE</t>
  </si>
  <si>
    <t>ITEM CODE</t>
  </si>
  <si>
    <t>DATE</t>
  </si>
  <si>
    <t>INVOICE NO.</t>
  </si>
  <si>
    <t>DESCRIPTION</t>
  </si>
  <si>
    <t>CUSTOMER'S NAME</t>
  </si>
  <si>
    <t>COST</t>
  </si>
  <si>
    <t>UNIT</t>
  </si>
  <si>
    <t>AVAILABLE STOCKS</t>
  </si>
  <si>
    <t>COLOR CODE</t>
  </si>
  <si>
    <t>REF. NO.</t>
  </si>
  <si>
    <t>SRP</t>
  </si>
  <si>
    <t>PAYMENT TYPE</t>
  </si>
  <si>
    <t>SUPPLIER</t>
  </si>
  <si>
    <t>ROS-633</t>
  </si>
  <si>
    <t>QTY</t>
  </si>
  <si>
    <t>RAIN OR SHINE CHOCOLATE BROWN 4L</t>
  </si>
  <si>
    <t>UNIT PRICE</t>
  </si>
  <si>
    <t>TOTAL AMOUNT</t>
  </si>
  <si>
    <t>TYPE</t>
  </si>
  <si>
    <t>REMARKS</t>
  </si>
  <si>
    <t>GALON</t>
  </si>
  <si>
    <t>SI-001253</t>
  </si>
  <si>
    <t>RB CONSTRUCTION SUPPLY</t>
  </si>
  <si>
    <t>EXTREMEMIX-1L</t>
  </si>
  <si>
    <t>25/04/0226</t>
  </si>
  <si>
    <t>EXTREME YELLOW</t>
  </si>
  <si>
    <t>CASH</t>
  </si>
  <si>
    <t>ROSCB-1L</t>
  </si>
  <si>
    <t>CSI-03664</t>
  </si>
  <si>
    <t>RAIN OR SHINE CHOCOLATE BROWN 1L</t>
  </si>
  <si>
    <t>APC DISTRIBUTION - VALENCIA</t>
  </si>
  <si>
    <t>LITER</t>
  </si>
  <si>
    <t>2B-PB-2</t>
  </si>
  <si>
    <t>STOCK IN</t>
  </si>
  <si>
    <t>PAID</t>
  </si>
  <si>
    <t>ROS-701</t>
  </si>
  <si>
    <t>RAIN OR SHINE BAGUIO GREEN 4L</t>
  </si>
  <si>
    <t>PGJB-4L</t>
  </si>
  <si>
    <t>POLYGTHIN-4L</t>
  </si>
  <si>
    <t>POLYGLOSS URETHANE THINNER 4L</t>
  </si>
  <si>
    <t>REPACK</t>
  </si>
  <si>
    <t>INVENTORY - MARCH 31, 2026</t>
  </si>
  <si>
    <t>MT904</t>
  </si>
  <si>
    <t>PGTB-4L</t>
  </si>
  <si>
    <t>POLYGLOSS PU PHTHALO BLUE 4L</t>
  </si>
  <si>
    <t>NAX108</t>
  </si>
  <si>
    <t>PGMF-4L</t>
  </si>
  <si>
    <t>POLYGLOSS PU MICA RED FINE 4L</t>
  </si>
  <si>
    <t>MT903</t>
  </si>
  <si>
    <t>DOITH-4L</t>
  </si>
  <si>
    <t>PGMC-4L</t>
  </si>
  <si>
    <t>POLYGLOSS PU METALLIC COARSE 4L</t>
  </si>
  <si>
    <t>MT902</t>
  </si>
  <si>
    <t>POLYGLOSS PU JET BLACK 4L</t>
  </si>
  <si>
    <t>STOCK OUT</t>
  </si>
  <si>
    <t>MSC</t>
  </si>
  <si>
    <t>PGFB-4L</t>
  </si>
  <si>
    <t>MT807</t>
  </si>
  <si>
    <t>POLYGLOSS PU FLAT BLACK 4L</t>
  </si>
  <si>
    <t>PGANTI-C-1L</t>
  </si>
  <si>
    <t>POLYGLOSS ANTI-CORROSSION</t>
  </si>
  <si>
    <t>MT806</t>
  </si>
  <si>
    <t>SI-001252</t>
  </si>
  <si>
    <t>JCK</t>
  </si>
  <si>
    <t>NXU1965-4L</t>
  </si>
  <si>
    <t>PLQDW-4L</t>
  </si>
  <si>
    <t>PLATONE QDE WHITE 4L</t>
  </si>
  <si>
    <t>GAL</t>
  </si>
  <si>
    <t>MT805</t>
  </si>
  <si>
    <t>PLQDB-1L</t>
  </si>
  <si>
    <t>PLATONE QDE BLACK 1L</t>
  </si>
  <si>
    <t>CRO-MT1/2</t>
  </si>
  <si>
    <t>MT804</t>
  </si>
  <si>
    <t>SEALERMAX5170-4L</t>
  </si>
  <si>
    <t>NIPPON SEALERMAX 5170 4L</t>
  </si>
  <si>
    <t>GAL/S</t>
  </si>
  <si>
    <t>SI-001255</t>
  </si>
  <si>
    <t>JEK</t>
  </si>
  <si>
    <t>NPR7</t>
  </si>
  <si>
    <t>NIPPON ROLLER PAINT #7</t>
  </si>
  <si>
    <t>MT803</t>
  </si>
  <si>
    <t>PC/S</t>
  </si>
  <si>
    <t>SOB757</t>
  </si>
  <si>
    <t>NAX SOB757 HIGH GRADE URETHANE THINNER 4L</t>
  </si>
  <si>
    <t>SI-001254</t>
  </si>
  <si>
    <t>BUKIDNON AUTOCARS</t>
  </si>
  <si>
    <t>NAT990-4L</t>
  </si>
  <si>
    <t>MT801</t>
  </si>
  <si>
    <t>MT705</t>
  </si>
  <si>
    <t>SI-001256</t>
  </si>
  <si>
    <t>WINDILL</t>
  </si>
  <si>
    <t>B1490-1L</t>
  </si>
  <si>
    <t>BSAXGLWHTE-4L</t>
  </si>
  <si>
    <t>BOYSEN ACRYTEX GLOSS WHITE 4L (DOUBLE ENTRY)</t>
  </si>
  <si>
    <t>MT704</t>
  </si>
  <si>
    <t>RSW-4L</t>
  </si>
  <si>
    <t>B-1710</t>
  </si>
  <si>
    <t>BOYSEN ACRYTEX GLOSS WHITE 4L</t>
  </si>
  <si>
    <t>MT607</t>
  </si>
  <si>
    <t>2B-#4</t>
  </si>
  <si>
    <t>UTMIX-1L</t>
  </si>
  <si>
    <t>URETHANE MIXING POLYGLOSS, DO IT 1L</t>
  </si>
  <si>
    <t>MT606</t>
  </si>
  <si>
    <t>ROS- HAPPY DAYS-4L</t>
  </si>
  <si>
    <t>2B-#7</t>
  </si>
  <si>
    <t>RAIN OR SHINE- HAPPY DAYS 4L</t>
  </si>
  <si>
    <t>POLY- BT-ALUM-4L</t>
  </si>
  <si>
    <t>POLYGLOSS-BRIGHT ALUMINUM 4L</t>
  </si>
  <si>
    <t>MT604</t>
  </si>
  <si>
    <t>EA120</t>
  </si>
  <si>
    <t>ACRY- REDUCER-4L</t>
  </si>
  <si>
    <t>ALPHA CHROMA ACRYTILE REDUCER</t>
  </si>
  <si>
    <t>MT603</t>
  </si>
  <si>
    <t>DPB-1 1/2</t>
  </si>
  <si>
    <t>ROS-SR-100</t>
  </si>
  <si>
    <t>WHITE SUN ROOF ROS-SR-100 RAIN OR SHINE 4L</t>
  </si>
  <si>
    <t>4L</t>
  </si>
  <si>
    <t>WRSGW-4L</t>
  </si>
  <si>
    <t>WELCOAT REGULAR SEMI-GLOSS LATEX WHITE 4L</t>
  </si>
  <si>
    <t>PUTTYKNI #4</t>
  </si>
  <si>
    <t>MT602</t>
  </si>
  <si>
    <t>WQD1000-4L</t>
  </si>
  <si>
    <t>WELCOAT REGULAR QDE WHITE 4L</t>
  </si>
  <si>
    <t>MT601</t>
  </si>
  <si>
    <t>WQD1150-4L</t>
  </si>
  <si>
    <t>WELCOAT REGULAR QDE BLACK 4L</t>
  </si>
  <si>
    <t>QDEMIX-1L</t>
  </si>
  <si>
    <t>QDE MIXING NP, DAVIES, BOYSEN, ALPHA CHROMA, WC 1L</t>
  </si>
  <si>
    <t>CRO-MT3/4</t>
  </si>
  <si>
    <t>MT508</t>
  </si>
  <si>
    <t>PWAC-9042-1L</t>
  </si>
  <si>
    <t>WELCOAT ACRY-TILE TINTING COLOR PHTHALO GREEN PWAC-9042</t>
  </si>
  <si>
    <t>SI-001257</t>
  </si>
  <si>
    <t>ALVIN</t>
  </si>
  <si>
    <t>NCGVARNISH-GAL</t>
  </si>
  <si>
    <t>MT507</t>
  </si>
  <si>
    <t>PWAC-7242-1/4L</t>
  </si>
  <si>
    <t>WELCOAT ACRY-TILE TINTING COLOR PHTHALO BLUE PWAC-7242</t>
  </si>
  <si>
    <t>CAN</t>
  </si>
  <si>
    <t>SI-001261</t>
  </si>
  <si>
    <t>JUNDAPS</t>
  </si>
  <si>
    <t>MT506</t>
  </si>
  <si>
    <t>PWAC-2142-1L</t>
  </si>
  <si>
    <t>WELCOAT ACRY-TILE TINTING COLOR PERMANENT RED PWAC-2142</t>
  </si>
  <si>
    <t>PWAC-5042-1/4L</t>
  </si>
  <si>
    <t>WELCOAT ACRY-TILE TINTING COLOR HANSA YELLOW PWAC-5042</t>
  </si>
  <si>
    <t>MT505</t>
  </si>
  <si>
    <t>TOBF-4L</t>
  </si>
  <si>
    <t>WCPOD</t>
  </si>
  <si>
    <t>WASTE COTTON POD</t>
  </si>
  <si>
    <t>KL</t>
  </si>
  <si>
    <t>MT501</t>
  </si>
  <si>
    <t>NAX141</t>
  </si>
  <si>
    <t>VSEAL</t>
  </si>
  <si>
    <t>VULCASEAL</t>
  </si>
  <si>
    <t>PCS</t>
  </si>
  <si>
    <t>MT405</t>
  </si>
  <si>
    <t>ROS-823</t>
  </si>
  <si>
    <t>VIBRANT RUBY ROS-823 RAIN OR SHINE 4L</t>
  </si>
  <si>
    <t>NAXQDUMIX-1L</t>
  </si>
  <si>
    <t>MT401</t>
  </si>
  <si>
    <t>QDU BLUE</t>
  </si>
  <si>
    <t>AC-11-1L</t>
  </si>
  <si>
    <t>VENETIAN RED ACRY-COLOR COLOR AC-11 1L DAVIES</t>
  </si>
  <si>
    <t>1L</t>
  </si>
  <si>
    <t>MT307</t>
  </si>
  <si>
    <t>UNOPT-BOT</t>
  </si>
  <si>
    <t>UNO PAINT THINNER BOT</t>
  </si>
  <si>
    <t>QDU YELLOW</t>
  </si>
  <si>
    <t>UNOLT-BOT</t>
  </si>
  <si>
    <t>UNO LACQUER THINNER BOT</t>
  </si>
  <si>
    <t>BOT</t>
  </si>
  <si>
    <t>MT305</t>
  </si>
  <si>
    <t>QDU GREEN</t>
  </si>
  <si>
    <t>UNOLT-4L</t>
  </si>
  <si>
    <t>UNO LACQUER THINNER 4L</t>
  </si>
  <si>
    <t>MT304</t>
  </si>
  <si>
    <t>SI-001260</t>
  </si>
  <si>
    <t>EA100</t>
  </si>
  <si>
    <t>AC-10-1L</t>
  </si>
  <si>
    <t>TOLUIDINE RED ACRY-COLOR AC-10 1L DAVIES</t>
  </si>
  <si>
    <t>MT303</t>
  </si>
  <si>
    <t>TOUT-4L</t>
  </si>
  <si>
    <t>TIMEOUT URETHANE THINNER 4L</t>
  </si>
  <si>
    <t>TIMEOUT BODY FILLER WITH HARDENER 4L</t>
  </si>
  <si>
    <t>ea1500</t>
  </si>
  <si>
    <t>MT302</t>
  </si>
  <si>
    <t>TOBF-1L</t>
  </si>
  <si>
    <t>TIMEOUT BODY FILLER WITH HARDENER 1L</t>
  </si>
  <si>
    <t>LTR</t>
  </si>
  <si>
    <t>EA2000</t>
  </si>
  <si>
    <t>MT301</t>
  </si>
  <si>
    <t>TOAT-4L</t>
  </si>
  <si>
    <t>TIMEOUT ACRYLIC THINNER 4L</t>
  </si>
  <si>
    <t>MT203</t>
  </si>
  <si>
    <t>TOTHALOBLU-4L</t>
  </si>
  <si>
    <t>TIMEOUT ACRYLIC THALO BLUE 4L</t>
  </si>
  <si>
    <t>TLWAX</t>
  </si>
  <si>
    <t>TIMELESS PREMIUM LIQUID WAX 5OML</t>
  </si>
  <si>
    <t>MT202-1L</t>
  </si>
  <si>
    <t>ROS-302</t>
  </si>
  <si>
    <t>TILE RED ROS-302 RAIN OR SHINE 4L</t>
  </si>
  <si>
    <t>MT201</t>
  </si>
  <si>
    <t>SI-001258</t>
  </si>
  <si>
    <t>ELECTROKIM</t>
  </si>
  <si>
    <t>NP9200</t>
  </si>
  <si>
    <t>AC-30-1L</t>
  </si>
  <si>
    <t>THALO GREEN ACRY-COLOR AC-30 1L DAVIES</t>
  </si>
  <si>
    <t>AC-20-1L</t>
  </si>
  <si>
    <t>SI-001259</t>
  </si>
  <si>
    <t>THALO BLUE ACRY-COLOR AC-20 1L DAVIES</t>
  </si>
  <si>
    <t>APARESE</t>
  </si>
  <si>
    <t>PREMILAMIX-1L</t>
  </si>
  <si>
    <t>MT175</t>
  </si>
  <si>
    <t>CODE: U25 SILVER</t>
  </si>
  <si>
    <t>TEXAS</t>
  </si>
  <si>
    <t>TEXAS RUBBERIZED</t>
  </si>
  <si>
    <t>SI-001262</t>
  </si>
  <si>
    <t>MT172</t>
  </si>
  <si>
    <t>MTX</t>
  </si>
  <si>
    <t>SUPRA GLOSS (TURTLE WAX)</t>
  </si>
  <si>
    <t>WEBER</t>
  </si>
  <si>
    <t>SPRAY GUN F-75G WEBER</t>
  </si>
  <si>
    <t>SET</t>
  </si>
  <si>
    <t>MT170</t>
  </si>
  <si>
    <t>PRI3634</t>
  </si>
  <si>
    <t>B-715</t>
  </si>
  <si>
    <t>SEMI GLOSS WHITE ACRYLIC LATEX B-715 BOYSEN 4L</t>
  </si>
  <si>
    <t>EA80</t>
  </si>
  <si>
    <t>SAND PAPER #80</t>
  </si>
  <si>
    <t>MT136</t>
  </si>
  <si>
    <t>SAND PAPER #100</t>
  </si>
  <si>
    <t>MT134</t>
  </si>
  <si>
    <t>PGW-4L</t>
  </si>
  <si>
    <t>ROS-SR-183</t>
  </si>
  <si>
    <t>SAMAR BEIGE SUN ROOF ROS-SR-183 RAIN OR SHINE 4L</t>
  </si>
  <si>
    <t>RUGBY</t>
  </si>
  <si>
    <t>MT103</t>
  </si>
  <si>
    <t>DOMBF-4L</t>
  </si>
  <si>
    <t>ROBPNTSTRNR</t>
  </si>
  <si>
    <t>ROBFILTER PAINT STRAINER 125M</t>
  </si>
  <si>
    <t>MT100-4L</t>
  </si>
  <si>
    <t>SI-001263</t>
  </si>
  <si>
    <t>ROBTCKCLTH</t>
  </si>
  <si>
    <t>ROBERLO TACK CLOTH</t>
  </si>
  <si>
    <t>ROBRC-1KG</t>
  </si>
  <si>
    <t>ROBERLO RUBBING COMPOUND 1KG</t>
  </si>
  <si>
    <t>KG</t>
  </si>
  <si>
    <t>MT100-1L</t>
  </si>
  <si>
    <t>SI-001265</t>
  </si>
  <si>
    <t>RITCHIE NATHALIE</t>
  </si>
  <si>
    <t>DPB-4</t>
  </si>
  <si>
    <t>B-1750</t>
  </si>
  <si>
    <t>REDUCER ACRYTEX B-1750 BOYSEN 4L</t>
  </si>
  <si>
    <t>SI-001264</t>
  </si>
  <si>
    <t>PWTCO-4333</t>
  </si>
  <si>
    <t>RONEL</t>
  </si>
  <si>
    <t>RAW UMBER TINTING COLOR PWTCO-4333 1/4L PREMIUM WELCOAT</t>
  </si>
  <si>
    <t>MT096</t>
  </si>
  <si>
    <t>1/4L</t>
  </si>
  <si>
    <t>QDU ORANGE</t>
  </si>
  <si>
    <t>PWTAC-4317-1L</t>
  </si>
  <si>
    <t>RAW UMBER ACRY-COLOR PWTAC-4317 1L WELCOAT PREMIUM</t>
  </si>
  <si>
    <t>SI-001267</t>
  </si>
  <si>
    <t>RONIE</t>
  </si>
  <si>
    <t>AC-90-1L</t>
  </si>
  <si>
    <t>RAW SIENNA ACRY-COLOR AC-90 1L DAVIES</t>
  </si>
  <si>
    <t>MT093</t>
  </si>
  <si>
    <t>ROS-1000</t>
  </si>
  <si>
    <t>RAIN OR SHINE XTRA GLOSS 4L</t>
  </si>
  <si>
    <t>ROS-109</t>
  </si>
  <si>
    <t>RAIN OR SHINE TULLE WHITE</t>
  </si>
  <si>
    <t>SI-001266</t>
  </si>
  <si>
    <t>ZYNERGIA</t>
  </si>
  <si>
    <t>ROS-171</t>
  </si>
  <si>
    <t>RAIN OR SHINE TOUCH OF GRAY</t>
  </si>
  <si>
    <t>ROS-SG-4L</t>
  </si>
  <si>
    <t>RAIN OR SHINE STONE GRAY 4L</t>
  </si>
  <si>
    <t>SI-001270</t>
  </si>
  <si>
    <t>MT086</t>
  </si>
  <si>
    <t>CODE: 6W4</t>
  </si>
  <si>
    <t>ROS-933-4L</t>
  </si>
  <si>
    <t>RAIN OR SHINE ROS-933 COOL MINT 4L</t>
  </si>
  <si>
    <t>SI-001269</t>
  </si>
  <si>
    <t>ROS-629-4L</t>
  </si>
  <si>
    <t>RAIN OR SHINE ROS-629 TULIPS 4L</t>
  </si>
  <si>
    <t>CODE: W54 PEARL</t>
  </si>
  <si>
    <t>MT085</t>
  </si>
  <si>
    <t>ROS-7000</t>
  </si>
  <si>
    <t>RAIN OR SHINE PREPA WHITE 4L</t>
  </si>
  <si>
    <t>CODE: W54 WHITE</t>
  </si>
  <si>
    <t>ROS-OB-4L</t>
  </si>
  <si>
    <t>RAIN OR SHINE OCEAN BLUE 4L</t>
  </si>
  <si>
    <t>MT083</t>
  </si>
  <si>
    <t>ROS-223</t>
  </si>
  <si>
    <t>RAIN OR SHINE NICOLE PINK 4L</t>
  </si>
  <si>
    <t>NAT100-4L</t>
  </si>
  <si>
    <t>MT081</t>
  </si>
  <si>
    <t>ROS-368</t>
  </si>
  <si>
    <t>RAIN OR SHINE MY WAY 4L</t>
  </si>
  <si>
    <t>ROSGRN-4L</t>
  </si>
  <si>
    <t>RAIN OR SHINE MIX GREEN 4L</t>
  </si>
  <si>
    <t>MT080</t>
  </si>
  <si>
    <t>ROSG-4L</t>
  </si>
  <si>
    <t>RAIN OR SHINE MIX GARY 4L</t>
  </si>
  <si>
    <t>SI-001268</t>
  </si>
  <si>
    <t>TABANAN</t>
  </si>
  <si>
    <t>CUMIFS-60</t>
  </si>
  <si>
    <t>ROS-888</t>
  </si>
  <si>
    <t>RAIN OR SHINE LUCKY ORANGE 4L</t>
  </si>
  <si>
    <t>MT079</t>
  </si>
  <si>
    <t>ROS-862</t>
  </si>
  <si>
    <t>RAIN OR SHINE IVORY 4L</t>
  </si>
  <si>
    <t>CODE: 3T6 RED</t>
  </si>
  <si>
    <t>ROSGRAY-4L</t>
  </si>
  <si>
    <t>RAIN OR SHINE GRAY LATEX 4L</t>
  </si>
  <si>
    <t>MT078</t>
  </si>
  <si>
    <t>SI-001272</t>
  </si>
  <si>
    <t>EA1200</t>
  </si>
  <si>
    <t>ROS-818</t>
  </si>
  <si>
    <t>RAIN OR SHINE CHINA WHITE 4L</t>
  </si>
  <si>
    <t>MT076</t>
  </si>
  <si>
    <t>QSHG710-5L</t>
  </si>
  <si>
    <t>SI-001271</t>
  </si>
  <si>
    <t>Q-SHIELD EXTRA HG-710 GLOSS WHITE 5L</t>
  </si>
  <si>
    <t>CMU</t>
  </si>
  <si>
    <t>PLQDB-4L</t>
  </si>
  <si>
    <t>QSHG710-1L</t>
  </si>
  <si>
    <t>Q-SHIELD EXTRA HG-710 GLOSS WHITE 1L</t>
  </si>
  <si>
    <t>SI-001277</t>
  </si>
  <si>
    <t>MT075</t>
  </si>
  <si>
    <t>JENNIE</t>
  </si>
  <si>
    <t>PLYZGBLK-48</t>
  </si>
  <si>
    <t>QSHG710-15L</t>
  </si>
  <si>
    <t>Q-SHIELD EXTRA HG-710 GLOSS WHITE 15L</t>
  </si>
  <si>
    <t>PAIL</t>
  </si>
  <si>
    <t>MT072</t>
  </si>
  <si>
    <t>PYLZWH-02</t>
  </si>
  <si>
    <t>PYLOX LAZER WHITE 02</t>
  </si>
  <si>
    <t>PLYZVIO-20</t>
  </si>
  <si>
    <t>PYLOX LAZER VIOLET 20</t>
  </si>
  <si>
    <t>SI-001276</t>
  </si>
  <si>
    <t>DC GARRAGE</t>
  </si>
  <si>
    <t>NAX SILVER</t>
  </si>
  <si>
    <t>MT071</t>
  </si>
  <si>
    <t>PLYZSKBL-22</t>
  </si>
  <si>
    <t>PYLOX LAZER SKY BLUE 22</t>
  </si>
  <si>
    <t>PLYZSIL-42</t>
  </si>
  <si>
    <t>PYLOX LAZER SILVER 42</t>
  </si>
  <si>
    <t>MT06M</t>
  </si>
  <si>
    <t>PLYZPRGR-145</t>
  </si>
  <si>
    <t>PYLOX LAZER PRIMER GRAY 145</t>
  </si>
  <si>
    <t>SI-001275</t>
  </si>
  <si>
    <t>MT06H</t>
  </si>
  <si>
    <t>PLYZMTW-03</t>
  </si>
  <si>
    <t>PYLOX LAZER MATT WHITE 03</t>
  </si>
  <si>
    <t>PLYZLTGR-33</t>
  </si>
  <si>
    <t>PYLOX LAZER LIGHT GREEN 33</t>
  </si>
  <si>
    <t>MT06A</t>
  </si>
  <si>
    <t>PLYZHTRSIL-709</t>
  </si>
  <si>
    <t>SI-001274</t>
  </si>
  <si>
    <t>PYLOX LAZER HEAT RESISTANT SILVER 709</t>
  </si>
  <si>
    <t>HAROLD</t>
  </si>
  <si>
    <t>LATEXMIX-1L</t>
  </si>
  <si>
    <t>LATEX GREEN</t>
  </si>
  <si>
    <t>MT068</t>
  </si>
  <si>
    <t>PLYZGLD-705</t>
  </si>
  <si>
    <t>PYLOX LAZER GOLD 705</t>
  </si>
  <si>
    <t>PYLOX LAZER GLOSS BLACK 48</t>
  </si>
  <si>
    <t>MT067</t>
  </si>
  <si>
    <t>LATEX YELLOW</t>
  </si>
  <si>
    <t>PLYZFLOUVIO-604</t>
  </si>
  <si>
    <t>PYLOX LAZER FLOURESCENT VIOLET 604</t>
  </si>
  <si>
    <t>PLYZFLOURPNK-603</t>
  </si>
  <si>
    <t>MT066</t>
  </si>
  <si>
    <t>PYLOX LAZER FLOURESCENT PINK 603</t>
  </si>
  <si>
    <t>2B-PB#1</t>
  </si>
  <si>
    <t>PLYZFLOURANGE-601</t>
  </si>
  <si>
    <t>PYLOX LAZER FLOURESCENT ORANGE 601</t>
  </si>
  <si>
    <t>MT065</t>
  </si>
  <si>
    <t>SI-001273</t>
  </si>
  <si>
    <t>RUBIE</t>
  </si>
  <si>
    <t>EPOXYTHNR-4L</t>
  </si>
  <si>
    <t>PLYZDISIL-701</t>
  </si>
  <si>
    <t>PYLOX LAZER DISTINGUISHED SILVER 701</t>
  </si>
  <si>
    <t>PLYZDR-17</t>
  </si>
  <si>
    <t>PYLOX LAZER DEEP RED 17</t>
  </si>
  <si>
    <t>SI-001280</t>
  </si>
  <si>
    <t>ESTRADA</t>
  </si>
  <si>
    <t>HS-1L</t>
  </si>
  <si>
    <t>MT061</t>
  </si>
  <si>
    <t>PLYZCLR-01</t>
  </si>
  <si>
    <t>PYLOX LAZER CLEAR 01</t>
  </si>
  <si>
    <t>PLYZCANRED-801</t>
  </si>
  <si>
    <t>SI-001279</t>
  </si>
  <si>
    <t>PYLOX LAZER CANDYTONE RED 801</t>
  </si>
  <si>
    <t>MT051</t>
  </si>
  <si>
    <t>NAX QDU BEIGE</t>
  </si>
  <si>
    <t>PYLZAY-06</t>
  </si>
  <si>
    <t>PYLOX LAZER ART YELLOW 06</t>
  </si>
  <si>
    <t>SI-001278</t>
  </si>
  <si>
    <t>PYLZANTPR-12</t>
  </si>
  <si>
    <t>NAX21</t>
  </si>
  <si>
    <t>PYLOX LAZER ANTI-RUST BROWN PRIMER 12</t>
  </si>
  <si>
    <t>MT050</t>
  </si>
  <si>
    <t>PLYZHI-TBLCK</t>
  </si>
  <si>
    <t>PYLOX HEAT RESISTANT BLACK</t>
  </si>
  <si>
    <t>NP9700</t>
  </si>
  <si>
    <t>MT033</t>
  </si>
  <si>
    <t>PGTOPC-1L</t>
  </si>
  <si>
    <t>POLYGLOSS TOP COAT W/H</t>
  </si>
  <si>
    <t>PGYG-4L</t>
  </si>
  <si>
    <t>POLYGLOSS PU YELLOW GOLD 4L</t>
  </si>
  <si>
    <t>MT030</t>
  </si>
  <si>
    <t>POLYGLOSS PU WHITE 4L</t>
  </si>
  <si>
    <t>MT028</t>
  </si>
  <si>
    <t>PGVT-4L</t>
  </si>
  <si>
    <t>POLYGLOSS PU VIOLET TUNNER 4L</t>
  </si>
  <si>
    <t>EA320</t>
  </si>
  <si>
    <t>PGRG-4L</t>
  </si>
  <si>
    <t>POLYGLOSS PU RED GOLD 4L</t>
  </si>
  <si>
    <t>MT025</t>
  </si>
  <si>
    <t>PGTG-4L</t>
  </si>
  <si>
    <t>POLYGLOSS PU PHTHALO GREEN 4L</t>
  </si>
  <si>
    <t>EA600</t>
  </si>
  <si>
    <t>POLYGLOSS PU METALLIC FINE 4L</t>
  </si>
  <si>
    <t>MT023</t>
  </si>
  <si>
    <t>PGLY-4L</t>
  </si>
  <si>
    <t>POLYGLOSS PU LIGHT YELLOW 4L</t>
  </si>
  <si>
    <t>PGGY-4L</t>
  </si>
  <si>
    <t>POLYGLOSS PU GLEAMIST YELLOW 4L</t>
  </si>
  <si>
    <t>SI-001283</t>
  </si>
  <si>
    <t>VANITY</t>
  </si>
  <si>
    <t>MT012</t>
  </si>
  <si>
    <t>PGGW-4L</t>
  </si>
  <si>
    <t>POLYGLOSS PU GLEAMIST WHITE 4L</t>
  </si>
  <si>
    <t>SI-001282</t>
  </si>
  <si>
    <t>PGGO-4L</t>
  </si>
  <si>
    <t>POLYGLOSS PU GLEAMIST ORANGE 4L</t>
  </si>
  <si>
    <t>MT008</t>
  </si>
  <si>
    <t>PGAR-4L</t>
  </si>
  <si>
    <t>POLYGLOSS PU APPLE RED 4L</t>
  </si>
  <si>
    <t>SI-001281</t>
  </si>
  <si>
    <t>JULIET TON</t>
  </si>
  <si>
    <t>DCSG715-5L</t>
  </si>
  <si>
    <t>MT006</t>
  </si>
  <si>
    <t>PG888-4L</t>
  </si>
  <si>
    <t>POLYGLOSS PU 888 RED 4L</t>
  </si>
  <si>
    <t>SI-001285</t>
  </si>
  <si>
    <t>BORDZ</t>
  </si>
  <si>
    <t>PLQDEY-4L</t>
  </si>
  <si>
    <t>PLATONE QDE YELLOW 4L</t>
  </si>
  <si>
    <t>MT004</t>
  </si>
  <si>
    <t>PLQDW-1L</t>
  </si>
  <si>
    <t>PLATONE QDE WHITE 1L</t>
  </si>
  <si>
    <t>SI-001284</t>
  </si>
  <si>
    <t>RUBY</t>
  </si>
  <si>
    <t>MT003</t>
  </si>
  <si>
    <t>PLQDRB-4L</t>
  </si>
  <si>
    <t>PLATONE QDE ROYAL BLUE 4L</t>
  </si>
  <si>
    <t>PLQDLY-4L</t>
  </si>
  <si>
    <t>PLATONE QDE LEMON YELLOW 4L</t>
  </si>
  <si>
    <t>SI-001286</t>
  </si>
  <si>
    <t>MT002-1L</t>
  </si>
  <si>
    <t>PLQDJG-4L</t>
  </si>
  <si>
    <t>PLATONE QDE JADE GREEN 4L</t>
  </si>
  <si>
    <t>PLQDIR-4L</t>
  </si>
  <si>
    <t>PLATONE QDE INTERNATIONAL RED 4L</t>
  </si>
  <si>
    <t>MT001</t>
  </si>
  <si>
    <t>COLOR: ZHL RED</t>
  </si>
  <si>
    <t>PLQDG-4L</t>
  </si>
  <si>
    <t>PLATONE QDE GREEN 4L</t>
  </si>
  <si>
    <t>SI-001287</t>
  </si>
  <si>
    <t>NAX1062</t>
  </si>
  <si>
    <t>NAX PEAL BLUE MICA</t>
  </si>
  <si>
    <t>PLQDCB-4L</t>
  </si>
  <si>
    <t>PLATONE QDE CHOCOLATE BROWN 4L</t>
  </si>
  <si>
    <t>PLATONE QDE BLACK 4L</t>
  </si>
  <si>
    <t>NAX PEARL WHITE MICA</t>
  </si>
  <si>
    <t>NAX10100</t>
  </si>
  <si>
    <t>BOTTLE</t>
  </si>
  <si>
    <t>PLASTIC EMPTY BOTTLE</t>
  </si>
  <si>
    <t>ROS-238</t>
  </si>
  <si>
    <t>PISTACHIO ELASTOMERIC WATER FROOFING PAINT ROS-238 RAIN OR SHINE 4L</t>
  </si>
  <si>
    <t>NAT992</t>
  </si>
  <si>
    <t>PINEPETHBLUE-4L</t>
  </si>
  <si>
    <t>PINACLE EPOXY ENAMEL THALO BLUE 4L</t>
  </si>
  <si>
    <t>PWTCO-9033</t>
  </si>
  <si>
    <t>PHTHALO GREEN TINTING COLOR PWTCO-9033 1/4L PREMIUM WELCOAT</t>
  </si>
  <si>
    <t>SI-001288</t>
  </si>
  <si>
    <t>CRYSTAL</t>
  </si>
  <si>
    <t>PWTAC-8717-1L</t>
  </si>
  <si>
    <t>PERMANENT VIOLET ACRY-COLOR PWTAC-8717 1L WELCOAT PREMIUM</t>
  </si>
  <si>
    <t>NAT990-1L</t>
  </si>
  <si>
    <t>SI-001292</t>
  </si>
  <si>
    <t>PWTAC-3117-1L</t>
  </si>
  <si>
    <t>PERMANENT ORANGE ACRY-COLOR PWTAC-3117 1L WELCOAT PREMIUM</t>
  </si>
  <si>
    <t>TRAY</t>
  </si>
  <si>
    <t>PAINT ROLLER TRAY</t>
  </si>
  <si>
    <t>SI-001291</t>
  </si>
  <si>
    <t>NAT745</t>
  </si>
  <si>
    <t>ALIGSAO</t>
  </si>
  <si>
    <t>PAINT BRUSH 2B #1</t>
  </si>
  <si>
    <t>NAT740</t>
  </si>
  <si>
    <t>CODE: 8T7 BLUE STREAK</t>
  </si>
  <si>
    <t>ROS-EF-3000</t>
  </si>
  <si>
    <t>SI-001290</t>
  </si>
  <si>
    <t>ORANGE ELASTO FLOOR ROS-EF-3000 RAIN OR SHINE 4L</t>
  </si>
  <si>
    <t>EA1500</t>
  </si>
  <si>
    <t>NAT736</t>
  </si>
  <si>
    <t>OLD NEWS</t>
  </si>
  <si>
    <t>NAT733</t>
  </si>
  <si>
    <t>NP8100</t>
  </si>
  <si>
    <t>NIPPON ULTRA 8100T FD 2K CLEAR W/HARDENER 1L</t>
  </si>
  <si>
    <t>SKIMCOAT</t>
  </si>
  <si>
    <t>NIPPON SKIMCOAT PAIL</t>
  </si>
  <si>
    <t>NAT729</t>
  </si>
  <si>
    <t xml:space="preserve"> </t>
  </si>
  <si>
    <t>NIPPON PREMIUM HS CLEAR W/HARDENER 1L</t>
  </si>
  <si>
    <t>NAT728</t>
  </si>
  <si>
    <t>PUT3050-4KG</t>
  </si>
  <si>
    <t>NIPPON PAINT FILLERMAX BODY FILLER WITH HARDENER 4KG</t>
  </si>
  <si>
    <t>MPJOINTCMPND-5L</t>
  </si>
  <si>
    <t>NIPPON MULTI-PURPOSE JOINT COMPOUND 5L</t>
  </si>
  <si>
    <t>NAT727</t>
  </si>
  <si>
    <t>NMPREDOX-LTR</t>
  </si>
  <si>
    <t>NIPPON METAL PRIMER RED OXIDE LITER</t>
  </si>
  <si>
    <t>FRANELLA</t>
  </si>
  <si>
    <t>NAT725</t>
  </si>
  <si>
    <t>NMPREDOX-GAL</t>
  </si>
  <si>
    <t>NIPPON METAL PRIMER RED OXIDE GAL</t>
  </si>
  <si>
    <t>SI-001289</t>
  </si>
  <si>
    <t>NLT-4L</t>
  </si>
  <si>
    <t>NIPPON LACQUER THINNER 4L</t>
  </si>
  <si>
    <t>NAT720</t>
  </si>
  <si>
    <t>NLSS-4L</t>
  </si>
  <si>
    <t>NIPPON LACQUER SANDING SEALER 4L</t>
  </si>
  <si>
    <t>NIPPON HS FILLER 1L</t>
  </si>
  <si>
    <t>NAT719-4L</t>
  </si>
  <si>
    <t>NFI46G-5KG</t>
  </si>
  <si>
    <t>EA240</t>
  </si>
  <si>
    <t>NIPPON FLEXI-SEAL 146 GRAY 5KG</t>
  </si>
  <si>
    <t>5KG</t>
  </si>
  <si>
    <t>NFWE-4L</t>
  </si>
  <si>
    <t>NIPPON FLATWALL ENAMEL WHITE 4L</t>
  </si>
  <si>
    <t>NAT719-1L</t>
  </si>
  <si>
    <t>EA400</t>
  </si>
  <si>
    <t>OTH10AD-1L</t>
  </si>
  <si>
    <t>NIPPON FLATTENING AGENT PASTE 1L</t>
  </si>
  <si>
    <t>FF151</t>
  </si>
  <si>
    <t>NIPPON FF151 FLOP CONTROL</t>
  </si>
  <si>
    <t>NAT716</t>
  </si>
  <si>
    <t>NXU1338-4L</t>
  </si>
  <si>
    <t>NIPPON EXTREME QDU YELLOW 4L</t>
  </si>
  <si>
    <t>NAT715-1L</t>
  </si>
  <si>
    <t>NXU4075-4L</t>
  </si>
  <si>
    <t>NIPPON EXTREME QDU WHITE 4L</t>
  </si>
  <si>
    <t>XTRMEQDWARMYLW-4L</t>
  </si>
  <si>
    <t>NIPPON EXTREME QDU WARM YELLOW 4L</t>
  </si>
  <si>
    <t>EA800</t>
  </si>
  <si>
    <t>NXU7391-4L</t>
  </si>
  <si>
    <t>NAT712-1L</t>
  </si>
  <si>
    <t>NIPPON EXTREME QDU SILVER 4L</t>
  </si>
  <si>
    <t>NXU4113-4L</t>
  </si>
  <si>
    <t>NIPPON EXTREME QDU RED 4L</t>
  </si>
  <si>
    <t>NAT595</t>
  </si>
  <si>
    <t>NXU1224-4L</t>
  </si>
  <si>
    <t>NIPPON EXTREME QDU ORANGE 4L</t>
  </si>
  <si>
    <t>SI-001295</t>
  </si>
  <si>
    <t>NORSI DAPANDA</t>
  </si>
  <si>
    <t>NXU4406-4L</t>
  </si>
  <si>
    <t>NIPPON EXTREME QDU GREEN 4L</t>
  </si>
  <si>
    <t>NAT557</t>
  </si>
  <si>
    <t>EXTRMEFNESLVR-4L</t>
  </si>
  <si>
    <t>NIPPON EXTREME QDU FINE SILVER 4L</t>
  </si>
  <si>
    <t>SI-001294</t>
  </si>
  <si>
    <t>NXU1587-4L</t>
  </si>
  <si>
    <t>NAT556</t>
  </si>
  <si>
    <t>NIPPON EXTREME QDU BLUE 4L</t>
  </si>
  <si>
    <t>SI-001293</t>
  </si>
  <si>
    <t>AMAY</t>
  </si>
  <si>
    <t>NIPPON EXTREME QDU BLACK 4L</t>
  </si>
  <si>
    <t>NAT555</t>
  </si>
  <si>
    <t>NXUMAROON-4L</t>
  </si>
  <si>
    <t>NIPPON EXTREME MAROON 4L</t>
  </si>
  <si>
    <t>SI-001297</t>
  </si>
  <si>
    <t>NXUMAGENTA-4L</t>
  </si>
  <si>
    <t>NIPPON EXTREME MAGENTA 4L</t>
  </si>
  <si>
    <t>NAT550</t>
  </si>
  <si>
    <t>SI-001296</t>
  </si>
  <si>
    <t>SALCEDO</t>
  </si>
  <si>
    <t>ACRYLICMIX-1L</t>
  </si>
  <si>
    <t>NXUCINQVIO-4L</t>
  </si>
  <si>
    <t>NIPPON EXTREME CINQUASA VIOLET 4L</t>
  </si>
  <si>
    <t>NAT530</t>
  </si>
  <si>
    <t>NIPPON EPOXY THINNER 4L</t>
  </si>
  <si>
    <t>MEG3001-4L</t>
  </si>
  <si>
    <t>DCTBSG-5L</t>
  </si>
  <si>
    <t>NIPPON DOU CLASSIC TINT BASE SEMI-GLOSS 5L</t>
  </si>
  <si>
    <t>NAT490</t>
  </si>
  <si>
    <t>SI-001300</t>
  </si>
  <si>
    <t>DCTBSG-1L</t>
  </si>
  <si>
    <t>NIPPON DOU CLASSIC TINT BASE SEMI-GLOSS 1L</t>
  </si>
  <si>
    <t>NAT410</t>
  </si>
  <si>
    <t>DCTBSG-15L</t>
  </si>
  <si>
    <t>NIPPON DOU CLASSIC TINT BASE SEMI-GLOSS 15L</t>
  </si>
  <si>
    <t>SI-001299</t>
  </si>
  <si>
    <t>NAT390</t>
  </si>
  <si>
    <t>DCSG715-1L</t>
  </si>
  <si>
    <t>NIPPON DOU CLASSIC SG WHITE 715 1L</t>
  </si>
  <si>
    <t>SI-001298</t>
  </si>
  <si>
    <t>NAT380</t>
  </si>
  <si>
    <t>DCSG715-15L</t>
  </si>
  <si>
    <t>REYNO</t>
  </si>
  <si>
    <t>NIPPON DOU CLASSIC SG WHITE 715 15L</t>
  </si>
  <si>
    <t>NAT321</t>
  </si>
  <si>
    <t>2045T-5L</t>
  </si>
  <si>
    <t>NIPPON DOU CLASSIC SG SMOKING GRAY 2045T 5L</t>
  </si>
  <si>
    <t>SI-001303</t>
  </si>
  <si>
    <t>CODE: P26 RED</t>
  </si>
  <si>
    <t>2027P-5L</t>
  </si>
  <si>
    <t>NIPPON DOU CLASSIC SG GRAY SUIT 2027P 5L</t>
  </si>
  <si>
    <t>NAT320</t>
  </si>
  <si>
    <t>2034P-5L</t>
  </si>
  <si>
    <t>NIPPON DOU CLASSIC SG ABACADABRA 2034P 5L</t>
  </si>
  <si>
    <t>SI-001302</t>
  </si>
  <si>
    <t>TATA PANDA</t>
  </si>
  <si>
    <t>NIPPON DOU CLASSIC SG 715 WHITE 5L</t>
  </si>
  <si>
    <t>NAT305</t>
  </si>
  <si>
    <t>DCPBSG-5L</t>
  </si>
  <si>
    <t>NIPPON DOU CLASSIC PASTEL BASE SEMI-GLOSS 5L</t>
  </si>
  <si>
    <t>NAT210</t>
  </si>
  <si>
    <t>DCPBSG-1L</t>
  </si>
  <si>
    <t>NIPPON DOU CLASSIC PASTEL BASE SEMI-GLOSS 1L</t>
  </si>
  <si>
    <t>NAT196</t>
  </si>
  <si>
    <t>DCPBSG-15L</t>
  </si>
  <si>
    <t>NIPPON DOU CLASSIC PASTEL BASE SEMI-GLOSS 15L</t>
  </si>
  <si>
    <t>CODE: 1G3 GRAY</t>
  </si>
  <si>
    <t>DCF701-5L</t>
  </si>
  <si>
    <t>NIPPON DOU CLASSIC FLAT WHITE 701 5L</t>
  </si>
  <si>
    <t>NAT192</t>
  </si>
  <si>
    <t>DCF701-1L</t>
  </si>
  <si>
    <t>NIPPON DOU CLASSIC FLAT WHITE 701 1L</t>
  </si>
  <si>
    <t>DCF701-15L</t>
  </si>
  <si>
    <t>NIPPON DOU CLASSIC FLAT WHITE 701 15L</t>
  </si>
  <si>
    <t>DCDBSG-5L</t>
  </si>
  <si>
    <t>NIPPON DOU CLASSIC DEEP BASE SEMI-GLOSS 5L</t>
  </si>
  <si>
    <t>DCDBSG-1L</t>
  </si>
  <si>
    <t>NIPPON DOU CLASSIC DEEP BASE SEMI-GLOSS 1L</t>
  </si>
  <si>
    <t>DCDBSG-15L</t>
  </si>
  <si>
    <t>NIPPON DOU CLASSIC DEEP BASE SEMI-GLOSS 15L</t>
  </si>
  <si>
    <t>DCABSG-5L</t>
  </si>
  <si>
    <t>NIPPON DOU CLASSIC ACCENT BASE SEMI-GLOSS 5L</t>
  </si>
  <si>
    <t>DCABSG-1L</t>
  </si>
  <si>
    <t>NIPPON DOU CLASSIC ACCENT BASE SEMI-GLOSS 1L</t>
  </si>
  <si>
    <t>DCABSG-15L</t>
  </si>
  <si>
    <t>NIPPON DOU CLASSIC ACCENT BASE SEMI-GLOSS 15L</t>
  </si>
  <si>
    <t>NCGVARNISH-LTR</t>
  </si>
  <si>
    <t>NIPPON CLEAR GLOSS VARNISH LITER</t>
  </si>
  <si>
    <t>NAT190</t>
  </si>
  <si>
    <t>NIPPON CLEAR GLOSS VARNISH GAL</t>
  </si>
  <si>
    <t>SI-001301</t>
  </si>
  <si>
    <t>NCGL-4L</t>
  </si>
  <si>
    <t>NIPPON CLEAR GLOSS LACQUER 4L</t>
  </si>
  <si>
    <t>NAT180</t>
  </si>
  <si>
    <t>NAS-5G</t>
  </si>
  <si>
    <t>DOMBF-1L</t>
  </si>
  <si>
    <t>NIPPON ACRYLIC SKIMCOAT 5KG</t>
  </si>
  <si>
    <t>NAS535</t>
  </si>
  <si>
    <t>NIPPON ACRYLIC GLOSS THINNER 4L</t>
  </si>
  <si>
    <t>NAT149</t>
  </si>
  <si>
    <t>PNB-1L</t>
  </si>
  <si>
    <t>NIPPON 2K BINDER 1L</t>
  </si>
  <si>
    <t>NAT147</t>
  </si>
  <si>
    <t>NPA1487</t>
  </si>
  <si>
    <t>NIPPELAC ACE THALO GREEN 4L</t>
  </si>
  <si>
    <t>NPA1131</t>
  </si>
  <si>
    <t>NIPPELAC ACE RED TRIPPLE 8 4L</t>
  </si>
  <si>
    <t>NAT143</t>
  </si>
  <si>
    <t>NPA1177</t>
  </si>
  <si>
    <t>NIPPELAC ACE PERMANENT MAROON 4L</t>
  </si>
  <si>
    <t>NAT1305</t>
  </si>
  <si>
    <t>NPA1372</t>
  </si>
  <si>
    <t>NIPPELAC ACE LEMON YELLOW 4L</t>
  </si>
  <si>
    <t>SI-001306</t>
  </si>
  <si>
    <t>PAING</t>
  </si>
  <si>
    <t>NAT1304</t>
  </si>
  <si>
    <t>NPA1983</t>
  </si>
  <si>
    <t>NIPPELAC ACE JET BLACK 4L</t>
  </si>
  <si>
    <t>NPA4021</t>
  </si>
  <si>
    <t>NIPPELAC ACE BRIGHT WHITE 4L</t>
  </si>
  <si>
    <t>SI-001305</t>
  </si>
  <si>
    <t>JAY-AR</t>
  </si>
  <si>
    <t>QDEMIX-4L</t>
  </si>
  <si>
    <t>NAT1303</t>
  </si>
  <si>
    <t>SOD145</t>
  </si>
  <si>
    <t>NAX SOD145 SOLVENT NAPTHA/DEGREASER 4L</t>
  </si>
  <si>
    <t>NAT1301</t>
  </si>
  <si>
    <t>SOB745</t>
  </si>
  <si>
    <t>SI-001304</t>
  </si>
  <si>
    <t>NAX SOB745 BLENDING THINNER 4L</t>
  </si>
  <si>
    <t>NAX PREMILA NP9700 HS 2K CLEAR WITH HARDENER 1L</t>
  </si>
  <si>
    <t>NAT1300</t>
  </si>
  <si>
    <t>CASH SALES - NO RECEIPT</t>
  </si>
  <si>
    <t>NAX PREMILA NP9200 2K CLEAR WITH HARDENER 1L</t>
  </si>
  <si>
    <t>NAX RED</t>
  </si>
  <si>
    <t>NB200</t>
  </si>
  <si>
    <t>NAT1180</t>
  </si>
  <si>
    <t>NAX PREMILA NB200 BINDER</t>
  </si>
  <si>
    <t>CRO-MT1</t>
  </si>
  <si>
    <t>PNB100</t>
  </si>
  <si>
    <t>NAX PREMILA NB100 B/C BINDER 4L</t>
  </si>
  <si>
    <t>NAT1175</t>
  </si>
  <si>
    <t>NAX PREMILA MT904 SHADOWN GREEN 1L</t>
  </si>
  <si>
    <t>LTR/S</t>
  </si>
  <si>
    <t>NAT1173</t>
  </si>
  <si>
    <t>NAX PREMILA MT903 SUN GREEN 1L</t>
  </si>
  <si>
    <t>NAT1172</t>
  </si>
  <si>
    <t>NAX PREMILA MT902 GRASS GREEN 1L</t>
  </si>
  <si>
    <t>MT901</t>
  </si>
  <si>
    <t>NAX PREMILA MT901 CYANINE GREEN 1L</t>
  </si>
  <si>
    <t>NAT1171</t>
  </si>
  <si>
    <t>NAX PREMILA MT807 VACANCE BLUE 1L</t>
  </si>
  <si>
    <t>NAT1167</t>
  </si>
  <si>
    <t>NAX PREMILA MT806 HERMES BLUE 1L</t>
  </si>
  <si>
    <t>NAT1166</t>
  </si>
  <si>
    <t>NAX PREMILA MT805 CUSTOM BLUE 1L</t>
  </si>
  <si>
    <t>NAT1165</t>
  </si>
  <si>
    <t>NAX PREMILA MT804 ORIENT BLUE 1L</t>
  </si>
  <si>
    <t>NAT1164</t>
  </si>
  <si>
    <t>NAX PREMILA MT803 FRESH BLUE 1L</t>
  </si>
  <si>
    <t>NAT1163</t>
  </si>
  <si>
    <t>NAX PREMILA MT801 CYANINE BLUE 1L</t>
  </si>
  <si>
    <t>NAX PREMILA MT705 FLORA VIOLET 1L</t>
  </si>
  <si>
    <t>NAT1160</t>
  </si>
  <si>
    <t>NAX PREMILA MT704 FINE VIOLET 1L</t>
  </si>
  <si>
    <t>NAT1158</t>
  </si>
  <si>
    <t>MT702</t>
  </si>
  <si>
    <t>NAX PREMILA MT702 CINQUASIA VIOLET 1L</t>
  </si>
  <si>
    <t>MT701</t>
  </si>
  <si>
    <t>NAT1157</t>
  </si>
  <si>
    <t>NAX PREMILA MT701 FAST VIOLET 1L</t>
  </si>
  <si>
    <t>NAX PREMILA MT607 AUTUMN RED 1L</t>
  </si>
  <si>
    <t>NAT1153</t>
  </si>
  <si>
    <t>NAX PREMILA MT606 GIRAFFE YELLOW 1L</t>
  </si>
  <si>
    <t>NAX PREMILA MT604 EXTRA MAROON 1L</t>
  </si>
  <si>
    <t>NAT1114</t>
  </si>
  <si>
    <t>NAX PREMILA MT603 CINQUASIA BROWN 1L</t>
  </si>
  <si>
    <t>NAT1113</t>
  </si>
  <si>
    <t>NAX PREMILA MT602 PEGASUS MAROON 1L</t>
  </si>
  <si>
    <t>NAX PREMILA MT601 IRON RED 1L</t>
  </si>
  <si>
    <t>NAT1110-4L</t>
  </si>
  <si>
    <t>QDU SILVER</t>
  </si>
  <si>
    <t>NAX PREMILA MT508 INDIAN RED 1L</t>
  </si>
  <si>
    <t>NAT1110-1L</t>
  </si>
  <si>
    <t>NAX PREMILA MT507 RUBY RED 1L</t>
  </si>
  <si>
    <t>NAT1107</t>
  </si>
  <si>
    <t>NAX PREMILA MT506 CINQUASIA RED 1L</t>
  </si>
  <si>
    <t>NAX PREMILA MT505 SPARK RED 1L</t>
  </si>
  <si>
    <t>NAT1106</t>
  </si>
  <si>
    <t>QDU BLACK</t>
  </si>
  <si>
    <t>MT503</t>
  </si>
  <si>
    <t>NAX PREMILA MT503 THRENE RED G 1L</t>
  </si>
  <si>
    <t>NAT103</t>
  </si>
  <si>
    <t>NAX PREMILA MT501 STRONG RED 1L</t>
  </si>
  <si>
    <t>NAX PREMILA MT405 SUN ORANGE 1L</t>
  </si>
  <si>
    <t>NAX PREMILA MT401 MAXIM ORANGE 1L</t>
  </si>
  <si>
    <t>NAX PREMILA MT307 EXTRA YELLOW 1L</t>
  </si>
  <si>
    <t>MEG3901-4L</t>
  </si>
  <si>
    <t>ROS-739</t>
  </si>
  <si>
    <t>NAX PREMILA MT305 NATURAL YELLOW 1L</t>
  </si>
  <si>
    <t>MEG3602-4L</t>
  </si>
  <si>
    <t>NAX PREMILA MT304 GAILY YELLOW 1L</t>
  </si>
  <si>
    <t>NAX PREMILA MT303 FINE YELLOW 1L</t>
  </si>
  <si>
    <t>MEG3100-1L</t>
  </si>
  <si>
    <t>NAX PREMILA MT302 JEWEL YELLOW 1L</t>
  </si>
  <si>
    <t>NAX PREMILA MT301 MAPICO YELLOW 1L</t>
  </si>
  <si>
    <t>NAX PREMILA MT203 DEEP BLACK 1L</t>
  </si>
  <si>
    <t>NAX PREMILA MT202 TINTING BLACK NP 1L</t>
  </si>
  <si>
    <t>NAX PREMILA MT201 BLUE BLACK 1L</t>
  </si>
  <si>
    <t>NAX PREMILA MT175 GRAPHITE 1L</t>
  </si>
  <si>
    <t>NAX PREMILA MT172 OPAL COLOR 1L</t>
  </si>
  <si>
    <t>NAX PREMILA MT170 OPAL COLOR LS 1L</t>
  </si>
  <si>
    <t>NAX PREMILA MT136 METALLIC ORANGE 1L</t>
  </si>
  <si>
    <t>NAX PREMILA MT134 METALLIC GOLD 1L</t>
  </si>
  <si>
    <t>NAX PREMILA MT103 WHITE LS 1L</t>
  </si>
  <si>
    <t>NAX PREMILA MT100 WHITE HS 4L</t>
  </si>
  <si>
    <t>NAX PREMILA MT100 WHITE HS 1L</t>
  </si>
  <si>
    <t>NAX PREMILA MT096 MICA BASE 3M CRYSTAL SILVER 1L</t>
  </si>
  <si>
    <t>NAX PREMILA MT093 MICA BASE 5G BLUE GREEN 1L</t>
  </si>
  <si>
    <t>AEMIX-4L</t>
  </si>
  <si>
    <t>AE LIGHT BLUE</t>
  </si>
  <si>
    <t>NAX PREMILA MT086 MICA BASE 6B MEDIUM BLUE 1L</t>
  </si>
  <si>
    <t>NAX PREMILA MT085 MICA BASE 4G GREEN 1L</t>
  </si>
  <si>
    <t>NAX PREMILA MT083 MICA BASE 4R RED 1L</t>
  </si>
  <si>
    <t>NAX PREMILA MT081 MICA BASE 3PK RUTILE RED 1L</t>
  </si>
  <si>
    <t>NAX PREMILA MT080 MICA BASE 3G FINE GREEN 1L</t>
  </si>
  <si>
    <t>NAX PREMILA MT079 MICA BASE 2V VIOLET 1L</t>
  </si>
  <si>
    <t>NAX PREMILA MT078 MICA BASE 5W BRIGHT WHITE 1L</t>
  </si>
  <si>
    <t>NAX PREMILA MT076 MICA BASE 4Y PLATINUM GOLD 1L</t>
  </si>
  <si>
    <t>BLUE METALLIC</t>
  </si>
  <si>
    <t>NAX PREMILA MT075 MICA BASE 3Y FINE GOLD 1L</t>
  </si>
  <si>
    <t>NAX PREMILA MT072 MICA BASE 2W LUSTRE SATIN 1L</t>
  </si>
  <si>
    <t>NAX PREMILA MT071 MICA BASE 5B BLUE 1L</t>
  </si>
  <si>
    <t>NAX PREMILA MT06H NEO MICA BASE 3AB BLUE 1L</t>
  </si>
  <si>
    <t>NAX PREMILA MT06A NEO MICA BASE 3YG YELLOW 1L</t>
  </si>
  <si>
    <t>NAX PREMILA MT068 MICA BASE 3U RADIANT RED 1L</t>
  </si>
  <si>
    <t>NAX PREMILA MT067 MICA BASE 2K RED BROWN 1L</t>
  </si>
  <si>
    <t>NAX PREMILA MT066 MICA BASE 2R FINE RUSSET 1L</t>
  </si>
  <si>
    <t>NAX PREMILA MT065 MICA BASE 3B FINE BLUE 1L</t>
  </si>
  <si>
    <t>NAT3974</t>
  </si>
  <si>
    <t>NAX PREMILA MT061 MICA BASE 6W FINE SATIN 1L</t>
  </si>
  <si>
    <t>NAX PREMILA MT051 MICA BASE 2BZ BRONZE 1L</t>
  </si>
  <si>
    <t>NAX PREMILA MT050 MICA BASE 2ST SCRAB RED 1L</t>
  </si>
  <si>
    <t>MT033-4L</t>
  </si>
  <si>
    <t>NAX PREMILA MT033 WHITE MET. MEDIUM FINE 4L</t>
  </si>
  <si>
    <t>NAX PREMILA MT033 WHITE MET. MEDIUM FINE 1L</t>
  </si>
  <si>
    <t>NAX PREMILA MT030 WHITE MET. SNOW FINE 1L</t>
  </si>
  <si>
    <t>NAX PREMILA MT028 HIGH SPARKLE SUPER GLAMOUR 1L</t>
  </si>
  <si>
    <t>NAX PREMILA MT025 HIGH SPARKLE SUPER COARSE 1L</t>
  </si>
  <si>
    <t>PRI1680</t>
  </si>
  <si>
    <t>MT023-4L</t>
  </si>
  <si>
    <t>NAX PREMILA MT023 HIGH SPARKLE FINE 4L</t>
  </si>
  <si>
    <t>NAX PREMILA MT023 HIGH SPARKLE FINE 1L</t>
  </si>
  <si>
    <t>NAX PREMILA MT012 MET. BASE FINE 1L</t>
  </si>
  <si>
    <t>NAX PREMILA MT008 CRYSTAL SILVER COARSE 1L</t>
  </si>
  <si>
    <t>527 WHITE</t>
  </si>
  <si>
    <t>NXE4090</t>
  </si>
  <si>
    <t>NAX PREMILA MT006 CRYSTAL SILVER MEDIUM 1L</t>
  </si>
  <si>
    <t>NAX PREMILA MT004 CRYSTAL SILVER COARSE 1L</t>
  </si>
  <si>
    <t>NXE1988</t>
  </si>
  <si>
    <t>NAX PREMILA MT003 CRYSTAL SILVER MEDIUM 1L</t>
  </si>
  <si>
    <t>MT002-4L</t>
  </si>
  <si>
    <t>NAX PREMILA MT002 CRYSTAL SILVER FINE 4L</t>
  </si>
  <si>
    <t>EXT. QDU GREEN</t>
  </si>
  <si>
    <t>NAX PREMILA MT002 CRYSTAL SILVER FINE 1L</t>
  </si>
  <si>
    <t>NAX PREMILA MT001 CRYSTAL SILVER EXTRA FINE 1L</t>
  </si>
  <si>
    <t>NAX PREMILA MT 06M NEO MICA BASE 3AG GREEN 1L</t>
  </si>
  <si>
    <t>NB200-HAR</t>
  </si>
  <si>
    <t>NAX PREMILA 2K NB200 HARDENER</t>
  </si>
  <si>
    <t>NAX NAX21 URETHANE HAEDENER</t>
  </si>
  <si>
    <t>CANS</t>
  </si>
  <si>
    <t>NAX NAT-992 TTC BLACK NO.8 1L</t>
  </si>
  <si>
    <t>NAX NAT-990 TTC BLACK 4L</t>
  </si>
  <si>
    <t>NAX NAT-990 TTC BLACK 1L</t>
  </si>
  <si>
    <t>NAX NAT-745 TTC MEDIUM SPARKLE SILVER 1L</t>
  </si>
  <si>
    <t>NAX NAT-740 TTC ULTRA FINE SILVER 1L</t>
  </si>
  <si>
    <t>NAX NAT-736 TTC HI-SPARKLE EXTRA COARSE 1L</t>
  </si>
  <si>
    <t>NAX NAT-733 TTC SUPER FINE WHITE SILVER 1L</t>
  </si>
  <si>
    <t>NAX NAT-729 TTC HI-SPARKLE FINE SILVER 1L</t>
  </si>
  <si>
    <t>NAX NAT-728 TTC SPARKLE ORANGE METALLIC 1L</t>
  </si>
  <si>
    <t>NAX NAT-727 TTC HI-SPARKLE MIDCOARSE SILVER 1L</t>
  </si>
  <si>
    <t>NAX NAT-725 TTC SPARKLE MID-COARSE SILVER 1L</t>
  </si>
  <si>
    <t>NAX NAT-720 TTC SPARKLE WHITE SILVER 1L</t>
  </si>
  <si>
    <t>NAX NAT-719 TTC COARSE SILVER 4L</t>
  </si>
  <si>
    <t>NAX NAT-719 TTC COARSE SILVER 1L</t>
  </si>
  <si>
    <t>NF145W-5KG</t>
  </si>
  <si>
    <t>NAX NAT-716 TTC SPARKLE SILVER 1L</t>
  </si>
  <si>
    <t>NAX NAT-715 TTC FINE SILVER 1L</t>
  </si>
  <si>
    <t>NAT712-4L</t>
  </si>
  <si>
    <t>NAX NAT-712 TTC MEDIUM FINE SILVER 4L</t>
  </si>
  <si>
    <t>BSKSMCOAT-BAG</t>
  </si>
  <si>
    <t>NAX NAT-712 TTC MEDIUM FINE SILVER 1L</t>
  </si>
  <si>
    <t>NAT707-1L</t>
  </si>
  <si>
    <t>NAX NAT707 HI-SPARKLE SILVER 1L</t>
  </si>
  <si>
    <t>NAT706-1L</t>
  </si>
  <si>
    <t>NAX NAT706 MEDIUM COARSE SILVER 1L</t>
  </si>
  <si>
    <t>NAT705-1L</t>
  </si>
  <si>
    <t>NAX NAT705 SUPER FINE SILVER 1L</t>
  </si>
  <si>
    <t>NAX NAT-595 TTC CYANINE BLUE 1L</t>
  </si>
  <si>
    <t>NAX NAT-557 TTC BLUE NO.9 1L</t>
  </si>
  <si>
    <t>NAX NAT-556 TTC BLUE NO.8 1L</t>
  </si>
  <si>
    <t>NAX NAT-555 TTC BLUE NO.7 1L</t>
  </si>
  <si>
    <t>NAX NAT-550 TTC SUPER BLUE 1L</t>
  </si>
  <si>
    <t>NAX NAT-530 TTC FINE BLUE 1L</t>
  </si>
  <si>
    <t>NAX NAT-490 TTC EVERGREEN 1L</t>
  </si>
  <si>
    <t>NAX NAT-410 TTC CYANINE GREEN 1L</t>
  </si>
  <si>
    <t>NAX NAT-3974 QDU FLAT BLACK 1L</t>
  </si>
  <si>
    <t>QDE YELLOW</t>
  </si>
  <si>
    <t>NAX NAT-390 TTC IRON YELLOW 1L</t>
  </si>
  <si>
    <t>NAX NAT-380 TTC SUPER YELLOW 1L</t>
  </si>
  <si>
    <t>NAX NAT-321 TTC HOSTAPERM YELLOW 1L</t>
  </si>
  <si>
    <t>NAX NAT-320 TTC GOLD YELLOW 1L</t>
  </si>
  <si>
    <t>NAX NAT-305 TTC GREEN YELLOW 1L</t>
  </si>
  <si>
    <t>NAX2930</t>
  </si>
  <si>
    <t>NAX NAT-2930 TTC QDU SASH BLACK 1L</t>
  </si>
  <si>
    <t>NAX NAT-210 TTC SUPER ORANGE 1L</t>
  </si>
  <si>
    <t>NAT100-1L</t>
  </si>
  <si>
    <t>NAX NAT-1OO TTC WHITE 1L</t>
  </si>
  <si>
    <t>NAX NAT-196 TTC PURPLISH RED 1L</t>
  </si>
  <si>
    <t>NAX NAT-192 TTC BRIGHT RED 1L</t>
  </si>
  <si>
    <t>NAX NAT-190 TTC IRON RED 1L</t>
  </si>
  <si>
    <t>NAX NAT-180 TTC STRAWBERRY RED 1L</t>
  </si>
  <si>
    <t>POLYGLOSS RED</t>
  </si>
  <si>
    <t>NAT158</t>
  </si>
  <si>
    <t>NAX NAT158 CINQUASIA VIOLET 1L</t>
  </si>
  <si>
    <t>NAX BEIGE</t>
  </si>
  <si>
    <t>NAX NAT-149 TTC DARK MAROON 1L</t>
  </si>
  <si>
    <t>NAX NAT-147 TTC THRENE RED 1L</t>
  </si>
  <si>
    <t>NAX NAT-143 TTC FLAME RED 1L</t>
  </si>
  <si>
    <t>NAX NAT-1305 TTC 211 MICA BASE 1L</t>
  </si>
  <si>
    <t>PUTTYKNI #6</t>
  </si>
  <si>
    <t>NAX NAT-1304 TTC CRYSTALLINE ORANGE 1L</t>
  </si>
  <si>
    <t>NAX NAT-1303 TTC OMEGA PEARL 1L</t>
  </si>
  <si>
    <t>PREMILA BLUE</t>
  </si>
  <si>
    <t>NAX NAT-1301 TTC XIRALLIC BLUE MICA 1L</t>
  </si>
  <si>
    <t>NAX NAT-1300 TTC CRYSTALLINE SILVER 1L</t>
  </si>
  <si>
    <t>NAX NAT-1180 TTC OYSTER WHITE MICA 1L</t>
  </si>
  <si>
    <t>NAX NAT-1175 TTC MEDIUM FINE BLUE MICA 1L</t>
  </si>
  <si>
    <t>NAX NAT-1173 TTC EXTRA FINE WHITE MICA 1L</t>
  </si>
  <si>
    <t>NAX NAT-1172 TTC BRIGHT GREEN MICA 1L</t>
  </si>
  <si>
    <t>NAX NAT-1171 TTC ULTRA FINE BLUE MICA 1L</t>
  </si>
  <si>
    <t>NAX NAT-1167 TTC PALE GREEN MICA 1L</t>
  </si>
  <si>
    <t>NAX NAT-1166 TTC EARTH BROWN MICA 1L</t>
  </si>
  <si>
    <t>DOITSHLDALL-BOT</t>
  </si>
  <si>
    <t>NAX NAT-1165 TTC HI-LITE RED 1L</t>
  </si>
  <si>
    <t>NAX NAT-1164 TTC BRIGHT GOLD MICA 1L</t>
  </si>
  <si>
    <t>NAX NAT-1163 TTC FINE GREEN MICA 1L</t>
  </si>
  <si>
    <t>NAT1161</t>
  </si>
  <si>
    <t>NAX NAT-1161 TTC LAVENDER MICA 1L</t>
  </si>
  <si>
    <t>NAX NAT-1160 TTC RED COPPER MICA 1L</t>
  </si>
  <si>
    <t>NAT1159</t>
  </si>
  <si>
    <t>NAX NAT-1159 TTC MEDIUM RUSSET MICA 1L</t>
  </si>
  <si>
    <t>EA60</t>
  </si>
  <si>
    <t>NAX NAT-1158 TTC SUPER FINE COPPER MICA 1L</t>
  </si>
  <si>
    <t>NAX NAT-1157 TTC BRIGHT COPPER MICA 1L</t>
  </si>
  <si>
    <t>NAX NAT-1153 TTC SUPER RED MICA 1L</t>
  </si>
  <si>
    <t>CRO-MT2</t>
  </si>
  <si>
    <t>NAX NAT-1114 TTC GREEN MICA 1L</t>
  </si>
  <si>
    <t>NAX NAT-1113 TTC FINE BLUE MICA 1L</t>
  </si>
  <si>
    <t>NAX GRAY</t>
  </si>
  <si>
    <t>NAX NAT-1110 TTC BRIGHT WHITE 4L</t>
  </si>
  <si>
    <t>PREMILA GRAY</t>
  </si>
  <si>
    <t>NAX NAT-1110 TTC BRIGHT WHITE 1L</t>
  </si>
  <si>
    <t>EA1000</t>
  </si>
  <si>
    <t>NAX NAT-1107 TTC FINE RED MICA 1L</t>
  </si>
  <si>
    <t>NAX NAT-1106 TTC PEARL BLUE MICA 1L</t>
  </si>
  <si>
    <t>NAX NAT-1062 QDU 040 SUPER WHITE 1L</t>
  </si>
  <si>
    <t>NAX NAT-103 TTC OPAL 1L</t>
  </si>
  <si>
    <t>NAX NAT-10100 NH-585 PEARL WHITE MICA 1L</t>
  </si>
  <si>
    <t>NAX NAT-100 TTC WHITE 4L</t>
  </si>
  <si>
    <t>SOB642</t>
  </si>
  <si>
    <t>DOITWHITE-4L</t>
  </si>
  <si>
    <t>NAX MULTIPURPOSE URETHANE THINNER 4L</t>
  </si>
  <si>
    <t>NAX EXTREME EPOXY ENAMEL WHITE WITH HARDENER 4L</t>
  </si>
  <si>
    <t>NXE1513</t>
  </si>
  <si>
    <t>NAX EXTREME EPOXY ENAMEL BLUE W/HARDENER 4L</t>
  </si>
  <si>
    <t>NAX EXTREME EPOXY ENAMEL BLACK WITH HARDENER 4L</t>
  </si>
  <si>
    <t>NAX ALPHA HB SPRAY FILLER GRAY WITH HARDENER 1L</t>
  </si>
  <si>
    <t>NAX301</t>
  </si>
  <si>
    <t>NAX 301 NAX QDU FLAT CLEAR WITH HARDENER 1L</t>
  </si>
  <si>
    <t>NAX 141 NAX MAXIMA URETHANE FD CLEAR WITH HARDENER 1L</t>
  </si>
  <si>
    <t>NAX 108 CERAMIC 2K CLEAR WITH HARDENER 1L</t>
  </si>
  <si>
    <t>METALGUARD EPOXY PRIMER WHITE WITH HARDENER 4L</t>
  </si>
  <si>
    <t>POLYGLOSS GRAY</t>
  </si>
  <si>
    <t>MEG3001-1L</t>
  </si>
  <si>
    <t>METALGUARD EPOXY PRIMER WHITE WITH HARDENER 1L</t>
  </si>
  <si>
    <t>MEG3001R-1L</t>
  </si>
  <si>
    <t>METALGUARD EPOXY PRIMER WHITE W/H REPACK</t>
  </si>
  <si>
    <t>MEG3100-4L</t>
  </si>
  <si>
    <t>METALGUARD EPOXY PRIMER RED OXIDE WITH HARDENER 4L</t>
  </si>
  <si>
    <t>PWTCO-6133</t>
  </si>
  <si>
    <t>METALGUARD EPOXY PRIMER RED OXIDE WITH HARDENER 1L</t>
  </si>
  <si>
    <t>METALGUARD EPOXY PRIMER GRAY WITH HARDENER 4L</t>
  </si>
  <si>
    <t>MEG3602-1L</t>
  </si>
  <si>
    <t>METALGUARD EPOXY PRIMER GRAY WITH HARDENER 1L</t>
  </si>
  <si>
    <t>P19 RED</t>
  </si>
  <si>
    <t>METALGUARD EPOXY PRIMER BLACK WITH HARDENER 4L</t>
  </si>
  <si>
    <t>PWTCO-5033</t>
  </si>
  <si>
    <t>MEG3901-1L</t>
  </si>
  <si>
    <t>METALGUARD EPOXY PRIMER BLACK WITH HARDENER 1L</t>
  </si>
  <si>
    <t>MEEKBOS-1L</t>
  </si>
  <si>
    <t>MEG3901R-1L</t>
  </si>
  <si>
    <t>METALGUARD EPOXY PRIMER BLACK W/H REPACK</t>
  </si>
  <si>
    <t>MYNALTHNR-3.75L</t>
  </si>
  <si>
    <t>MAYON LACQUER THINNER 3.75L</t>
  </si>
  <si>
    <t>AC-40-1L</t>
  </si>
  <si>
    <t>MARINE EPOXY A &amp; B 1L SET EL KAPITAN BOSTIK</t>
  </si>
  <si>
    <t>1L SET</t>
  </si>
  <si>
    <t>ROS-138</t>
  </si>
  <si>
    <t>LIME ROS-138 RAIN OR SHINE 4L</t>
  </si>
  <si>
    <t>ROS-353</t>
  </si>
  <si>
    <t>LIGHT BEIGE ROS-353 RAIN OR SHINE 4L</t>
  </si>
  <si>
    <t>NAX ARMY GREEN</t>
  </si>
  <si>
    <t>PWTCO-1133</t>
  </si>
  <si>
    <t>LAMP BLACK OIL TINTING COLOR PWTCO-1133 1/4L WELCOAT PREMIUM</t>
  </si>
  <si>
    <t>NAX 1G3 GREY</t>
  </si>
  <si>
    <t>JAPAN PUTTY KNIFE #6</t>
  </si>
  <si>
    <t>JAPAN PUTTY KNIFE #4</t>
  </si>
  <si>
    <t>NAX SILVER 1D4</t>
  </si>
  <si>
    <t>HANSA YELLOW OIL TINITNG COLOR PWTCO-5033 1/4L WELCOAT PREMIUM</t>
  </si>
  <si>
    <t>HANSA YELLOW ACRY-COLOR AC-40 1L DAVIES</t>
  </si>
  <si>
    <t>ROS-SR-911</t>
  </si>
  <si>
    <t>PWTAC-6517-1L</t>
  </si>
  <si>
    <t>GREEN ELASTOMERIC WATER FROOFING PAINT ROS-SR-911 SUN ROOF RAIN 4L</t>
  </si>
  <si>
    <t>ROS-678</t>
  </si>
  <si>
    <t>GOLDEN BUTTER ROS-678 RAIN OR SHINE 4L</t>
  </si>
  <si>
    <t>ROS-529</t>
  </si>
  <si>
    <t>GOLD RUSH ROS-529 RAIN OR SHINE 4L</t>
  </si>
  <si>
    <t>GLAZERYG-1L</t>
  </si>
  <si>
    <t>GLAZER AUTOMOTIVE ENAMEL YELLOW GREEN 1L</t>
  </si>
  <si>
    <t>PWTAC-4617-1L</t>
  </si>
  <si>
    <t>GLAUEWHITE-4L</t>
  </si>
  <si>
    <t>GLAZER AUTOMOTIVE ENAMEL WHITE 4L</t>
  </si>
  <si>
    <t>GLAZERW-1L</t>
  </si>
  <si>
    <t>GLAZER AUTOMOTIVE ENAMEL WHITE (R) 1L</t>
  </si>
  <si>
    <t>GLAZERYG-4L</t>
  </si>
  <si>
    <t>GLAZER AUTOMOTIVE ENAMEL LEMON YELLOW 4L</t>
  </si>
  <si>
    <t>NAX BLUE</t>
  </si>
  <si>
    <t>GLAZERB-4L</t>
  </si>
  <si>
    <t>GLAZER AUTOMOTIVE ENAMEL BLACK 4L</t>
  </si>
  <si>
    <t>GIPREMOVER-BOT</t>
  </si>
  <si>
    <t>GI PAINT REMOVER BOTTLE</t>
  </si>
  <si>
    <t>FRANELLA CLOTH 1YARD</t>
  </si>
  <si>
    <t>1YRD</t>
  </si>
  <si>
    <t>DV400-WHITE-4L</t>
  </si>
  <si>
    <t>B-701-4L</t>
  </si>
  <si>
    <t>FLAT WHITE ACRYLIC LATEX B-701 BOYSEN 4L</t>
  </si>
  <si>
    <t>SPRYGUN</t>
  </si>
  <si>
    <t>EUROMAX SPRAY GUN F75</t>
  </si>
  <si>
    <t>EPOXYELB-1L</t>
  </si>
  <si>
    <t>EPOXY ENAMEL MIX BLUE 1L</t>
  </si>
  <si>
    <t>EMPTYGLASS</t>
  </si>
  <si>
    <t>EMPTY GLASS FOR MIXING PAINT 1/4L</t>
  </si>
  <si>
    <t>CAN-1L</t>
  </si>
  <si>
    <t>CUMIFS-80</t>
  </si>
  <si>
    <t>EMPTY CAN LITER SIZE</t>
  </si>
  <si>
    <t>MEEKBOS-4L</t>
  </si>
  <si>
    <t>EL KAPITAN A &amp; B 4L</t>
  </si>
  <si>
    <t>ECOBAG-M</t>
  </si>
  <si>
    <t>ECO BAG MEDIUM</t>
  </si>
  <si>
    <t>EAGLE SANDPAPER #1500</t>
  </si>
  <si>
    <t>EAGLE SANDPAPER #800</t>
  </si>
  <si>
    <t>EAGLE SANDPAPER #600</t>
  </si>
  <si>
    <t>EAGLE SANDPAPER #60</t>
  </si>
  <si>
    <t>EAGLE SANDPAPER #400</t>
  </si>
  <si>
    <t>EAGLE SANDPAPER #240</t>
  </si>
  <si>
    <t>EAGLE SANDPAPER #2000</t>
  </si>
  <si>
    <t>CUMIFS-36</t>
  </si>
  <si>
    <t>EAGLE SANDPAPER #1200</t>
  </si>
  <si>
    <t>EAGLE SANDPAPER #120</t>
  </si>
  <si>
    <t>EAGLE SANDPAPER #1000</t>
  </si>
  <si>
    <t>EAGLE SAND PAPER #320</t>
  </si>
  <si>
    <t>CUMIFS-100</t>
  </si>
  <si>
    <t>PTRL-7</t>
  </si>
  <si>
    <t>DRAGONFLY PAINT ROLLER #7 W/H</t>
  </si>
  <si>
    <t>DRAGONFLY PAINT BRUSH #4</t>
  </si>
  <si>
    <t>DPB-3</t>
  </si>
  <si>
    <t>DRAGONFLY PAINT BRUSH #3</t>
  </si>
  <si>
    <t>DPB-2</t>
  </si>
  <si>
    <t>DRAGONFLY PAINT BRUSH #2</t>
  </si>
  <si>
    <t>DRAGONFLY PAINT BRUSH #1 1/2</t>
  </si>
  <si>
    <t>DPB-1</t>
  </si>
  <si>
    <t>DRAGONFLY PAINT BRUSH #1</t>
  </si>
  <si>
    <t>BBR-MINI</t>
  </si>
  <si>
    <t>DRAGONFLY MINI BABY ROLLER #4 W/H</t>
  </si>
  <si>
    <t>DOMINO BODY FILTER WITH HARDENER 4L</t>
  </si>
  <si>
    <t>DOMINO BODY FILTER WITH HARDENER 1L</t>
  </si>
  <si>
    <t>DO IT URETHANE WHITE 4L</t>
  </si>
  <si>
    <t>GLAZER AUTO ENAMEL MIX 4L</t>
  </si>
  <si>
    <t>GALS</t>
  </si>
  <si>
    <t>DO IT URETHANE THINNER 4L</t>
  </si>
  <si>
    <t>DOITBLACK-4L</t>
  </si>
  <si>
    <t>DO IT URETHANE BLACK 4L</t>
  </si>
  <si>
    <t>DO IT SHIELD ALL MULTI-PURPOSE WAX 250ML</t>
  </si>
  <si>
    <t>BSQDEW-GAL</t>
  </si>
  <si>
    <t>HDOIT</t>
  </si>
  <si>
    <t>DO IT HARDENER 2K TOP COAT</t>
  </si>
  <si>
    <t>BSFWEW-GAL</t>
  </si>
  <si>
    <t>QDUDTBLACKM-1L</t>
  </si>
  <si>
    <t>DO IT BLACK MIX MICA 1L</t>
  </si>
  <si>
    <t>NP PB 1534D</t>
  </si>
  <si>
    <t>DEEP BASED MUTI PURPOSE COATING NIPPON PAINT</t>
  </si>
  <si>
    <t>DAVIES QDE WHITE 4L</t>
  </si>
  <si>
    <t>B-1705</t>
  </si>
  <si>
    <t>TC-33-1/4L</t>
  </si>
  <si>
    <t>DAVIES OTC THALO GREEN 1/4L</t>
  </si>
  <si>
    <t>TC-21-1/4L</t>
  </si>
  <si>
    <t>DAVIES OTC THALO BLUE 1/4L</t>
  </si>
  <si>
    <t>TC-60-1/4L</t>
  </si>
  <si>
    <t>DAVIES OIL TINTING COLOR TC-60 LAMP BLACK 1/4L</t>
  </si>
  <si>
    <t>ROS-SR-337</t>
  </si>
  <si>
    <t>TCLT-11-1L</t>
  </si>
  <si>
    <t>DAVIES LIQUID-TILE TINTING COLOR VENETIAN RED 1L</t>
  </si>
  <si>
    <t>TCLT-60-1L</t>
  </si>
  <si>
    <t>DAVIES LIQUID-TILE TINTING COLOR BLACK 1L</t>
  </si>
  <si>
    <t>ROS-SR-182</t>
  </si>
  <si>
    <t>DV-5-525-4L</t>
  </si>
  <si>
    <t>DAVIES LIQUID TILE GLOSS WHITE 4L</t>
  </si>
  <si>
    <t>ROS-EF-1130</t>
  </si>
  <si>
    <t>CUMI SUPREME FLOOR SANDING 80</t>
  </si>
  <si>
    <t>FT</t>
  </si>
  <si>
    <t>CUMI SUPREME FLOOR SANDING 60</t>
  </si>
  <si>
    <t>CUMI SUPREME FLOOR SANDING 36</t>
  </si>
  <si>
    <t>CUMI SUPREME FLOOR SANDING 100</t>
  </si>
  <si>
    <t>CROCO MASKING TAPE 3/4 18MM (1X64)</t>
  </si>
  <si>
    <t>ROS-SR-777</t>
  </si>
  <si>
    <t>CROCO MASKING TAPE 1/2 12MM (1X96)</t>
  </si>
  <si>
    <t>CROCO MASKING TAPE #2</t>
  </si>
  <si>
    <t>CROCO MASKING TAPE #1</t>
  </si>
  <si>
    <t>COTTA ELASTOMERIC WATER FROOFING PAINT R0S-SR-337 SUN ROOF RAIN 4L</t>
  </si>
  <si>
    <t>COCONUT ELASTOMERIC WATER FROOFING PAINT ROS-739 RAIN OR SHINE 4L</t>
  </si>
  <si>
    <t>ROS-367</t>
  </si>
  <si>
    <t>CANDY TUFF ROS-367 RAIN OR SHINE 4L</t>
  </si>
  <si>
    <t>BURNT UMBER PREMIUM ACRY COLOR PWTAC-4617 1L WELCOAT</t>
  </si>
  <si>
    <t>TC-93-1/4L</t>
  </si>
  <si>
    <t>BURNT UMBER OIL TINTING COLOR TC-93 1/4L DAVIES</t>
  </si>
  <si>
    <t>BURNT SIENNA TINTING COLOR PWTCO-6133 1/4L PREMIUM WELCOAT</t>
  </si>
  <si>
    <t>ROS-350</t>
  </si>
  <si>
    <t>BURNT SIENNA PREMIUM ACRY COLOR PWTAC-6517 1L WELCOAT</t>
  </si>
  <si>
    <t>PWTCO-2133</t>
  </si>
  <si>
    <t>QDU ARMY GREEN</t>
  </si>
  <si>
    <t>BULLETIN RED TINTING COLOR PWTCO-2133 1/4L PREMIUM WELCOAT</t>
  </si>
  <si>
    <t>BPAD</t>
  </si>
  <si>
    <t>BUFFING PAD</t>
  </si>
  <si>
    <t>BOYSEN QDE WHITE GAL</t>
  </si>
  <si>
    <t>B-710</t>
  </si>
  <si>
    <t>BOYSEN PERMACOAT GLOSS LATEX B-710 WHITE 4L</t>
  </si>
  <si>
    <t>B-791</t>
  </si>
  <si>
    <t>BOYSEN PERMACOAT FLAT LATEX BLACK 4L</t>
  </si>
  <si>
    <t>BOYSEN LTC LAMP BLACK 1L</t>
  </si>
  <si>
    <t>BOYSEN FWE WHITE GAL</t>
  </si>
  <si>
    <t>B-1711</t>
  </si>
  <si>
    <t>BOYSEN ACRYTEX CAST 4L</t>
  </si>
  <si>
    <t>BOSTIK ULTRAFINO SKIMCOAT WHITE 20KG</t>
  </si>
  <si>
    <t>BAG</t>
  </si>
  <si>
    <t>BLACK ELASTO FLOOR ROS-EF-1130 RAIN OR SHINE 4L</t>
  </si>
  <si>
    <t>AC-60-1L</t>
  </si>
  <si>
    <t>BLACK ACRY-COLOR AC-60 1L DAVIES</t>
  </si>
  <si>
    <t>BITTER SWEET SUN ROOF ROS-SR-777 RAIN OR SHINE 4L</t>
  </si>
  <si>
    <t>BEIGE SUN ROOF ROS-SR-182 RAIN OR SHINE 4L</t>
  </si>
  <si>
    <t>ROS-270</t>
  </si>
  <si>
    <t>ANTIQUE WHITE ROS-270 RAIN OR SHINE 4L</t>
  </si>
  <si>
    <t>AMBER ROSE ROS-350 RAIN OR SHINE 4L</t>
  </si>
  <si>
    <t>ALPHAGLOSS-4L</t>
  </si>
  <si>
    <t>ALPHA CHROMA ACRYTILE GLOSS WHITE 4L</t>
  </si>
  <si>
    <t>ACRYTEX PRIMER WHITE B-1705 BOYSEN 4L</t>
  </si>
  <si>
    <t>2B PAINT ROLLER #7</t>
  </si>
  <si>
    <t>2B PAINT ROLLER #4</t>
  </si>
  <si>
    <t>2B-PB#3</t>
  </si>
  <si>
    <t>2B PAINT BRUSH #3</t>
  </si>
  <si>
    <t>2B PAINT BRUSH #2</t>
  </si>
  <si>
    <t>NIPPON FLEXI-SEAL 145 WHITE 5KG</t>
  </si>
  <si>
    <t>PREMILA MIXING 1L</t>
  </si>
  <si>
    <t>NAX PP BUMPER PRIMER GRAY 1L</t>
  </si>
  <si>
    <t>QDE NP, ALPHA CHROMA, DAVIES, BOYSEN 4L</t>
  </si>
  <si>
    <t>ACRYLIC NP, TIMEOUT 1L</t>
  </si>
  <si>
    <t>LATEXMIX-4L</t>
  </si>
  <si>
    <t>LATEX NP, ALPHA CHROMA, DAVIES, BOYSEN, WC 4L</t>
  </si>
  <si>
    <t>LATEX NP, ALPHA CHROMA, DAVIES, BOYSEN, WC 1L</t>
  </si>
  <si>
    <t>NAXQDUMIX-4L</t>
  </si>
  <si>
    <t>NAX QDU MIX 4L</t>
  </si>
  <si>
    <t>NAX PEARL</t>
  </si>
  <si>
    <t>NAX QDU MIX 1L</t>
  </si>
  <si>
    <t>EXTREMEMIX-4L</t>
  </si>
  <si>
    <t>EXTREME QDU MIXING 4L</t>
  </si>
  <si>
    <t>EXTREME QDU MIXING 1L</t>
  </si>
  <si>
    <t>RAIN OR SHINE WHITE 4L</t>
  </si>
  <si>
    <t>2B-PB-1 1/2</t>
  </si>
  <si>
    <t>2B PAINT BRUSH 1 1/2</t>
  </si>
  <si>
    <t>UTMIX-4L</t>
  </si>
  <si>
    <t>URETHANE MIXING POLYGLOSS, DO IT 4L</t>
  </si>
  <si>
    <t>ROS-TEMP-4L</t>
  </si>
  <si>
    <t>RAIN OR SHINE-TEMPTATION 4L</t>
  </si>
  <si>
    <t>ROS- UH SO RED -4L</t>
  </si>
  <si>
    <t>RAIN OR SHINE- UH SO RED 4L</t>
  </si>
  <si>
    <t>ROS-BRIDE-4L</t>
  </si>
  <si>
    <t>ROS-BRIDAL GOWN-4L</t>
  </si>
  <si>
    <t>NAX GREEN</t>
  </si>
  <si>
    <t>ROS-SAFARE-4L</t>
  </si>
  <si>
    <t>ROS-SAFARI BROWN_4L</t>
  </si>
  <si>
    <t>ROS-BLUE -OC-4L</t>
  </si>
  <si>
    <t>RAIN OR SHINE-BLUE OCEAN-4L</t>
  </si>
  <si>
    <t>PZPG-1L</t>
  </si>
  <si>
    <t>POLYGLOSS-ZINCROMATE PRIMER GREEN-1L</t>
  </si>
  <si>
    <t>GAETB-4L</t>
  </si>
  <si>
    <t>GLAZER AUTOMOTIVE ENAMEL THALO BLUE-4L</t>
  </si>
  <si>
    <t>DOITUH</t>
  </si>
  <si>
    <t>DO IT URETHANE HARDENER</t>
  </si>
  <si>
    <t>LATEXMIX-15L</t>
  </si>
  <si>
    <t>LATEXNP,ALPHA CROMA,DAVIES,BOYSEN,WC 15L</t>
  </si>
  <si>
    <t>ALCROLTC -THALO BLUE-1L</t>
  </si>
  <si>
    <t>ALPHA CROMA LTC THALO BLUE</t>
  </si>
  <si>
    <t>ACRYLICMIX-4L</t>
  </si>
  <si>
    <t>ACRYLIC NP, TIMEOUT 4L</t>
  </si>
  <si>
    <t>ACRYPRIMER-4L</t>
  </si>
  <si>
    <t>ALPHA CHROMA ACRYTILE PRIMER WHITE</t>
  </si>
  <si>
    <t>AEMIX-1L</t>
  </si>
  <si>
    <t>GLAZER AUTO ENAMEL MIX 1L</t>
  </si>
  <si>
    <t>PLYZMTB-47</t>
  </si>
  <si>
    <t>PYLOX MATT BLACK#47</t>
  </si>
  <si>
    <t>ALPHAC-RS-CAN</t>
  </si>
  <si>
    <t>ALPHA CHROMA OTC RAW SEINA 1CAN</t>
  </si>
  <si>
    <t>NAX GOLD</t>
  </si>
  <si>
    <t>1D6 SILVER</t>
  </si>
  <si>
    <t>TRANSFER TO MIXING AREA</t>
  </si>
  <si>
    <t>ADJUSTMENT (-)</t>
  </si>
  <si>
    <t>EXPENSES</t>
  </si>
  <si>
    <t>CSI-03653</t>
  </si>
  <si>
    <t>DR-000023</t>
  </si>
  <si>
    <t>JOVANIE VILLAFUERTE</t>
  </si>
  <si>
    <t>CSI-000361</t>
  </si>
  <si>
    <t>KARRJACKSON INDUSTRIES</t>
  </si>
  <si>
    <t>CHARGE</t>
  </si>
  <si>
    <t>BILLED</t>
  </si>
  <si>
    <t>CSI-03654</t>
  </si>
  <si>
    <t>CSI-000362</t>
  </si>
  <si>
    <t>ERT ENTERPRISES</t>
  </si>
  <si>
    <t>U17</t>
  </si>
  <si>
    <t>UNPAID</t>
  </si>
  <si>
    <t>CSI-000363</t>
  </si>
  <si>
    <t>X3-7 BLACK</t>
  </si>
  <si>
    <t>X4-Y GRAY</t>
  </si>
  <si>
    <t>CSI-000364</t>
  </si>
  <si>
    <t>CODE: EAU</t>
  </si>
  <si>
    <t>CSI-03656</t>
  </si>
  <si>
    <t>CSI-000365</t>
  </si>
  <si>
    <t>CODE: Y02 GOLD</t>
  </si>
  <si>
    <t>CSI-000366</t>
  </si>
  <si>
    <t>CSI-000367</t>
  </si>
  <si>
    <t>CSI-000368</t>
  </si>
  <si>
    <t>CODE: W81 PEARL</t>
  </si>
  <si>
    <t>CODE: W81 WHITE</t>
  </si>
  <si>
    <t>CSI-000369</t>
  </si>
  <si>
    <t>CODE: 1-33 SILVER</t>
  </si>
  <si>
    <t>CODE: P19 RED</t>
  </si>
  <si>
    <t>CSI-000370</t>
  </si>
  <si>
    <t>CODE: U17 GRAY</t>
  </si>
  <si>
    <t>CSI-000371</t>
  </si>
  <si>
    <t>CODE: 529 SILVER</t>
  </si>
  <si>
    <t>CSI-000372</t>
  </si>
  <si>
    <t>CSI-03647</t>
  </si>
  <si>
    <t>VINKO</t>
  </si>
  <si>
    <t>CODE: 2QJ WHITE</t>
  </si>
  <si>
    <t>CODE: 2QJ PEARL</t>
  </si>
  <si>
    <t>CSI-03649</t>
  </si>
  <si>
    <t>CSI-03680</t>
  </si>
  <si>
    <t>CSI-03651</t>
  </si>
  <si>
    <t>CSI-03652</t>
  </si>
  <si>
    <t>CODE: 1D6 SILVER</t>
  </si>
  <si>
    <t>CSI-03655</t>
  </si>
  <si>
    <t>CODE: 3RO RED</t>
  </si>
  <si>
    <t>CSI-03681</t>
  </si>
  <si>
    <t>ea120</t>
  </si>
  <si>
    <t>CSI-03657</t>
  </si>
  <si>
    <t>CSI-03658</t>
  </si>
  <si>
    <t>CSI-03667</t>
  </si>
  <si>
    <t>COLOR GRAY</t>
  </si>
  <si>
    <t>CSI-03668</t>
  </si>
  <si>
    <t>SI-001378</t>
  </si>
  <si>
    <t>JOEY</t>
  </si>
  <si>
    <t>CSI-03682</t>
  </si>
  <si>
    <t>SI-001307</t>
  </si>
  <si>
    <t>SI-001308</t>
  </si>
  <si>
    <t>JOLARS</t>
  </si>
  <si>
    <t>SI-001309</t>
  </si>
  <si>
    <t>CODE: 220 BLACK</t>
  </si>
  <si>
    <t>SI-001310</t>
  </si>
  <si>
    <t>CODE:U17 GREY</t>
  </si>
  <si>
    <t>SI-001311</t>
  </si>
  <si>
    <t>CODE:AO2 GRAY</t>
  </si>
  <si>
    <t>SI-001312</t>
  </si>
  <si>
    <t>SI-001313</t>
  </si>
  <si>
    <t>CODE:U25 SILVER</t>
  </si>
  <si>
    <t>SI-001314</t>
  </si>
  <si>
    <t>SI-001315</t>
  </si>
  <si>
    <t>SI-001316</t>
  </si>
  <si>
    <t>CODE;:X12 BLACK</t>
  </si>
  <si>
    <t>SI-001317</t>
  </si>
  <si>
    <t>SI-001318</t>
  </si>
  <si>
    <t>RAMSAM</t>
  </si>
  <si>
    <t>SI-001319</t>
  </si>
  <si>
    <t>SI-001320</t>
  </si>
  <si>
    <t>REY</t>
  </si>
  <si>
    <t>SI-001321</t>
  </si>
  <si>
    <t>NOLI KATARMAN</t>
  </si>
  <si>
    <t>CSI-004053</t>
  </si>
  <si>
    <t>SI-001322</t>
  </si>
  <si>
    <t>SI-001323</t>
  </si>
  <si>
    <t>NIKO KATARMAN</t>
  </si>
  <si>
    <t>CODE:UD CLEAR WHITE</t>
  </si>
  <si>
    <t>SI-001324</t>
  </si>
  <si>
    <t>CSI-004054</t>
  </si>
  <si>
    <t>SI-001325</t>
  </si>
  <si>
    <t>CODE:1D4 SILVER</t>
  </si>
  <si>
    <t>SI-001326</t>
  </si>
  <si>
    <t>SI-001327</t>
  </si>
  <si>
    <t>JOHN PATRICK</t>
  </si>
  <si>
    <t>SI-001328</t>
  </si>
  <si>
    <t xml:space="preserve">CODE:KAD SILVER </t>
  </si>
  <si>
    <t>SI-001329</t>
  </si>
  <si>
    <t>CSI-004055</t>
  </si>
  <si>
    <t>SI-001330</t>
  </si>
  <si>
    <t>CNU CONSTRUCTION SERVICES</t>
  </si>
  <si>
    <t>SI-001379</t>
  </si>
  <si>
    <t>SI-001380</t>
  </si>
  <si>
    <t>CAGAANAN</t>
  </si>
  <si>
    <t>SI-001331</t>
  </si>
  <si>
    <t>KIN</t>
  </si>
  <si>
    <t>FROM STOCK TO SALES</t>
  </si>
  <si>
    <t>SI-001332</t>
  </si>
  <si>
    <t>ECOPRO</t>
  </si>
  <si>
    <t>SI-001333</t>
  </si>
  <si>
    <t>RITCHARD</t>
  </si>
  <si>
    <t>SI-001334</t>
  </si>
  <si>
    <t>SI-001335</t>
  </si>
  <si>
    <t>SI-001336</t>
  </si>
  <si>
    <t>SI-001337</t>
  </si>
  <si>
    <t>SAPANTA</t>
  </si>
  <si>
    <t>SI-001338</t>
  </si>
  <si>
    <t>DENIE</t>
  </si>
  <si>
    <t>ASH GRAY</t>
  </si>
  <si>
    <t>SI-001339</t>
  </si>
  <si>
    <t>SOLOMON</t>
  </si>
  <si>
    <t>SI-001340</t>
  </si>
  <si>
    <t>SI-001341</t>
  </si>
  <si>
    <t>HORHE</t>
  </si>
  <si>
    <t>CODE:588 GRAY</t>
  </si>
  <si>
    <t>SI-001342</t>
  </si>
  <si>
    <t>SI-001343</t>
  </si>
  <si>
    <t>ELSON</t>
  </si>
  <si>
    <t>CSI-004078</t>
  </si>
  <si>
    <t>SI-001344</t>
  </si>
  <si>
    <t>SI-001345</t>
  </si>
  <si>
    <t>CSI-004079</t>
  </si>
  <si>
    <t>SI-001346</t>
  </si>
  <si>
    <t>GEG BUILDERS</t>
  </si>
  <si>
    <t>SI-001347</t>
  </si>
  <si>
    <t>CODE:CAQ BROWN</t>
  </si>
  <si>
    <t>SI-001348</t>
  </si>
  <si>
    <t>COCOY</t>
  </si>
  <si>
    <t>CSI-004080</t>
  </si>
  <si>
    <t>SI-001349</t>
  </si>
  <si>
    <t>DAMOLE</t>
  </si>
  <si>
    <t>SI-001350</t>
  </si>
  <si>
    <t>OPAWAUTO SHOP</t>
  </si>
  <si>
    <t>CSI-004084</t>
  </si>
  <si>
    <t>INV_06/24/2026</t>
  </si>
  <si>
    <t>INVENTORY - JUNE 24-25, 2026</t>
  </si>
  <si>
    <t>ADJUSTMENT (+)</t>
  </si>
  <si>
    <t>SI-001351</t>
  </si>
  <si>
    <t>ATING</t>
  </si>
  <si>
    <t>SI-001352</t>
  </si>
  <si>
    <t>SI-001353</t>
  </si>
  <si>
    <t>SI-001354</t>
  </si>
  <si>
    <t>SI-001355</t>
  </si>
  <si>
    <t>BALILA ELEMTARY SCHOOL</t>
  </si>
  <si>
    <t>SI-001356</t>
  </si>
  <si>
    <t>TIS</t>
  </si>
  <si>
    <t>SI-001357</t>
  </si>
  <si>
    <t>RITARDO GRADE 6</t>
  </si>
  <si>
    <t>SI-001358</t>
  </si>
  <si>
    <t>SI-001359</t>
  </si>
  <si>
    <t>VENTAL INTEGRATED SCHOOL</t>
  </si>
  <si>
    <t>SI-001360</t>
  </si>
  <si>
    <t>CODE:G42 BLACK</t>
  </si>
  <si>
    <t>SI-001361</t>
  </si>
  <si>
    <t>TINGOBAN</t>
  </si>
  <si>
    <t>SI-001362</t>
  </si>
  <si>
    <t>SI-001363</t>
  </si>
  <si>
    <t>ANARUTH</t>
  </si>
  <si>
    <t>SI-001364</t>
  </si>
  <si>
    <t>SI-001365</t>
  </si>
  <si>
    <t>GFG</t>
  </si>
  <si>
    <t>SI-001366</t>
  </si>
  <si>
    <t>YL</t>
  </si>
  <si>
    <t>CODE:209 BLACK</t>
  </si>
  <si>
    <t>CODE:A66 SILVER</t>
  </si>
  <si>
    <t>GCASH / BANK TRANSFER</t>
  </si>
  <si>
    <t>CSI-000404</t>
  </si>
  <si>
    <t>VALENCIA COLOURSMILE PAINT TRADING</t>
  </si>
  <si>
    <t xml:space="preserve">                                  Alkuino Bldg, Sayre Highway, Poblacion, Valencia City                                </t>
  </si>
  <si>
    <t>PURCHASE ORDER</t>
  </si>
  <si>
    <t>DATE:</t>
  </si>
  <si>
    <t>P.O NO.:</t>
  </si>
  <si>
    <t>SUPPLIER:</t>
  </si>
  <si>
    <t>TERMS:</t>
  </si>
  <si>
    <t>TOTAL AMOUNT:</t>
  </si>
  <si>
    <r>
      <rPr>
        <rFont val="Arial"/>
        <color theme="1"/>
      </rPr>
      <t xml:space="preserve">PREPARED BY:   </t>
    </r>
    <r>
      <rPr>
        <rFont val="Arial"/>
        <b/>
        <color theme="1"/>
      </rPr>
      <t>CARLA VARIACION</t>
    </r>
  </si>
  <si>
    <r>
      <rPr>
        <rFont val="Arial"/>
        <color theme="1"/>
      </rPr>
      <t xml:space="preserve">APPROVED BY:   </t>
    </r>
    <r>
      <rPr>
        <rFont val="Arial"/>
        <b/>
        <color theme="1"/>
      </rPr>
      <t>LIZA V. AGBONG/ ALFFED AGBONG</t>
    </r>
  </si>
  <si>
    <t>SI-001381</t>
  </si>
  <si>
    <t>09/05/0206</t>
  </si>
  <si>
    <t>BILLING STATEMENT</t>
  </si>
  <si>
    <t>CUSTOMER'S NAME:</t>
  </si>
  <si>
    <t>DATE: AUGUST 31, 2026</t>
  </si>
  <si>
    <t>ADDRESS:</t>
  </si>
  <si>
    <t>DATE PURCHASED</t>
  </si>
  <si>
    <t>INVOICE NUMBER</t>
  </si>
  <si>
    <t>P.O NUMBER</t>
  </si>
  <si>
    <t>AMOUNT</t>
  </si>
  <si>
    <t>SUPPLIER ID</t>
  </si>
  <si>
    <t>SUPPLIER NAME</t>
  </si>
  <si>
    <t>TIN</t>
  </si>
  <si>
    <t>CONTACT PERSON</t>
  </si>
  <si>
    <t>CONTACT NUMBER</t>
  </si>
  <si>
    <t>EMAIL ADDRESS</t>
  </si>
  <si>
    <t>OFFICE ADDRESS</t>
  </si>
  <si>
    <t>SUP_00001</t>
  </si>
  <si>
    <t>SUP_00002</t>
  </si>
  <si>
    <t/>
  </si>
  <si>
    <t>SUP_00003</t>
  </si>
  <si>
    <t>SUP_00004</t>
  </si>
  <si>
    <t>CURRENT PURCHASES:</t>
  </si>
  <si>
    <t>2B-PB-1</t>
  </si>
  <si>
    <t>PREVIOUS BALANCE:</t>
  </si>
  <si>
    <t>TOTAL AMOUNT DUE:</t>
  </si>
  <si>
    <t>INVENTORY-JULY 27-28 2026</t>
  </si>
  <si>
    <t>PREPARED BY:    CARLA B. VARIACION</t>
  </si>
  <si>
    <t>NOTED BY:    LIZA V. AGBONG</t>
  </si>
  <si>
    <t>RECEIVE BY: _______________</t>
  </si>
  <si>
    <t>CUSTOMER ID</t>
  </si>
  <si>
    <t>ADDRESS</t>
  </si>
  <si>
    <t>TERMS</t>
  </si>
  <si>
    <t>CUST_00001</t>
  </si>
  <si>
    <t>COD</t>
  </si>
  <si>
    <t>CUST_00002</t>
  </si>
  <si>
    <t>CUST_00003</t>
  </si>
  <si>
    <t>CUST_00004</t>
  </si>
  <si>
    <t>CUST_00005</t>
  </si>
  <si>
    <t>CUST_00006</t>
  </si>
  <si>
    <t>CUST_00007</t>
  </si>
  <si>
    <t>CUST_00008</t>
  </si>
  <si>
    <t>CUST_00009</t>
  </si>
  <si>
    <t>CUST_00010</t>
  </si>
  <si>
    <t>CUST_00011</t>
  </si>
  <si>
    <t>CUST_00012</t>
  </si>
  <si>
    <t>CUST_00013</t>
  </si>
  <si>
    <t>CUST_00014</t>
  </si>
  <si>
    <t>CUST_00015</t>
  </si>
  <si>
    <t>CUST_00016</t>
  </si>
  <si>
    <t>CUST_00017</t>
  </si>
  <si>
    <t>CUST_00018</t>
  </si>
  <si>
    <t>CUST_00019</t>
  </si>
  <si>
    <t>CUST_00020</t>
  </si>
  <si>
    <t>CUST_00021</t>
  </si>
  <si>
    <t>CUST_00022</t>
  </si>
  <si>
    <t>CUST_00023</t>
  </si>
  <si>
    <t>CODE:1D6 SILVER</t>
  </si>
  <si>
    <t>CUST_00024</t>
  </si>
  <si>
    <t>CUST_00025</t>
  </si>
  <si>
    <t>CUST_00026</t>
  </si>
  <si>
    <t>CUST_00027</t>
  </si>
  <si>
    <t>CUST_00028</t>
  </si>
  <si>
    <t>CYSTAL</t>
  </si>
  <si>
    <t>CUST_00029</t>
  </si>
  <si>
    <t>CUST_00030</t>
  </si>
  <si>
    <t>CUST_00031</t>
  </si>
  <si>
    <t>CUST_00032</t>
  </si>
  <si>
    <t>CUST_00033</t>
  </si>
  <si>
    <t>CUST_00034</t>
  </si>
  <si>
    <t>CUST_00035</t>
  </si>
  <si>
    <t>CUST_00036</t>
  </si>
  <si>
    <t>Alkuino Bldg, Sayre Highway, Poblacion, Valencia City</t>
  </si>
  <si>
    <t>DAILY SALES REPORT</t>
  </si>
  <si>
    <t>CUST_00037</t>
  </si>
  <si>
    <t>CUST_00038</t>
  </si>
  <si>
    <t>CUST_00039</t>
  </si>
  <si>
    <t>SALES</t>
  </si>
  <si>
    <t>CUST_00040</t>
  </si>
  <si>
    <t>INV. NO</t>
  </si>
  <si>
    <t>PARTICULAR</t>
  </si>
  <si>
    <t>CASH SALES:</t>
  </si>
  <si>
    <t>PETTY CASH</t>
  </si>
  <si>
    <t>CUST_00041</t>
  </si>
  <si>
    <t>CUST_00042</t>
  </si>
  <si>
    <t>CUST_00043</t>
  </si>
  <si>
    <t>CASH SALES - NO RECEIPT:</t>
  </si>
  <si>
    <t>DISTRIBUTION EXP.</t>
  </si>
  <si>
    <t>CUST_00044</t>
  </si>
  <si>
    <t>CUST_00045</t>
  </si>
  <si>
    <t>SI-001382</t>
  </si>
  <si>
    <t>JUNALOU</t>
  </si>
  <si>
    <t>CUST_00046</t>
  </si>
  <si>
    <t>CHARGE SALES:</t>
  </si>
  <si>
    <t>CUST_00047</t>
  </si>
  <si>
    <t>DELIVERY RECEIPT SALES:</t>
  </si>
  <si>
    <t>CUST_00048</t>
  </si>
  <si>
    <t>GCASH PAYMENT:</t>
  </si>
  <si>
    <t>CUST_00049</t>
  </si>
  <si>
    <t>CASH SALES W/RECEIPT:</t>
  </si>
  <si>
    <t>CUST_00050</t>
  </si>
  <si>
    <t>CASH SALES NO RECEIPT:</t>
  </si>
  <si>
    <t>CUST_00051</t>
  </si>
  <si>
    <t>DELIVERY SALES RECEIPT:</t>
  </si>
  <si>
    <t>OVERALL TOTAL SALES:</t>
  </si>
  <si>
    <t>CUST_00052</t>
  </si>
  <si>
    <t>PETTY CASH ONHAND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</si>
  <si>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</si>
  <si>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PREPARED BY: REZEL C. BAHIAN</t>
  </si>
  <si>
    <t>CUST_00053</t>
  </si>
  <si>
    <t>CUST_00054</t>
  </si>
  <si>
    <t>CUST_00055</t>
  </si>
  <si>
    <t>CUST_00056</t>
  </si>
  <si>
    <t>CUST_00057</t>
  </si>
  <si>
    <t>CUST_00058</t>
  </si>
  <si>
    <t>CUST_00059</t>
  </si>
  <si>
    <t>CUST_00060</t>
  </si>
  <si>
    <t>CUST_00061</t>
  </si>
  <si>
    <t>CODE:C17</t>
  </si>
  <si>
    <t>CUST_00062</t>
  </si>
  <si>
    <t>BALINGIT</t>
  </si>
  <si>
    <t>CUST_00063</t>
  </si>
  <si>
    <t>CUST_00064</t>
  </si>
  <si>
    <t>Valencia City, Bukidnon</t>
  </si>
  <si>
    <t>60 DAYS</t>
  </si>
  <si>
    <t>CUST_00065</t>
  </si>
  <si>
    <t>CUST_00066</t>
  </si>
  <si>
    <t>CUST_00067</t>
  </si>
  <si>
    <t>CUST_00068</t>
  </si>
  <si>
    <t>CUST_00069</t>
  </si>
  <si>
    <t>CUST_00071</t>
  </si>
  <si>
    <t>CUST_00072</t>
  </si>
  <si>
    <t>CUST_00073</t>
  </si>
  <si>
    <t>FMS CONSUMER GOODS TRADING</t>
  </si>
  <si>
    <t>CUST_00074</t>
  </si>
  <si>
    <t>SUSAN</t>
  </si>
  <si>
    <t>CUST_00075</t>
  </si>
  <si>
    <t>MJR</t>
  </si>
  <si>
    <t>CUST_00076</t>
  </si>
  <si>
    <t>ARJJ CONSTRUCTION SERVICES</t>
  </si>
  <si>
    <t>CUST_00077</t>
  </si>
  <si>
    <t>LEVA SUITES</t>
  </si>
  <si>
    <t>CUST_00078</t>
  </si>
  <si>
    <t>RENJA</t>
  </si>
  <si>
    <t>CUST_001379</t>
  </si>
  <si>
    <t>DOLETIN</t>
  </si>
  <si>
    <t>CUST_001380</t>
  </si>
  <si>
    <t>SAMY</t>
  </si>
  <si>
    <t>CUST_001381</t>
  </si>
  <si>
    <t>JESSIE</t>
  </si>
  <si>
    <t>CUST_001382</t>
  </si>
  <si>
    <t>PASCUAL</t>
  </si>
  <si>
    <t>CUST_001383</t>
  </si>
  <si>
    <t>GELAGA</t>
  </si>
  <si>
    <t>CUST_001384</t>
  </si>
  <si>
    <t>GHRC</t>
  </si>
  <si>
    <t>CUST_001385</t>
  </si>
  <si>
    <t>ENTERINA</t>
  </si>
  <si>
    <t>CUST_001386</t>
  </si>
  <si>
    <t>LASPONA</t>
  </si>
  <si>
    <t>CUST_001387</t>
  </si>
  <si>
    <t>EBANIZ</t>
  </si>
  <si>
    <t>CUST-001387</t>
  </si>
  <si>
    <t>JOEL</t>
  </si>
  <si>
    <t>CUST-001417</t>
  </si>
  <si>
    <t>RJR</t>
  </si>
  <si>
    <t>CUST-001418</t>
  </si>
  <si>
    <t>RAVENA</t>
  </si>
  <si>
    <t>CUST-001419</t>
  </si>
  <si>
    <t>BUDOY</t>
  </si>
  <si>
    <t>CUST_001420</t>
  </si>
  <si>
    <t>HERNAN</t>
  </si>
  <si>
    <t>CUST_001421</t>
  </si>
  <si>
    <t xml:space="preserve">JOHN </t>
  </si>
  <si>
    <t>CUST_001422</t>
  </si>
  <si>
    <t>MARK</t>
  </si>
  <si>
    <t>CUST_001423</t>
  </si>
  <si>
    <t>CMM</t>
  </si>
  <si>
    <t>CUST_001424</t>
  </si>
  <si>
    <t xml:space="preserve">NOLI </t>
  </si>
  <si>
    <t>ABAD</t>
  </si>
  <si>
    <t>CALSIDA</t>
  </si>
  <si>
    <t>WEFIX</t>
  </si>
  <si>
    <t>OLIVER</t>
  </si>
  <si>
    <t>BONG AUTO SHOP</t>
  </si>
  <si>
    <t>TPK TRUCKING SERVICES</t>
  </si>
  <si>
    <t>SI-001451</t>
  </si>
  <si>
    <t>JERRY</t>
  </si>
  <si>
    <t>SI-001452</t>
  </si>
  <si>
    <t>MARFIL BUILDER'S INC.</t>
  </si>
  <si>
    <t>SI-001454</t>
  </si>
  <si>
    <t>JOEMAR</t>
  </si>
  <si>
    <t>SI-001455</t>
  </si>
  <si>
    <t>3 EAGM</t>
  </si>
  <si>
    <t>SI-001457</t>
  </si>
  <si>
    <t>LAC</t>
  </si>
  <si>
    <t>SI-001459</t>
  </si>
  <si>
    <t>D KURYENTE</t>
  </si>
  <si>
    <t>SI-001463</t>
  </si>
  <si>
    <t>RRP</t>
  </si>
  <si>
    <t>TOTAL AMOUNT DUE</t>
  </si>
  <si>
    <t>SI-001468</t>
  </si>
  <si>
    <t>NENETH</t>
  </si>
  <si>
    <t>PAYMENT STATUS</t>
  </si>
  <si>
    <t>AMOUNT COLLECTED</t>
  </si>
  <si>
    <t>REMAINING BALANCE</t>
  </si>
  <si>
    <t>DATE COLLECTED</t>
  </si>
  <si>
    <t>SI-001474</t>
  </si>
  <si>
    <t>REMARKS / PAYMENT DETAILS</t>
  </si>
  <si>
    <t>MERIAM CONSTRUCTION</t>
  </si>
  <si>
    <t>SI-001477</t>
  </si>
  <si>
    <t>ALDEGUER</t>
  </si>
  <si>
    <t>SI-001478</t>
  </si>
  <si>
    <t>KEVIN</t>
  </si>
  <si>
    <t>SI-001479</t>
  </si>
  <si>
    <t>VINCENT</t>
  </si>
  <si>
    <t>BPI-1000409495 8/6/2026</t>
  </si>
  <si>
    <t>BPI-1000409720 4/8/2026</t>
  </si>
  <si>
    <t>CODE: 1E7 SILVER</t>
  </si>
  <si>
    <t>CSI-004090</t>
  </si>
  <si>
    <t>CSI-004091</t>
  </si>
  <si>
    <t>BANK</t>
  </si>
  <si>
    <t>CHECK NO.</t>
  </si>
  <si>
    <t>CHECK DATE</t>
  </si>
  <si>
    <t>CHECK AMOUNT</t>
  </si>
  <si>
    <t>CHECK STATUS</t>
  </si>
  <si>
    <t>DATE POSTED</t>
  </si>
  <si>
    <t>BPI</t>
  </si>
  <si>
    <t>CLEARED</t>
  </si>
  <si>
    <t>CODE;IM GREY</t>
  </si>
  <si>
    <t>CODE:COLOR RED</t>
  </si>
  <si>
    <t>CSI-000373</t>
  </si>
  <si>
    <t>CODE:089 PEARL</t>
  </si>
  <si>
    <t>CODE:089 WHITE</t>
  </si>
  <si>
    <t>CSI-000374</t>
  </si>
  <si>
    <t>CSI-000375</t>
  </si>
  <si>
    <t>CODE: 6W GREEN</t>
  </si>
  <si>
    <t>CSI-000376</t>
  </si>
  <si>
    <t>CSI-000377</t>
  </si>
  <si>
    <t>CSI-000378</t>
  </si>
  <si>
    <t>CODE:4TB BROONZE</t>
  </si>
  <si>
    <t>CSI-004106</t>
  </si>
  <si>
    <t>CSI-000379</t>
  </si>
  <si>
    <t>CSI-000380</t>
  </si>
  <si>
    <t>CODE:U28 GREY</t>
  </si>
  <si>
    <t>W/ PDC CHECK</t>
  </si>
  <si>
    <t>CSI-000381</t>
  </si>
  <si>
    <t>CODE:P19</t>
  </si>
  <si>
    <t>CSI-000382</t>
  </si>
  <si>
    <t>CODE:3T6 RED</t>
  </si>
  <si>
    <t>CSI-000383</t>
  </si>
  <si>
    <t>CSI-000384</t>
  </si>
  <si>
    <t>CSI-000385</t>
  </si>
  <si>
    <t>CODE:R59 RED</t>
  </si>
  <si>
    <t>CSI-000386</t>
  </si>
  <si>
    <t>CODE: Z2S SILVER</t>
  </si>
  <si>
    <t>CSI-000387</t>
  </si>
  <si>
    <t>COLOR:GRAY</t>
  </si>
  <si>
    <t>CSI-000388</t>
  </si>
  <si>
    <t>CODE:W81 WHITE</t>
  </si>
  <si>
    <t>CODE:W81 PEARL</t>
  </si>
  <si>
    <t>CODE:C31 GRAY</t>
  </si>
  <si>
    <t>CODE:X37 BLACK</t>
  </si>
  <si>
    <t>CSI-000389</t>
  </si>
  <si>
    <t>CSI-000390</t>
  </si>
  <si>
    <t>CODE:U28 GRAY</t>
  </si>
  <si>
    <t>CSI-000391</t>
  </si>
  <si>
    <t>CODE:6W4 GRAY</t>
  </si>
  <si>
    <t>CSI-000392</t>
  </si>
  <si>
    <t>SI-001367</t>
  </si>
  <si>
    <t>INV_07/27/2026</t>
  </si>
  <si>
    <t>SI-001368</t>
  </si>
  <si>
    <t>SI-001369</t>
  </si>
  <si>
    <t>CSI-004115</t>
  </si>
  <si>
    <t>CODE:QM1 WHITE</t>
  </si>
  <si>
    <t>SI-001370</t>
  </si>
  <si>
    <t>SI-001371</t>
  </si>
  <si>
    <t>SI-001372</t>
  </si>
  <si>
    <t>SI-001373</t>
  </si>
  <si>
    <t>CS-004114</t>
  </si>
  <si>
    <t>CSI-004114</t>
  </si>
  <si>
    <t>SI-001374</t>
  </si>
  <si>
    <t>SI-001375</t>
  </si>
  <si>
    <t>SI-001376</t>
  </si>
  <si>
    <t>SI-001377</t>
  </si>
  <si>
    <t>SI-001383</t>
  </si>
  <si>
    <t>CSI-004118</t>
  </si>
  <si>
    <t>CSI-004120</t>
  </si>
  <si>
    <t>SI-03671</t>
  </si>
  <si>
    <t>CSI-004125</t>
  </si>
  <si>
    <t>SI-03672</t>
  </si>
  <si>
    <t>SI-03674</t>
  </si>
  <si>
    <t>SI-03675</t>
  </si>
  <si>
    <t>CODE:W85 WHITE</t>
  </si>
  <si>
    <t>SI-03677</t>
  </si>
  <si>
    <t xml:space="preserve">CODE:U17 </t>
  </si>
  <si>
    <t>CODE:CO6</t>
  </si>
  <si>
    <t>CODE:4W9</t>
  </si>
  <si>
    <t>SI-03685</t>
  </si>
  <si>
    <t>SI-03688</t>
  </si>
  <si>
    <t>SI-03690</t>
  </si>
  <si>
    <t>CODE:W85</t>
  </si>
  <si>
    <t>SI-03692</t>
  </si>
  <si>
    <t>SI-03696</t>
  </si>
  <si>
    <t>CODE:G3 GREY</t>
  </si>
  <si>
    <t>SI-03699</t>
  </si>
  <si>
    <t>SI-004052</t>
  </si>
  <si>
    <t>SI-004057</t>
  </si>
  <si>
    <t>SI-004059</t>
  </si>
  <si>
    <t>CODE:W85 PEARL</t>
  </si>
  <si>
    <t>SI-004062</t>
  </si>
  <si>
    <t>SI-004064</t>
  </si>
  <si>
    <t>SI-004066</t>
  </si>
  <si>
    <t>CODE;X37</t>
  </si>
  <si>
    <t>CODE:1E7 SILVER</t>
  </si>
  <si>
    <t>CSI-004066</t>
  </si>
  <si>
    <t>SI-004069</t>
  </si>
  <si>
    <t>SI-004070</t>
  </si>
  <si>
    <t>SI-004071</t>
  </si>
  <si>
    <t>SI-004073</t>
  </si>
  <si>
    <t>SI-001384</t>
  </si>
  <si>
    <t>CODE:554 BLUE</t>
  </si>
  <si>
    <t>CODE: 218 BLACK</t>
  </si>
  <si>
    <t>CODE:WAH RED</t>
  </si>
  <si>
    <t>SI-001386</t>
  </si>
  <si>
    <t>CSI-004076</t>
  </si>
  <si>
    <t>CODE:U17 GRAY</t>
  </si>
  <si>
    <t>CODE:8X2 BLUE</t>
  </si>
  <si>
    <t>CODE:ZLL</t>
  </si>
  <si>
    <t>SI-001385</t>
  </si>
  <si>
    <t>RETURN/CREDIT MEMO</t>
  </si>
  <si>
    <t>CSI-000393</t>
  </si>
  <si>
    <t>CSI-000394</t>
  </si>
  <si>
    <t>CODE:X3N PEARL</t>
  </si>
  <si>
    <t>CODE:X3N WHITE</t>
  </si>
  <si>
    <t>CSI-000395</t>
  </si>
  <si>
    <t>CODE:W19 WHITE</t>
  </si>
  <si>
    <t>CSI-000396</t>
  </si>
  <si>
    <t>CSI-000398</t>
  </si>
  <si>
    <t>CODE:3EO RED</t>
  </si>
  <si>
    <t>CSI-000399</t>
  </si>
  <si>
    <t>CSI-000400</t>
  </si>
  <si>
    <t>CSI-004081</t>
  </si>
  <si>
    <t>CSI-004082</t>
  </si>
  <si>
    <t>PLATONE QDE BLACK</t>
  </si>
  <si>
    <t>SI-001387</t>
  </si>
  <si>
    <t>SI-001388</t>
  </si>
  <si>
    <t>EXTREME RED</t>
  </si>
  <si>
    <t>SI-001389</t>
  </si>
  <si>
    <t>CODE: QML WHITE</t>
  </si>
  <si>
    <t>SI-001390</t>
  </si>
  <si>
    <t>CODE: A6C COOL WHITE</t>
  </si>
  <si>
    <t>SI-001391</t>
  </si>
  <si>
    <t xml:space="preserve">CODE:U33 </t>
  </si>
  <si>
    <t>CODE:3Q3 RED</t>
  </si>
  <si>
    <t>SI-001392</t>
  </si>
  <si>
    <t>SI-001393</t>
  </si>
  <si>
    <t>CODE:1G3 GREY</t>
  </si>
  <si>
    <t>CODE:070 WHITE</t>
  </si>
  <si>
    <t>CODE:070 PEARL</t>
  </si>
  <si>
    <t>SI-001394</t>
  </si>
  <si>
    <t>SI-001395</t>
  </si>
  <si>
    <t>SI-001396</t>
  </si>
  <si>
    <t>CODE:FLQ ORANGE</t>
  </si>
  <si>
    <t>SI-001397</t>
  </si>
  <si>
    <t>CSI-000410</t>
  </si>
  <si>
    <t>CODE:56P ORANGE</t>
  </si>
  <si>
    <t>CSI-000411</t>
  </si>
  <si>
    <t>SI-001398</t>
  </si>
  <si>
    <t>SI-001399</t>
  </si>
  <si>
    <t>CODE:595 ORANGE</t>
  </si>
  <si>
    <t>SI-001400</t>
  </si>
  <si>
    <t>OFF WHITE</t>
  </si>
  <si>
    <t>SI-001401</t>
  </si>
  <si>
    <t>SI-001402</t>
  </si>
  <si>
    <t>CODE:1D6 GRAY</t>
  </si>
  <si>
    <t>CSI-004093</t>
  </si>
  <si>
    <t>SI-001403</t>
  </si>
  <si>
    <t>SI-001404</t>
  </si>
  <si>
    <t>CSI-004095</t>
  </si>
  <si>
    <t>SI-001405</t>
  </si>
  <si>
    <t>SI-001406</t>
  </si>
  <si>
    <t>SI-001407</t>
  </si>
  <si>
    <t>CODE:393</t>
  </si>
  <si>
    <t>SI-001408</t>
  </si>
  <si>
    <t>SI-001409</t>
  </si>
  <si>
    <t>SI-001410</t>
  </si>
  <si>
    <t>CSI-000412</t>
  </si>
  <si>
    <t>CSI-000413</t>
  </si>
  <si>
    <t>CSI-000414</t>
  </si>
  <si>
    <t>CODE:KBY GRAY</t>
  </si>
  <si>
    <t>SI-001411</t>
  </si>
  <si>
    <t>SI-001412</t>
  </si>
  <si>
    <t>CSI-04098</t>
  </si>
  <si>
    <t>NAX WHITE</t>
  </si>
  <si>
    <t>PG FLAT BLACK</t>
  </si>
  <si>
    <t>SI-001416</t>
  </si>
  <si>
    <t>SI-001413</t>
  </si>
  <si>
    <t>SI-001414</t>
  </si>
  <si>
    <t>CSI-000415</t>
  </si>
  <si>
    <t>CODE YFP OEANGE</t>
  </si>
  <si>
    <t>SI-001417</t>
  </si>
  <si>
    <t>ACRYLIC NP, POLYGLOSS 4L</t>
  </si>
  <si>
    <t>SI-001418</t>
  </si>
  <si>
    <t>RED MICA</t>
  </si>
  <si>
    <t>CODE: P19RED</t>
  </si>
  <si>
    <t>SI-001419</t>
  </si>
  <si>
    <t>531 PEARL</t>
  </si>
  <si>
    <t>CSI-000416</t>
  </si>
  <si>
    <t>SI-001420</t>
  </si>
  <si>
    <t>CSI-004102</t>
  </si>
  <si>
    <t>SI-001421</t>
  </si>
  <si>
    <t>SI-001422</t>
  </si>
  <si>
    <t>SI-001423</t>
  </si>
  <si>
    <t>CSI-004103</t>
  </si>
  <si>
    <t>CODE:KYB GRAY</t>
  </si>
  <si>
    <t>SI-001442</t>
  </si>
  <si>
    <t>SI-001425</t>
  </si>
  <si>
    <t>SI-001426</t>
  </si>
  <si>
    <t>SI-001427</t>
  </si>
  <si>
    <t>SI-001428</t>
  </si>
  <si>
    <t>CSI-000418</t>
  </si>
  <si>
    <t>CODE:3RO RED</t>
  </si>
  <si>
    <t>CSI-000419</t>
  </si>
  <si>
    <t>CODE: W85 PEARL</t>
  </si>
  <si>
    <t>CODE:U-33 SILVER</t>
  </si>
  <si>
    <t>SI-001429</t>
  </si>
  <si>
    <t>CODE:040 WHITE</t>
  </si>
  <si>
    <t>CODE:U33</t>
  </si>
  <si>
    <t>SI-001430</t>
  </si>
  <si>
    <t>CODE:1D6</t>
  </si>
  <si>
    <t>SI-001431</t>
  </si>
  <si>
    <t>SI-001432</t>
  </si>
  <si>
    <t>CODE:4R8</t>
  </si>
  <si>
    <t>SI-001433</t>
  </si>
  <si>
    <t>CODE:211 BLACK MICA</t>
  </si>
  <si>
    <t>CSI-000420</t>
  </si>
  <si>
    <t xml:space="preserve">CODE:GAT METALIC </t>
  </si>
  <si>
    <t>CSI-000421</t>
  </si>
  <si>
    <t>CSI-000422</t>
  </si>
  <si>
    <t>CODE:Z7Q</t>
  </si>
  <si>
    <t>CSI-000423</t>
  </si>
  <si>
    <t>SI-001434</t>
  </si>
  <si>
    <t>SI-001435</t>
  </si>
  <si>
    <t>CSI-004108</t>
  </si>
  <si>
    <t>CODE:425 BROONZE</t>
  </si>
  <si>
    <t>SI-001437</t>
  </si>
  <si>
    <t>SI-001438</t>
  </si>
  <si>
    <t>SI-001439</t>
  </si>
  <si>
    <t>SI-001440</t>
  </si>
  <si>
    <t>SI-001436</t>
  </si>
  <si>
    <t>SI-001441</t>
  </si>
  <si>
    <t>SI-001443</t>
  </si>
  <si>
    <t>SI-001444</t>
  </si>
  <si>
    <t>CSI-000424</t>
  </si>
  <si>
    <t>CODE: A66 SILVER</t>
  </si>
  <si>
    <t>CODE: U33 GRAY</t>
  </si>
  <si>
    <t>CODE:U28</t>
  </si>
  <si>
    <t>CSI-000425</t>
  </si>
  <si>
    <t>CSI-000426</t>
  </si>
  <si>
    <t>SI-001445</t>
  </si>
  <si>
    <t>SI-001446</t>
  </si>
  <si>
    <t>WHITE</t>
  </si>
  <si>
    <t>CODE:1G3</t>
  </si>
  <si>
    <t>SI-001447</t>
  </si>
  <si>
    <t>SI-001448</t>
  </si>
  <si>
    <t>COLOR OFF WHITE</t>
  </si>
  <si>
    <t>SI-001449</t>
  </si>
  <si>
    <t>CODE:P17</t>
  </si>
  <si>
    <t>CSI-000427</t>
  </si>
  <si>
    <t>COLOR :GRAY</t>
  </si>
  <si>
    <t>SI-001450</t>
  </si>
  <si>
    <t>ROS GREEN</t>
  </si>
  <si>
    <t>CSI-004117</t>
  </si>
  <si>
    <t>CODE-U25</t>
  </si>
  <si>
    <t>NP BEIGE</t>
  </si>
  <si>
    <t>CODE-X37</t>
  </si>
  <si>
    <t>SI-001453</t>
  </si>
  <si>
    <t>ZQZ WHITE</t>
  </si>
  <si>
    <t>ZQZ PEARL</t>
  </si>
  <si>
    <t>S28 SILVER</t>
  </si>
  <si>
    <t>202 - BLACK</t>
  </si>
  <si>
    <t>CSI-000428</t>
  </si>
  <si>
    <t>CSI-000429</t>
  </si>
  <si>
    <t>3R3 - RED</t>
  </si>
  <si>
    <t>SI-001456</t>
  </si>
  <si>
    <t>BEIGE</t>
  </si>
  <si>
    <t>MAROON</t>
  </si>
  <si>
    <t>CSI-004119</t>
  </si>
  <si>
    <t>1G3 GRAY</t>
  </si>
  <si>
    <t>P63 RED</t>
  </si>
  <si>
    <t>LIGHT BLUE</t>
  </si>
  <si>
    <t>SI-004121</t>
  </si>
  <si>
    <t>SI-004122</t>
  </si>
  <si>
    <t>CSI-000430</t>
  </si>
  <si>
    <t>P26 RED</t>
  </si>
  <si>
    <t>X3M ORAANGE</t>
  </si>
  <si>
    <t>SI-001458</t>
  </si>
  <si>
    <t>BLACK</t>
  </si>
  <si>
    <t>SI-001460</t>
  </si>
  <si>
    <t>GREY</t>
  </si>
  <si>
    <t>SI-004124</t>
  </si>
  <si>
    <t>MET. GOLD</t>
  </si>
  <si>
    <t>MET. BLUE</t>
  </si>
  <si>
    <t>MET. GREEN</t>
  </si>
  <si>
    <t>SI-001461</t>
  </si>
  <si>
    <t>SI-001462</t>
  </si>
  <si>
    <t>ZTT BLACK</t>
  </si>
  <si>
    <t>SI-004126</t>
  </si>
  <si>
    <t>CSI-000431</t>
  </si>
  <si>
    <t>CSI-000432</t>
  </si>
  <si>
    <t>SI-001464</t>
  </si>
  <si>
    <t>A66 SILVER</t>
  </si>
  <si>
    <t>SI-001465</t>
  </si>
  <si>
    <t>GREEN</t>
  </si>
  <si>
    <t>058 WHITE</t>
  </si>
  <si>
    <t>SI-001466</t>
  </si>
  <si>
    <t>CSI-000433</t>
  </si>
  <si>
    <t>YELLOW GREEN</t>
  </si>
  <si>
    <t>SI-004127</t>
  </si>
  <si>
    <t>CAQ EEART BROWN</t>
  </si>
  <si>
    <t>ZCE BLACK</t>
  </si>
  <si>
    <t>SI-001467</t>
  </si>
  <si>
    <t>SI-001469</t>
  </si>
  <si>
    <t>MATTE BLACK</t>
  </si>
  <si>
    <t>SI-001470</t>
  </si>
  <si>
    <t>SI-001471</t>
  </si>
  <si>
    <t>1G3 SILVER</t>
  </si>
  <si>
    <t>MAGENTA</t>
  </si>
  <si>
    <t>SI-001472</t>
  </si>
  <si>
    <t>SI-001473</t>
  </si>
  <si>
    <t>CSI-000434</t>
  </si>
  <si>
    <t>PEARL WHITE</t>
  </si>
  <si>
    <t>MATT BLACK</t>
  </si>
  <si>
    <t>CSI-000435</t>
  </si>
  <si>
    <t>CSI-000436</t>
  </si>
  <si>
    <t>CSI-000437</t>
  </si>
  <si>
    <t>DARK GREY</t>
  </si>
  <si>
    <t>SI-001475</t>
  </si>
  <si>
    <t>ORANGE</t>
  </si>
  <si>
    <t>CSI-000438</t>
  </si>
  <si>
    <t>8V5 GRAYISH BLUE</t>
  </si>
  <si>
    <t>METEOR GRAY</t>
  </si>
  <si>
    <t>SI-001476</t>
  </si>
  <si>
    <t>CSI-000439</t>
  </si>
  <si>
    <t>BLUE</t>
  </si>
  <si>
    <t>RED</t>
  </si>
  <si>
    <t>SI-004128</t>
  </si>
  <si>
    <t>SI-001480</t>
  </si>
  <si>
    <t>CSI-000440</t>
  </si>
  <si>
    <t>CODE:XJX</t>
  </si>
  <si>
    <t>CSI-000441</t>
  </si>
  <si>
    <t>CSI-000442</t>
  </si>
  <si>
    <t>CSI-000443</t>
  </si>
  <si>
    <t>DARK GRAY</t>
  </si>
  <si>
    <t>GRAY</t>
  </si>
  <si>
    <t>CSI-000444</t>
  </si>
  <si>
    <t>SILVER</t>
  </si>
  <si>
    <t>SI-001481</t>
  </si>
  <si>
    <t>SI-001482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</si>
</sst>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[$₱]#,##0.00"/>
    <numFmt numFmtId="166" formatCode="d&quot;-&quot;mmm&quot;-&quot;yyyy"/>
    <numFmt numFmtId="167" formatCode="#,##0.00;(#,##0.00)"/>
    <numFmt numFmtId="168" formatCode="d/m/yy"/>
  </numFmts>
  <fonts count="4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Georgia"/>
    </font>
    <font>
      <b/>
      <sz val="25.0"/>
      <color theme="1"/>
      <name val="Georgia"/>
    </font>
    <font/>
    <font>
      <b/>
      <color theme="1"/>
      <name val="Arial"/>
      <scheme val="minor"/>
    </font>
    <font>
      <b/>
      <sz val="22.0"/>
      <color rgb="FF000000"/>
      <name val="Georgia"/>
    </font>
    <font>
      <b/>
      <color theme="0"/>
      <name val="Georgia"/>
    </font>
    <font>
      <b/>
      <color rgb="FFF6F8F9"/>
      <name val="Georgia"/>
    </font>
    <font>
      <b/>
      <sz val="20.0"/>
      <color rgb="FF274E13"/>
      <name val="Comic Sans MS"/>
    </font>
    <font>
      <sz val="10.0"/>
      <color rgb="FF000000"/>
      <name val="&quot;Segoe UI Historic&quot;"/>
    </font>
    <font>
      <color theme="0"/>
      <name val="Arial"/>
      <scheme val="minor"/>
    </font>
    <font>
      <color rgb="FFFFFFFF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rgb="FF000000"/>
      <name val="Georgia"/>
    </font>
    <font>
      <b/>
      <sz val="16.0"/>
      <color theme="1"/>
      <name val="Georgia"/>
    </font>
    <font>
      <sz val="12.0"/>
      <color theme="1"/>
      <name val="Georgia"/>
    </font>
    <font>
      <b/>
      <sz val="14.0"/>
      <color theme="1"/>
      <name val="Georgia"/>
    </font>
    <font>
      <b/>
      <sz val="11.0"/>
      <color theme="1"/>
      <name val="Georgia"/>
    </font>
    <font>
      <b/>
      <sz val="12.0"/>
      <color theme="1"/>
      <name val="Georgia"/>
    </font>
    <font>
      <sz val="9.0"/>
      <color theme="1"/>
      <name val="Arial"/>
      <scheme val="minor"/>
    </font>
    <font>
      <sz val="11.0"/>
      <color theme="1"/>
      <name val="Georgia"/>
    </font>
    <font>
      <sz val="11.0"/>
      <color theme="1"/>
      <name val="Arial"/>
      <scheme val="minor"/>
    </font>
    <font>
      <sz val="10.0"/>
      <color theme="1"/>
      <name val="Georgia"/>
    </font>
    <font>
      <b/>
      <sz val="10.0"/>
      <color theme="1"/>
      <name val="Georgia"/>
    </font>
    <font>
      <b/>
      <sz val="10.0"/>
      <color theme="1"/>
      <name val="Comic Sans MS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000000"/>
      <name val="&quot;Segoe UI Historic&quot;"/>
    </font>
    <font>
      <b/>
      <sz val="9.0"/>
      <color theme="1"/>
      <name val="Georgia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</font>
    <font>
      <b/>
      <sz val="12.0"/>
      <color theme="1"/>
      <name val="Arial"/>
    </font>
    <font>
      <b/>
      <sz val="13.0"/>
      <color theme="1"/>
      <name val="Comic Sans MS"/>
    </font>
    <font>
      <sz val="8.0"/>
      <color theme="1"/>
      <name val="Arial"/>
      <scheme val="minor"/>
    </font>
    <font>
      <b/>
      <sz val="11.0"/>
      <color theme="1"/>
      <name val="Comic Sans MS"/>
    </font>
    <font>
      <b/>
      <sz val="12.0"/>
      <color theme="1"/>
      <name val="Courier New"/>
    </font>
    <font>
      <b/>
      <sz val="11.0"/>
      <color theme="1"/>
      <name val="Arial"/>
      <scheme val="minor"/>
    </font>
    <font>
      <sz val="11.0"/>
      <color rgb="FF000000"/>
      <name val="&quot;Segoe UI Historic&quot;"/>
    </font>
    <font>
      <sz val="12.0"/>
      <color rgb="FF000000"/>
      <name val="Arial"/>
    </font>
    <font>
      <b/>
      <sz val="20.0"/>
      <color theme="1"/>
      <name val="Arial"/>
      <scheme val="minor"/>
    </font>
    <font>
      <sz val="11.0"/>
      <color rgb="FFFFFFFF"/>
      <name val="&quot;Segoe UI Historic&quot;"/>
    </font>
    <font>
      <b/>
      <sz val="14.0"/>
      <color theme="1"/>
      <name val="Arial"/>
      <scheme val="minor"/>
    </font>
    <font>
      <b/>
      <sz val="12.0"/>
      <color theme="1"/>
      <name val="Comic Sans MS"/>
    </font>
    <font>
      <sz val="10.0"/>
      <color rgb="FF000000"/>
      <name val="Arial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6F8F9"/>
        <bgColor rgb="FFF6F8F9"/>
      </patternFill>
    </fill>
  </fills>
  <borders count="1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2" fontId="5" numFmtId="0" xfId="0" applyAlignment="1" applyFont="1">
      <alignment horizontal="center"/>
    </xf>
    <xf borderId="0" fillId="2" fontId="6" numFmtId="0" xfId="0" applyAlignment="1" applyFont="1">
      <alignment horizontal="center" readingOrder="0"/>
    </xf>
    <xf borderId="4" fillId="0" fontId="2" numFmtId="164" xfId="0" applyAlignment="1" applyBorder="1" applyFont="1" applyNumberForma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4" fillId="0" fontId="2" numFmtId="165" xfId="0" applyAlignment="1" applyBorder="1" applyFont="1" applyNumberFormat="1">
      <alignment horizontal="center" readingOrder="0" shrinkToFit="0" vertical="center" wrapText="0"/>
    </xf>
    <xf borderId="4" fillId="4" fontId="2" numFmtId="0" xfId="0" applyAlignment="1" applyBorder="1" applyFill="1" applyFont="1">
      <alignment horizontal="center" readingOrder="0" shrinkToFit="0" vertical="center" wrapText="0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0"/>
    </xf>
    <xf borderId="4" fillId="4" fontId="8" numFmtId="0" xfId="0" applyAlignment="1" applyBorder="1" applyFont="1">
      <alignment horizontal="center" readingOrder="0" shrinkToFit="0" vertical="center" wrapText="0"/>
    </xf>
    <xf borderId="4" fillId="4" fontId="2" numFmtId="165" xfId="0" applyAlignment="1" applyBorder="1" applyFont="1" applyNumberFormat="1">
      <alignment horizontal="center" readingOrder="0" shrinkToFit="0" vertical="center" wrapText="0"/>
    </xf>
    <xf borderId="4" fillId="0" fontId="5" numFmtId="165" xfId="0" applyAlignment="1" applyBorder="1" applyFont="1" applyNumberFormat="1">
      <alignment horizontal="center" readingOrder="0" shrinkToFit="0" vertical="center" wrapText="0"/>
    </xf>
    <xf borderId="4" fillId="0" fontId="1" numFmtId="164" xfId="0" applyAlignment="1" applyBorder="1" applyFont="1" applyNumberFormat="1">
      <alignment horizontal="center" readingOrder="0" shrinkToFit="0" vertical="center" wrapText="0"/>
    </xf>
    <xf borderId="4" fillId="0" fontId="2" numFmtId="4" xfId="0" applyAlignment="1" applyBorder="1" applyFont="1" applyNumberForma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4" fillId="4" fontId="2" numFmtId="4" xfId="0" applyAlignment="1" applyBorder="1" applyFont="1" applyNumberFormat="1">
      <alignment horizontal="center" readingOrder="0" shrinkToFit="0" vertical="center" wrapText="0"/>
    </xf>
    <xf borderId="5" fillId="5" fontId="9" numFmtId="165" xfId="0" applyAlignment="1" applyBorder="1" applyFill="1" applyFont="1" applyNumberFormat="1">
      <alignment horizontal="center" vertical="center"/>
    </xf>
    <xf borderId="4" fillId="6" fontId="1" numFmtId="0" xfId="0" applyAlignment="1" applyBorder="1" applyFill="1" applyFont="1">
      <alignment horizontal="center" readingOrder="0" shrinkToFit="0" vertical="center" wrapText="0"/>
    </xf>
    <xf borderId="6" fillId="0" fontId="4" numFmtId="0" xfId="0" applyBorder="1" applyFont="1"/>
    <xf borderId="7" fillId="0" fontId="4" numFmtId="0" xfId="0" applyBorder="1" applyFont="1"/>
    <xf borderId="0" fillId="2" fontId="1" numFmtId="0" xfId="0" applyAlignment="1" applyFont="1">
      <alignment horizontal="center"/>
    </xf>
    <xf borderId="4" fillId="3" fontId="10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4" fillId="0" fontId="1" numFmtId="164" xfId="0" applyAlignment="1" applyBorder="1" applyFont="1" applyNumberFormat="1">
      <alignment horizontal="center" readingOrder="0" shrinkToFit="0" vertical="center" wrapText="0"/>
    </xf>
    <xf borderId="4" fillId="0" fontId="1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4" fillId="7" fontId="5" numFmtId="0" xfId="0" applyAlignment="1" applyBorder="1" applyFill="1" applyFont="1">
      <alignment horizontal="center" readingOrder="0" shrinkToFit="0" vertical="center" wrapText="0"/>
    </xf>
    <xf borderId="4" fillId="6" fontId="1" numFmtId="165" xfId="0" applyAlignment="1" applyBorder="1" applyFont="1" applyNumberFormat="1">
      <alignment horizontal="center" readingOrder="0" shrinkToFit="0" vertical="center" wrapText="0"/>
    </xf>
    <xf borderId="4" fillId="3" fontId="1" numFmtId="0" xfId="0" applyAlignment="1" applyBorder="1" applyFont="1">
      <alignment horizontal="center" shrinkToFit="0" vertical="center" wrapText="0"/>
    </xf>
    <xf borderId="4" fillId="0" fontId="1" numFmtId="165" xfId="0" applyAlignment="1" applyBorder="1" applyFont="1" applyNumberFormat="1">
      <alignment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4" fillId="6" fontId="1" numFmtId="0" xfId="0" applyAlignment="1" applyBorder="1" applyFont="1">
      <alignment horizontal="center" readingOrder="0" shrinkToFit="0" vertical="center" wrapText="0"/>
    </xf>
    <xf borderId="4" fillId="0" fontId="1" numFmtId="4" xfId="0" applyAlignment="1" applyBorder="1" applyFont="1" applyNumberFormat="1">
      <alignment horizontal="center" readingOrder="0" shrinkToFit="0" vertical="center" wrapText="0"/>
    </xf>
    <xf borderId="4" fillId="6" fontId="1" numFmtId="4" xfId="0" applyAlignment="1" applyBorder="1" applyFont="1" applyNumberFormat="1">
      <alignment horizontal="center" shrinkToFit="0" vertical="center" wrapText="0"/>
    </xf>
    <xf borderId="4" fillId="7" fontId="1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4" fillId="0" fontId="1" numFmtId="4" xfId="0" applyAlignment="1" applyBorder="1" applyFont="1" applyNumberFormat="1">
      <alignment horizontal="center" readingOrder="0" shrinkToFit="0" vertical="center" wrapText="0"/>
    </xf>
    <xf borderId="12" fillId="0" fontId="4" numFmtId="0" xfId="0" applyBorder="1" applyFont="1"/>
    <xf borderId="4" fillId="0" fontId="1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4" fillId="0" fontId="12" numFmtId="0" xfId="0" applyAlignment="1" applyBorder="1" applyFont="1">
      <alignment readingOrder="0" shrinkToFit="0" vertical="center" wrapText="0"/>
    </xf>
    <xf borderId="4" fillId="0" fontId="13" numFmtId="0" xfId="0" applyAlignment="1" applyBorder="1" applyFont="1">
      <alignment horizontal="center" readingOrder="0" shrinkToFit="0" vertical="center" wrapText="0"/>
    </xf>
    <xf borderId="4" fillId="0" fontId="5" numFmtId="165" xfId="0" applyAlignment="1" applyBorder="1" applyFont="1" applyNumberFormat="1">
      <alignment horizontal="center" shrinkToFit="0" vertical="center" wrapText="0"/>
    </xf>
    <xf borderId="4" fillId="0" fontId="14" numFmtId="164" xfId="0" applyAlignment="1" applyBorder="1" applyFont="1" applyNumberFormat="1">
      <alignment horizontal="center" readingOrder="0" shrinkToFit="0" vertical="center" wrapText="0"/>
    </xf>
    <xf borderId="4" fillId="0" fontId="14" numFmtId="0" xfId="0" applyAlignment="1" applyBorder="1" applyFont="1">
      <alignment horizontal="center" readingOrder="0" shrinkToFit="0" vertical="center" wrapText="0"/>
    </xf>
    <xf borderId="4" fillId="0" fontId="14" numFmtId="0" xfId="0" applyAlignment="1" applyBorder="1" applyFont="1">
      <alignment horizontal="center" readingOrder="0" shrinkToFit="0" vertical="center" wrapText="0"/>
    </xf>
    <xf borderId="4" fillId="7" fontId="14" numFmtId="0" xfId="0" applyAlignment="1" applyBorder="1" applyFont="1">
      <alignment horizontal="center" readingOrder="0" shrinkToFit="0" vertical="center" wrapText="0"/>
    </xf>
    <xf borderId="4" fillId="3" fontId="14" numFmtId="0" xfId="0" applyAlignment="1" applyBorder="1" applyFont="1">
      <alignment horizontal="center" shrinkToFit="0" vertical="center" wrapText="0"/>
    </xf>
    <xf borderId="4" fillId="0" fontId="15" numFmtId="0" xfId="0" applyAlignment="1" applyBorder="1" applyFont="1">
      <alignment readingOrder="0" shrinkToFit="0" vertical="center" wrapText="0"/>
    </xf>
    <xf borderId="4" fillId="0" fontId="14" numFmtId="0" xfId="0" applyAlignment="1" applyBorder="1" applyFont="1">
      <alignment horizontal="center" readingOrder="0" shrinkToFit="0" vertical="center" wrapText="0"/>
    </xf>
    <xf borderId="4" fillId="6" fontId="14" numFmtId="0" xfId="0" applyAlignment="1" applyBorder="1" applyFont="1">
      <alignment horizontal="center" readingOrder="0" shrinkToFit="0" vertical="center" wrapText="0"/>
    </xf>
    <xf borderId="4" fillId="0" fontId="14" numFmtId="4" xfId="0" applyAlignment="1" applyBorder="1" applyFont="1" applyNumberFormat="1">
      <alignment horizontal="center" readingOrder="0" shrinkToFit="0" vertical="center" wrapText="0"/>
    </xf>
    <xf borderId="4" fillId="6" fontId="14" numFmtId="4" xfId="0" applyAlignment="1" applyBorder="1" applyFont="1" applyNumberFormat="1">
      <alignment horizontal="center" shrinkToFit="0" vertical="center" wrapText="0"/>
    </xf>
    <xf borderId="4" fillId="3" fontId="10" numFmtId="0" xfId="0" applyAlignment="1" applyBorder="1" applyFont="1">
      <alignment horizontal="center" shrinkToFit="0" vertical="center" wrapText="0"/>
    </xf>
    <xf borderId="4" fillId="0" fontId="1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4" fillId="0" fontId="1" numFmtId="165" xfId="0" applyAlignment="1" applyBorder="1" applyFont="1" applyNumberFormat="1">
      <alignment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4" fillId="6" fontId="5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4" fillId="0" fontId="5" numFmtId="4" xfId="0" applyAlignment="1" applyBorder="1" applyFont="1" applyNumberFormat="1">
      <alignment horizontal="center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4" fillId="0" fontId="5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6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readingOrder="0"/>
    </xf>
    <xf borderId="0" fillId="0" fontId="5" numFmtId="0" xfId="0" applyFont="1"/>
    <xf borderId="4" fillId="0" fontId="2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1" numFmtId="0" xfId="0" applyBorder="1" applyFont="1"/>
    <xf borderId="4" fillId="0" fontId="1" numFmtId="2" xfId="0" applyAlignment="1" applyBorder="1" applyFont="1" applyNumberFormat="1">
      <alignment horizontal="center"/>
    </xf>
    <xf borderId="4" fillId="0" fontId="5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/>
    </xf>
    <xf borderId="13" fillId="0" fontId="19" numFmtId="0" xfId="0" applyAlignment="1" applyBorder="1" applyFont="1">
      <alignment horizontal="right" readingOrder="0"/>
    </xf>
    <xf borderId="14" fillId="0" fontId="4" numFmtId="0" xfId="0" applyBorder="1" applyFont="1"/>
    <xf borderId="4" fillId="0" fontId="20" numFmtId="165" xfId="0" applyBorder="1" applyFont="1" applyNumberFormat="1"/>
    <xf borderId="0" fillId="0" fontId="1" numFmtId="0" xfId="0" applyAlignment="1" applyFont="1">
      <alignment horizontal="center" readingOrder="0"/>
    </xf>
    <xf borderId="0" fillId="0" fontId="21" numFmtId="0" xfId="0" applyFont="1"/>
    <xf borderId="0" fillId="0" fontId="2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8" numFmtId="0" xfId="0" applyAlignment="1" applyFont="1">
      <alignment horizontal="center" readingOrder="0" vertical="bottom"/>
    </xf>
    <xf borderId="0" fillId="0" fontId="22" numFmtId="0" xfId="0" applyAlignment="1" applyFont="1">
      <alignment horizontal="center" readingOrder="0"/>
    </xf>
    <xf borderId="0" fillId="0" fontId="23" numFmtId="0" xfId="0" applyFont="1"/>
    <xf borderId="0" fillId="0" fontId="19" numFmtId="0" xfId="0" applyAlignment="1" applyFont="1">
      <alignment horizontal="center" readingOrder="0" vertical="center"/>
    </xf>
    <xf borderId="0" fillId="0" fontId="21" numFmtId="0" xfId="0" applyAlignment="1" applyFont="1">
      <alignment readingOrder="0" vertical="center"/>
    </xf>
    <xf borderId="0" fillId="0" fontId="24" numFmtId="0" xfId="0" applyAlignment="1" applyFont="1">
      <alignment horizontal="right" readingOrder="0" vertical="center"/>
    </xf>
    <xf borderId="0" fillId="0" fontId="25" numFmtId="0" xfId="0" applyAlignment="1" applyFont="1">
      <alignment readingOrder="0" vertical="center"/>
    </xf>
    <xf borderId="0" fillId="0" fontId="26" numFmtId="0" xfId="0" applyAlignment="1" applyFont="1">
      <alignment readingOrder="0" vertical="center"/>
    </xf>
    <xf borderId="0" fillId="0" fontId="27" numFmtId="0" xfId="0" applyAlignment="1" applyFont="1">
      <alignment horizontal="left" vertical="center"/>
    </xf>
    <xf borderId="0" fillId="0" fontId="28" numFmtId="0" xfId="0" applyFont="1"/>
    <xf borderId="0" fillId="0" fontId="21" numFmtId="0" xfId="0" applyAlignment="1" applyFont="1">
      <alignment readingOrder="0"/>
    </xf>
    <xf borderId="0" fillId="0" fontId="24" numFmtId="0" xfId="0" applyAlignment="1" applyFont="1">
      <alignment horizontal="right" readingOrder="0"/>
    </xf>
    <xf borderId="0" fillId="3" fontId="29" numFmtId="0" xfId="0" applyAlignment="1" applyFont="1">
      <alignment horizontal="left"/>
    </xf>
    <xf borderId="0" fillId="0" fontId="30" numFmtId="0" xfId="0" applyAlignment="1" applyFont="1">
      <alignment horizontal="center" readingOrder="0"/>
    </xf>
    <xf borderId="4" fillId="0" fontId="25" numFmtId="0" xfId="0" applyAlignment="1" applyBorder="1" applyFont="1">
      <alignment horizontal="center" readingOrder="0"/>
    </xf>
    <xf borderId="4" fillId="0" fontId="31" numFmtId="164" xfId="0" applyAlignment="1" applyBorder="1" applyFont="1" applyNumberFormat="1">
      <alignment horizontal="center"/>
    </xf>
    <xf borderId="0" fillId="0" fontId="2" numFmtId="0" xfId="0" applyAlignment="1" applyFont="1">
      <alignment horizontal="center" readingOrder="0" shrinkToFit="0" vertical="center" wrapText="0"/>
    </xf>
    <xf borderId="4" fillId="0" fontId="31" numFmtId="0" xfId="0" applyAlignment="1" applyBorder="1" applyFont="1">
      <alignment horizontal="center"/>
    </xf>
    <xf borderId="4" fillId="0" fontId="31" numFmtId="0" xfId="0" applyAlignment="1" applyBorder="1" applyFont="1">
      <alignment horizontal="center" readingOrder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4" fillId="0" fontId="31" numFmtId="165" xfId="0" applyAlignment="1" applyBorder="1" applyFont="1" applyNumberFormat="1">
      <alignment horizontal="center"/>
    </xf>
    <xf borderId="0" fillId="0" fontId="1" numFmtId="0" xfId="0" applyAlignment="1" applyFont="1">
      <alignment horizontal="center" shrinkToFit="0" vertical="center" wrapText="0"/>
    </xf>
    <xf borderId="0" fillId="0" fontId="31" numFmtId="0" xfId="0" applyAlignment="1" applyFont="1">
      <alignment horizontal="center" readingOrder="0"/>
    </xf>
    <xf borderId="0" fillId="0" fontId="32" numFmtId="0" xfId="0" applyAlignment="1" applyFont="1">
      <alignment horizontal="center" readingOrder="0"/>
    </xf>
    <xf borderId="4" fillId="0" fontId="31" numFmtId="165" xfId="0" applyAlignment="1" applyBorder="1" applyFont="1" applyNumberFormat="1">
      <alignment horizontal="center" readingOrder="0"/>
    </xf>
    <xf borderId="4" fillId="0" fontId="32" numFmtId="0" xfId="0" applyAlignment="1" applyBorder="1" applyFont="1">
      <alignment horizontal="center" readingOrder="0"/>
    </xf>
    <xf borderId="0" fillId="0" fontId="32" numFmtId="0" xfId="0" applyAlignment="1" applyFont="1">
      <alignment horizontal="right" readingOrder="0"/>
    </xf>
    <xf borderId="4" fillId="0" fontId="28" numFmtId="164" xfId="0" applyAlignment="1" applyBorder="1" applyFont="1" applyNumberFormat="1">
      <alignment horizontal="center"/>
    </xf>
    <xf borderId="4" fillId="0" fontId="28" numFmtId="0" xfId="0" applyAlignment="1" applyBorder="1" applyFont="1">
      <alignment horizontal="center"/>
    </xf>
    <xf borderId="15" fillId="0" fontId="25" numFmtId="0" xfId="0" applyAlignment="1" applyBorder="1" applyFont="1">
      <alignment horizontal="center" readingOrder="0"/>
    </xf>
    <xf borderId="4" fillId="0" fontId="33" numFmtId="165" xfId="0" applyAlignment="1" applyBorder="1" applyFont="1" applyNumberFormat="1">
      <alignment horizontal="center" readingOrder="0"/>
    </xf>
    <xf borderId="4" fillId="0" fontId="20" numFmtId="0" xfId="0" applyAlignment="1" applyBorder="1" applyFont="1">
      <alignment horizontal="center" readingOrder="0"/>
    </xf>
    <xf borderId="4" fillId="0" fontId="34" numFmtId="165" xfId="0" applyAlignment="1" applyBorder="1" applyFont="1" applyNumberFormat="1">
      <alignment horizontal="center" readingOrder="0"/>
    </xf>
    <xf borderId="0" fillId="0" fontId="28" numFmtId="164" xfId="0" applyAlignment="1" applyFont="1" applyNumberFormat="1">
      <alignment horizontal="center"/>
    </xf>
    <xf borderId="0" fillId="0" fontId="28" numFmtId="0" xfId="0" applyAlignment="1" applyFont="1">
      <alignment horizontal="center"/>
    </xf>
    <xf borderId="0" fillId="0" fontId="25" numFmtId="0" xfId="0" applyAlignment="1" applyFont="1">
      <alignment horizontal="center" readingOrder="0"/>
    </xf>
    <xf borderId="0" fillId="0" fontId="33" numFmtId="165" xfId="0" applyAlignment="1" applyFont="1" applyNumberFormat="1">
      <alignment horizontal="center" readingOrder="0"/>
    </xf>
    <xf borderId="0" fillId="0" fontId="25" numFmtId="0" xfId="0" applyAlignment="1" applyFont="1">
      <alignment readingOrder="0"/>
    </xf>
    <xf borderId="0" fillId="0" fontId="27" numFmtId="0" xfId="0" applyAlignment="1" applyFont="1">
      <alignment horizontal="left" readingOrder="0"/>
    </xf>
    <xf borderId="0" fillId="0" fontId="25" numFmtId="0" xfId="0" applyAlignment="1" applyFont="1">
      <alignment horizontal="left"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5" numFmtId="0" xfId="0" applyAlignment="1" applyFont="1">
      <alignment horizontal="center" readingOrder="0" vertical="bottom"/>
    </xf>
    <xf borderId="0" fillId="0" fontId="36" numFmtId="0" xfId="0" applyAlignment="1" applyFont="1">
      <alignment horizontal="center" readingOrder="0"/>
    </xf>
    <xf borderId="0" fillId="0" fontId="1" numFmtId="165" xfId="0" applyFont="1" applyNumberFormat="1"/>
    <xf borderId="0" fillId="0" fontId="37" numFmtId="0" xfId="0" applyAlignment="1" applyFont="1">
      <alignment horizontal="center" readingOrder="0"/>
    </xf>
    <xf borderId="0" fillId="0" fontId="38" numFmtId="166" xfId="0" applyAlignment="1" applyFont="1" applyNumberFormat="1">
      <alignment horizontal="left" readingOrder="0"/>
    </xf>
    <xf borderId="13" fillId="0" fontId="19" numFmtId="0" xfId="0" applyAlignment="1" applyBorder="1" applyFont="1">
      <alignment horizontal="center" readingOrder="0"/>
    </xf>
    <xf borderId="16" fillId="0" fontId="4" numFmtId="0" xfId="0" applyBorder="1" applyFont="1"/>
    <xf borderId="4" fillId="0" fontId="19" numFmtId="0" xfId="0" applyAlignment="1" applyBorder="1" applyFont="1">
      <alignment horizontal="center" readingOrder="0"/>
    </xf>
    <xf borderId="4" fillId="0" fontId="19" numFmtId="165" xfId="0" applyAlignment="1" applyBorder="1" applyFont="1" applyNumberFormat="1">
      <alignment horizontal="center" readingOrder="0"/>
    </xf>
    <xf borderId="4" fillId="0" fontId="19" numFmtId="0" xfId="0" applyAlignment="1" applyBorder="1" applyFont="1">
      <alignment readingOrder="0"/>
    </xf>
    <xf borderId="4" fillId="0" fontId="23" numFmtId="0" xfId="0" applyBorder="1" applyFont="1"/>
    <xf borderId="4" fillId="0" fontId="23" numFmtId="165" xfId="0" applyBorder="1" applyFont="1" applyNumberFormat="1"/>
    <xf borderId="4" fillId="0" fontId="23" numFmtId="0" xfId="0" applyAlignment="1" applyBorder="1" applyFont="1">
      <alignment readingOrder="0"/>
    </xf>
    <xf borderId="4" fillId="0" fontId="23" numFmtId="165" xfId="0" applyAlignment="1" applyBorder="1" applyFont="1" applyNumberFormat="1">
      <alignment readingOrder="0"/>
    </xf>
    <xf borderId="0" fillId="3" fontId="10" numFmtId="0" xfId="0" applyAlignment="1" applyFont="1">
      <alignment horizontal="center"/>
    </xf>
    <xf borderId="4" fillId="0" fontId="31" numFmtId="165" xfId="0" applyBorder="1" applyFont="1" applyNumberFormat="1"/>
    <xf borderId="4" fillId="0" fontId="23" numFmtId="0" xfId="0" applyAlignment="1" applyBorder="1" applyFont="1">
      <alignment horizontal="center"/>
    </xf>
    <xf borderId="4" fillId="0" fontId="23" numFmtId="165" xfId="0" applyAlignment="1" applyBorder="1" applyFont="1" applyNumberFormat="1">
      <alignment readingOrder="0"/>
    </xf>
    <xf borderId="4" fillId="0" fontId="39" numFmtId="0" xfId="0" applyAlignment="1" applyBorder="1" applyFont="1">
      <alignment readingOrder="0"/>
    </xf>
    <xf borderId="0" fillId="3" fontId="40" numFmtId="0" xfId="0" applyFont="1"/>
    <xf borderId="0" fillId="3" fontId="40" numFmtId="0" xfId="0" applyAlignment="1" applyFont="1">
      <alignment horizontal="center"/>
    </xf>
    <xf borderId="4" fillId="0" fontId="23" numFmtId="165" xfId="0" applyAlignment="1" applyBorder="1" applyFont="1" applyNumberFormat="1">
      <alignment horizontal="center"/>
    </xf>
    <xf borderId="0" fillId="0" fontId="23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3" fontId="41" numFmtId="0" xfId="0" applyAlignment="1" applyFont="1">
      <alignment readingOrder="0"/>
    </xf>
    <xf borderId="4" fillId="0" fontId="31" numFmtId="0" xfId="0" applyAlignment="1" applyBorder="1" applyFont="1">
      <alignment readingOrder="0"/>
    </xf>
    <xf borderId="4" fillId="0" fontId="31" numFmtId="165" xfId="0" applyAlignment="1" applyBorder="1" applyFont="1" applyNumberFormat="1">
      <alignment readingOrder="0"/>
    </xf>
    <xf borderId="0" fillId="0" fontId="39" numFmtId="0" xfId="0" applyAlignment="1" applyFont="1">
      <alignment readingOrder="0"/>
    </xf>
    <xf borderId="0" fillId="0" fontId="42" numFmtId="0" xfId="0" applyAlignment="1" applyFont="1">
      <alignment horizontal="center" readingOrder="0" vertical="center"/>
    </xf>
    <xf borderId="0" fillId="3" fontId="43" numFmtId="0" xfId="0" applyFont="1"/>
    <xf borderId="4" fillId="0" fontId="39" numFmtId="0" xfId="0" applyBorder="1" applyFont="1"/>
    <xf borderId="4" fillId="0" fontId="44" numFmtId="165" xfId="0" applyBorder="1" applyFont="1" applyNumberFormat="1"/>
    <xf borderId="4" fillId="0" fontId="30" numFmtId="0" xfId="0" applyAlignment="1" applyBorder="1" applyFont="1">
      <alignment readingOrder="0"/>
    </xf>
    <xf borderId="4" fillId="0" fontId="39" numFmtId="165" xfId="0" applyAlignment="1" applyBorder="1" applyFont="1" applyNumberFormat="1">
      <alignment readingOrder="0"/>
    </xf>
    <xf borderId="4" fillId="0" fontId="45" numFmtId="0" xfId="0" applyAlignment="1" applyBorder="1" applyFont="1">
      <alignment horizontal="center" readingOrder="0" shrinkToFit="0" vertical="center" wrapText="0"/>
    </xf>
    <xf borderId="4" fillId="0" fontId="45" numFmtId="167" xfId="0" applyAlignment="1" applyBorder="1" applyFont="1" applyNumberFormat="1">
      <alignment horizontal="right" readingOrder="0" shrinkToFit="0" vertical="center" wrapText="0"/>
    </xf>
    <xf borderId="4" fillId="0" fontId="1" numFmtId="164" xfId="0" applyAlignment="1" applyBorder="1" applyFont="1" applyNumberFormat="1">
      <alignment horizontal="center" shrinkToFit="0" vertical="center" wrapText="0"/>
    </xf>
    <xf borderId="4" fillId="0" fontId="1" numFmtId="167" xfId="0" applyAlignment="1" applyBorder="1" applyFont="1" applyNumberFormat="1">
      <alignment horizontal="right" shrinkToFit="0" vertical="center" wrapText="0"/>
    </xf>
    <xf borderId="4" fillId="0" fontId="1" numFmtId="167" xfId="0" applyAlignment="1" applyBorder="1" applyFont="1" applyNumberFormat="1">
      <alignment horizontal="center" shrinkToFit="0" vertical="center" wrapText="0"/>
    </xf>
    <xf borderId="4" fillId="0" fontId="1" numFmtId="168" xfId="0" applyAlignment="1" applyBorder="1" applyFont="1" applyNumberFormat="1">
      <alignment horizontal="center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4" fillId="0" fontId="45" numFmtId="0" xfId="0" applyAlignment="1" applyBorder="1" applyFont="1">
      <alignment horizontal="left" readingOrder="0" shrinkToFit="0" vertical="center" wrapText="0"/>
    </xf>
    <xf borderId="4" fillId="0" fontId="45" numFmtId="167" xfId="0" applyAlignment="1" applyBorder="1" applyFont="1" applyNumberForma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4" fillId="0" fontId="1" numFmtId="168" xfId="0" applyAlignment="1" applyBorder="1" applyFont="1" applyNumberFormat="1">
      <alignment readingOrder="0" shrinkToFit="0" vertical="center" wrapText="0"/>
    </xf>
    <xf borderId="4" fillId="0" fontId="1" numFmtId="167" xfId="0" applyAlignment="1" applyBorder="1" applyFont="1" applyNumberFormat="1">
      <alignment readingOrder="0" shrinkToFit="0" vertical="center" wrapText="0"/>
    </xf>
    <xf borderId="4" fillId="0" fontId="1" numFmtId="167" xfId="0" applyAlignment="1" applyBorder="1" applyFont="1" applyNumberFormat="1">
      <alignment shrinkToFit="0" vertical="center" wrapText="0"/>
    </xf>
    <xf borderId="4" fillId="7" fontId="1" numFmtId="0" xfId="0" applyAlignment="1" applyBorder="1" applyFont="1">
      <alignment horizontal="center" readingOrder="0" shrinkToFit="0" vertical="center" wrapText="0"/>
    </xf>
    <xf borderId="4" fillId="3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4" fillId="0" fontId="12" numFmtId="0" xfId="0" applyAlignment="1" applyBorder="1" applyFont="1">
      <alignment readingOrder="0" shrinkToFit="0" vertical="center" wrapText="0"/>
    </xf>
    <xf borderId="4" fillId="0" fontId="1" numFmtId="165" xfId="0" applyAlignment="1" applyBorder="1" applyFont="1" applyNumberFormat="1">
      <alignment readingOrder="0" shrinkToFit="0" vertical="center" wrapText="0"/>
    </xf>
    <xf borderId="4" fillId="0" fontId="1" numFmtId="164" xfId="0" applyAlignment="1" applyBorder="1" applyFont="1" applyNumberFormat="1">
      <alignment horizontal="left" readingOrder="0" shrinkToFit="0" vertical="center" wrapText="0"/>
    </xf>
    <xf borderId="4" fillId="6" fontId="5" numFmtId="0" xfId="0" applyAlignment="1" applyBorder="1" applyFont="1">
      <alignment horizontal="center" readingOrder="0" shrinkToFit="0" vertical="center" wrapText="0"/>
    </xf>
    <xf borderId="4" fillId="3" fontId="46" numFmtId="0" xfId="0" applyAlignment="1" applyBorder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7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6" fontId="1" numFmtId="0" xfId="0" applyAlignment="1" applyFont="1">
      <alignment horizontal="center" readingOrder="0" shrinkToFit="0" vertical="center" wrapText="0"/>
    </xf>
    <xf borderId="0" fillId="0" fontId="1" numFmtId="4" xfId="0" applyAlignment="1" applyFont="1" applyNumberFormat="1">
      <alignment horizontal="center" readingOrder="0" shrinkToFit="0" vertical="center" wrapText="0"/>
    </xf>
    <xf borderId="0" fillId="6" fontId="1" numFmtId="4" xfId="0" applyAlignment="1" applyFont="1" applyNumberFormat="1">
      <alignment horizontal="center" shrinkToFit="0" vertical="center" wrapText="0"/>
    </xf>
    <xf borderId="17" fillId="3" fontId="47" numFmtId="0" xfId="0" applyAlignment="1" applyBorder="1" applyFont="1">
      <alignment horizontal="center" readingOrder="0" shrinkToFit="0" vertical="center" wrapText="0"/>
    </xf>
    <xf borderId="17" fillId="8" fontId="47" numFmtId="0" xfId="0" applyAlignment="1" applyBorder="1" applyFill="1" applyFont="1">
      <alignment horizontal="center" readingOrder="0" shrinkToFit="0" vertical="center" wrapText="0"/>
    </xf>
    <xf borderId="4" fillId="0" fontId="1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9900"/>
          <bgColor rgb="FFFF9900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b/>
      </font>
      <fill>
        <patternFill patternType="solid">
          <fgColor rgb="FFFFF2CC"/>
          <bgColor rgb="FFFFF2CC"/>
        </patternFill>
      </fill>
      <border/>
    </dxf>
  </dxfs>
  <tableStyles count="8">
    <tableStyle count="4" pivot="0" name="MASTER ITEM 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OCK IN  TRANSF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ENTORY REPO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PPLIERS 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STOMERS 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COUNTS RECEIVAB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ECK_LOG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2333625</xdr:colOff>
      <xdr:row>49</xdr:row>
      <xdr:rowOff>190500</xdr:rowOff>
    </xdr:from>
    <xdr:ext cx="1752600" cy="428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28725" cy="1228725"/>
    <xdr:pic>
      <xdr:nvPicPr>
        <xdr:cNvPr id="0" name="image3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66675</xdr:rowOff>
    </xdr:from>
    <xdr:ext cx="1228725" cy="1228725"/>
    <xdr:pic>
      <xdr:nvPicPr>
        <xdr:cNvPr id="0" name="image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0</xdr:row>
      <xdr:rowOff>0</xdr:rowOff>
    </xdr:from>
    <xdr:ext cx="942975" cy="8382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295" displayName="ITEM_LIST" name="ITEM_LIST" id="2">
  <autoFilter ref="$A$1:$F$1295"/>
  <tableColumns count="6">
    <tableColumn name="ITEM CODE" id="1"/>
    <tableColumn name="DESCRIPTION" id="2"/>
    <tableColumn name="COST" id="3"/>
    <tableColumn name="UNIT" id="4"/>
    <tableColumn name="AVAILABLE STOCKS" id="5"/>
    <tableColumn name="SRP" id="6"/>
  </tableColumns>
  <tableStyleInfo name="MASTER ITEM LIST-style" showColumnStripes="0" showFirstColumn="1" showLastColumn="1" showRowStripes="1"/>
</table>
</file>

<file path=xl/tables/table2.xml><?xml version="1.0" encoding="utf-8"?>
<table xmlns="http://schemas.openxmlformats.org/spreadsheetml/2006/main" ref="A1:L2000" displayName="SALES" name="SALES" id="1">
  <tableColumns count="12">
    <tableColumn name="DATE" id="1"/>
    <tableColumn name="INVOICE NO." id="2"/>
    <tableColumn name="CUSTOMER'S NAME" id="3"/>
    <tableColumn name="ITEM CODE" id="4"/>
    <tableColumn name="DESCRIPTION" id="5"/>
    <tableColumn name="COLOR CODE" id="6"/>
    <tableColumn name="PAYMENT TYPE" id="7"/>
    <tableColumn name="QTY" id="8"/>
    <tableColumn name="UNIT" id="9"/>
    <tableColumn name="UNIT PRICE" id="10"/>
    <tableColumn name="TOTAL AMOUNT" id="11"/>
    <tableColumn name="REMARKS" id="12"/>
  </tableColumns>
  <tableStyleInfo name="SALES-style" showColumnStripes="0" showFirstColumn="1" showLastColumn="1" showRowStripes="1"/>
</table>
</file>

<file path=xl/tables/table3.xml><?xml version="1.0" encoding="utf-8"?>
<table xmlns="http://schemas.openxmlformats.org/spreadsheetml/2006/main" ref="A1:J2000" displayName="STOCK_IN" name="STOCK_IN" id="3">
  <autoFilter ref="$A$1:$J$2000"/>
  <tableColumns count="10">
    <tableColumn name="DATE" id="1"/>
    <tableColumn name="REF. NO." id="2"/>
    <tableColumn name="SUPPLIER" id="3"/>
    <tableColumn name="ITEM CODE" id="4"/>
    <tableColumn name="DESCRIPTION" id="5"/>
    <tableColumn name="TYPE" id="6"/>
    <tableColumn name="QTY" id="7"/>
    <tableColumn name="UNIT" id="8"/>
    <tableColumn name="UNIT PRICE" id="9"/>
    <tableColumn name="TOTAL AMOUNT" id="10"/>
  </tableColumns>
  <tableStyleInfo name="STOCK IN  TRANSFER-style" showColumnStripes="0" showFirstColumn="1" showLastColumn="1" showRowStripes="1"/>
</table>
</file>

<file path=xl/tables/table4.xml><?xml version="1.0" encoding="utf-8"?>
<table xmlns="http://schemas.openxmlformats.org/spreadsheetml/2006/main" ref="A1:G1296" displayName="Table3" name="Table3" id="4">
  <tableColumns count="7">
    <tableColumn name="ITEM CODE" id="1"/>
    <tableColumn name="DESCRIPTION" id="2"/>
    <tableColumn name="COST" id="3"/>
    <tableColumn name="UNIT" id="4"/>
    <tableColumn name="AVAILABLE STOCKS" id="5"/>
    <tableColumn name="STOCK OUT" id="6"/>
    <tableColumn name="STOCK IN" id="7"/>
  </tableColumns>
  <tableStyleInfo name="INVENTORY REPORT-style" showColumnStripes="0" showFirstColumn="1" showLastColumn="1" showRowStripes="1"/>
</table>
</file>

<file path=xl/tables/table5.xml><?xml version="1.0" encoding="utf-8"?>
<table xmlns="http://schemas.openxmlformats.org/spreadsheetml/2006/main" ref="A1:G14" displayName="Table2" name="Table2" id="5">
  <tableColumns count="7">
    <tableColumn name="SUPPLIER ID" id="1"/>
    <tableColumn name="SUPPLIER NAME" id="2"/>
    <tableColumn name="TIN" id="3"/>
    <tableColumn name="CONTACT PERSON" id="4"/>
    <tableColumn name="CONTACT NUMBER" id="5"/>
    <tableColumn name="EMAIL ADDRESS" id="6"/>
    <tableColumn name="OFFICE ADDRESS" id="7"/>
  </tableColumns>
  <tableStyleInfo name="SUPPLIERS LIST-style" showColumnStripes="0" showFirstColumn="1" showLastColumn="1" showRowStripes="1"/>
</table>
</file>

<file path=xl/tables/table6.xml><?xml version="1.0" encoding="utf-8"?>
<table xmlns="http://schemas.openxmlformats.org/spreadsheetml/2006/main" ref="A1:F115" displayName="Table1" name="Table1" id="6">
  <tableColumns count="6">
    <tableColumn name="CUSTOMER ID" id="1"/>
    <tableColumn name="CUSTOMER'S NAME" id="2"/>
    <tableColumn name="ADDRESS" id="3"/>
    <tableColumn name="CONTACT PERSON" id="4"/>
    <tableColumn name="CONTACT NUMBER" id="5"/>
    <tableColumn name="TERMS" id="6"/>
  </tableColumns>
  <tableStyleInfo name="CUSTOMERS LIST-style" showColumnStripes="0" showFirstColumn="1" showLastColumn="1" showRowStripes="1"/>
</table>
</file>

<file path=xl/tables/table7.xml><?xml version="1.0" encoding="utf-8"?>
<table xmlns="http://schemas.openxmlformats.org/spreadsheetml/2006/main" ref="A1:J1000" displayName="Table4" name="Table4" id="7">
  <tableColumns count="10">
    <tableColumn name="DATE" id="1"/>
    <tableColumn name="INVOICE NO." id="2"/>
    <tableColumn name="CUSTOMER'S NAME" id="3"/>
    <tableColumn name="TOTAL AMOUNT DUE" id="4"/>
    <tableColumn name="PAYMENT STATUS" id="5"/>
    <tableColumn name="AMOUNT COLLECTED" id="6"/>
    <tableColumn name="REMAINING BALANCE" id="7"/>
    <tableColumn name="DATE COLLECTED" id="8"/>
    <tableColumn name="REMARKS / PAYMENT DETAILS" id="9"/>
    <tableColumn name="TERMS" id="10"/>
  </tableColumns>
  <tableStyleInfo name="ACCOUNTS RECEIVABLE-style" showColumnStripes="0" showFirstColumn="1" showLastColumn="1" showRowStripes="1"/>
</table>
</file>

<file path=xl/tables/table8.xml><?xml version="1.0" encoding="utf-8"?>
<table xmlns="http://schemas.openxmlformats.org/spreadsheetml/2006/main" ref="A1:H1000" displayName="Table5" name="Table5" id="8">
  <tableColumns count="8">
    <tableColumn name="INVOICE NO." id="1"/>
    <tableColumn name="CUSTOMER'S NAME" id="2"/>
    <tableColumn name="BANK" id="3"/>
    <tableColumn name="CHECK NO." id="4"/>
    <tableColumn name="CHECK DATE" id="5"/>
    <tableColumn name="CHECK AMOUNT" id="6"/>
    <tableColumn name="CHECK STATUS" id="7"/>
    <tableColumn name="DATE POSTED" id="8"/>
  </tableColumns>
  <tableStyleInfo name="CHECK_LO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13"/>
    <col customWidth="1" min="3" max="3" width="14.75"/>
    <col customWidth="1" min="13" max="13" width="10.13"/>
    <col customWidth="1" min="14" max="14" width="15.0"/>
  </cols>
  <sheetData>
    <row r="1" ht="48.0" customHeight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48.0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</row>
    <row r="3" ht="48.0" customHeight="1">
      <c r="A3" s="1"/>
      <c r="B3" s="2" t="s">
        <v>1</v>
      </c>
      <c r="C3" s="2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1"/>
      <c r="B4" s="2" t="s">
        <v>3</v>
      </c>
      <c r="C4" s="2">
        <v>2026.0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>
      <c r="A5" s="1"/>
      <c r="B5" s="2" t="s">
        <v>4</v>
      </c>
      <c r="C5" s="2">
        <v>17.0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1"/>
      <c r="B6" s="1"/>
      <c r="C6" s="6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>
      <c r="A7" s="1"/>
      <c r="B7" s="7" t="s">
        <v>5</v>
      </c>
      <c r="E7" s="1"/>
      <c r="F7" s="7" t="s">
        <v>6</v>
      </c>
      <c r="I7" s="1"/>
      <c r="J7" s="7" t="s">
        <v>7</v>
      </c>
      <c r="M7" s="1"/>
      <c r="N7" s="1"/>
    </row>
    <row r="8" ht="26.25" customHeight="1">
      <c r="A8" s="1"/>
      <c r="B8" s="22">
        <f t="array" ref="B8">IF(C3="ALL MONTH", SUMIFS(SALES!K:K, SALES!A:A, "&gt;="&amp;DATE(C4, 1, 1), SALES!A:A, "&lt;="&amp;DATE(C4, 12, 31)), IF(C5="ALL", SUMIFS(SALES!K:K, SALES!A:A, "&gt;="&amp;DATE(C4, MATCH(C3, {"JANUARY","FEBRUARY","MARCH","APRIL","MAY","JUNE","JULY","AUGUST","SEPTEMBER","OCTOBER","NOVEMBER","DECEMBER"}, 0), 1), SALES!A:A, "&lt;="&amp;EOMONTH(DATE(C4, MATCH(C3, {"JANUARY","FEBRUARY","MARCH","APRIL","MAY","JUNE","JULY","AUGUST","SEPTEMBER","OCTOBER","NOVEMBER","DECEMBER"}, 0), 1), 0)), SUMIFS(SALES!K:K, SALES!A:A, DATE(C4, MATCH(C3, {"JANUARY","FEBRUARY","MARCH","APRIL","MAY","JUNE","JULY","AUGUST","SEPTEMBER","OCTOBER","NOVEMBER","DECEMBER"}, 0), C5))))</f>
        <v>5980</v>
      </c>
      <c r="C8" s="24"/>
      <c r="D8" s="25"/>
      <c r="E8" s="26"/>
      <c r="F8" s="22">
        <f t="array" ref="F8">IF(C3="ALL MONTH", SUMIFS('STOCK IN  TRANSFER'!J:J, 'STOCK IN  TRANSFER'!A:A, "&gt;="&amp;DATE(C4, 1, 1), 'STOCK IN  TRANSFER'!A:A, "&lt;="&amp;DATE(C4, 12, 31), 'STOCK IN  TRANSFER'!F:F, "STOCK IN"), IF(C5="ALL", SUMIFS('STOCK IN  TRANSFER'!J:J, 'STOCK IN  TRANSFER'!A:A, "&gt;="&amp;DATE(C4, MATCH(C3, {"JANUARY","FEBRUARY","MARCH","APRIL","MAY","JUNE","JULY","AUGUST","SEPTEMBER","OCTOBER","NOVEMBER","DECEMBER"}, 0), 1), 'STOCK IN  TRANSFER'!A:A, "&lt;="&amp;EOMONTH(DATE(C4, MATCH(C3, {"JANUARY","FEBRUARY","MARCH","APRIL","MAY","JUNE","JULY","AUGUST","SEPTEMBER","OCTOBER","NOVEMBER","DECEMBER"}, 0), 1), 0), 'STOCK IN  TRANSFER'!F:F, "STOCK IN"), SUMIFS('STOCK IN  TRANSFER'!J:J, 'STOCK IN  TRANSFER'!A:A, DATE(C4, MATCH(C3, {"JANUARY","FEBRUARY","MARCH","APRIL","MAY","JUNE","JULY","AUGUST","SEPTEMBER","OCTOBER","NOVEMBER","DECEMBER"}, 0), C5), 'STOCK IN  TRANSFER'!F:F, "STOCK IN")))</f>
        <v>0</v>
      </c>
      <c r="G8" s="24"/>
      <c r="H8" s="25"/>
      <c r="I8" s="26"/>
      <c r="J8" s="22">
        <f>SUMPRODUCT('MASTER ITEM LIST'!C2:C18, 'MASTER ITEM LIST'!E2:E18)</f>
        <v>887558.982</v>
      </c>
      <c r="K8" s="24"/>
      <c r="L8" s="25"/>
      <c r="M8" s="1"/>
      <c r="N8" s="1"/>
    </row>
    <row r="9">
      <c r="A9" s="1"/>
      <c r="B9" s="44"/>
      <c r="D9" s="45"/>
      <c r="E9" s="26"/>
      <c r="F9" s="44"/>
      <c r="H9" s="45"/>
      <c r="I9" s="26"/>
      <c r="J9" s="44"/>
      <c r="L9" s="45"/>
      <c r="M9" s="1"/>
      <c r="N9" s="1"/>
    </row>
    <row r="10">
      <c r="A10" s="1"/>
      <c r="B10" s="46"/>
      <c r="C10" s="47"/>
      <c r="D10" s="49"/>
      <c r="E10" s="26"/>
      <c r="F10" s="46"/>
      <c r="G10" s="47"/>
      <c r="H10" s="49"/>
      <c r="I10" s="26"/>
      <c r="J10" s="46"/>
      <c r="K10" s="47"/>
      <c r="L10" s="49"/>
      <c r="M10" s="1"/>
      <c r="N10" s="1"/>
    </row>
    <row r="11">
      <c r="A11" s="1"/>
      <c r="B11" s="1"/>
      <c r="C11" s="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>
      <c r="A12" s="1"/>
      <c r="B12" s="1"/>
      <c r="C12" s="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>
      <c r="A13" s="1"/>
      <c r="B13" s="1"/>
      <c r="C13" s="6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>
      <c r="A14" s="1"/>
      <c r="B14" s="1"/>
      <c r="C14" s="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>
      <c r="A15" s="1"/>
      <c r="B15" s="1"/>
      <c r="C15" s="6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>
      <c r="A16" s="1"/>
      <c r="B16" s="1"/>
      <c r="C16" s="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>
      <c r="A17" s="1"/>
      <c r="B17" s="1"/>
      <c r="C17" s="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>
      <c r="A18" s="1"/>
      <c r="B18" s="1"/>
      <c r="C18" s="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</sheetData>
  <mergeCells count="7">
    <mergeCell ref="B2:L2"/>
    <mergeCell ref="B7:D7"/>
    <mergeCell ref="F7:H7"/>
    <mergeCell ref="J7:L7"/>
    <mergeCell ref="B8:D10"/>
    <mergeCell ref="F8:H10"/>
    <mergeCell ref="J8:L10"/>
  </mergeCells>
  <dataValidations>
    <dataValidation type="list" allowBlank="1" showErrorMessage="1" sqref="C3">
      <formula1>"JANUARY,FEBRUARY,MARCH,APRIL,MAY,JUNE,JULY,AUGUST,SEPTEMBER,OCTOBER,NOVEMBER,DECEMBER,ALL MONTH"</formula1>
    </dataValidation>
    <dataValidation type="list" allowBlank="1" showErrorMessage="1" sqref="C5">
      <formula1>"ALL,1,2,3,4,5,6,7,8,9,10,11,12,13,14,15,16,17,18,19,20,21,22,23,24,25,26,27,28,29,30,31"</formula1>
    </dataValidation>
    <dataValidation type="list" allowBlank="1" showErrorMessage="1" sqref="C4">
      <formula1>"2026,2027,2028,2029,2030"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2" width="66.88"/>
    <col customWidth="1" min="3" max="3" width="13.63"/>
    <col customWidth="1" min="4" max="4" width="12.38"/>
    <col customWidth="1" min="5" max="5" width="23.75"/>
    <col customWidth="1" min="6" max="6" width="29.13"/>
  </cols>
  <sheetData>
    <row r="1" ht="22.5" customHeight="1">
      <c r="A1" s="9" t="s">
        <v>8</v>
      </c>
      <c r="B1" s="9" t="s">
        <v>11</v>
      </c>
      <c r="C1" s="10" t="s">
        <v>13</v>
      </c>
      <c r="D1" s="9" t="s">
        <v>14</v>
      </c>
      <c r="E1" s="9" t="s">
        <v>15</v>
      </c>
      <c r="F1" s="9" t="s">
        <v>18</v>
      </c>
    </row>
    <row r="2" ht="22.5" customHeight="1">
      <c r="A2" s="13" t="s">
        <v>21</v>
      </c>
      <c r="B2" s="13" t="s">
        <v>23</v>
      </c>
      <c r="C2" s="16">
        <v>665.0</v>
      </c>
      <c r="D2" s="13" t="s">
        <v>28</v>
      </c>
      <c r="E2" s="28">
        <f>SUMIFS('STOCK IN  TRANSFER'!G:G, 'STOCK IN  TRANSFER'!E:E, B2, 'STOCK IN  TRANSFER'!F:F, "STOCK IN") + SUMIFS('STOCK IN  TRANSFER'!G:G, 'STOCK IN  TRANSFER'!E:E, B2, 'STOCK IN  TRANSFER'!F:F, "ADJUSTMENT (+)") - SUMIFS('STOCK IN  TRANSFER'!G:G, 'STOCK IN  TRANSFER'!E:E, B2, 'STOCK IN  TRANSFER'!F:F, "ADJUSTMENT (-)") - SUMIFS('STOCK IN  TRANSFER'!G:G, 'STOCK IN  TRANSFER'!E:E, B2, 'STOCK IN  TRANSFER'!F:F, "STOCK TRANSFER") - SUMIFS(SALES!H:H, SALES!E:E, B2)</f>
        <v>0</v>
      </c>
      <c r="F2" s="13"/>
    </row>
    <row r="3" ht="22.5" customHeight="1">
      <c r="A3" s="13" t="s">
        <v>35</v>
      </c>
      <c r="B3" s="13" t="s">
        <v>37</v>
      </c>
      <c r="C3" s="16">
        <v>0.0</v>
      </c>
      <c r="D3" s="13" t="s">
        <v>39</v>
      </c>
      <c r="E3" s="28">
        <f>SUMIFS('STOCK IN  TRANSFER'!G:G, 'STOCK IN  TRANSFER'!E:E, B3, 'STOCK IN  TRANSFER'!F:F, "STOCK IN") + SUMIFS('STOCK IN  TRANSFER'!G:G, 'STOCK IN  TRANSFER'!E:E, B3, 'STOCK IN  TRANSFER'!F:F, "ADJUSTMENT (+)") - SUMIFS('STOCK IN  TRANSFER'!G:G, 'STOCK IN  TRANSFER'!E:E, B3, 'STOCK IN  TRANSFER'!F:F, "ADJUSTMENT (-)") - SUMIFS('STOCK IN  TRANSFER'!G:G, 'STOCK IN  TRANSFER'!E:E, B3, 'STOCK IN  TRANSFER'!F:F, "STOCK TRANSFER") - SUMIFS(SALES!H:H, SALES!E:E, B3)</f>
        <v>0</v>
      </c>
      <c r="F3" s="13"/>
    </row>
    <row r="4" ht="22.5" customHeight="1">
      <c r="A4" s="13" t="s">
        <v>43</v>
      </c>
      <c r="B4" s="13" t="s">
        <v>44</v>
      </c>
      <c r="C4" s="16">
        <v>665.0</v>
      </c>
      <c r="D4" s="13" t="s">
        <v>28</v>
      </c>
      <c r="E4" s="28">
        <f>SUMIFS('STOCK IN  TRANSFER'!G:G, 'STOCK IN  TRANSFER'!E:E, B4, 'STOCK IN  TRANSFER'!F:F, "STOCK IN") + SUMIFS('STOCK IN  TRANSFER'!G:G, 'STOCK IN  TRANSFER'!E:E, B4, 'STOCK IN  TRANSFER'!F:F, "ADJUSTMENT (+)") - SUMIFS('STOCK IN  TRANSFER'!G:G, 'STOCK IN  TRANSFER'!E:E, B4, 'STOCK IN  TRANSFER'!F:F, "ADJUSTMENT (-)") - SUMIFS('STOCK IN  TRANSFER'!G:G, 'STOCK IN  TRANSFER'!E:E, B4, 'STOCK IN  TRANSFER'!F:F, "STOCK TRANSFER") - SUMIFS(SALES!H:H, SALES!E:E, B4)</f>
        <v>0</v>
      </c>
      <c r="F4" s="13"/>
    </row>
    <row r="5" ht="22.5" customHeight="1">
      <c r="A5" s="13" t="s">
        <v>46</v>
      </c>
      <c r="B5" s="13" t="s">
        <v>47</v>
      </c>
      <c r="C5" s="16">
        <v>675.0</v>
      </c>
      <c r="D5" s="13" t="s">
        <v>28</v>
      </c>
      <c r="E5" s="28">
        <f>SUMIFS('STOCK IN  TRANSFER'!G:G, 'STOCK IN  TRANSFER'!E:E, B5, 'STOCK IN  TRANSFER'!F:F, "STOCK IN") + SUMIFS('STOCK IN  TRANSFER'!G:G, 'STOCK IN  TRANSFER'!E:E, B5, 'STOCK IN  TRANSFER'!F:F, "ADJUSTMENT (+)") - SUMIFS('STOCK IN  TRANSFER'!G:G, 'STOCK IN  TRANSFER'!E:E, B5, 'STOCK IN  TRANSFER'!F:F, "ADJUSTMENT (-)") - SUMIFS('STOCK IN  TRANSFER'!G:G, 'STOCK IN  TRANSFER'!E:E, B5, 'STOCK IN  TRANSFER'!F:F, "STOCK TRANSFER") - SUMIFS(SALES!H:H, SALES!E:E, B5)</f>
        <v>0</v>
      </c>
      <c r="F5" s="28"/>
    </row>
    <row r="6" ht="22.5" customHeight="1">
      <c r="A6" s="13" t="s">
        <v>51</v>
      </c>
      <c r="B6" s="13" t="s">
        <v>52</v>
      </c>
      <c r="C6" s="16">
        <v>1883.0</v>
      </c>
      <c r="D6" s="13" t="s">
        <v>28</v>
      </c>
      <c r="E6" s="28">
        <f>SUMIFS('STOCK IN  TRANSFER'!G:G, 'STOCK IN  TRANSFER'!E:E, B6, 'STOCK IN  TRANSFER'!F:F, "STOCK IN") + SUMIFS('STOCK IN  TRANSFER'!G:G, 'STOCK IN  TRANSFER'!E:E, B6, 'STOCK IN  TRANSFER'!F:F, "ADJUSTMENT (+)") - SUMIFS('STOCK IN  TRANSFER'!G:G, 'STOCK IN  TRANSFER'!E:E, B6, 'STOCK IN  TRANSFER'!F:F, "ADJUSTMENT (-)") - SUMIFS('STOCK IN  TRANSFER'!G:G, 'STOCK IN  TRANSFER'!E:E, B6, 'STOCK IN  TRANSFER'!F:F, "STOCK TRANSFER") - SUMIFS(SALES!H:H, SALES!E:E, B6)</f>
        <v>0</v>
      </c>
      <c r="F6" s="28"/>
    </row>
    <row r="7" ht="22.5" customHeight="1">
      <c r="A7" s="31" t="s">
        <v>54</v>
      </c>
      <c r="B7" s="13" t="s">
        <v>55</v>
      </c>
      <c r="C7" s="16">
        <v>2822.0</v>
      </c>
      <c r="D7" s="13" t="s">
        <v>28</v>
      </c>
      <c r="E7" s="28">
        <f>SUMIFS('STOCK IN  TRANSFER'!G:G, 'STOCK IN  TRANSFER'!E:E, B7, 'STOCK IN  TRANSFER'!F:F, "STOCK IN") + SUMIFS('STOCK IN  TRANSFER'!G:G, 'STOCK IN  TRANSFER'!E:E, B7, 'STOCK IN  TRANSFER'!F:F, "ADJUSTMENT (+)") - SUMIFS('STOCK IN  TRANSFER'!G:G, 'STOCK IN  TRANSFER'!E:E, B7, 'STOCK IN  TRANSFER'!F:F, "ADJUSTMENT (-)") - SUMIFS('STOCK IN  TRANSFER'!G:G, 'STOCK IN  TRANSFER'!E:E, B7, 'STOCK IN  TRANSFER'!F:F, "STOCK TRANSFER") - SUMIFS(SALES!H:H, SALES!E:E, B7)</f>
        <v>0</v>
      </c>
      <c r="F7" s="28"/>
    </row>
    <row r="8" ht="22.5" customHeight="1">
      <c r="A8" s="13" t="s">
        <v>58</v>
      </c>
      <c r="B8" s="13" t="s">
        <v>59</v>
      </c>
      <c r="C8" s="16">
        <v>1743.0</v>
      </c>
      <c r="D8" s="13" t="s">
        <v>28</v>
      </c>
      <c r="E8" s="28">
        <f>SUMIFS('STOCK IN  TRANSFER'!G:G, 'STOCK IN  TRANSFER'!E:E, B8, 'STOCK IN  TRANSFER'!F:F, "STOCK IN") + SUMIFS('STOCK IN  TRANSFER'!G:G, 'STOCK IN  TRANSFER'!E:E, B8, 'STOCK IN  TRANSFER'!F:F, "ADJUSTMENT (+)") - SUMIFS('STOCK IN  TRANSFER'!G:G, 'STOCK IN  TRANSFER'!E:E, B8, 'STOCK IN  TRANSFER'!F:F, "ADJUSTMENT (-)") - SUMIFS('STOCK IN  TRANSFER'!G:G, 'STOCK IN  TRANSFER'!E:E, B8, 'STOCK IN  TRANSFER'!F:F, "STOCK TRANSFER") - SUMIFS(SALES!H:H, SALES!E:E, B8)</f>
        <v>0</v>
      </c>
      <c r="F8" s="28"/>
    </row>
    <row r="9" ht="22.5" customHeight="1">
      <c r="A9" s="13" t="s">
        <v>45</v>
      </c>
      <c r="B9" s="13" t="s">
        <v>61</v>
      </c>
      <c r="C9" s="16">
        <v>1828.0</v>
      </c>
      <c r="D9" s="13" t="s">
        <v>28</v>
      </c>
      <c r="E9" s="28">
        <f>SUMIFS('STOCK IN  TRANSFER'!G:G, 'STOCK IN  TRANSFER'!E:E, B9, 'STOCK IN  TRANSFER'!F:F, "STOCK IN") + SUMIFS('STOCK IN  TRANSFER'!G:G, 'STOCK IN  TRANSFER'!E:E, B9, 'STOCK IN  TRANSFER'!F:F, "ADJUSTMENT (+)") - SUMIFS('STOCK IN  TRANSFER'!G:G, 'STOCK IN  TRANSFER'!E:E, B9, 'STOCK IN  TRANSFER'!F:F, "ADJUSTMENT (-)") - SUMIFS('STOCK IN  TRANSFER'!G:G, 'STOCK IN  TRANSFER'!E:E, B9, 'STOCK IN  TRANSFER'!F:F, "STOCK TRANSFER") - SUMIFS(SALES!H:H, SALES!E:E, B9)</f>
        <v>0</v>
      </c>
      <c r="F9" s="28"/>
    </row>
    <row r="10" ht="22.5" customHeight="1">
      <c r="A10" s="13" t="s">
        <v>64</v>
      </c>
      <c r="B10" s="13" t="s">
        <v>66</v>
      </c>
      <c r="C10" s="16">
        <v>1930.0</v>
      </c>
      <c r="D10" s="13" t="s">
        <v>28</v>
      </c>
      <c r="E10" s="28">
        <f>SUMIFS('STOCK IN  TRANSFER'!G:G, 'STOCK IN  TRANSFER'!E:E, B10, 'STOCK IN  TRANSFER'!F:F, "STOCK IN") + SUMIFS('STOCK IN  TRANSFER'!G:G, 'STOCK IN  TRANSFER'!E:E, B10, 'STOCK IN  TRANSFER'!F:F, "ADJUSTMENT (+)") - SUMIFS('STOCK IN  TRANSFER'!G:G, 'STOCK IN  TRANSFER'!E:E, B10, 'STOCK IN  TRANSFER'!F:F, "ADJUSTMENT (-)") - SUMIFS('STOCK IN  TRANSFER'!G:G, 'STOCK IN  TRANSFER'!E:E, B10, 'STOCK IN  TRANSFER'!F:F, "STOCK TRANSFER") - SUMIFS(SALES!H:H, SALES!E:E, B10)</f>
        <v>0</v>
      </c>
      <c r="F10" s="28"/>
    </row>
    <row r="11" ht="22.5" customHeight="1">
      <c r="A11" s="13" t="s">
        <v>67</v>
      </c>
      <c r="B11" s="13" t="s">
        <v>68</v>
      </c>
      <c r="C11" s="16">
        <v>440.0</v>
      </c>
      <c r="D11" s="13" t="s">
        <v>39</v>
      </c>
      <c r="E11" s="28">
        <f>SUMIFS('STOCK IN  TRANSFER'!G:G, 'STOCK IN  TRANSFER'!E:E, B11, 'STOCK IN  TRANSFER'!F:F, "STOCK IN") + SUMIFS('STOCK IN  TRANSFER'!G:G, 'STOCK IN  TRANSFER'!E:E, B11, 'STOCK IN  TRANSFER'!F:F, "ADJUSTMENT (+)") - SUMIFS('STOCK IN  TRANSFER'!G:G, 'STOCK IN  TRANSFER'!E:E, B11, 'STOCK IN  TRANSFER'!F:F, "ADJUSTMENT (-)") - SUMIFS('STOCK IN  TRANSFER'!G:G, 'STOCK IN  TRANSFER'!E:E, B11, 'STOCK IN  TRANSFER'!F:F, "STOCK TRANSFER") - SUMIFS(SALES!H:H, SALES!E:E, B11)</f>
        <v>3</v>
      </c>
      <c r="F11" s="13"/>
    </row>
    <row r="12" ht="22.5" customHeight="1">
      <c r="A12" s="13" t="s">
        <v>73</v>
      </c>
      <c r="B12" s="13" t="s">
        <v>74</v>
      </c>
      <c r="C12" s="16">
        <v>650.0</v>
      </c>
      <c r="D12" s="13" t="s">
        <v>75</v>
      </c>
      <c r="E12" s="28">
        <f>SUMIFS('STOCK IN  TRANSFER'!G:G, 'STOCK IN  TRANSFER'!E:E, B12, 'STOCK IN  TRANSFER'!F:F, "STOCK IN") + SUMIFS('STOCK IN  TRANSFER'!G:G, 'STOCK IN  TRANSFER'!E:E, B12, 'STOCK IN  TRANSFER'!F:F, "ADJUSTMENT (+)") - SUMIFS('STOCK IN  TRANSFER'!G:G, 'STOCK IN  TRANSFER'!E:E, B12, 'STOCK IN  TRANSFER'!F:F, "ADJUSTMENT (-)") - SUMIFS('STOCK IN  TRANSFER'!G:G, 'STOCK IN  TRANSFER'!E:E, B12, 'STOCK IN  TRANSFER'!F:F, "STOCK TRANSFER") - SUMIFS(SALES!H:H, SALES!E:E, B12)</f>
        <v>0</v>
      </c>
      <c r="F12" s="13"/>
    </row>
    <row r="13" ht="22.5" customHeight="1">
      <c r="A13" s="13" t="s">
        <v>77</v>
      </c>
      <c r="B13" s="13" t="s">
        <v>78</v>
      </c>
      <c r="C13" s="16">
        <v>0.0</v>
      </c>
      <c r="D13" s="13" t="s">
        <v>39</v>
      </c>
      <c r="E13" s="28">
        <f>SUMIFS('STOCK IN  TRANSFER'!G:G, 'STOCK IN  TRANSFER'!E:E, B13, 'STOCK IN  TRANSFER'!F:F, "STOCK IN") + SUMIFS('STOCK IN  TRANSFER'!G:G, 'STOCK IN  TRANSFER'!E:E, B13, 'STOCK IN  TRANSFER'!F:F, "ADJUSTMENT (+)") - SUMIFS('STOCK IN  TRANSFER'!G:G, 'STOCK IN  TRANSFER'!E:E, B13, 'STOCK IN  TRANSFER'!F:F, "ADJUSTMENT (-)") - SUMIFS('STOCK IN  TRANSFER'!G:G, 'STOCK IN  TRANSFER'!E:E, B13, 'STOCK IN  TRANSFER'!F:F, "STOCK TRANSFER") - SUMIFS(SALES!H:H, SALES!E:E, B13)</f>
        <v>0</v>
      </c>
      <c r="F13" s="13"/>
    </row>
    <row r="14" ht="22.5" customHeight="1">
      <c r="A14" s="13" t="s">
        <v>81</v>
      </c>
      <c r="B14" s="13" t="s">
        <v>82</v>
      </c>
      <c r="C14" s="16">
        <v>960.0</v>
      </c>
      <c r="D14" s="13" t="s">
        <v>83</v>
      </c>
      <c r="E14" s="28">
        <f>SUMIFS('STOCK IN  TRANSFER'!G:G, 'STOCK IN  TRANSFER'!E:E, B14, 'STOCK IN  TRANSFER'!F:F, "STOCK IN") + SUMIFS('STOCK IN  TRANSFER'!G:G, 'STOCK IN  TRANSFER'!E:E, B14, 'STOCK IN  TRANSFER'!F:F, "ADJUSTMENT (+)") - SUMIFS('STOCK IN  TRANSFER'!G:G, 'STOCK IN  TRANSFER'!E:E, B14, 'STOCK IN  TRANSFER'!F:F, "ADJUSTMENT (-)") - SUMIFS('STOCK IN  TRANSFER'!G:G, 'STOCK IN  TRANSFER'!E:E, B14, 'STOCK IN  TRANSFER'!F:F, "STOCK TRANSFER") - SUMIFS(SALES!H:H, SALES!E:E, B14)</f>
        <v>0</v>
      </c>
      <c r="F14" s="28"/>
    </row>
    <row r="15" ht="22.5" customHeight="1">
      <c r="A15" s="13" t="s">
        <v>86</v>
      </c>
      <c r="B15" s="13" t="s">
        <v>87</v>
      </c>
      <c r="C15" s="16">
        <v>0.0</v>
      </c>
      <c r="D15" s="13" t="s">
        <v>89</v>
      </c>
      <c r="E15" s="28">
        <f>SUMIFS('STOCK IN  TRANSFER'!G:G, 'STOCK IN  TRANSFER'!E:E, B15, 'STOCK IN  TRANSFER'!F:F, "STOCK IN") + SUMIFS('STOCK IN  TRANSFER'!G:G, 'STOCK IN  TRANSFER'!E:E, B15, 'STOCK IN  TRANSFER'!F:F, "ADJUSTMENT (+)") - SUMIFS('STOCK IN  TRANSFER'!G:G, 'STOCK IN  TRANSFER'!E:E, B15, 'STOCK IN  TRANSFER'!F:F, "ADJUSTMENT (-)") - SUMIFS('STOCK IN  TRANSFER'!G:G, 'STOCK IN  TRANSFER'!E:E, B15, 'STOCK IN  TRANSFER'!F:F, "STOCK TRANSFER") - SUMIFS(SALES!H:H, SALES!E:E, B15)</f>
        <v>0</v>
      </c>
      <c r="F15" s="28"/>
    </row>
    <row r="16" ht="22.5" customHeight="1">
      <c r="A16" s="13" t="s">
        <v>90</v>
      </c>
      <c r="B16" s="13" t="s">
        <v>91</v>
      </c>
      <c r="C16" s="16">
        <v>570.0</v>
      </c>
      <c r="D16" s="13" t="s">
        <v>75</v>
      </c>
      <c r="E16" s="28">
        <f>SUMIFS('STOCK IN  TRANSFER'!G:G, 'STOCK IN  TRANSFER'!E:E, B16, 'STOCK IN  TRANSFER'!F:F, "STOCK IN") + SUMIFS('STOCK IN  TRANSFER'!G:G, 'STOCK IN  TRANSFER'!E:E, B16, 'STOCK IN  TRANSFER'!F:F, "ADJUSTMENT (+)") - SUMIFS('STOCK IN  TRANSFER'!G:G, 'STOCK IN  TRANSFER'!E:E, B16, 'STOCK IN  TRANSFER'!F:F, "ADJUSTMENT (-)") - SUMIFS('STOCK IN  TRANSFER'!G:G, 'STOCK IN  TRANSFER'!E:E, B16, 'STOCK IN  TRANSFER'!F:F, "STOCK TRANSFER") - SUMIFS(SALES!H:H, SALES!E:E, B16)</f>
        <v>-3.0125</v>
      </c>
      <c r="F16" s="13"/>
    </row>
    <row r="17" ht="22.5" customHeight="1">
      <c r="A17" s="13" t="s">
        <v>100</v>
      </c>
      <c r="B17" s="13" t="s">
        <v>101</v>
      </c>
      <c r="C17" s="16">
        <v>1080.0</v>
      </c>
      <c r="D17" s="13" t="s">
        <v>28</v>
      </c>
      <c r="E17" s="28">
        <f>SUMIFS('STOCK IN  TRANSFER'!G:G, 'STOCK IN  TRANSFER'!E:E, B17, 'STOCK IN  TRANSFER'!F:F, "STOCK IN") + SUMIFS('STOCK IN  TRANSFER'!G:G, 'STOCK IN  TRANSFER'!E:E, B17, 'STOCK IN  TRANSFER'!F:F, "ADJUSTMENT (+)") - SUMIFS('STOCK IN  TRANSFER'!G:G, 'STOCK IN  TRANSFER'!E:E, B17, 'STOCK IN  TRANSFER'!F:F, "ADJUSTMENT (-)") - SUMIFS('STOCK IN  TRANSFER'!G:G, 'STOCK IN  TRANSFER'!E:E, B17, 'STOCK IN  TRANSFER'!F:F, "STOCK TRANSFER") - SUMIFS(SALES!H:H, SALES!E:E, B17)</f>
        <v>0</v>
      </c>
      <c r="F17" s="13"/>
    </row>
    <row r="18" ht="22.5" customHeight="1">
      <c r="A18" s="13" t="s">
        <v>104</v>
      </c>
      <c r="B18" s="13" t="s">
        <v>105</v>
      </c>
      <c r="C18" s="16">
        <v>1096.0</v>
      </c>
      <c r="D18" s="13" t="s">
        <v>28</v>
      </c>
      <c r="E18" s="28">
        <f>SUMIFS('STOCK IN  TRANSFER'!G:G, 'STOCK IN  TRANSFER'!E:E, B18, 'STOCK IN  TRANSFER'!F:F, "STOCK IN") + SUMIFS('STOCK IN  TRANSFER'!G:G, 'STOCK IN  TRANSFER'!E:E, B18, 'STOCK IN  TRANSFER'!F:F, "ADJUSTMENT (+)") - SUMIFS('STOCK IN  TRANSFER'!G:G, 'STOCK IN  TRANSFER'!E:E, B18, 'STOCK IN  TRANSFER'!F:F, "ADJUSTMENT (-)") - SUMIFS('STOCK IN  TRANSFER'!G:G, 'STOCK IN  TRANSFER'!E:E, B18, 'STOCK IN  TRANSFER'!F:F, "STOCK TRANSFER") - SUMIFS(SALES!H:H, SALES!E:E, B18)</f>
        <v>0</v>
      </c>
      <c r="F18" s="28"/>
    </row>
    <row r="19" ht="22.5" customHeight="1">
      <c r="A19" s="13" t="s">
        <v>108</v>
      </c>
      <c r="B19" s="13" t="s">
        <v>109</v>
      </c>
      <c r="C19" s="16">
        <v>850.0</v>
      </c>
      <c r="D19" s="13" t="s">
        <v>39</v>
      </c>
      <c r="E19" s="28">
        <f>SUMIFS('STOCK IN  TRANSFER'!G:G, 'STOCK IN  TRANSFER'!E:E, B19, 'STOCK IN  TRANSFER'!F:F, "STOCK IN") + SUMIFS('STOCK IN  TRANSFER'!G:G, 'STOCK IN  TRANSFER'!E:E, B19, 'STOCK IN  TRANSFER'!F:F, "ADJUSTMENT (+)") - SUMIFS('STOCK IN  TRANSFER'!G:G, 'STOCK IN  TRANSFER'!E:E, B19, 'STOCK IN  TRANSFER'!F:F, "ADJUSTMENT (-)") - SUMIFS('STOCK IN  TRANSFER'!G:G, 'STOCK IN  TRANSFER'!E:E, B19, 'STOCK IN  TRANSFER'!F:F, "STOCK TRANSFER") - SUMIFS(SALES!H:H, SALES!E:E, B19)</f>
        <v>29.25</v>
      </c>
      <c r="F19" s="28"/>
    </row>
    <row r="20" ht="22.5" customHeight="1">
      <c r="A20" s="13" t="s">
        <v>111</v>
      </c>
      <c r="B20" s="13" t="s">
        <v>113</v>
      </c>
      <c r="C20" s="16">
        <v>650.0</v>
      </c>
      <c r="D20" s="13" t="s">
        <v>28</v>
      </c>
      <c r="E20" s="28">
        <f>SUMIFS('STOCK IN  TRANSFER'!G:G, 'STOCK IN  TRANSFER'!E:E, B20, 'STOCK IN  TRANSFER'!F:F, "STOCK IN") + SUMIFS('STOCK IN  TRANSFER'!G:G, 'STOCK IN  TRANSFER'!E:E, B20, 'STOCK IN  TRANSFER'!F:F, "ADJUSTMENT (+)") - SUMIFS('STOCK IN  TRANSFER'!G:G, 'STOCK IN  TRANSFER'!E:E, B20, 'STOCK IN  TRANSFER'!F:F, "ADJUSTMENT (-)") - SUMIFS('STOCK IN  TRANSFER'!G:G, 'STOCK IN  TRANSFER'!E:E, B20, 'STOCK IN  TRANSFER'!F:F, "STOCK TRANSFER") - SUMIFS(SALES!H:H, SALES!E:E, B20)</f>
        <v>0</v>
      </c>
      <c r="F20" s="28"/>
    </row>
    <row r="21" ht="22.5" customHeight="1">
      <c r="A21" s="13" t="s">
        <v>114</v>
      </c>
      <c r="B21" s="13" t="s">
        <v>115</v>
      </c>
      <c r="C21" s="16">
        <v>1950.0</v>
      </c>
      <c r="D21" s="13" t="s">
        <v>28</v>
      </c>
      <c r="E21" s="28">
        <f>SUMIFS('STOCK IN  TRANSFER'!G:G, 'STOCK IN  TRANSFER'!E:E, B21, 'STOCK IN  TRANSFER'!F:F, "STOCK IN") + SUMIFS('STOCK IN  TRANSFER'!G:G, 'STOCK IN  TRANSFER'!E:E, B21, 'STOCK IN  TRANSFER'!F:F, "ADJUSTMENT (+)") - SUMIFS('STOCK IN  TRANSFER'!G:G, 'STOCK IN  TRANSFER'!E:E, B21, 'STOCK IN  TRANSFER'!F:F, "ADJUSTMENT (-)") - SUMIFS('STOCK IN  TRANSFER'!G:G, 'STOCK IN  TRANSFER'!E:E, B21, 'STOCK IN  TRANSFER'!F:F, "STOCK TRANSFER") - SUMIFS(SALES!H:H, SALES!E:E, B21)</f>
        <v>0</v>
      </c>
      <c r="F21" s="28"/>
    </row>
    <row r="22" ht="22.5" customHeight="1">
      <c r="A22" s="13" t="s">
        <v>118</v>
      </c>
      <c r="B22" s="13" t="s">
        <v>119</v>
      </c>
      <c r="C22" s="16">
        <v>550.0</v>
      </c>
      <c r="D22" s="13" t="s">
        <v>28</v>
      </c>
      <c r="E22" s="28">
        <f>SUMIFS('STOCK IN  TRANSFER'!G:G, 'STOCK IN  TRANSFER'!E:E, B22, 'STOCK IN  TRANSFER'!F:F, "STOCK IN") + SUMIFS('STOCK IN  TRANSFER'!G:G, 'STOCK IN  TRANSFER'!E:E, B22, 'STOCK IN  TRANSFER'!F:F, "ADJUSTMENT (+)") - SUMIFS('STOCK IN  TRANSFER'!G:G, 'STOCK IN  TRANSFER'!E:E, B22, 'STOCK IN  TRANSFER'!F:F, "ADJUSTMENT (-)") - SUMIFS('STOCK IN  TRANSFER'!G:G, 'STOCK IN  TRANSFER'!E:E, B22, 'STOCK IN  TRANSFER'!F:F, "STOCK TRANSFER") - SUMIFS(SALES!H:H, SALES!E:E, B22)</f>
        <v>0</v>
      </c>
      <c r="F22" s="28"/>
    </row>
    <row r="23" ht="22.5" customHeight="1">
      <c r="A23" s="13" t="s">
        <v>122</v>
      </c>
      <c r="B23" s="54" t="s">
        <v>123</v>
      </c>
      <c r="C23" s="16">
        <v>672.4</v>
      </c>
      <c r="D23" s="13" t="s">
        <v>124</v>
      </c>
      <c r="E23" s="28">
        <f>SUMIFS('STOCK IN  TRANSFER'!G:G, 'STOCK IN  TRANSFER'!E:E, B23, 'STOCK IN  TRANSFER'!F:F, "STOCK IN") + SUMIFS('STOCK IN  TRANSFER'!G:G, 'STOCK IN  TRANSFER'!E:E, B23, 'STOCK IN  TRANSFER'!F:F, "ADJUSTMENT (+)") - SUMIFS('STOCK IN  TRANSFER'!G:G, 'STOCK IN  TRANSFER'!E:E, B23, 'STOCK IN  TRANSFER'!F:F, "ADJUSTMENT (-)") - SUMIFS('STOCK IN  TRANSFER'!G:G, 'STOCK IN  TRANSFER'!E:E, B23, 'STOCK IN  TRANSFER'!F:F, "STOCK TRANSFER") - SUMIFS(SALES!H:H, SALES!E:E, B23)</f>
        <v>2</v>
      </c>
      <c r="F23" s="13"/>
    </row>
    <row r="24" ht="22.5" customHeight="1">
      <c r="A24" s="13" t="s">
        <v>125</v>
      </c>
      <c r="B24" s="13" t="s">
        <v>126</v>
      </c>
      <c r="C24" s="16">
        <v>558.0</v>
      </c>
      <c r="D24" s="13" t="s">
        <v>28</v>
      </c>
      <c r="E24" s="28">
        <f>SUMIFS('STOCK IN  TRANSFER'!G:G, 'STOCK IN  TRANSFER'!E:E, B24, 'STOCK IN  TRANSFER'!F:F, "STOCK IN") + SUMIFS('STOCK IN  TRANSFER'!G:G, 'STOCK IN  TRANSFER'!E:E, B24, 'STOCK IN  TRANSFER'!F:F, "ADJUSTMENT (+)") - SUMIFS('STOCK IN  TRANSFER'!G:G, 'STOCK IN  TRANSFER'!E:E, B24, 'STOCK IN  TRANSFER'!F:F, "ADJUSTMENT (-)") - SUMIFS('STOCK IN  TRANSFER'!G:G, 'STOCK IN  TRANSFER'!E:E, B24, 'STOCK IN  TRANSFER'!F:F, "STOCK TRANSFER") - SUMIFS(SALES!H:H, SALES!E:E, B24)</f>
        <v>0</v>
      </c>
      <c r="F24" s="28"/>
    </row>
    <row r="25" ht="22.5" customHeight="1">
      <c r="A25" s="13" t="s">
        <v>129</v>
      </c>
      <c r="B25" s="13" t="s">
        <v>130</v>
      </c>
      <c r="C25" s="16">
        <v>695.0</v>
      </c>
      <c r="D25" s="13" t="s">
        <v>28</v>
      </c>
      <c r="E25" s="28">
        <f>SUMIFS('STOCK IN  TRANSFER'!G:G, 'STOCK IN  TRANSFER'!E:E, B25, 'STOCK IN  TRANSFER'!F:F, "STOCK IN") + SUMIFS('STOCK IN  TRANSFER'!G:G, 'STOCK IN  TRANSFER'!E:E, B25, 'STOCK IN  TRANSFER'!F:F, "ADJUSTMENT (+)") - SUMIFS('STOCK IN  TRANSFER'!G:G, 'STOCK IN  TRANSFER'!E:E, B25, 'STOCK IN  TRANSFER'!F:F, "ADJUSTMENT (-)") - SUMIFS('STOCK IN  TRANSFER'!G:G, 'STOCK IN  TRANSFER'!E:E, B25, 'STOCK IN  TRANSFER'!F:F, "STOCK TRANSFER") - SUMIFS(SALES!H:H, SALES!E:E, B25)</f>
        <v>0</v>
      </c>
      <c r="F25" s="28"/>
    </row>
    <row r="26" ht="22.5" customHeight="1">
      <c r="A26" s="13" t="s">
        <v>132</v>
      </c>
      <c r="B26" s="13" t="s">
        <v>133</v>
      </c>
      <c r="C26" s="16">
        <v>570.0</v>
      </c>
      <c r="D26" s="13" t="s">
        <v>28</v>
      </c>
      <c r="E26" s="28">
        <f>SUMIFS('STOCK IN  TRANSFER'!G:G, 'STOCK IN  TRANSFER'!E:E, B26, 'STOCK IN  TRANSFER'!F:F, "STOCK IN") + SUMIFS('STOCK IN  TRANSFER'!G:G, 'STOCK IN  TRANSFER'!E:E, B26, 'STOCK IN  TRANSFER'!F:F, "ADJUSTMENT (+)") - SUMIFS('STOCK IN  TRANSFER'!G:G, 'STOCK IN  TRANSFER'!E:E, B26, 'STOCK IN  TRANSFER'!F:F, "ADJUSTMENT (-)") - SUMIFS('STOCK IN  TRANSFER'!G:G, 'STOCK IN  TRANSFER'!E:E, B26, 'STOCK IN  TRANSFER'!F:F, "STOCK TRANSFER") - SUMIFS(SALES!H:H, SALES!E:E, B26)</f>
        <v>1</v>
      </c>
      <c r="F26" s="28"/>
    </row>
    <row r="27" ht="22.5" customHeight="1">
      <c r="A27" s="13" t="s">
        <v>134</v>
      </c>
      <c r="B27" s="13" t="s">
        <v>135</v>
      </c>
      <c r="C27" s="16">
        <v>200.0</v>
      </c>
      <c r="D27" s="13" t="s">
        <v>39</v>
      </c>
      <c r="E27" s="28">
        <f>SUMIFS('STOCK IN  TRANSFER'!G:G, 'STOCK IN  TRANSFER'!E:E, B27, 'STOCK IN  TRANSFER'!F:F, "STOCK IN") + SUMIFS('STOCK IN  TRANSFER'!G:G, 'STOCK IN  TRANSFER'!E:E, B27, 'STOCK IN  TRANSFER'!F:F, "ADJUSTMENT (+)") - SUMIFS('STOCK IN  TRANSFER'!G:G, 'STOCK IN  TRANSFER'!E:E, B27, 'STOCK IN  TRANSFER'!F:F, "ADJUSTMENT (-)") - SUMIFS('STOCK IN  TRANSFER'!G:G, 'STOCK IN  TRANSFER'!E:E, B27, 'STOCK IN  TRANSFER'!F:F, "STOCK TRANSFER") - SUMIFS(SALES!H:H, SALES!E:E, B27)</f>
        <v>9.75</v>
      </c>
      <c r="F27" s="28"/>
    </row>
    <row r="28" ht="22.5" customHeight="1">
      <c r="A28" s="13" t="s">
        <v>138</v>
      </c>
      <c r="B28" s="13" t="s">
        <v>139</v>
      </c>
      <c r="C28" s="16">
        <v>402.0</v>
      </c>
      <c r="D28" s="13" t="s">
        <v>39</v>
      </c>
      <c r="E28" s="28">
        <f>SUMIFS('STOCK IN  TRANSFER'!G:G, 'STOCK IN  TRANSFER'!E:E, B28, 'STOCK IN  TRANSFER'!F:F, "STOCK IN") + SUMIFS('STOCK IN  TRANSFER'!G:G, 'STOCK IN  TRANSFER'!E:E, B28, 'STOCK IN  TRANSFER'!F:F, "ADJUSTMENT (+)") - SUMIFS('STOCK IN  TRANSFER'!G:G, 'STOCK IN  TRANSFER'!E:E, B28, 'STOCK IN  TRANSFER'!F:F, "ADJUSTMENT (-)") - SUMIFS('STOCK IN  TRANSFER'!G:G, 'STOCK IN  TRANSFER'!E:E, B28, 'STOCK IN  TRANSFER'!F:F, "STOCK TRANSFER") - SUMIFS(SALES!H:H, SALES!E:E, B28)</f>
        <v>3</v>
      </c>
      <c r="F28" s="28"/>
    </row>
    <row r="29" ht="22.5" customHeight="1">
      <c r="A29" s="13" t="s">
        <v>144</v>
      </c>
      <c r="B29" s="19" t="s">
        <v>145</v>
      </c>
      <c r="C29" s="16">
        <v>111.0</v>
      </c>
      <c r="D29" s="13" t="s">
        <v>146</v>
      </c>
      <c r="E29" s="28">
        <f>SUMIFS('STOCK IN  TRANSFER'!G:G, 'STOCK IN  TRANSFER'!E:E, B29, 'STOCK IN  TRANSFER'!F:F, "STOCK IN") + SUMIFS('STOCK IN  TRANSFER'!G:G, 'STOCK IN  TRANSFER'!E:E, B29, 'STOCK IN  TRANSFER'!F:F, "ADJUSTMENT (+)") - SUMIFS('STOCK IN  TRANSFER'!G:G, 'STOCK IN  TRANSFER'!E:E, B29, 'STOCK IN  TRANSFER'!F:F, "ADJUSTMENT (-)") - SUMIFS('STOCK IN  TRANSFER'!G:G, 'STOCK IN  TRANSFER'!E:E, B29, 'STOCK IN  TRANSFER'!F:F, "STOCK TRANSFER") - SUMIFS(SALES!H:H, SALES!E:E, B29)</f>
        <v>12</v>
      </c>
      <c r="F29" s="28"/>
    </row>
    <row r="30" ht="22.5" customHeight="1">
      <c r="A30" s="13" t="s">
        <v>150</v>
      </c>
      <c r="B30" s="13" t="s">
        <v>151</v>
      </c>
      <c r="C30" s="16">
        <v>461.0</v>
      </c>
      <c r="D30" s="13" t="s">
        <v>39</v>
      </c>
      <c r="E30" s="28">
        <f>SUMIFS('STOCK IN  TRANSFER'!G:G, 'STOCK IN  TRANSFER'!E:E, B30, 'STOCK IN  TRANSFER'!F:F, "STOCK IN") + SUMIFS('STOCK IN  TRANSFER'!G:G, 'STOCK IN  TRANSFER'!E:E, B30, 'STOCK IN  TRANSFER'!F:F, "ADJUSTMENT (+)") - SUMIFS('STOCK IN  TRANSFER'!G:G, 'STOCK IN  TRANSFER'!E:E, B30, 'STOCK IN  TRANSFER'!F:F, "ADJUSTMENT (-)") - SUMIFS('STOCK IN  TRANSFER'!G:G, 'STOCK IN  TRANSFER'!E:E, B30, 'STOCK IN  TRANSFER'!F:F, "STOCK TRANSFER") - SUMIFS(SALES!H:H, SALES!E:E, B30)</f>
        <v>2</v>
      </c>
      <c r="F30" s="28"/>
    </row>
    <row r="31" ht="22.5" customHeight="1">
      <c r="A31" s="13" t="s">
        <v>152</v>
      </c>
      <c r="B31" s="13" t="s">
        <v>153</v>
      </c>
      <c r="C31" s="16">
        <v>141.0</v>
      </c>
      <c r="D31" s="13" t="s">
        <v>146</v>
      </c>
      <c r="E31" s="28">
        <f>SUMIFS('STOCK IN  TRANSFER'!G:G, 'STOCK IN  TRANSFER'!E:E, B31, 'STOCK IN  TRANSFER'!F:F, "STOCK IN") + SUMIFS('STOCK IN  TRANSFER'!G:G, 'STOCK IN  TRANSFER'!E:E, B31, 'STOCK IN  TRANSFER'!F:F, "ADJUSTMENT (+)") - SUMIFS('STOCK IN  TRANSFER'!G:G, 'STOCK IN  TRANSFER'!E:E, B31, 'STOCK IN  TRANSFER'!F:F, "ADJUSTMENT (-)") - SUMIFS('STOCK IN  TRANSFER'!G:G, 'STOCK IN  TRANSFER'!E:E, B31, 'STOCK IN  TRANSFER'!F:F, "STOCK TRANSFER") - SUMIFS(SALES!H:H, SALES!E:E, B31)</f>
        <v>12</v>
      </c>
      <c r="F31" s="28"/>
    </row>
    <row r="32" ht="22.5" customHeight="1">
      <c r="A32" s="13" t="s">
        <v>156</v>
      </c>
      <c r="B32" s="13" t="s">
        <v>157</v>
      </c>
      <c r="C32" s="16">
        <v>70.0</v>
      </c>
      <c r="D32" s="13" t="s">
        <v>158</v>
      </c>
      <c r="E32" s="28">
        <f>SUMIFS('STOCK IN  TRANSFER'!G:G, 'STOCK IN  TRANSFER'!E:E, B32, 'STOCK IN  TRANSFER'!F:F, "STOCK IN") + SUMIFS('STOCK IN  TRANSFER'!G:G, 'STOCK IN  TRANSFER'!E:E, B32, 'STOCK IN  TRANSFER'!F:F, "ADJUSTMENT (+)") - SUMIFS('STOCK IN  TRANSFER'!G:G, 'STOCK IN  TRANSFER'!E:E, B32, 'STOCK IN  TRANSFER'!F:F, "ADJUSTMENT (-)") - SUMIFS('STOCK IN  TRANSFER'!G:G, 'STOCK IN  TRANSFER'!E:E, B32, 'STOCK IN  TRANSFER'!F:F, "STOCK TRANSFER") - SUMIFS(SALES!H:H, SALES!E:E, B32)</f>
        <v>24.5</v>
      </c>
      <c r="F32" s="28"/>
    </row>
    <row r="33" ht="22.5" customHeight="1">
      <c r="A33" s="13" t="s">
        <v>161</v>
      </c>
      <c r="B33" s="13" t="s">
        <v>162</v>
      </c>
      <c r="C33" s="16">
        <v>62.0</v>
      </c>
      <c r="D33" s="13" t="s">
        <v>163</v>
      </c>
      <c r="E33" s="28">
        <f>SUMIFS('STOCK IN  TRANSFER'!G:G, 'STOCK IN  TRANSFER'!E:E, B33, 'STOCK IN  TRANSFER'!F:F, "STOCK IN") + SUMIFS('STOCK IN  TRANSFER'!G:G, 'STOCK IN  TRANSFER'!E:E, B33, 'STOCK IN  TRANSFER'!F:F, "ADJUSTMENT (+)") - SUMIFS('STOCK IN  TRANSFER'!G:G, 'STOCK IN  TRANSFER'!E:E, B33, 'STOCK IN  TRANSFER'!F:F, "ADJUSTMENT (-)") - SUMIFS('STOCK IN  TRANSFER'!G:G, 'STOCK IN  TRANSFER'!E:E, B33, 'STOCK IN  TRANSFER'!F:F, "STOCK TRANSFER") - SUMIFS(SALES!H:H, SALES!E:E, B33)</f>
        <v>3</v>
      </c>
      <c r="F33" s="28"/>
    </row>
    <row r="34" ht="22.5" customHeight="1">
      <c r="A34" s="13" t="s">
        <v>165</v>
      </c>
      <c r="B34" s="13" t="s">
        <v>166</v>
      </c>
      <c r="C34" s="16">
        <v>1015.0</v>
      </c>
      <c r="D34" s="13" t="s">
        <v>124</v>
      </c>
      <c r="E34" s="28">
        <f>SUMIFS('STOCK IN  TRANSFER'!G:G, 'STOCK IN  TRANSFER'!E:E, B34, 'STOCK IN  TRANSFER'!F:F, "STOCK IN") + SUMIFS('STOCK IN  TRANSFER'!G:G, 'STOCK IN  TRANSFER'!E:E, B34, 'STOCK IN  TRANSFER'!F:F, "ADJUSTMENT (+)") - SUMIFS('STOCK IN  TRANSFER'!G:G, 'STOCK IN  TRANSFER'!E:E, B34, 'STOCK IN  TRANSFER'!F:F, "ADJUSTMENT (-)") - SUMIFS('STOCK IN  TRANSFER'!G:G, 'STOCK IN  TRANSFER'!E:E, B34, 'STOCK IN  TRANSFER'!F:F, "STOCK TRANSFER") - SUMIFS(SALES!H:H, SALES!E:E, B34)</f>
        <v>2</v>
      </c>
      <c r="F34" s="28"/>
    </row>
    <row r="35" ht="22.5" customHeight="1">
      <c r="A35" s="13" t="s">
        <v>170</v>
      </c>
      <c r="B35" s="13" t="s">
        <v>171</v>
      </c>
      <c r="C35" s="16">
        <v>108.0</v>
      </c>
      <c r="D35" s="13" t="s">
        <v>172</v>
      </c>
      <c r="E35" s="28">
        <f>SUMIFS('STOCK IN  TRANSFER'!G:G, 'STOCK IN  TRANSFER'!E:E, B35, 'STOCK IN  TRANSFER'!F:F, "STOCK IN") + SUMIFS('STOCK IN  TRANSFER'!G:G, 'STOCK IN  TRANSFER'!E:E, B35, 'STOCK IN  TRANSFER'!F:F, "ADJUSTMENT (+)") - SUMIFS('STOCK IN  TRANSFER'!G:G, 'STOCK IN  TRANSFER'!E:E, B35, 'STOCK IN  TRANSFER'!F:F, "ADJUSTMENT (-)") - SUMIFS('STOCK IN  TRANSFER'!G:G, 'STOCK IN  TRANSFER'!E:E, B35, 'STOCK IN  TRANSFER'!F:F, "STOCK TRANSFER") - SUMIFS(SALES!H:H, SALES!E:E, B35)</f>
        <v>4</v>
      </c>
      <c r="F35" s="28"/>
    </row>
    <row r="36" ht="22.5" customHeight="1">
      <c r="A36" s="13" t="s">
        <v>174</v>
      </c>
      <c r="B36" s="13" t="s">
        <v>175</v>
      </c>
      <c r="C36" s="16">
        <v>52.0</v>
      </c>
      <c r="D36" s="13" t="s">
        <v>89</v>
      </c>
      <c r="E36" s="28">
        <f>SUMIFS('STOCK IN  TRANSFER'!G:G, 'STOCK IN  TRANSFER'!E:E, B36, 'STOCK IN  TRANSFER'!F:F, "STOCK IN") + SUMIFS('STOCK IN  TRANSFER'!G:G, 'STOCK IN  TRANSFER'!E:E, B36, 'STOCK IN  TRANSFER'!F:F, "ADJUSTMENT (+)") - SUMIFS('STOCK IN  TRANSFER'!G:G, 'STOCK IN  TRANSFER'!E:E, B36, 'STOCK IN  TRANSFER'!F:F, "ADJUSTMENT (-)") - SUMIFS('STOCK IN  TRANSFER'!G:G, 'STOCK IN  TRANSFER'!E:E, B36, 'STOCK IN  TRANSFER'!F:F, "STOCK TRANSFER") - SUMIFS(SALES!H:H, SALES!E:E, B36)</f>
        <v>0</v>
      </c>
      <c r="F36" s="28"/>
    </row>
    <row r="37" ht="22.5" customHeight="1">
      <c r="A37" s="13" t="s">
        <v>177</v>
      </c>
      <c r="B37" s="13" t="s">
        <v>178</v>
      </c>
      <c r="C37" s="16">
        <v>50.0</v>
      </c>
      <c r="D37" s="13" t="s">
        <v>179</v>
      </c>
      <c r="E37" s="28">
        <f>SUMIFS('STOCK IN  TRANSFER'!G:G, 'STOCK IN  TRANSFER'!E:E, B37, 'STOCK IN  TRANSFER'!F:F, "STOCK IN") + SUMIFS('STOCK IN  TRANSFER'!G:G, 'STOCK IN  TRANSFER'!E:E, B37, 'STOCK IN  TRANSFER'!F:F, "ADJUSTMENT (+)") - SUMIFS('STOCK IN  TRANSFER'!G:G, 'STOCK IN  TRANSFER'!E:E, B37, 'STOCK IN  TRANSFER'!F:F, "ADJUSTMENT (-)") - SUMIFS('STOCK IN  TRANSFER'!G:G, 'STOCK IN  TRANSFER'!E:E, B37, 'STOCK IN  TRANSFER'!F:F, "STOCK TRANSFER") - SUMIFS(SALES!H:H, SALES!E:E, B37)</f>
        <v>4</v>
      </c>
      <c r="F37" s="28"/>
    </row>
    <row r="38" ht="22.5" customHeight="1">
      <c r="A38" s="13" t="s">
        <v>182</v>
      </c>
      <c r="B38" s="13" t="s">
        <v>183</v>
      </c>
      <c r="C38" s="16">
        <v>360.0</v>
      </c>
      <c r="D38" s="13" t="s">
        <v>83</v>
      </c>
      <c r="E38" s="28">
        <f>SUMIFS('STOCK IN  TRANSFER'!G:G, 'STOCK IN  TRANSFER'!E:E, B38, 'STOCK IN  TRANSFER'!F:F, "STOCK IN") + SUMIFS('STOCK IN  TRANSFER'!G:G, 'STOCK IN  TRANSFER'!E:E, B38, 'STOCK IN  TRANSFER'!F:F, "ADJUSTMENT (+)") - SUMIFS('STOCK IN  TRANSFER'!G:G, 'STOCK IN  TRANSFER'!E:E, B38, 'STOCK IN  TRANSFER'!F:F, "ADJUSTMENT (-)") - SUMIFS('STOCK IN  TRANSFER'!G:G, 'STOCK IN  TRANSFER'!E:E, B38, 'STOCK IN  TRANSFER'!F:F, "STOCK TRANSFER") - SUMIFS(SALES!H:H, SALES!E:E, B38)</f>
        <v>1</v>
      </c>
      <c r="F38" s="28"/>
    </row>
    <row r="39" ht="22.5" customHeight="1">
      <c r="A39" s="13" t="s">
        <v>187</v>
      </c>
      <c r="B39" s="13" t="s">
        <v>188</v>
      </c>
      <c r="C39" s="16">
        <v>108.0</v>
      </c>
      <c r="D39" s="13" t="s">
        <v>172</v>
      </c>
      <c r="E39" s="28">
        <f>SUMIFS('STOCK IN  TRANSFER'!G:G, 'STOCK IN  TRANSFER'!E:E, B39, 'STOCK IN  TRANSFER'!F:F, "STOCK IN") + SUMIFS('STOCK IN  TRANSFER'!G:G, 'STOCK IN  TRANSFER'!E:E, B39, 'STOCK IN  TRANSFER'!F:F, "ADJUSTMENT (+)") - SUMIFS('STOCK IN  TRANSFER'!G:G, 'STOCK IN  TRANSFER'!E:E, B39, 'STOCK IN  TRANSFER'!F:F, "ADJUSTMENT (-)") - SUMIFS('STOCK IN  TRANSFER'!G:G, 'STOCK IN  TRANSFER'!E:E, B39, 'STOCK IN  TRANSFER'!F:F, "STOCK TRANSFER") - SUMIFS(SALES!H:H, SALES!E:E, B39)</f>
        <v>0</v>
      </c>
      <c r="F39" s="28"/>
    </row>
    <row r="40" ht="22.5" customHeight="1">
      <c r="A40" s="13" t="s">
        <v>190</v>
      </c>
      <c r="B40" s="13" t="s">
        <v>191</v>
      </c>
      <c r="C40" s="16">
        <v>510.0</v>
      </c>
      <c r="D40" s="13" t="s">
        <v>75</v>
      </c>
      <c r="E40" s="28">
        <f>SUMIFS('STOCK IN  TRANSFER'!G:G, 'STOCK IN  TRANSFER'!E:E, B40, 'STOCK IN  TRANSFER'!F:F, "STOCK IN") + SUMIFS('STOCK IN  TRANSFER'!G:G, 'STOCK IN  TRANSFER'!E:E, B40, 'STOCK IN  TRANSFER'!F:F, "ADJUSTMENT (+)") - SUMIFS('STOCK IN  TRANSFER'!G:G, 'STOCK IN  TRANSFER'!E:E, B40, 'STOCK IN  TRANSFER'!F:F, "ADJUSTMENT (-)") - SUMIFS('STOCK IN  TRANSFER'!G:G, 'STOCK IN  TRANSFER'!E:E, B40, 'STOCK IN  TRANSFER'!F:F, "STOCK TRANSFER") - SUMIFS(SALES!H:H, SALES!E:E, B40)</f>
        <v>0</v>
      </c>
      <c r="F40" s="28"/>
    </row>
    <row r="41" ht="22.5" customHeight="1">
      <c r="A41" s="13" t="s">
        <v>155</v>
      </c>
      <c r="B41" s="13" t="s">
        <v>192</v>
      </c>
      <c r="C41" s="16">
        <v>585.0</v>
      </c>
      <c r="D41" s="13" t="s">
        <v>75</v>
      </c>
      <c r="E41" s="28">
        <f>SUMIFS('STOCK IN  TRANSFER'!G:G, 'STOCK IN  TRANSFER'!E:E, B41, 'STOCK IN  TRANSFER'!F:F, "STOCK IN") + SUMIFS('STOCK IN  TRANSFER'!G:G, 'STOCK IN  TRANSFER'!E:E, B41, 'STOCK IN  TRANSFER'!F:F, "ADJUSTMENT (+)") - SUMIFS('STOCK IN  TRANSFER'!G:G, 'STOCK IN  TRANSFER'!E:E, B41, 'STOCK IN  TRANSFER'!F:F, "ADJUSTMENT (-)") - SUMIFS('STOCK IN  TRANSFER'!G:G, 'STOCK IN  TRANSFER'!E:E, B41, 'STOCK IN  TRANSFER'!F:F, "STOCK TRANSFER") - SUMIFS(SALES!H:H, SALES!E:E, B41)</f>
        <v>11</v>
      </c>
      <c r="F41" s="28"/>
    </row>
    <row r="42" ht="22.5" customHeight="1">
      <c r="A42" s="13" t="s">
        <v>195</v>
      </c>
      <c r="B42" s="13" t="s">
        <v>196</v>
      </c>
      <c r="C42" s="16">
        <v>160.0</v>
      </c>
      <c r="D42" s="13" t="s">
        <v>197</v>
      </c>
      <c r="E42" s="28">
        <f>SUMIFS('STOCK IN  TRANSFER'!G:G, 'STOCK IN  TRANSFER'!E:E, B42, 'STOCK IN  TRANSFER'!F:F, "STOCK IN") + SUMIFS('STOCK IN  TRANSFER'!G:G, 'STOCK IN  TRANSFER'!E:E, B42, 'STOCK IN  TRANSFER'!F:F, "ADJUSTMENT (+)") - SUMIFS('STOCK IN  TRANSFER'!G:G, 'STOCK IN  TRANSFER'!E:E, B42, 'STOCK IN  TRANSFER'!F:F, "ADJUSTMENT (-)") - SUMIFS('STOCK IN  TRANSFER'!G:G, 'STOCK IN  TRANSFER'!E:E, B42, 'STOCK IN  TRANSFER'!F:F, "STOCK TRANSFER") - SUMIFS(SALES!H:H, SALES!E:E, B42)</f>
        <v>9</v>
      </c>
      <c r="F42" s="28"/>
    </row>
    <row r="43" ht="22.5" customHeight="1">
      <c r="A43" s="13" t="s">
        <v>200</v>
      </c>
      <c r="B43" s="13" t="s">
        <v>201</v>
      </c>
      <c r="C43" s="16">
        <v>500.0</v>
      </c>
      <c r="D43" s="13" t="s">
        <v>75</v>
      </c>
      <c r="E43" s="28">
        <f>SUMIFS('STOCK IN  TRANSFER'!G:G, 'STOCK IN  TRANSFER'!E:E, B43, 'STOCK IN  TRANSFER'!F:F, "STOCK IN") + SUMIFS('STOCK IN  TRANSFER'!G:G, 'STOCK IN  TRANSFER'!E:E, B43, 'STOCK IN  TRANSFER'!F:F, "ADJUSTMENT (+)") - SUMIFS('STOCK IN  TRANSFER'!G:G, 'STOCK IN  TRANSFER'!E:E, B43, 'STOCK IN  TRANSFER'!F:F, "ADJUSTMENT (-)") - SUMIFS('STOCK IN  TRANSFER'!G:G, 'STOCK IN  TRANSFER'!E:E, B43, 'STOCK IN  TRANSFER'!F:F, "STOCK TRANSFER") - SUMIFS(SALES!H:H, SALES!E:E, B43)</f>
        <v>0</v>
      </c>
      <c r="F43" s="28"/>
    </row>
    <row r="44" ht="22.5" customHeight="1">
      <c r="A44" s="13" t="s">
        <v>203</v>
      </c>
      <c r="B44" s="13" t="s">
        <v>204</v>
      </c>
      <c r="C44" s="16">
        <v>1060.0</v>
      </c>
      <c r="D44" s="13" t="s">
        <v>75</v>
      </c>
      <c r="E44" s="28">
        <f>SUMIFS('STOCK IN  TRANSFER'!G:G, 'STOCK IN  TRANSFER'!E:E, B44, 'STOCK IN  TRANSFER'!F:F, "STOCK IN") + SUMIFS('STOCK IN  TRANSFER'!G:G, 'STOCK IN  TRANSFER'!E:E, B44, 'STOCK IN  TRANSFER'!F:F, "ADJUSTMENT (+)") - SUMIFS('STOCK IN  TRANSFER'!G:G, 'STOCK IN  TRANSFER'!E:E, B44, 'STOCK IN  TRANSFER'!F:F, "ADJUSTMENT (-)") - SUMIFS('STOCK IN  TRANSFER'!G:G, 'STOCK IN  TRANSFER'!E:E, B44, 'STOCK IN  TRANSFER'!F:F, "STOCK TRANSFER") - SUMIFS(SALES!H:H, SALES!E:E, B44)</f>
        <v>3</v>
      </c>
      <c r="F44" s="28"/>
    </row>
    <row r="45" ht="22.5" customHeight="1">
      <c r="A45" s="13" t="s">
        <v>205</v>
      </c>
      <c r="B45" s="13" t="s">
        <v>206</v>
      </c>
      <c r="C45" s="16">
        <v>50.0</v>
      </c>
      <c r="D45" s="13" t="s">
        <v>89</v>
      </c>
      <c r="E45" s="28">
        <f>SUMIFS('STOCK IN  TRANSFER'!G:G, 'STOCK IN  TRANSFER'!E:E, B45, 'STOCK IN  TRANSFER'!F:F, "STOCK IN") + SUMIFS('STOCK IN  TRANSFER'!G:G, 'STOCK IN  TRANSFER'!E:E, B45, 'STOCK IN  TRANSFER'!F:F, "ADJUSTMENT (+)") - SUMIFS('STOCK IN  TRANSFER'!G:G, 'STOCK IN  TRANSFER'!E:E, B45, 'STOCK IN  TRANSFER'!F:F, "ADJUSTMENT (-)") - SUMIFS('STOCK IN  TRANSFER'!G:G, 'STOCK IN  TRANSFER'!E:E, B45, 'STOCK IN  TRANSFER'!F:F, "STOCK TRANSFER") - SUMIFS(SALES!H:H, SALES!E:E, B45)</f>
        <v>32</v>
      </c>
      <c r="F45" s="28"/>
    </row>
    <row r="46" ht="22.5" customHeight="1">
      <c r="A46" s="13" t="s">
        <v>208</v>
      </c>
      <c r="B46" s="13" t="s">
        <v>209</v>
      </c>
      <c r="C46" s="16">
        <v>661.1</v>
      </c>
      <c r="D46" s="13" t="s">
        <v>124</v>
      </c>
      <c r="E46" s="28">
        <f>SUMIFS('STOCK IN  TRANSFER'!G:G, 'STOCK IN  TRANSFER'!E:E, B46, 'STOCK IN  TRANSFER'!F:F, "STOCK IN") + SUMIFS('STOCK IN  TRANSFER'!G:G, 'STOCK IN  TRANSFER'!E:E, B46, 'STOCK IN  TRANSFER'!F:F, "ADJUSTMENT (+)") - SUMIFS('STOCK IN  TRANSFER'!G:G, 'STOCK IN  TRANSFER'!E:E, B46, 'STOCK IN  TRANSFER'!F:F, "ADJUSTMENT (-)") - SUMIFS('STOCK IN  TRANSFER'!G:G, 'STOCK IN  TRANSFER'!E:E, B46, 'STOCK IN  TRANSFER'!F:F, "STOCK TRANSFER") - SUMIFS(SALES!H:H, SALES!E:E, B46)</f>
        <v>0</v>
      </c>
      <c r="F46" s="28"/>
    </row>
    <row r="47" ht="22.5" customHeight="1">
      <c r="A47" s="13" t="s">
        <v>214</v>
      </c>
      <c r="B47" s="13" t="s">
        <v>215</v>
      </c>
      <c r="C47" s="16">
        <v>103.0</v>
      </c>
      <c r="D47" s="13" t="s">
        <v>172</v>
      </c>
      <c r="E47" s="28">
        <f>SUMIFS('STOCK IN  TRANSFER'!G:G, 'STOCK IN  TRANSFER'!E:E, B47, 'STOCK IN  TRANSFER'!F:F, "STOCK IN") + SUMIFS('STOCK IN  TRANSFER'!G:G, 'STOCK IN  TRANSFER'!E:E, B47, 'STOCK IN  TRANSFER'!F:F, "ADJUSTMENT (+)") - SUMIFS('STOCK IN  TRANSFER'!G:G, 'STOCK IN  TRANSFER'!E:E, B47, 'STOCK IN  TRANSFER'!F:F, "ADJUSTMENT (-)") - SUMIFS('STOCK IN  TRANSFER'!G:G, 'STOCK IN  TRANSFER'!E:E, B47, 'STOCK IN  TRANSFER'!F:F, "STOCK TRANSFER") - SUMIFS(SALES!H:H, SALES!E:E, B47)</f>
        <v>6</v>
      </c>
      <c r="F47" s="28"/>
    </row>
    <row r="48" ht="22.5" customHeight="1">
      <c r="A48" s="13" t="s">
        <v>216</v>
      </c>
      <c r="B48" s="13" t="s">
        <v>218</v>
      </c>
      <c r="C48" s="16">
        <v>103.0</v>
      </c>
      <c r="D48" s="13" t="s">
        <v>172</v>
      </c>
      <c r="E48" s="28">
        <f>SUMIFS('STOCK IN  TRANSFER'!G:G, 'STOCK IN  TRANSFER'!E:E, B48, 'STOCK IN  TRANSFER'!F:F, "STOCK IN") + SUMIFS('STOCK IN  TRANSFER'!G:G, 'STOCK IN  TRANSFER'!E:E, B48, 'STOCK IN  TRANSFER'!F:F, "ADJUSTMENT (+)") - SUMIFS('STOCK IN  TRANSFER'!G:G, 'STOCK IN  TRANSFER'!E:E, B48, 'STOCK IN  TRANSFER'!F:F, "ADJUSTMENT (-)") - SUMIFS('STOCK IN  TRANSFER'!G:G, 'STOCK IN  TRANSFER'!E:E, B48, 'STOCK IN  TRANSFER'!F:F, "STOCK TRANSFER") - SUMIFS(SALES!H:H, SALES!E:E, B48)</f>
        <v>0</v>
      </c>
      <c r="F48" s="28"/>
    </row>
    <row r="49" ht="22.5" customHeight="1">
      <c r="A49" s="13" t="s">
        <v>223</v>
      </c>
      <c r="B49" s="13" t="s">
        <v>224</v>
      </c>
      <c r="C49" s="16">
        <v>500.0</v>
      </c>
      <c r="D49" s="13" t="s">
        <v>75</v>
      </c>
      <c r="E49" s="28">
        <f>SUMIFS('STOCK IN  TRANSFER'!G:G, 'STOCK IN  TRANSFER'!E:E, B49, 'STOCK IN  TRANSFER'!F:F, "STOCK IN") + SUMIFS('STOCK IN  TRANSFER'!G:G, 'STOCK IN  TRANSFER'!E:E, B49, 'STOCK IN  TRANSFER'!F:F, "ADJUSTMENT (+)") - SUMIFS('STOCK IN  TRANSFER'!G:G, 'STOCK IN  TRANSFER'!E:E, B49, 'STOCK IN  TRANSFER'!F:F, "ADJUSTMENT (-)") - SUMIFS('STOCK IN  TRANSFER'!G:G, 'STOCK IN  TRANSFER'!E:E, B49, 'STOCK IN  TRANSFER'!F:F, "STOCK TRANSFER") - SUMIFS(SALES!H:H, SALES!E:E, B49)</f>
        <v>0</v>
      </c>
      <c r="F49" s="28"/>
    </row>
    <row r="50" ht="22.5" customHeight="1">
      <c r="A50" s="13" t="s">
        <v>227</v>
      </c>
      <c r="B50" s="13" t="s">
        <v>228</v>
      </c>
      <c r="C50" s="16">
        <v>700.0</v>
      </c>
      <c r="D50" s="13" t="s">
        <v>197</v>
      </c>
      <c r="E50" s="28">
        <f>SUMIFS('STOCK IN  TRANSFER'!G:G, 'STOCK IN  TRANSFER'!E:E, B50, 'STOCK IN  TRANSFER'!F:F, "STOCK IN") + SUMIFS('STOCK IN  TRANSFER'!G:G, 'STOCK IN  TRANSFER'!E:E, B50, 'STOCK IN  TRANSFER'!F:F, "ADJUSTMENT (+)") - SUMIFS('STOCK IN  TRANSFER'!G:G, 'STOCK IN  TRANSFER'!E:E, B50, 'STOCK IN  TRANSFER'!F:F, "ADJUSTMENT (-)") - SUMIFS('STOCK IN  TRANSFER'!G:G, 'STOCK IN  TRANSFER'!E:E, B50, 'STOCK IN  TRANSFER'!F:F, "STOCK TRANSFER") - SUMIFS(SALES!H:H, SALES!E:E, B50)</f>
        <v>11</v>
      </c>
      <c r="F50" s="28"/>
    </row>
    <row r="51" ht="22.5" customHeight="1">
      <c r="A51" s="13" t="s">
        <v>229</v>
      </c>
      <c r="B51" s="13" t="s">
        <v>230</v>
      </c>
      <c r="C51" s="16">
        <v>750.0</v>
      </c>
      <c r="D51" s="13" t="s">
        <v>231</v>
      </c>
      <c r="E51" s="28">
        <f>SUMIFS('STOCK IN  TRANSFER'!G:G, 'STOCK IN  TRANSFER'!E:E, B51, 'STOCK IN  TRANSFER'!F:F, "STOCK IN") + SUMIFS('STOCK IN  TRANSFER'!G:G, 'STOCK IN  TRANSFER'!E:E, B51, 'STOCK IN  TRANSFER'!F:F, "ADJUSTMENT (+)") - SUMIFS('STOCK IN  TRANSFER'!G:G, 'STOCK IN  TRANSFER'!E:E, B51, 'STOCK IN  TRANSFER'!F:F, "ADJUSTMENT (-)") - SUMIFS('STOCK IN  TRANSFER'!G:G, 'STOCK IN  TRANSFER'!E:E, B51, 'STOCK IN  TRANSFER'!F:F, "STOCK TRANSFER") - SUMIFS(SALES!H:H, SALES!E:E, B51)</f>
        <v>0</v>
      </c>
      <c r="F51" s="28"/>
    </row>
    <row r="52" ht="22.5" customHeight="1">
      <c r="A52" s="13" t="s">
        <v>234</v>
      </c>
      <c r="B52" s="13" t="s">
        <v>235</v>
      </c>
      <c r="C52" s="16">
        <v>728.0</v>
      </c>
      <c r="D52" s="13" t="s">
        <v>124</v>
      </c>
      <c r="E52" s="28">
        <f>SUMIFS('STOCK IN  TRANSFER'!G:G, 'STOCK IN  TRANSFER'!E:E, B52, 'STOCK IN  TRANSFER'!F:F, "STOCK IN") + SUMIFS('STOCK IN  TRANSFER'!G:G, 'STOCK IN  TRANSFER'!E:E, B52, 'STOCK IN  TRANSFER'!F:F, "ADJUSTMENT (+)") - SUMIFS('STOCK IN  TRANSFER'!G:G, 'STOCK IN  TRANSFER'!E:E, B52, 'STOCK IN  TRANSFER'!F:F, "ADJUSTMENT (-)") - SUMIFS('STOCK IN  TRANSFER'!G:G, 'STOCK IN  TRANSFER'!E:E, B52, 'STOCK IN  TRANSFER'!F:F, "STOCK TRANSFER") - SUMIFS(SALES!H:H, SALES!E:E, B52)</f>
        <v>0</v>
      </c>
      <c r="F52" s="28"/>
    </row>
    <row r="53" ht="22.5" customHeight="1">
      <c r="A53" s="13" t="s">
        <v>236</v>
      </c>
      <c r="B53" s="13" t="s">
        <v>237</v>
      </c>
      <c r="C53" s="16">
        <v>28.0</v>
      </c>
      <c r="D53" s="13" t="s">
        <v>89</v>
      </c>
      <c r="E53" s="28">
        <f>SUMIFS('STOCK IN  TRANSFER'!G:G, 'STOCK IN  TRANSFER'!E:E, B53, 'STOCK IN  TRANSFER'!F:F, "STOCK IN") + SUMIFS('STOCK IN  TRANSFER'!G:G, 'STOCK IN  TRANSFER'!E:E, B53, 'STOCK IN  TRANSFER'!F:F, "ADJUSTMENT (+)") - SUMIFS('STOCK IN  TRANSFER'!G:G, 'STOCK IN  TRANSFER'!E:E, B53, 'STOCK IN  TRANSFER'!F:F, "ADJUSTMENT (-)") - SUMIFS('STOCK IN  TRANSFER'!G:G, 'STOCK IN  TRANSFER'!E:E, B53, 'STOCK IN  TRANSFER'!F:F, "STOCK TRANSFER") - SUMIFS(SALES!H:H, SALES!E:E, B53)</f>
        <v>136</v>
      </c>
      <c r="F53" s="28"/>
    </row>
    <row r="54" ht="22.5" customHeight="1">
      <c r="A54" s="13" t="s">
        <v>186</v>
      </c>
      <c r="B54" s="13" t="s">
        <v>239</v>
      </c>
      <c r="C54" s="16">
        <v>28.0</v>
      </c>
      <c r="D54" s="13" t="s">
        <v>89</v>
      </c>
      <c r="E54" s="28">
        <f>SUMIFS('STOCK IN  TRANSFER'!G:G, 'STOCK IN  TRANSFER'!E:E, B54, 'STOCK IN  TRANSFER'!F:F, "STOCK IN") + SUMIFS('STOCK IN  TRANSFER'!G:G, 'STOCK IN  TRANSFER'!E:E, B54, 'STOCK IN  TRANSFER'!F:F, "ADJUSTMENT (+)") - SUMIFS('STOCK IN  TRANSFER'!G:G, 'STOCK IN  TRANSFER'!E:E, B54, 'STOCK IN  TRANSFER'!F:F, "ADJUSTMENT (-)") - SUMIFS('STOCK IN  TRANSFER'!G:G, 'STOCK IN  TRANSFER'!E:E, B54, 'STOCK IN  TRANSFER'!F:F, "STOCK TRANSFER") - SUMIFS(SALES!H:H, SALES!E:E, B54)</f>
        <v>104</v>
      </c>
      <c r="F54" s="28"/>
    </row>
    <row r="55" ht="22.5" customHeight="1">
      <c r="A55" s="13" t="s">
        <v>242</v>
      </c>
      <c r="B55" s="13" t="s">
        <v>243</v>
      </c>
      <c r="C55" s="16">
        <v>577.6</v>
      </c>
      <c r="D55" s="13" t="s">
        <v>124</v>
      </c>
      <c r="E55" s="28">
        <f>SUMIFS('STOCK IN  TRANSFER'!G:G, 'STOCK IN  TRANSFER'!E:E, B55, 'STOCK IN  TRANSFER'!F:F, "STOCK IN") + SUMIFS('STOCK IN  TRANSFER'!G:G, 'STOCK IN  TRANSFER'!E:E, B55, 'STOCK IN  TRANSFER'!F:F, "ADJUSTMENT (+)") - SUMIFS('STOCK IN  TRANSFER'!G:G, 'STOCK IN  TRANSFER'!E:E, B55, 'STOCK IN  TRANSFER'!F:F, "ADJUSTMENT (-)") - SUMIFS('STOCK IN  TRANSFER'!G:G, 'STOCK IN  TRANSFER'!E:E, B55, 'STOCK IN  TRANSFER'!F:F, "STOCK TRANSFER") - SUMIFS(SALES!H:H, SALES!E:E, B55)</f>
        <v>2</v>
      </c>
      <c r="F55" s="28"/>
    </row>
    <row r="56" ht="22.5" customHeight="1">
      <c r="A56" s="13" t="s">
        <v>244</v>
      </c>
      <c r="B56" s="13" t="s">
        <v>244</v>
      </c>
      <c r="C56" s="16">
        <v>66.0</v>
      </c>
      <c r="D56" s="13" t="s">
        <v>163</v>
      </c>
      <c r="E56" s="28">
        <f>SUMIFS('STOCK IN  TRANSFER'!G:G, 'STOCK IN  TRANSFER'!E:E, B56, 'STOCK IN  TRANSFER'!F:F, "STOCK IN") + SUMIFS('STOCK IN  TRANSFER'!G:G, 'STOCK IN  TRANSFER'!E:E, B56, 'STOCK IN  TRANSFER'!F:F, "ADJUSTMENT (+)") - SUMIFS('STOCK IN  TRANSFER'!G:G, 'STOCK IN  TRANSFER'!E:E, B56, 'STOCK IN  TRANSFER'!F:F, "ADJUSTMENT (-)") - SUMIFS('STOCK IN  TRANSFER'!G:G, 'STOCK IN  TRANSFER'!E:E, B56, 'STOCK IN  TRANSFER'!F:F, "STOCK TRANSFER") - SUMIFS(SALES!H:H, SALES!E:E, B56)</f>
        <v>15</v>
      </c>
      <c r="F56" s="28"/>
    </row>
    <row r="57" ht="22.5" customHeight="1">
      <c r="A57" s="13" t="s">
        <v>247</v>
      </c>
      <c r="B57" s="13" t="s">
        <v>248</v>
      </c>
      <c r="C57" s="16">
        <v>11.0</v>
      </c>
      <c r="D57" s="13" t="s">
        <v>89</v>
      </c>
      <c r="E57" s="28">
        <f>SUMIFS('STOCK IN  TRANSFER'!G:G, 'STOCK IN  TRANSFER'!E:E, B57, 'STOCK IN  TRANSFER'!F:F, "STOCK IN") + SUMIFS('STOCK IN  TRANSFER'!G:G, 'STOCK IN  TRANSFER'!E:E, B57, 'STOCK IN  TRANSFER'!F:F, "ADJUSTMENT (+)") - SUMIFS('STOCK IN  TRANSFER'!G:G, 'STOCK IN  TRANSFER'!E:E, B57, 'STOCK IN  TRANSFER'!F:F, "ADJUSTMENT (-)") - SUMIFS('STOCK IN  TRANSFER'!G:G, 'STOCK IN  TRANSFER'!E:E, B57, 'STOCK IN  TRANSFER'!F:F, "STOCK TRANSFER") - SUMIFS(SALES!H:H, SALES!E:E, B57)</f>
        <v>8</v>
      </c>
      <c r="F57" s="28"/>
    </row>
    <row r="58" ht="22.5" customHeight="1">
      <c r="A58" s="13" t="s">
        <v>251</v>
      </c>
      <c r="B58" s="13" t="s">
        <v>252</v>
      </c>
      <c r="C58" s="16">
        <v>40.0</v>
      </c>
      <c r="D58" s="13" t="s">
        <v>163</v>
      </c>
      <c r="E58" s="28">
        <f>SUMIFS('STOCK IN  TRANSFER'!G:G, 'STOCK IN  TRANSFER'!E:E, B58, 'STOCK IN  TRANSFER'!F:F, "STOCK IN") + SUMIFS('STOCK IN  TRANSFER'!G:G, 'STOCK IN  TRANSFER'!E:E, B58, 'STOCK IN  TRANSFER'!F:F, "ADJUSTMENT (+)") - SUMIFS('STOCK IN  TRANSFER'!G:G, 'STOCK IN  TRANSFER'!E:E, B58, 'STOCK IN  TRANSFER'!F:F, "ADJUSTMENT (-)") - SUMIFS('STOCK IN  TRANSFER'!G:G, 'STOCK IN  TRANSFER'!E:E, B58, 'STOCK IN  TRANSFER'!F:F, "STOCK TRANSFER") - SUMIFS(SALES!H:H, SALES!E:E, B58)</f>
        <v>0</v>
      </c>
      <c r="F58" s="28"/>
    </row>
    <row r="59" ht="22.5" customHeight="1">
      <c r="A59" s="13" t="s">
        <v>253</v>
      </c>
      <c r="B59" s="13" t="s">
        <v>254</v>
      </c>
      <c r="C59" s="16">
        <v>780.0</v>
      </c>
      <c r="D59" s="13" t="s">
        <v>255</v>
      </c>
      <c r="E59" s="28">
        <f>SUMIFS('STOCK IN  TRANSFER'!G:G, 'STOCK IN  TRANSFER'!E:E, B59, 'STOCK IN  TRANSFER'!F:F, "STOCK IN") + SUMIFS('STOCK IN  TRANSFER'!G:G, 'STOCK IN  TRANSFER'!E:E, B59, 'STOCK IN  TRANSFER'!F:F, "ADJUSTMENT (+)") - SUMIFS('STOCK IN  TRANSFER'!G:G, 'STOCK IN  TRANSFER'!E:E, B59, 'STOCK IN  TRANSFER'!F:F, "ADJUSTMENT (-)") - SUMIFS('STOCK IN  TRANSFER'!G:G, 'STOCK IN  TRANSFER'!E:E, B59, 'STOCK IN  TRANSFER'!F:F, "STOCK TRANSFER") - SUMIFS(SALES!H:H, SALES!E:E, B59)</f>
        <v>3.5</v>
      </c>
      <c r="F59" s="13"/>
    </row>
    <row r="60" ht="22.5" customHeight="1">
      <c r="A60" s="13" t="s">
        <v>260</v>
      </c>
      <c r="B60" s="13" t="s">
        <v>261</v>
      </c>
      <c r="C60" s="16">
        <v>479.0</v>
      </c>
      <c r="D60" s="13" t="s">
        <v>124</v>
      </c>
      <c r="E60" s="28">
        <f>SUMIFS('STOCK IN  TRANSFER'!G:G, 'STOCK IN  TRANSFER'!E:E, B60, 'STOCK IN  TRANSFER'!F:F, "STOCK IN") + SUMIFS('STOCK IN  TRANSFER'!G:G, 'STOCK IN  TRANSFER'!E:E, B60, 'STOCK IN  TRANSFER'!F:F, "ADJUSTMENT (+)") - SUMIFS('STOCK IN  TRANSFER'!G:G, 'STOCK IN  TRANSFER'!E:E, B60, 'STOCK IN  TRANSFER'!F:F, "ADJUSTMENT (-)") - SUMIFS('STOCK IN  TRANSFER'!G:G, 'STOCK IN  TRANSFER'!E:E, B60, 'STOCK IN  TRANSFER'!F:F, "STOCK TRANSFER") - SUMIFS(SALES!H:H, SALES!E:E, B60)</f>
        <v>0</v>
      </c>
      <c r="F60" s="13"/>
    </row>
    <row r="61" ht="22.5" customHeight="1">
      <c r="A61" s="13" t="s">
        <v>263</v>
      </c>
      <c r="B61" s="13" t="s">
        <v>265</v>
      </c>
      <c r="C61" s="16">
        <v>72.0195</v>
      </c>
      <c r="D61" s="13" t="s">
        <v>267</v>
      </c>
      <c r="E61" s="28">
        <f>SUMIFS('STOCK IN  TRANSFER'!G:G, 'STOCK IN  TRANSFER'!E:E, B61, 'STOCK IN  TRANSFER'!F:F, "STOCK IN") + SUMIFS('STOCK IN  TRANSFER'!G:G, 'STOCK IN  TRANSFER'!E:E, B61, 'STOCK IN  TRANSFER'!F:F, "ADJUSTMENT (+)") - SUMIFS('STOCK IN  TRANSFER'!G:G, 'STOCK IN  TRANSFER'!E:E, B61, 'STOCK IN  TRANSFER'!F:F, "ADJUSTMENT (-)") - SUMIFS('STOCK IN  TRANSFER'!G:G, 'STOCK IN  TRANSFER'!E:E, B61, 'STOCK IN  TRANSFER'!F:F, "STOCK TRANSFER") - SUMIFS(SALES!H:H, SALES!E:E, B61)</f>
        <v>1</v>
      </c>
      <c r="F61" s="28"/>
    </row>
    <row r="62" ht="22.5" customHeight="1">
      <c r="A62" s="13" t="s">
        <v>269</v>
      </c>
      <c r="B62" s="13" t="s">
        <v>270</v>
      </c>
      <c r="C62" s="16">
        <v>104.6</v>
      </c>
      <c r="D62" s="13" t="s">
        <v>172</v>
      </c>
      <c r="E62" s="28">
        <f>SUMIFS('STOCK IN  TRANSFER'!G:G, 'STOCK IN  TRANSFER'!E:E, B62, 'STOCK IN  TRANSFER'!F:F, "STOCK IN") + SUMIFS('STOCK IN  TRANSFER'!G:G, 'STOCK IN  TRANSFER'!E:E, B62, 'STOCK IN  TRANSFER'!F:F, "ADJUSTMENT (+)") - SUMIFS('STOCK IN  TRANSFER'!G:G, 'STOCK IN  TRANSFER'!E:E, B62, 'STOCK IN  TRANSFER'!F:F, "ADJUSTMENT (-)") - SUMIFS('STOCK IN  TRANSFER'!G:G, 'STOCK IN  TRANSFER'!E:E, B62, 'STOCK IN  TRANSFER'!F:F, "STOCK TRANSFER") - SUMIFS(SALES!H:H, SALES!E:E, B62)</f>
        <v>6</v>
      </c>
      <c r="F62" s="13"/>
    </row>
    <row r="63" ht="22.5" customHeight="1">
      <c r="A63" s="13" t="s">
        <v>273</v>
      </c>
      <c r="B63" s="13" t="s">
        <v>274</v>
      </c>
      <c r="C63" s="16">
        <v>115.0</v>
      </c>
      <c r="D63" s="13" t="s">
        <v>172</v>
      </c>
      <c r="E63" s="28">
        <f>SUMIFS('STOCK IN  TRANSFER'!G:G, 'STOCK IN  TRANSFER'!E:E, B63, 'STOCK IN  TRANSFER'!F:F, "STOCK IN") + SUMIFS('STOCK IN  TRANSFER'!G:G, 'STOCK IN  TRANSFER'!E:E, B63, 'STOCK IN  TRANSFER'!F:F, "ADJUSTMENT (+)") - SUMIFS('STOCK IN  TRANSFER'!G:G, 'STOCK IN  TRANSFER'!E:E, B63, 'STOCK IN  TRANSFER'!F:F, "ADJUSTMENT (-)") - SUMIFS('STOCK IN  TRANSFER'!G:G, 'STOCK IN  TRANSFER'!E:E, B63, 'STOCK IN  TRANSFER'!F:F, "STOCK TRANSFER") - SUMIFS(SALES!H:H, SALES!E:E, B63)</f>
        <v>2</v>
      </c>
      <c r="F63" s="28"/>
    </row>
    <row r="64" ht="22.5" customHeight="1">
      <c r="A64" s="13" t="s">
        <v>276</v>
      </c>
      <c r="B64" s="13" t="s">
        <v>277</v>
      </c>
      <c r="C64" s="16">
        <v>656.0</v>
      </c>
      <c r="D64" s="13" t="s">
        <v>28</v>
      </c>
      <c r="E64" s="28">
        <f>SUMIFS('STOCK IN  TRANSFER'!G:G, 'STOCK IN  TRANSFER'!E:E, B64, 'STOCK IN  TRANSFER'!F:F, "STOCK IN") + SUMIFS('STOCK IN  TRANSFER'!G:G, 'STOCK IN  TRANSFER'!E:E, B64, 'STOCK IN  TRANSFER'!F:F, "ADJUSTMENT (+)") - SUMIFS('STOCK IN  TRANSFER'!G:G, 'STOCK IN  TRANSFER'!E:E, B64, 'STOCK IN  TRANSFER'!F:F, "ADJUSTMENT (-)") - SUMIFS('STOCK IN  TRANSFER'!G:G, 'STOCK IN  TRANSFER'!E:E, B64, 'STOCK IN  TRANSFER'!F:F, "STOCK TRANSFER") - SUMIFS(SALES!H:H, SALES!E:E, B64)</f>
        <v>0</v>
      </c>
      <c r="F64" s="28"/>
    </row>
    <row r="65" ht="22.5" customHeight="1">
      <c r="A65" s="13" t="s">
        <v>278</v>
      </c>
      <c r="B65" s="13" t="s">
        <v>279</v>
      </c>
      <c r="C65" s="16">
        <v>665.0</v>
      </c>
      <c r="D65" s="13" t="s">
        <v>28</v>
      </c>
      <c r="E65" s="28">
        <f>SUMIFS('STOCK IN  TRANSFER'!G:G, 'STOCK IN  TRANSFER'!E:E, B65, 'STOCK IN  TRANSFER'!F:F, "STOCK IN") + SUMIFS('STOCK IN  TRANSFER'!G:G, 'STOCK IN  TRANSFER'!E:E, B65, 'STOCK IN  TRANSFER'!F:F, "ADJUSTMENT (+)") - SUMIFS('STOCK IN  TRANSFER'!G:G, 'STOCK IN  TRANSFER'!E:E, B65, 'STOCK IN  TRANSFER'!F:F, "ADJUSTMENT (-)") - SUMIFS('STOCK IN  TRANSFER'!G:G, 'STOCK IN  TRANSFER'!E:E, B65, 'STOCK IN  TRANSFER'!F:F, "STOCK TRANSFER") - SUMIFS(SALES!H:H, SALES!E:E, B65)</f>
        <v>0</v>
      </c>
      <c r="F65" s="28"/>
    </row>
    <row r="66" ht="22.5" customHeight="1">
      <c r="A66" s="13" t="s">
        <v>282</v>
      </c>
      <c r="B66" s="13" t="s">
        <v>283</v>
      </c>
      <c r="C66" s="16">
        <v>0.0</v>
      </c>
      <c r="D66" s="13" t="s">
        <v>28</v>
      </c>
      <c r="E66" s="28">
        <f>SUMIFS('STOCK IN  TRANSFER'!G:G, 'STOCK IN  TRANSFER'!E:E, B66, 'STOCK IN  TRANSFER'!F:F, "STOCK IN") + SUMIFS('STOCK IN  TRANSFER'!G:G, 'STOCK IN  TRANSFER'!E:E, B66, 'STOCK IN  TRANSFER'!F:F, "ADJUSTMENT (+)") - SUMIFS('STOCK IN  TRANSFER'!G:G, 'STOCK IN  TRANSFER'!E:E, B66, 'STOCK IN  TRANSFER'!F:F, "ADJUSTMENT (-)") - SUMIFS('STOCK IN  TRANSFER'!G:G, 'STOCK IN  TRANSFER'!E:E, B66, 'STOCK IN  TRANSFER'!F:F, "STOCK TRANSFER") - SUMIFS(SALES!H:H, SALES!E:E, B66)</f>
        <v>0</v>
      </c>
      <c r="F66" s="28"/>
    </row>
    <row r="67" ht="22.5" customHeight="1">
      <c r="A67" s="13" t="s">
        <v>284</v>
      </c>
      <c r="B67" s="13" t="s">
        <v>285</v>
      </c>
      <c r="C67" s="16">
        <v>665.0</v>
      </c>
      <c r="D67" s="13" t="s">
        <v>28</v>
      </c>
      <c r="E67" s="28">
        <f>SUMIFS('STOCK IN  TRANSFER'!G:G, 'STOCK IN  TRANSFER'!E:E, B67, 'STOCK IN  TRANSFER'!F:F, "STOCK IN") + SUMIFS('STOCK IN  TRANSFER'!G:G, 'STOCK IN  TRANSFER'!E:E, B67, 'STOCK IN  TRANSFER'!F:F, "ADJUSTMENT (+)") - SUMIFS('STOCK IN  TRANSFER'!G:G, 'STOCK IN  TRANSFER'!E:E, B67, 'STOCK IN  TRANSFER'!F:F, "ADJUSTMENT (-)") - SUMIFS('STOCK IN  TRANSFER'!G:G, 'STOCK IN  TRANSFER'!E:E, B67, 'STOCK IN  TRANSFER'!F:F, "STOCK TRANSFER") - SUMIFS(SALES!H:H, SALES!E:E, B67)</f>
        <v>0</v>
      </c>
      <c r="F67" s="28"/>
    </row>
    <row r="68" ht="22.5" customHeight="1">
      <c r="A68" s="13" t="s">
        <v>289</v>
      </c>
      <c r="B68" s="13" t="s">
        <v>290</v>
      </c>
      <c r="C68" s="16">
        <v>665.0</v>
      </c>
      <c r="D68" s="13" t="s">
        <v>28</v>
      </c>
      <c r="E68" s="28">
        <f>SUMIFS('STOCK IN  TRANSFER'!G:G, 'STOCK IN  TRANSFER'!E:E, B68, 'STOCK IN  TRANSFER'!F:F, "STOCK IN") + SUMIFS('STOCK IN  TRANSFER'!G:G, 'STOCK IN  TRANSFER'!E:E, B68, 'STOCK IN  TRANSFER'!F:F, "ADJUSTMENT (+)") - SUMIFS('STOCK IN  TRANSFER'!G:G, 'STOCK IN  TRANSFER'!E:E, B68, 'STOCK IN  TRANSFER'!F:F, "ADJUSTMENT (-)") - SUMIFS('STOCK IN  TRANSFER'!G:G, 'STOCK IN  TRANSFER'!E:E, B68, 'STOCK IN  TRANSFER'!F:F, "STOCK TRANSFER") - SUMIFS(SALES!H:H, SALES!E:E, B68)</f>
        <v>0</v>
      </c>
      <c r="F68" s="28"/>
    </row>
    <row r="69" ht="22.5" customHeight="1">
      <c r="A69" s="13" t="s">
        <v>292</v>
      </c>
      <c r="B69" s="13" t="s">
        <v>293</v>
      </c>
      <c r="C69" s="16">
        <v>665.0</v>
      </c>
      <c r="D69" s="13" t="s">
        <v>28</v>
      </c>
      <c r="E69" s="28">
        <f>SUMIFS('STOCK IN  TRANSFER'!G:G, 'STOCK IN  TRANSFER'!E:E, B69, 'STOCK IN  TRANSFER'!F:F, "STOCK IN") + SUMIFS('STOCK IN  TRANSFER'!G:G, 'STOCK IN  TRANSFER'!E:E, B69, 'STOCK IN  TRANSFER'!F:F, "ADJUSTMENT (+)") - SUMIFS('STOCK IN  TRANSFER'!G:G, 'STOCK IN  TRANSFER'!E:E, B69, 'STOCK IN  TRANSFER'!F:F, "ADJUSTMENT (-)") - SUMIFS('STOCK IN  TRANSFER'!G:G, 'STOCK IN  TRANSFER'!E:E, B69, 'STOCK IN  TRANSFER'!F:F, "STOCK TRANSFER") - SUMIFS(SALES!H:H, SALES!E:E, B69)</f>
        <v>0</v>
      </c>
      <c r="F69" s="28"/>
    </row>
    <row r="70" ht="22.5" customHeight="1">
      <c r="A70" s="13" t="s">
        <v>296</v>
      </c>
      <c r="B70" s="13" t="s">
        <v>297</v>
      </c>
      <c r="C70" s="16">
        <v>546.0</v>
      </c>
      <c r="D70" s="13" t="s">
        <v>28</v>
      </c>
      <c r="E70" s="28">
        <f>SUMIFS('STOCK IN  TRANSFER'!G:G, 'STOCK IN  TRANSFER'!E:E, B70, 'STOCK IN  TRANSFER'!F:F, "STOCK IN") + SUMIFS('STOCK IN  TRANSFER'!G:G, 'STOCK IN  TRANSFER'!E:E, B70, 'STOCK IN  TRANSFER'!F:F, "ADJUSTMENT (+)") - SUMIFS('STOCK IN  TRANSFER'!G:G, 'STOCK IN  TRANSFER'!E:E, B70, 'STOCK IN  TRANSFER'!F:F, "ADJUSTMENT (-)") - SUMIFS('STOCK IN  TRANSFER'!G:G, 'STOCK IN  TRANSFER'!E:E, B70, 'STOCK IN  TRANSFER'!F:F, "STOCK TRANSFER") - SUMIFS(SALES!H:H, SALES!E:E, B70)</f>
        <v>0</v>
      </c>
      <c r="F70" s="28"/>
    </row>
    <row r="71" ht="22.5" customHeight="1">
      <c r="A71" s="13" t="s">
        <v>299</v>
      </c>
      <c r="B71" s="13" t="s">
        <v>300</v>
      </c>
      <c r="C71" s="16">
        <v>665.0</v>
      </c>
      <c r="D71" s="13" t="s">
        <v>28</v>
      </c>
      <c r="E71" s="28">
        <f>SUMIFS('STOCK IN  TRANSFER'!G:G, 'STOCK IN  TRANSFER'!E:E, B71, 'STOCK IN  TRANSFER'!F:F, "STOCK IN") + SUMIFS('STOCK IN  TRANSFER'!G:G, 'STOCK IN  TRANSFER'!E:E, B71, 'STOCK IN  TRANSFER'!F:F, "ADJUSTMENT (+)") - SUMIFS('STOCK IN  TRANSFER'!G:G, 'STOCK IN  TRANSFER'!E:E, B71, 'STOCK IN  TRANSFER'!F:F, "ADJUSTMENT (-)") - SUMIFS('STOCK IN  TRANSFER'!G:G, 'STOCK IN  TRANSFER'!E:E, B71, 'STOCK IN  TRANSFER'!F:F, "STOCK TRANSFER") - SUMIFS(SALES!H:H, SALES!E:E, B71)</f>
        <v>0</v>
      </c>
      <c r="F71" s="28"/>
    </row>
    <row r="72" ht="22.5" customHeight="1">
      <c r="A72" s="13" t="s">
        <v>302</v>
      </c>
      <c r="B72" s="13" t="s">
        <v>303</v>
      </c>
      <c r="C72" s="16">
        <v>0.0</v>
      </c>
      <c r="D72" s="13" t="s">
        <v>28</v>
      </c>
      <c r="E72" s="28">
        <f>SUMIFS('STOCK IN  TRANSFER'!G:G, 'STOCK IN  TRANSFER'!E:E, B72, 'STOCK IN  TRANSFER'!F:F, "STOCK IN") + SUMIFS('STOCK IN  TRANSFER'!G:G, 'STOCK IN  TRANSFER'!E:E, B72, 'STOCK IN  TRANSFER'!F:F, "ADJUSTMENT (+)") - SUMIFS('STOCK IN  TRANSFER'!G:G, 'STOCK IN  TRANSFER'!E:E, B72, 'STOCK IN  TRANSFER'!F:F, "ADJUSTMENT (-)") - SUMIFS('STOCK IN  TRANSFER'!G:G, 'STOCK IN  TRANSFER'!E:E, B72, 'STOCK IN  TRANSFER'!F:F, "STOCK TRANSFER") - SUMIFS(SALES!H:H, SALES!E:E, B72)</f>
        <v>0</v>
      </c>
      <c r="F72" s="28"/>
    </row>
    <row r="73" ht="22.5" customHeight="1">
      <c r="A73" s="13" t="s">
        <v>306</v>
      </c>
      <c r="B73" s="13" t="s">
        <v>307</v>
      </c>
      <c r="C73" s="16">
        <v>727.0</v>
      </c>
      <c r="D73" s="13" t="s">
        <v>28</v>
      </c>
      <c r="E73" s="28">
        <f>SUMIFS('STOCK IN  TRANSFER'!G:G, 'STOCK IN  TRANSFER'!E:E, B73, 'STOCK IN  TRANSFER'!F:F, "STOCK IN") + SUMIFS('STOCK IN  TRANSFER'!G:G, 'STOCK IN  TRANSFER'!E:E, B73, 'STOCK IN  TRANSFER'!F:F, "ADJUSTMENT (+)") - SUMIFS('STOCK IN  TRANSFER'!G:G, 'STOCK IN  TRANSFER'!E:E, B73, 'STOCK IN  TRANSFER'!F:F, "ADJUSTMENT (-)") - SUMIFS('STOCK IN  TRANSFER'!G:G, 'STOCK IN  TRANSFER'!E:E, B73, 'STOCK IN  TRANSFER'!F:F, "STOCK TRANSFER") - SUMIFS(SALES!H:H, SALES!E:E, B73)</f>
        <v>0</v>
      </c>
      <c r="F73" s="28"/>
    </row>
    <row r="74" ht="22.5" customHeight="1">
      <c r="A74" s="13" t="s">
        <v>308</v>
      </c>
      <c r="B74" s="13" t="s">
        <v>309</v>
      </c>
      <c r="C74" s="16">
        <v>0.0</v>
      </c>
      <c r="D74" s="13" t="s">
        <v>28</v>
      </c>
      <c r="E74" s="28">
        <f>SUMIFS('STOCK IN  TRANSFER'!G:G, 'STOCK IN  TRANSFER'!E:E, B74, 'STOCK IN  TRANSFER'!F:F, "STOCK IN") + SUMIFS('STOCK IN  TRANSFER'!G:G, 'STOCK IN  TRANSFER'!E:E, B74, 'STOCK IN  TRANSFER'!F:F, "ADJUSTMENT (+)") - SUMIFS('STOCK IN  TRANSFER'!G:G, 'STOCK IN  TRANSFER'!E:E, B74, 'STOCK IN  TRANSFER'!F:F, "ADJUSTMENT (-)") - SUMIFS('STOCK IN  TRANSFER'!G:G, 'STOCK IN  TRANSFER'!E:E, B74, 'STOCK IN  TRANSFER'!F:F, "STOCK TRANSFER") - SUMIFS(SALES!H:H, SALES!E:E, B74)</f>
        <v>0</v>
      </c>
      <c r="F74" s="28"/>
    </row>
    <row r="75" ht="22.5" customHeight="1">
      <c r="A75" s="13" t="s">
        <v>311</v>
      </c>
      <c r="B75" s="13" t="s">
        <v>312</v>
      </c>
      <c r="C75" s="16">
        <v>950.0</v>
      </c>
      <c r="D75" s="13" t="s">
        <v>28</v>
      </c>
      <c r="E75" s="28">
        <f>SUMIFS('STOCK IN  TRANSFER'!G:G, 'STOCK IN  TRANSFER'!E:E, B75, 'STOCK IN  TRANSFER'!F:F, "STOCK IN") + SUMIFS('STOCK IN  TRANSFER'!G:G, 'STOCK IN  TRANSFER'!E:E, B75, 'STOCK IN  TRANSFER'!F:F, "ADJUSTMENT (+)") - SUMIFS('STOCK IN  TRANSFER'!G:G, 'STOCK IN  TRANSFER'!E:E, B75, 'STOCK IN  TRANSFER'!F:F, "ADJUSTMENT (-)") - SUMIFS('STOCK IN  TRANSFER'!G:G, 'STOCK IN  TRANSFER'!E:E, B75, 'STOCK IN  TRANSFER'!F:F, "STOCK TRANSFER") - SUMIFS(SALES!H:H, SALES!E:E, B75)</f>
        <v>0</v>
      </c>
      <c r="F75" s="28"/>
    </row>
    <row r="76" ht="22.5" customHeight="1">
      <c r="A76" s="13" t="s">
        <v>316</v>
      </c>
      <c r="B76" s="13" t="s">
        <v>317</v>
      </c>
      <c r="C76" s="16">
        <v>1391.0</v>
      </c>
      <c r="D76" s="13" t="s">
        <v>28</v>
      </c>
      <c r="E76" s="28">
        <f>SUMIFS('STOCK IN  TRANSFER'!G:G, 'STOCK IN  TRANSFER'!E:E, B76, 'STOCK IN  TRANSFER'!F:F, "STOCK IN") + SUMIFS('STOCK IN  TRANSFER'!G:G, 'STOCK IN  TRANSFER'!E:E, B76, 'STOCK IN  TRANSFER'!F:F, "ADJUSTMENT (+)") - SUMIFS('STOCK IN  TRANSFER'!G:G, 'STOCK IN  TRANSFER'!E:E, B76, 'STOCK IN  TRANSFER'!F:F, "ADJUSTMENT (-)") - SUMIFS('STOCK IN  TRANSFER'!G:G, 'STOCK IN  TRANSFER'!E:E, B76, 'STOCK IN  TRANSFER'!F:F, "STOCK TRANSFER") - SUMIFS(SALES!H:H, SALES!E:E, B76)</f>
        <v>0</v>
      </c>
      <c r="F76" s="28"/>
    </row>
    <row r="77" ht="22.5" customHeight="1">
      <c r="A77" s="13" t="s">
        <v>319</v>
      </c>
      <c r="B77" s="13" t="s">
        <v>320</v>
      </c>
      <c r="C77" s="16">
        <v>655.0</v>
      </c>
      <c r="D77" s="13" t="s">
        <v>28</v>
      </c>
      <c r="E77" s="28">
        <f>SUMIFS('STOCK IN  TRANSFER'!G:G, 'STOCK IN  TRANSFER'!E:E, B77, 'STOCK IN  TRANSFER'!F:F, "STOCK IN") + SUMIFS('STOCK IN  TRANSFER'!G:G, 'STOCK IN  TRANSFER'!E:E, B77, 'STOCK IN  TRANSFER'!F:F, "ADJUSTMENT (+)") - SUMIFS('STOCK IN  TRANSFER'!G:G, 'STOCK IN  TRANSFER'!E:E, B77, 'STOCK IN  TRANSFER'!F:F, "ADJUSTMENT (-)") - SUMIFS('STOCK IN  TRANSFER'!G:G, 'STOCK IN  TRANSFER'!E:E, B77, 'STOCK IN  TRANSFER'!F:F, "STOCK TRANSFER") - SUMIFS(SALES!H:H, SALES!E:E, B77)</f>
        <v>1</v>
      </c>
      <c r="F77" s="13"/>
    </row>
    <row r="78" ht="22.5" customHeight="1">
      <c r="A78" s="13" t="s">
        <v>322</v>
      </c>
      <c r="B78" s="13" t="s">
        <v>323</v>
      </c>
      <c r="C78" s="16">
        <v>800.0</v>
      </c>
      <c r="D78" s="13" t="s">
        <v>28</v>
      </c>
      <c r="E78" s="28">
        <f>SUMIFS('STOCK IN  TRANSFER'!G:G, 'STOCK IN  TRANSFER'!E:E, B78, 'STOCK IN  TRANSFER'!F:F, "STOCK IN") + SUMIFS('STOCK IN  TRANSFER'!G:G, 'STOCK IN  TRANSFER'!E:E, B78, 'STOCK IN  TRANSFER'!F:F, "ADJUSTMENT (+)") - SUMIFS('STOCK IN  TRANSFER'!G:G, 'STOCK IN  TRANSFER'!E:E, B78, 'STOCK IN  TRANSFER'!F:F, "ADJUSTMENT (-)") - SUMIFS('STOCK IN  TRANSFER'!G:G, 'STOCK IN  TRANSFER'!E:E, B78, 'STOCK IN  TRANSFER'!F:F, "STOCK TRANSFER") - SUMIFS(SALES!H:H, SALES!E:E, B78)</f>
        <v>0</v>
      </c>
      <c r="F78" s="13"/>
    </row>
    <row r="79" ht="22.5" customHeight="1">
      <c r="A79" s="13" t="s">
        <v>327</v>
      </c>
      <c r="B79" s="13" t="s">
        <v>328</v>
      </c>
      <c r="C79" s="16">
        <v>665.0</v>
      </c>
      <c r="D79" s="13" t="s">
        <v>28</v>
      </c>
      <c r="E79" s="28">
        <f>SUMIFS('STOCK IN  TRANSFER'!G:G, 'STOCK IN  TRANSFER'!E:E, B79, 'STOCK IN  TRANSFER'!F:F, "STOCK IN") + SUMIFS('STOCK IN  TRANSFER'!G:G, 'STOCK IN  TRANSFER'!E:E, B79, 'STOCK IN  TRANSFER'!F:F, "ADJUSTMENT (+)") - SUMIFS('STOCK IN  TRANSFER'!G:G, 'STOCK IN  TRANSFER'!E:E, B79, 'STOCK IN  TRANSFER'!F:F, "ADJUSTMENT (-)") - SUMIFS('STOCK IN  TRANSFER'!G:G, 'STOCK IN  TRANSFER'!E:E, B79, 'STOCK IN  TRANSFER'!F:F, "STOCK TRANSFER") - SUMIFS(SALES!H:H, SALES!E:E, B79)</f>
        <v>0</v>
      </c>
      <c r="F79" s="13"/>
    </row>
    <row r="80" ht="22.5" customHeight="1">
      <c r="A80" s="13" t="s">
        <v>330</v>
      </c>
      <c r="B80" s="13" t="s">
        <v>332</v>
      </c>
      <c r="C80" s="16">
        <v>851.0</v>
      </c>
      <c r="D80" s="13" t="s">
        <v>75</v>
      </c>
      <c r="E80" s="28">
        <f>SUMIFS('STOCK IN  TRANSFER'!G:G, 'STOCK IN  TRANSFER'!E:E, B80, 'STOCK IN  TRANSFER'!F:F, "STOCK IN") + SUMIFS('STOCK IN  TRANSFER'!G:G, 'STOCK IN  TRANSFER'!E:E, B80, 'STOCK IN  TRANSFER'!F:F, "ADJUSTMENT (+)") - SUMIFS('STOCK IN  TRANSFER'!G:G, 'STOCK IN  TRANSFER'!E:E, B80, 'STOCK IN  TRANSFER'!F:F, "ADJUSTMENT (-)") - SUMIFS('STOCK IN  TRANSFER'!G:G, 'STOCK IN  TRANSFER'!E:E, B80, 'STOCK IN  TRANSFER'!F:F, "STOCK TRANSFER") - SUMIFS(SALES!H:H, SALES!E:E, B80)</f>
        <v>12</v>
      </c>
      <c r="F80" s="13"/>
    </row>
    <row r="81" ht="22.5" customHeight="1">
      <c r="A81" s="13" t="s">
        <v>335</v>
      </c>
      <c r="B81" s="13" t="s">
        <v>336</v>
      </c>
      <c r="C81" s="16"/>
      <c r="D81" s="13" t="s">
        <v>39</v>
      </c>
      <c r="E81" s="28">
        <f>SUMIFS('STOCK IN  TRANSFER'!G:G, 'STOCK IN  TRANSFER'!E:E, B81, 'STOCK IN  TRANSFER'!F:F, "STOCK IN") + SUMIFS('STOCK IN  TRANSFER'!G:G, 'STOCK IN  TRANSFER'!E:E, B81, 'STOCK IN  TRANSFER'!F:F, "ADJUSTMENT (+)") - SUMIFS('STOCK IN  TRANSFER'!G:G, 'STOCK IN  TRANSFER'!E:E, B81, 'STOCK IN  TRANSFER'!F:F, "ADJUSTMENT (-)") - SUMIFS('STOCK IN  TRANSFER'!G:G, 'STOCK IN  TRANSFER'!E:E, B81, 'STOCK IN  TRANSFER'!F:F, "STOCK TRANSFER") - SUMIFS(SALES!H:H, SALES!E:E, B81)</f>
        <v>0</v>
      </c>
      <c r="F81" s="13"/>
    </row>
    <row r="82" ht="22.5" customHeight="1">
      <c r="A82" s="13" t="s">
        <v>341</v>
      </c>
      <c r="B82" s="13" t="s">
        <v>342</v>
      </c>
      <c r="C82" s="16">
        <v>2442.0</v>
      </c>
      <c r="D82" s="13" t="s">
        <v>343</v>
      </c>
      <c r="E82" s="28">
        <f>SUMIFS('STOCK IN  TRANSFER'!G:G, 'STOCK IN  TRANSFER'!E:E, B82, 'STOCK IN  TRANSFER'!F:F, "STOCK IN") + SUMIFS('STOCK IN  TRANSFER'!G:G, 'STOCK IN  TRANSFER'!E:E, B82, 'STOCK IN  TRANSFER'!F:F, "ADJUSTMENT (+)") - SUMIFS('STOCK IN  TRANSFER'!G:G, 'STOCK IN  TRANSFER'!E:E, B82, 'STOCK IN  TRANSFER'!F:F, "ADJUSTMENT (-)") - SUMIFS('STOCK IN  TRANSFER'!G:G, 'STOCK IN  TRANSFER'!E:E, B82, 'STOCK IN  TRANSFER'!F:F, "STOCK TRANSFER") - SUMIFS(SALES!H:H, SALES!E:E, B82)</f>
        <v>4</v>
      </c>
      <c r="F82" s="13"/>
    </row>
    <row r="83" ht="22.5" customHeight="1">
      <c r="A83" s="13" t="s">
        <v>345</v>
      </c>
      <c r="B83" s="13" t="s">
        <v>346</v>
      </c>
      <c r="C83" s="16">
        <v>95.0</v>
      </c>
      <c r="D83" s="13" t="s">
        <v>146</v>
      </c>
      <c r="E83" s="28">
        <f>SUMIFS('STOCK IN  TRANSFER'!G:G, 'STOCK IN  TRANSFER'!E:E, B83, 'STOCK IN  TRANSFER'!F:F, "STOCK IN") + SUMIFS('STOCK IN  TRANSFER'!G:G, 'STOCK IN  TRANSFER'!E:E, B83, 'STOCK IN  TRANSFER'!F:F, "ADJUSTMENT (+)") - SUMIFS('STOCK IN  TRANSFER'!G:G, 'STOCK IN  TRANSFER'!E:E, B83, 'STOCK IN  TRANSFER'!F:F, "ADJUSTMENT (-)") - SUMIFS('STOCK IN  TRANSFER'!G:G, 'STOCK IN  TRANSFER'!E:E, B83, 'STOCK IN  TRANSFER'!F:F, "STOCK TRANSFER") - SUMIFS(SALES!H:H, SALES!E:E, B83)</f>
        <v>-1</v>
      </c>
      <c r="F83" s="13"/>
    </row>
    <row r="84" ht="22.5" customHeight="1">
      <c r="A84" s="13" t="s">
        <v>347</v>
      </c>
      <c r="B84" s="13" t="s">
        <v>348</v>
      </c>
      <c r="C84" s="16">
        <v>95.0</v>
      </c>
      <c r="D84" s="13" t="s">
        <v>146</v>
      </c>
      <c r="E84" s="28">
        <f>SUMIFS('STOCK IN  TRANSFER'!G:G, 'STOCK IN  TRANSFER'!E:E, B84, 'STOCK IN  TRANSFER'!F:F, "STOCK IN") + SUMIFS('STOCK IN  TRANSFER'!G:G, 'STOCK IN  TRANSFER'!E:E, B84, 'STOCK IN  TRANSFER'!F:F, "ADJUSTMENT (+)") - SUMIFS('STOCK IN  TRANSFER'!G:G, 'STOCK IN  TRANSFER'!E:E, B84, 'STOCK IN  TRANSFER'!F:F, "ADJUSTMENT (-)") - SUMIFS('STOCK IN  TRANSFER'!G:G, 'STOCK IN  TRANSFER'!E:E, B84, 'STOCK IN  TRANSFER'!F:F, "STOCK TRANSFER") - SUMIFS(SALES!H:H, SALES!E:E, B84)</f>
        <v>10</v>
      </c>
      <c r="F84" s="13"/>
    </row>
    <row r="85" ht="22.5" customHeight="1">
      <c r="A85" s="13" t="s">
        <v>353</v>
      </c>
      <c r="B85" s="13" t="s">
        <v>354</v>
      </c>
      <c r="C85" s="16">
        <v>95.0</v>
      </c>
      <c r="D85" s="13" t="s">
        <v>146</v>
      </c>
      <c r="E85" s="28">
        <f>SUMIFS('STOCK IN  TRANSFER'!G:G, 'STOCK IN  TRANSFER'!E:E, B85, 'STOCK IN  TRANSFER'!F:F, "STOCK IN") + SUMIFS('STOCK IN  TRANSFER'!G:G, 'STOCK IN  TRANSFER'!E:E, B85, 'STOCK IN  TRANSFER'!F:F, "ADJUSTMENT (+)") - SUMIFS('STOCK IN  TRANSFER'!G:G, 'STOCK IN  TRANSFER'!E:E, B85, 'STOCK IN  TRANSFER'!F:F, "ADJUSTMENT (-)") - SUMIFS('STOCK IN  TRANSFER'!G:G, 'STOCK IN  TRANSFER'!E:E, B85, 'STOCK IN  TRANSFER'!F:F, "STOCK TRANSFER") - SUMIFS(SALES!H:H, SALES!E:E, B85)</f>
        <v>4</v>
      </c>
      <c r="F85" s="13"/>
    </row>
    <row r="86" ht="22.5" customHeight="1">
      <c r="A86" s="13" t="s">
        <v>355</v>
      </c>
      <c r="B86" s="13" t="s">
        <v>356</v>
      </c>
      <c r="C86" s="16">
        <v>95.0</v>
      </c>
      <c r="D86" s="13" t="s">
        <v>146</v>
      </c>
      <c r="E86" s="28">
        <f>SUMIFS('STOCK IN  TRANSFER'!G:G, 'STOCK IN  TRANSFER'!E:E, B86, 'STOCK IN  TRANSFER'!F:F, "STOCK IN") + SUMIFS('STOCK IN  TRANSFER'!G:G, 'STOCK IN  TRANSFER'!E:E, B86, 'STOCK IN  TRANSFER'!F:F, "ADJUSTMENT (+)") - SUMIFS('STOCK IN  TRANSFER'!G:G, 'STOCK IN  TRANSFER'!E:E, B86, 'STOCK IN  TRANSFER'!F:F, "ADJUSTMENT (-)") - SUMIFS('STOCK IN  TRANSFER'!G:G, 'STOCK IN  TRANSFER'!E:E, B86, 'STOCK IN  TRANSFER'!F:F, "STOCK TRANSFER") - SUMIFS(SALES!H:H, SALES!E:E, B86)</f>
        <v>2</v>
      </c>
      <c r="F86" s="13"/>
    </row>
    <row r="87" ht="22.5" customHeight="1">
      <c r="A87" s="13" t="s">
        <v>358</v>
      </c>
      <c r="B87" s="13" t="s">
        <v>359</v>
      </c>
      <c r="C87" s="16">
        <v>95.0</v>
      </c>
      <c r="D87" s="13" t="s">
        <v>146</v>
      </c>
      <c r="E87" s="28">
        <f>SUMIFS('STOCK IN  TRANSFER'!G:G, 'STOCK IN  TRANSFER'!E:E, B87, 'STOCK IN  TRANSFER'!F:F, "STOCK IN") + SUMIFS('STOCK IN  TRANSFER'!G:G, 'STOCK IN  TRANSFER'!E:E, B87, 'STOCK IN  TRANSFER'!F:F, "ADJUSTMENT (+)") - SUMIFS('STOCK IN  TRANSFER'!G:G, 'STOCK IN  TRANSFER'!E:E, B87, 'STOCK IN  TRANSFER'!F:F, "ADJUSTMENT (-)") - SUMIFS('STOCK IN  TRANSFER'!G:G, 'STOCK IN  TRANSFER'!E:E, B87, 'STOCK IN  TRANSFER'!F:F, "STOCK TRANSFER") - SUMIFS(SALES!H:H, SALES!E:E, B87)</f>
        <v>1</v>
      </c>
      <c r="F87" s="13"/>
    </row>
    <row r="88" ht="22.5" customHeight="1">
      <c r="A88" s="13" t="s">
        <v>362</v>
      </c>
      <c r="B88" s="13" t="s">
        <v>363</v>
      </c>
      <c r="C88" s="16">
        <v>95.0</v>
      </c>
      <c r="D88" s="13" t="s">
        <v>146</v>
      </c>
      <c r="E88" s="28">
        <f>SUMIFS('STOCK IN  TRANSFER'!G:G, 'STOCK IN  TRANSFER'!E:E, B88, 'STOCK IN  TRANSFER'!F:F, "STOCK IN") + SUMIFS('STOCK IN  TRANSFER'!G:G, 'STOCK IN  TRANSFER'!E:E, B88, 'STOCK IN  TRANSFER'!F:F, "ADJUSTMENT (+)") - SUMIFS('STOCK IN  TRANSFER'!G:G, 'STOCK IN  TRANSFER'!E:E, B88, 'STOCK IN  TRANSFER'!F:F, "ADJUSTMENT (-)") - SUMIFS('STOCK IN  TRANSFER'!G:G, 'STOCK IN  TRANSFER'!E:E, B88, 'STOCK IN  TRANSFER'!F:F, "STOCK TRANSFER") - SUMIFS(SALES!H:H, SALES!E:E, B88)</f>
        <v>-7</v>
      </c>
      <c r="F88" s="13"/>
    </row>
    <row r="89" ht="22.5" customHeight="1">
      <c r="A89" s="13" t="s">
        <v>364</v>
      </c>
      <c r="B89" s="13" t="s">
        <v>365</v>
      </c>
      <c r="C89" s="16">
        <v>95.0</v>
      </c>
      <c r="D89" s="13" t="s">
        <v>146</v>
      </c>
      <c r="E89" s="28">
        <f>SUMIFS('STOCK IN  TRANSFER'!G:G, 'STOCK IN  TRANSFER'!E:E, B89, 'STOCK IN  TRANSFER'!F:F, "STOCK IN") + SUMIFS('STOCK IN  TRANSFER'!G:G, 'STOCK IN  TRANSFER'!E:E, B89, 'STOCK IN  TRANSFER'!F:F, "ADJUSTMENT (+)") - SUMIFS('STOCK IN  TRANSFER'!G:G, 'STOCK IN  TRANSFER'!E:E, B89, 'STOCK IN  TRANSFER'!F:F, "ADJUSTMENT (-)") - SUMIFS('STOCK IN  TRANSFER'!G:G, 'STOCK IN  TRANSFER'!E:E, B89, 'STOCK IN  TRANSFER'!F:F, "STOCK TRANSFER") - SUMIFS(SALES!H:H, SALES!E:E, B89)</f>
        <v>4</v>
      </c>
      <c r="F89" s="13"/>
    </row>
    <row r="90" ht="22.5" customHeight="1">
      <c r="A90" s="13" t="s">
        <v>367</v>
      </c>
      <c r="B90" s="13" t="s">
        <v>369</v>
      </c>
      <c r="C90" s="16">
        <v>162.0</v>
      </c>
      <c r="D90" s="13" t="s">
        <v>146</v>
      </c>
      <c r="E90" s="28">
        <f>SUMIFS('STOCK IN  TRANSFER'!G:G, 'STOCK IN  TRANSFER'!E:E, B90, 'STOCK IN  TRANSFER'!F:F, "STOCK IN") + SUMIFS('STOCK IN  TRANSFER'!G:G, 'STOCK IN  TRANSFER'!E:E, B90, 'STOCK IN  TRANSFER'!F:F, "ADJUSTMENT (+)") - SUMIFS('STOCK IN  TRANSFER'!G:G, 'STOCK IN  TRANSFER'!E:E, B90, 'STOCK IN  TRANSFER'!F:F, "ADJUSTMENT (-)") - SUMIFS('STOCK IN  TRANSFER'!G:G, 'STOCK IN  TRANSFER'!E:E, B90, 'STOCK IN  TRANSFER'!F:F, "STOCK TRANSFER") - SUMIFS(SALES!H:H, SALES!E:E, B90)</f>
        <v>4</v>
      </c>
      <c r="F90" s="13"/>
    </row>
    <row r="91" ht="22.5" customHeight="1">
      <c r="A91" s="13" t="s">
        <v>374</v>
      </c>
      <c r="B91" s="13" t="s">
        <v>375</v>
      </c>
      <c r="C91" s="16">
        <v>117.0</v>
      </c>
      <c r="D91" s="13" t="s">
        <v>146</v>
      </c>
      <c r="E91" s="28">
        <f>SUMIFS('STOCK IN  TRANSFER'!G:G, 'STOCK IN  TRANSFER'!E:E, B91, 'STOCK IN  TRANSFER'!F:F, "STOCK IN") + SUMIFS('STOCK IN  TRANSFER'!G:G, 'STOCK IN  TRANSFER'!E:E, B91, 'STOCK IN  TRANSFER'!F:F, "ADJUSTMENT (+)") - SUMIFS('STOCK IN  TRANSFER'!G:G, 'STOCK IN  TRANSFER'!E:E, B91, 'STOCK IN  TRANSFER'!F:F, "ADJUSTMENT (-)") - SUMIFS('STOCK IN  TRANSFER'!G:G, 'STOCK IN  TRANSFER'!E:E, B91, 'STOCK IN  TRANSFER'!F:F, "STOCK TRANSFER") - SUMIFS(SALES!H:H, SALES!E:E, B91)</f>
        <v>1</v>
      </c>
      <c r="F91" s="13"/>
    </row>
    <row r="92" ht="22.5" customHeight="1">
      <c r="A92" s="13" t="s">
        <v>340</v>
      </c>
      <c r="B92" s="13" t="s">
        <v>376</v>
      </c>
      <c r="C92" s="16">
        <v>95.0</v>
      </c>
      <c r="D92" s="13" t="s">
        <v>146</v>
      </c>
      <c r="E92" s="28">
        <f>SUMIFS('STOCK IN  TRANSFER'!G:G, 'STOCK IN  TRANSFER'!E:E, B92, 'STOCK IN  TRANSFER'!F:F, "STOCK IN") + SUMIFS('STOCK IN  TRANSFER'!G:G, 'STOCK IN  TRANSFER'!E:E, B92, 'STOCK IN  TRANSFER'!F:F, "ADJUSTMENT (+)") - SUMIFS('STOCK IN  TRANSFER'!G:G, 'STOCK IN  TRANSFER'!E:E, B92, 'STOCK IN  TRANSFER'!F:F, "ADJUSTMENT (-)") - SUMIFS('STOCK IN  TRANSFER'!G:G, 'STOCK IN  TRANSFER'!E:E, B92, 'STOCK IN  TRANSFER'!F:F, "STOCK TRANSFER") - SUMIFS(SALES!H:H, SALES!E:E, B92)</f>
        <v>3</v>
      </c>
      <c r="F92" s="13"/>
    </row>
    <row r="93" ht="22.5" customHeight="1">
      <c r="A93" s="13" t="s">
        <v>379</v>
      </c>
      <c r="B93" s="13" t="s">
        <v>380</v>
      </c>
      <c r="C93" s="16">
        <v>135.0</v>
      </c>
      <c r="D93" s="13" t="s">
        <v>146</v>
      </c>
      <c r="E93" s="28">
        <f>SUMIFS('STOCK IN  TRANSFER'!G:G, 'STOCK IN  TRANSFER'!E:E, B93, 'STOCK IN  TRANSFER'!F:F, "STOCK IN") + SUMIFS('STOCK IN  TRANSFER'!G:G, 'STOCK IN  TRANSFER'!E:E, B93, 'STOCK IN  TRANSFER'!F:F, "ADJUSTMENT (+)") - SUMIFS('STOCK IN  TRANSFER'!G:G, 'STOCK IN  TRANSFER'!E:E, B93, 'STOCK IN  TRANSFER'!F:F, "ADJUSTMENT (-)") - SUMIFS('STOCK IN  TRANSFER'!G:G, 'STOCK IN  TRANSFER'!E:E, B93, 'STOCK IN  TRANSFER'!F:F, "STOCK TRANSFER") - SUMIFS(SALES!H:H, SALES!E:E, B93)</f>
        <v>8</v>
      </c>
      <c r="F93" s="13"/>
    </row>
    <row r="94" ht="22.5" customHeight="1">
      <c r="A94" s="13" t="s">
        <v>381</v>
      </c>
      <c r="B94" s="13" t="s">
        <v>383</v>
      </c>
      <c r="C94" s="16">
        <v>135.0</v>
      </c>
      <c r="D94" s="13" t="s">
        <v>146</v>
      </c>
      <c r="E94" s="28">
        <f>SUMIFS('STOCK IN  TRANSFER'!G:G, 'STOCK IN  TRANSFER'!E:E, B94, 'STOCK IN  TRANSFER'!F:F, "STOCK IN") + SUMIFS('STOCK IN  TRANSFER'!G:G, 'STOCK IN  TRANSFER'!E:E, B94, 'STOCK IN  TRANSFER'!F:F, "ADJUSTMENT (+)") - SUMIFS('STOCK IN  TRANSFER'!G:G, 'STOCK IN  TRANSFER'!E:E, B94, 'STOCK IN  TRANSFER'!F:F, "ADJUSTMENT (-)") - SUMIFS('STOCK IN  TRANSFER'!G:G, 'STOCK IN  TRANSFER'!E:E, B94, 'STOCK IN  TRANSFER'!F:F, "STOCK TRANSFER") - SUMIFS(SALES!H:H, SALES!E:E, B94)</f>
        <v>3</v>
      </c>
      <c r="F94" s="13"/>
    </row>
    <row r="95" ht="22.5" customHeight="1">
      <c r="A95" s="13" t="s">
        <v>385</v>
      </c>
      <c r="B95" s="13" t="s">
        <v>386</v>
      </c>
      <c r="C95" s="16">
        <v>135.0</v>
      </c>
      <c r="D95" s="13" t="s">
        <v>146</v>
      </c>
      <c r="E95" s="28">
        <f>SUMIFS('STOCK IN  TRANSFER'!G:G, 'STOCK IN  TRANSFER'!E:E, B95, 'STOCK IN  TRANSFER'!F:F, "STOCK IN") + SUMIFS('STOCK IN  TRANSFER'!G:G, 'STOCK IN  TRANSFER'!E:E, B95, 'STOCK IN  TRANSFER'!F:F, "ADJUSTMENT (+)") - SUMIFS('STOCK IN  TRANSFER'!G:G, 'STOCK IN  TRANSFER'!E:E, B95, 'STOCK IN  TRANSFER'!F:F, "ADJUSTMENT (-)") - SUMIFS('STOCK IN  TRANSFER'!G:G, 'STOCK IN  TRANSFER'!E:E, B95, 'STOCK IN  TRANSFER'!F:F, "STOCK TRANSFER") - SUMIFS(SALES!H:H, SALES!E:E, B95)</f>
        <v>8</v>
      </c>
      <c r="F95" s="13"/>
    </row>
    <row r="96" ht="22.5" customHeight="1">
      <c r="A96" s="13" t="s">
        <v>391</v>
      </c>
      <c r="B96" s="13" t="s">
        <v>392</v>
      </c>
      <c r="C96" s="16">
        <v>117.0</v>
      </c>
      <c r="D96" s="13" t="s">
        <v>146</v>
      </c>
      <c r="E96" s="28">
        <f>SUMIFS('STOCK IN  TRANSFER'!G:G, 'STOCK IN  TRANSFER'!E:E, B96, 'STOCK IN  TRANSFER'!F:F, "STOCK IN") + SUMIFS('STOCK IN  TRANSFER'!G:G, 'STOCK IN  TRANSFER'!E:E, B96, 'STOCK IN  TRANSFER'!F:F, "ADJUSTMENT (+)") - SUMIFS('STOCK IN  TRANSFER'!G:G, 'STOCK IN  TRANSFER'!E:E, B96, 'STOCK IN  TRANSFER'!F:F, "ADJUSTMENT (-)") - SUMIFS('STOCK IN  TRANSFER'!G:G, 'STOCK IN  TRANSFER'!E:E, B96, 'STOCK IN  TRANSFER'!F:F, "STOCK TRANSFER") - SUMIFS(SALES!H:H, SALES!E:E, B96)</f>
        <v>10</v>
      </c>
      <c r="F96" s="13"/>
    </row>
    <row r="97" ht="22.5" customHeight="1">
      <c r="A97" s="13" t="s">
        <v>393</v>
      </c>
      <c r="B97" s="13" t="s">
        <v>394</v>
      </c>
      <c r="C97" s="16">
        <v>95.0</v>
      </c>
      <c r="D97" s="13" t="s">
        <v>146</v>
      </c>
      <c r="E97" s="28">
        <f>SUMIFS('STOCK IN  TRANSFER'!G:G, 'STOCK IN  TRANSFER'!E:E, B97, 'STOCK IN  TRANSFER'!F:F, "STOCK IN") + SUMIFS('STOCK IN  TRANSFER'!G:G, 'STOCK IN  TRANSFER'!E:E, B97, 'STOCK IN  TRANSFER'!F:F, "ADJUSTMENT (+)") - SUMIFS('STOCK IN  TRANSFER'!G:G, 'STOCK IN  TRANSFER'!E:E, B97, 'STOCK IN  TRANSFER'!F:F, "ADJUSTMENT (-)") - SUMIFS('STOCK IN  TRANSFER'!G:G, 'STOCK IN  TRANSFER'!E:E, B97, 'STOCK IN  TRANSFER'!F:F, "STOCK TRANSFER") - SUMIFS(SALES!H:H, SALES!E:E, B97)</f>
        <v>4</v>
      </c>
      <c r="F97" s="13"/>
    </row>
    <row r="98" ht="22.5" customHeight="1">
      <c r="A98" s="13" t="s">
        <v>399</v>
      </c>
      <c r="B98" s="13" t="s">
        <v>400</v>
      </c>
      <c r="C98" s="16">
        <v>95.0</v>
      </c>
      <c r="D98" s="13" t="s">
        <v>146</v>
      </c>
      <c r="E98" s="28">
        <f>SUMIFS('STOCK IN  TRANSFER'!G:G, 'STOCK IN  TRANSFER'!E:E, B98, 'STOCK IN  TRANSFER'!F:F, "STOCK IN") + SUMIFS('STOCK IN  TRANSFER'!G:G, 'STOCK IN  TRANSFER'!E:E, B98, 'STOCK IN  TRANSFER'!F:F, "ADJUSTMENT (+)") - SUMIFS('STOCK IN  TRANSFER'!G:G, 'STOCK IN  TRANSFER'!E:E, B98, 'STOCK IN  TRANSFER'!F:F, "ADJUSTMENT (-)") - SUMIFS('STOCK IN  TRANSFER'!G:G, 'STOCK IN  TRANSFER'!E:E, B98, 'STOCK IN  TRANSFER'!F:F, "STOCK TRANSFER") - SUMIFS(SALES!H:H, SALES!E:E, B98)</f>
        <v>3</v>
      </c>
      <c r="F98" s="13"/>
    </row>
    <row r="99" ht="22.5" customHeight="1">
      <c r="A99" s="13" t="s">
        <v>401</v>
      </c>
      <c r="B99" s="13" t="s">
        <v>403</v>
      </c>
      <c r="C99" s="16">
        <v>110.0</v>
      </c>
      <c r="D99" s="13" t="s">
        <v>146</v>
      </c>
      <c r="E99" s="28">
        <f>SUMIFS('STOCK IN  TRANSFER'!G:G, 'STOCK IN  TRANSFER'!E:E, B99, 'STOCK IN  TRANSFER'!F:F, "STOCK IN") + SUMIFS('STOCK IN  TRANSFER'!G:G, 'STOCK IN  TRANSFER'!E:E, B99, 'STOCK IN  TRANSFER'!F:F, "ADJUSTMENT (+)") - SUMIFS('STOCK IN  TRANSFER'!G:G, 'STOCK IN  TRANSFER'!E:E, B99, 'STOCK IN  TRANSFER'!F:F, "ADJUSTMENT (-)") - SUMIFS('STOCK IN  TRANSFER'!G:G, 'STOCK IN  TRANSFER'!E:E, B99, 'STOCK IN  TRANSFER'!F:F, "STOCK TRANSFER") - SUMIFS(SALES!H:H, SALES!E:E, B99)</f>
        <v>11</v>
      </c>
      <c r="F99" s="13"/>
    </row>
    <row r="100" ht="22.5" customHeight="1">
      <c r="A100" s="13" t="s">
        <v>406</v>
      </c>
      <c r="B100" s="13" t="s">
        <v>407</v>
      </c>
      <c r="C100" s="16">
        <v>95.0</v>
      </c>
      <c r="D100" s="13" t="s">
        <v>146</v>
      </c>
      <c r="E100" s="28">
        <f>SUMIFS('STOCK IN  TRANSFER'!G:G, 'STOCK IN  TRANSFER'!E:E, B100, 'STOCK IN  TRANSFER'!F:F, "STOCK IN") + SUMIFS('STOCK IN  TRANSFER'!G:G, 'STOCK IN  TRANSFER'!E:E, B100, 'STOCK IN  TRANSFER'!F:F, "ADJUSTMENT (+)") - SUMIFS('STOCK IN  TRANSFER'!G:G, 'STOCK IN  TRANSFER'!E:E, B100, 'STOCK IN  TRANSFER'!F:F, "ADJUSTMENT (-)") - SUMIFS('STOCK IN  TRANSFER'!G:G, 'STOCK IN  TRANSFER'!E:E, B100, 'STOCK IN  TRANSFER'!F:F, "STOCK TRANSFER") - SUMIFS(SALES!H:H, SALES!E:E, B100)</f>
        <v>8</v>
      </c>
      <c r="F100" s="13"/>
    </row>
    <row r="101" ht="22.5" customHeight="1">
      <c r="A101" s="13" t="s">
        <v>409</v>
      </c>
      <c r="B101" s="13" t="s">
        <v>411</v>
      </c>
      <c r="C101" s="16">
        <v>95.0</v>
      </c>
      <c r="D101" s="13" t="s">
        <v>146</v>
      </c>
      <c r="E101" s="28">
        <f>SUMIFS('STOCK IN  TRANSFER'!G:G, 'STOCK IN  TRANSFER'!E:E, B101, 'STOCK IN  TRANSFER'!F:F, "STOCK IN") + SUMIFS('STOCK IN  TRANSFER'!G:G, 'STOCK IN  TRANSFER'!E:E, B101, 'STOCK IN  TRANSFER'!F:F, "ADJUSTMENT (+)") - SUMIFS('STOCK IN  TRANSFER'!G:G, 'STOCK IN  TRANSFER'!E:E, B101, 'STOCK IN  TRANSFER'!F:F, "ADJUSTMENT (-)") - SUMIFS('STOCK IN  TRANSFER'!G:G, 'STOCK IN  TRANSFER'!E:E, B101, 'STOCK IN  TRANSFER'!F:F, "STOCK TRANSFER") - SUMIFS(SALES!H:H, SALES!E:E, B101)</f>
        <v>2</v>
      </c>
      <c r="F101" s="28"/>
    </row>
    <row r="102" ht="22.5" customHeight="1">
      <c r="A102" s="13" t="s">
        <v>413</v>
      </c>
      <c r="B102" s="13" t="s">
        <v>414</v>
      </c>
      <c r="C102" s="16">
        <v>150.0</v>
      </c>
      <c r="D102" s="13" t="s">
        <v>179</v>
      </c>
      <c r="E102" s="28">
        <f>SUMIFS('STOCK IN  TRANSFER'!G:G, 'STOCK IN  TRANSFER'!E:E, B102, 'STOCK IN  TRANSFER'!F:F, "STOCK IN") + SUMIFS('STOCK IN  TRANSFER'!G:G, 'STOCK IN  TRANSFER'!E:E, B102, 'STOCK IN  TRANSFER'!F:F, "ADJUSTMENT (+)") - SUMIFS('STOCK IN  TRANSFER'!G:G, 'STOCK IN  TRANSFER'!E:E, B102, 'STOCK IN  TRANSFER'!F:F, "ADJUSTMENT (-)") - SUMIFS('STOCK IN  TRANSFER'!G:G, 'STOCK IN  TRANSFER'!E:E, B102, 'STOCK IN  TRANSFER'!F:F, "STOCK TRANSFER") - SUMIFS(SALES!H:H, SALES!E:E, B102)</f>
        <v>10</v>
      </c>
      <c r="F102" s="28"/>
    </row>
    <row r="103" ht="22.5" customHeight="1">
      <c r="A103" s="13" t="s">
        <v>417</v>
      </c>
      <c r="B103" s="13" t="s">
        <v>418</v>
      </c>
      <c r="C103" s="16">
        <v>470.0</v>
      </c>
      <c r="D103" s="13" t="s">
        <v>39</v>
      </c>
      <c r="E103" s="28">
        <f>SUMIFS('STOCK IN  TRANSFER'!G:G, 'STOCK IN  TRANSFER'!E:E, B103, 'STOCK IN  TRANSFER'!F:F, "STOCK IN") + SUMIFS('STOCK IN  TRANSFER'!G:G, 'STOCK IN  TRANSFER'!E:E, B103, 'STOCK IN  TRANSFER'!F:F, "ADJUSTMENT (+)") - SUMIFS('STOCK IN  TRANSFER'!G:G, 'STOCK IN  TRANSFER'!E:E, B103, 'STOCK IN  TRANSFER'!F:F, "ADJUSTMENT (-)") - SUMIFS('STOCK IN  TRANSFER'!G:G, 'STOCK IN  TRANSFER'!E:E, B103, 'STOCK IN  TRANSFER'!F:F, "STOCK TRANSFER") - SUMIFS(SALES!H:H, SALES!E:E, B103)</f>
        <v>6</v>
      </c>
      <c r="F103" s="13"/>
    </row>
    <row r="104" ht="22.5" customHeight="1">
      <c r="A104" s="13" t="s">
        <v>419</v>
      </c>
      <c r="B104" s="13" t="s">
        <v>420</v>
      </c>
      <c r="C104" s="16">
        <v>2423.0</v>
      </c>
      <c r="D104" s="13" t="s">
        <v>28</v>
      </c>
      <c r="E104" s="28">
        <f>SUMIFS('STOCK IN  TRANSFER'!G:G, 'STOCK IN  TRANSFER'!E:E, B104, 'STOCK IN  TRANSFER'!F:F, "STOCK IN") + SUMIFS('STOCK IN  TRANSFER'!G:G, 'STOCK IN  TRANSFER'!E:E, B104, 'STOCK IN  TRANSFER'!F:F, "ADJUSTMENT (+)") - SUMIFS('STOCK IN  TRANSFER'!G:G, 'STOCK IN  TRANSFER'!E:E, B104, 'STOCK IN  TRANSFER'!F:F, "ADJUSTMENT (-)") - SUMIFS('STOCK IN  TRANSFER'!G:G, 'STOCK IN  TRANSFER'!E:E, B104, 'STOCK IN  TRANSFER'!F:F, "STOCK TRANSFER") - SUMIFS(SALES!H:H, SALES!E:E, B104)</f>
        <v>1</v>
      </c>
      <c r="F104" s="13"/>
    </row>
    <row r="105" ht="22.5" customHeight="1">
      <c r="A105" s="13" t="s">
        <v>241</v>
      </c>
      <c r="B105" s="13" t="s">
        <v>422</v>
      </c>
      <c r="C105" s="16">
        <v>1730.0</v>
      </c>
      <c r="D105" s="13" t="s">
        <v>28</v>
      </c>
      <c r="E105" s="28">
        <f>SUMIFS('STOCK IN  TRANSFER'!G:G, 'STOCK IN  TRANSFER'!E:E, B105, 'STOCK IN  TRANSFER'!F:F, "STOCK IN") + SUMIFS('STOCK IN  TRANSFER'!G:G, 'STOCK IN  TRANSFER'!E:E, B105, 'STOCK IN  TRANSFER'!F:F, "ADJUSTMENT (+)") - SUMIFS('STOCK IN  TRANSFER'!G:G, 'STOCK IN  TRANSFER'!E:E, B105, 'STOCK IN  TRANSFER'!F:F, "ADJUSTMENT (-)") - SUMIFS('STOCK IN  TRANSFER'!G:G, 'STOCK IN  TRANSFER'!E:E, B105, 'STOCK IN  TRANSFER'!F:F, "STOCK TRANSFER") - SUMIFS(SALES!H:H, SALES!E:E, B105)</f>
        <v>0</v>
      </c>
      <c r="F105" s="13"/>
    </row>
    <row r="106" ht="22.5" customHeight="1">
      <c r="A106" s="13" t="s">
        <v>424</v>
      </c>
      <c r="B106" s="13" t="s">
        <v>425</v>
      </c>
      <c r="C106" s="16">
        <v>2431.0</v>
      </c>
      <c r="D106" s="13" t="s">
        <v>28</v>
      </c>
      <c r="E106" s="28">
        <f>SUMIFS('STOCK IN  TRANSFER'!G:G, 'STOCK IN  TRANSFER'!E:E, B106, 'STOCK IN  TRANSFER'!F:F, "STOCK IN") + SUMIFS('STOCK IN  TRANSFER'!G:G, 'STOCK IN  TRANSFER'!E:E, B106, 'STOCK IN  TRANSFER'!F:F, "ADJUSTMENT (+)") - SUMIFS('STOCK IN  TRANSFER'!G:G, 'STOCK IN  TRANSFER'!E:E, B106, 'STOCK IN  TRANSFER'!F:F, "ADJUSTMENT (-)") - SUMIFS('STOCK IN  TRANSFER'!G:G, 'STOCK IN  TRANSFER'!E:E, B106, 'STOCK IN  TRANSFER'!F:F, "STOCK TRANSFER") - SUMIFS(SALES!H:H, SALES!E:E, B106)</f>
        <v>0</v>
      </c>
      <c r="F106" s="28"/>
    </row>
    <row r="107" ht="22.5" customHeight="1">
      <c r="A107" s="13" t="s">
        <v>427</v>
      </c>
      <c r="B107" s="13" t="s">
        <v>428</v>
      </c>
      <c r="C107" s="16">
        <v>1883.0</v>
      </c>
      <c r="D107" s="13" t="s">
        <v>28</v>
      </c>
      <c r="E107" s="28">
        <f>SUMIFS('STOCK IN  TRANSFER'!G:G, 'STOCK IN  TRANSFER'!E:E, B107, 'STOCK IN  TRANSFER'!F:F, "STOCK IN") + SUMIFS('STOCK IN  TRANSFER'!G:G, 'STOCK IN  TRANSFER'!E:E, B107, 'STOCK IN  TRANSFER'!F:F, "ADJUSTMENT (+)") - SUMIFS('STOCK IN  TRANSFER'!G:G, 'STOCK IN  TRANSFER'!E:E, B107, 'STOCK IN  TRANSFER'!F:F, "ADJUSTMENT (-)") - SUMIFS('STOCK IN  TRANSFER'!G:G, 'STOCK IN  TRANSFER'!E:E, B107, 'STOCK IN  TRANSFER'!F:F, "STOCK TRANSFER") - SUMIFS(SALES!H:H, SALES!E:E, B107)</f>
        <v>1</v>
      </c>
      <c r="F107" s="28"/>
    </row>
    <row r="108" ht="22.5" customHeight="1">
      <c r="A108" s="13" t="s">
        <v>430</v>
      </c>
      <c r="B108" s="13" t="s">
        <v>431</v>
      </c>
      <c r="C108" s="16">
        <v>1883.0</v>
      </c>
      <c r="D108" s="13" t="s">
        <v>28</v>
      </c>
      <c r="E108" s="28">
        <f>SUMIFS('STOCK IN  TRANSFER'!G:G, 'STOCK IN  TRANSFER'!E:E, B108, 'STOCK IN  TRANSFER'!F:F, "STOCK IN") + SUMIFS('STOCK IN  TRANSFER'!G:G, 'STOCK IN  TRANSFER'!E:E, B108, 'STOCK IN  TRANSFER'!F:F, "ADJUSTMENT (+)") - SUMIFS('STOCK IN  TRANSFER'!G:G, 'STOCK IN  TRANSFER'!E:E, B108, 'STOCK IN  TRANSFER'!F:F, "ADJUSTMENT (-)") - SUMIFS('STOCK IN  TRANSFER'!G:G, 'STOCK IN  TRANSFER'!E:E, B108, 'STOCK IN  TRANSFER'!F:F, "STOCK TRANSFER") - SUMIFS(SALES!H:H, SALES!E:E, B108)</f>
        <v>1</v>
      </c>
      <c r="F108" s="28"/>
    </row>
    <row r="109" ht="22.5" customHeight="1">
      <c r="A109" s="13" t="s">
        <v>54</v>
      </c>
      <c r="B109" s="13" t="s">
        <v>433</v>
      </c>
      <c r="C109" s="16">
        <v>1743.0</v>
      </c>
      <c r="D109" s="13" t="s">
        <v>28</v>
      </c>
      <c r="E109" s="28">
        <f>SUMIFS('STOCK IN  TRANSFER'!G:G, 'STOCK IN  TRANSFER'!E:E, B109, 'STOCK IN  TRANSFER'!F:F, "STOCK IN") + SUMIFS('STOCK IN  TRANSFER'!G:G, 'STOCK IN  TRANSFER'!E:E, B109, 'STOCK IN  TRANSFER'!F:F, "ADJUSTMENT (+)") - SUMIFS('STOCK IN  TRANSFER'!G:G, 'STOCK IN  TRANSFER'!E:E, B109, 'STOCK IN  TRANSFER'!F:F, "ADJUSTMENT (-)") - SUMIFS('STOCK IN  TRANSFER'!G:G, 'STOCK IN  TRANSFER'!E:E, B109, 'STOCK IN  TRANSFER'!F:F, "STOCK TRANSFER") - SUMIFS(SALES!H:H, SALES!E:E, B109)</f>
        <v>0</v>
      </c>
      <c r="F109" s="28"/>
    </row>
    <row r="110" ht="22.5" customHeight="1">
      <c r="A110" s="13" t="s">
        <v>435</v>
      </c>
      <c r="B110" s="13" t="s">
        <v>436</v>
      </c>
      <c r="C110" s="16">
        <v>1883.0</v>
      </c>
      <c r="D110" s="13" t="s">
        <v>28</v>
      </c>
      <c r="E110" s="28">
        <f>SUMIFS('STOCK IN  TRANSFER'!G:G, 'STOCK IN  TRANSFER'!E:E, B110, 'STOCK IN  TRANSFER'!F:F, "STOCK IN") + SUMIFS('STOCK IN  TRANSFER'!G:G, 'STOCK IN  TRANSFER'!E:E, B110, 'STOCK IN  TRANSFER'!F:F, "ADJUSTMENT (+)") - SUMIFS('STOCK IN  TRANSFER'!G:G, 'STOCK IN  TRANSFER'!E:E, B110, 'STOCK IN  TRANSFER'!F:F, "ADJUSTMENT (-)") - SUMIFS('STOCK IN  TRANSFER'!G:G, 'STOCK IN  TRANSFER'!E:E, B110, 'STOCK IN  TRANSFER'!F:F, "STOCK TRANSFER") - SUMIFS(SALES!H:H, SALES!E:E, B110)</f>
        <v>0</v>
      </c>
      <c r="F110" s="28"/>
    </row>
    <row r="111" ht="22.5" customHeight="1">
      <c r="A111" s="13" t="s">
        <v>437</v>
      </c>
      <c r="B111" s="13" t="s">
        <v>438</v>
      </c>
      <c r="C111" s="16">
        <v>3188.0</v>
      </c>
      <c r="D111" s="13" t="s">
        <v>28</v>
      </c>
      <c r="E111" s="28">
        <f>SUMIFS('STOCK IN  TRANSFER'!G:G, 'STOCK IN  TRANSFER'!E:E, B111, 'STOCK IN  TRANSFER'!F:F, "STOCK IN") + SUMIFS('STOCK IN  TRANSFER'!G:G, 'STOCK IN  TRANSFER'!E:E, B111, 'STOCK IN  TRANSFER'!F:F, "ADJUSTMENT (+)") - SUMIFS('STOCK IN  TRANSFER'!G:G, 'STOCK IN  TRANSFER'!E:E, B111, 'STOCK IN  TRANSFER'!F:F, "ADJUSTMENT (-)") - SUMIFS('STOCK IN  TRANSFER'!G:G, 'STOCK IN  TRANSFER'!E:E, B111, 'STOCK IN  TRANSFER'!F:F, "STOCK TRANSFER") - SUMIFS(SALES!H:H, SALES!E:E, B111)</f>
        <v>0</v>
      </c>
      <c r="F111" s="28"/>
    </row>
    <row r="112" ht="22.5" customHeight="1">
      <c r="A112" s="13" t="s">
        <v>442</v>
      </c>
      <c r="B112" s="13" t="s">
        <v>443</v>
      </c>
      <c r="C112" s="16">
        <v>3188.0</v>
      </c>
      <c r="D112" s="13" t="s">
        <v>28</v>
      </c>
      <c r="E112" s="28">
        <f>SUMIFS('STOCK IN  TRANSFER'!G:G, 'STOCK IN  TRANSFER'!E:E, B112, 'STOCK IN  TRANSFER'!F:F, "STOCK IN") + SUMIFS('STOCK IN  TRANSFER'!G:G, 'STOCK IN  TRANSFER'!E:E, B112, 'STOCK IN  TRANSFER'!F:F, "ADJUSTMENT (+)") - SUMIFS('STOCK IN  TRANSFER'!G:G, 'STOCK IN  TRANSFER'!E:E, B112, 'STOCK IN  TRANSFER'!F:F, "ADJUSTMENT (-)") - SUMIFS('STOCK IN  TRANSFER'!G:G, 'STOCK IN  TRANSFER'!E:E, B112, 'STOCK IN  TRANSFER'!F:F, "STOCK TRANSFER") - SUMIFS(SALES!H:H, SALES!E:E, B112)</f>
        <v>0</v>
      </c>
      <c r="F112" s="28"/>
    </row>
    <row r="113" ht="22.5" customHeight="1">
      <c r="A113" s="13" t="s">
        <v>445</v>
      </c>
      <c r="B113" s="13" t="s">
        <v>446</v>
      </c>
      <c r="C113" s="16">
        <v>3188.0</v>
      </c>
      <c r="D113" s="13" t="s">
        <v>28</v>
      </c>
      <c r="E113" s="28">
        <f>SUMIFS('STOCK IN  TRANSFER'!G:G, 'STOCK IN  TRANSFER'!E:E, B113, 'STOCK IN  TRANSFER'!F:F, "STOCK IN") + SUMIFS('STOCK IN  TRANSFER'!G:G, 'STOCK IN  TRANSFER'!E:E, B113, 'STOCK IN  TRANSFER'!F:F, "ADJUSTMENT (+)") - SUMIFS('STOCK IN  TRANSFER'!G:G, 'STOCK IN  TRANSFER'!E:E, B113, 'STOCK IN  TRANSFER'!F:F, "ADJUSTMENT (-)") - SUMIFS('STOCK IN  TRANSFER'!G:G, 'STOCK IN  TRANSFER'!E:E, B113, 'STOCK IN  TRANSFER'!F:F, "STOCK TRANSFER") - SUMIFS(SALES!H:H, SALES!E:E, B113)</f>
        <v>0</v>
      </c>
      <c r="F113" s="28"/>
    </row>
    <row r="114" ht="22.5" customHeight="1">
      <c r="A114" s="13" t="s">
        <v>448</v>
      </c>
      <c r="B114" s="13" t="s">
        <v>449</v>
      </c>
      <c r="C114" s="16">
        <v>2431.0</v>
      </c>
      <c r="D114" s="13" t="s">
        <v>28</v>
      </c>
      <c r="E114" s="28">
        <f>SUMIFS('STOCK IN  TRANSFER'!G:G, 'STOCK IN  TRANSFER'!E:E, B114, 'STOCK IN  TRANSFER'!F:F, "STOCK IN") + SUMIFS('STOCK IN  TRANSFER'!G:G, 'STOCK IN  TRANSFER'!E:E, B114, 'STOCK IN  TRANSFER'!F:F, "ADJUSTMENT (+)") - SUMIFS('STOCK IN  TRANSFER'!G:G, 'STOCK IN  TRANSFER'!E:E, B114, 'STOCK IN  TRANSFER'!F:F, "ADJUSTMENT (-)") - SUMIFS('STOCK IN  TRANSFER'!G:G, 'STOCK IN  TRANSFER'!E:E, B114, 'STOCK IN  TRANSFER'!F:F, "STOCK TRANSFER") - SUMIFS(SALES!H:H, SALES!E:E, B114)</f>
        <v>0</v>
      </c>
      <c r="F114" s="13"/>
    </row>
    <row r="115" ht="22.5" customHeight="1">
      <c r="A115" s="13" t="s">
        <v>454</v>
      </c>
      <c r="B115" s="13" t="s">
        <v>455</v>
      </c>
      <c r="C115" s="16">
        <v>2450.0</v>
      </c>
      <c r="D115" s="13" t="s">
        <v>28</v>
      </c>
      <c r="E115" s="28">
        <f>SUMIFS('STOCK IN  TRANSFER'!G:G, 'STOCK IN  TRANSFER'!E:E, B115, 'STOCK IN  TRANSFER'!F:F, "STOCK IN") + SUMIFS('STOCK IN  TRANSFER'!G:G, 'STOCK IN  TRANSFER'!E:E, B115, 'STOCK IN  TRANSFER'!F:F, "ADJUSTMENT (+)") - SUMIFS('STOCK IN  TRANSFER'!G:G, 'STOCK IN  TRANSFER'!E:E, B115, 'STOCK IN  TRANSFER'!F:F, "ADJUSTMENT (-)") - SUMIFS('STOCK IN  TRANSFER'!G:G, 'STOCK IN  TRANSFER'!E:E, B115, 'STOCK IN  TRANSFER'!F:F, "STOCK TRANSFER") - SUMIFS(SALES!H:H, SALES!E:E, B115)</f>
        <v>0</v>
      </c>
      <c r="F115" s="13"/>
    </row>
    <row r="116" ht="22.5" customHeight="1">
      <c r="A116" s="13" t="s">
        <v>458</v>
      </c>
      <c r="B116" s="13" t="s">
        <v>459</v>
      </c>
      <c r="C116" s="16">
        <v>836.0</v>
      </c>
      <c r="D116" s="13" t="s">
        <v>75</v>
      </c>
      <c r="E116" s="28">
        <f>SUMIFS('STOCK IN  TRANSFER'!G:G, 'STOCK IN  TRANSFER'!E:E, B116, 'STOCK IN  TRANSFER'!F:F, "STOCK IN") + SUMIFS('STOCK IN  TRANSFER'!G:G, 'STOCK IN  TRANSFER'!E:E, B116, 'STOCK IN  TRANSFER'!F:F, "ADJUSTMENT (+)") - SUMIFS('STOCK IN  TRANSFER'!G:G, 'STOCK IN  TRANSFER'!E:E, B116, 'STOCK IN  TRANSFER'!F:F, "ADJUSTMENT (-)") - SUMIFS('STOCK IN  TRANSFER'!G:G, 'STOCK IN  TRANSFER'!E:E, B116, 'STOCK IN  TRANSFER'!F:F, "STOCK TRANSFER") - SUMIFS(SALES!H:H, SALES!E:E, B116)</f>
        <v>0</v>
      </c>
      <c r="F116" s="13"/>
    </row>
    <row r="117" ht="22.5" customHeight="1">
      <c r="A117" s="13" t="s">
        <v>461</v>
      </c>
      <c r="B117" s="13" t="s">
        <v>462</v>
      </c>
      <c r="C117" s="16"/>
      <c r="D117" s="13" t="s">
        <v>39</v>
      </c>
      <c r="E117" s="28">
        <f>SUMIFS('STOCK IN  TRANSFER'!G:G, 'STOCK IN  TRANSFER'!E:E, B117, 'STOCK IN  TRANSFER'!F:F, "STOCK IN") + SUMIFS('STOCK IN  TRANSFER'!G:G, 'STOCK IN  TRANSFER'!E:E, B117, 'STOCK IN  TRANSFER'!F:F, "ADJUSTMENT (+)") - SUMIFS('STOCK IN  TRANSFER'!G:G, 'STOCK IN  TRANSFER'!E:E, B117, 'STOCK IN  TRANSFER'!F:F, "ADJUSTMENT (-)") - SUMIFS('STOCK IN  TRANSFER'!G:G, 'STOCK IN  TRANSFER'!E:E, B117, 'STOCK IN  TRANSFER'!F:F, "STOCK TRANSFER") - SUMIFS(SALES!H:H, SALES!E:E, B117)</f>
        <v>0</v>
      </c>
      <c r="F117" s="13"/>
    </row>
    <row r="118" ht="22.5" customHeight="1">
      <c r="A118" s="13" t="s">
        <v>466</v>
      </c>
      <c r="B118" s="13" t="s">
        <v>467</v>
      </c>
      <c r="C118" s="16">
        <v>698.0</v>
      </c>
      <c r="D118" s="13" t="s">
        <v>75</v>
      </c>
      <c r="E118" s="28">
        <f>SUMIFS('STOCK IN  TRANSFER'!G:G, 'STOCK IN  TRANSFER'!E:E, B118, 'STOCK IN  TRANSFER'!F:F, "STOCK IN") + SUMIFS('STOCK IN  TRANSFER'!G:G, 'STOCK IN  TRANSFER'!E:E, B118, 'STOCK IN  TRANSFER'!F:F, "ADJUSTMENT (+)") - SUMIFS('STOCK IN  TRANSFER'!G:G, 'STOCK IN  TRANSFER'!E:E, B118, 'STOCK IN  TRANSFER'!F:F, "ADJUSTMENT (-)") - SUMIFS('STOCK IN  TRANSFER'!G:G, 'STOCK IN  TRANSFER'!E:E, B118, 'STOCK IN  TRANSFER'!F:F, "STOCK TRANSFER") - SUMIFS(SALES!H:H, SALES!E:E, B118)</f>
        <v>0</v>
      </c>
      <c r="F118" s="13"/>
    </row>
    <row r="119" ht="22.5" customHeight="1">
      <c r="A119" s="13" t="s">
        <v>468</v>
      </c>
      <c r="B119" s="13" t="s">
        <v>469</v>
      </c>
      <c r="C119" s="16">
        <v>836.0</v>
      </c>
      <c r="D119" s="13" t="s">
        <v>75</v>
      </c>
      <c r="E119" s="28">
        <f>SUMIFS('STOCK IN  TRANSFER'!G:G, 'STOCK IN  TRANSFER'!E:E, B119, 'STOCK IN  TRANSFER'!F:F, "STOCK IN") + SUMIFS('STOCK IN  TRANSFER'!G:G, 'STOCK IN  TRANSFER'!E:E, B119, 'STOCK IN  TRANSFER'!F:F, "ADJUSTMENT (+)") - SUMIFS('STOCK IN  TRANSFER'!G:G, 'STOCK IN  TRANSFER'!E:E, B119, 'STOCK IN  TRANSFER'!F:F, "ADJUSTMENT (-)") - SUMIFS('STOCK IN  TRANSFER'!G:G, 'STOCK IN  TRANSFER'!E:E, B119, 'STOCK IN  TRANSFER'!F:F, "STOCK TRANSFER") - SUMIFS(SALES!H:H, SALES!E:E, B119)</f>
        <v>0</v>
      </c>
      <c r="F119" s="13"/>
    </row>
    <row r="120" ht="22.5" customHeight="1">
      <c r="A120" s="13" t="s">
        <v>472</v>
      </c>
      <c r="B120" s="13" t="s">
        <v>473</v>
      </c>
      <c r="C120" s="16">
        <v>732.0</v>
      </c>
      <c r="D120" s="13" t="s">
        <v>75</v>
      </c>
      <c r="E120" s="28">
        <f>SUMIFS('STOCK IN  TRANSFER'!G:G, 'STOCK IN  TRANSFER'!E:E, B120, 'STOCK IN  TRANSFER'!F:F, "STOCK IN") + SUMIFS('STOCK IN  TRANSFER'!G:G, 'STOCK IN  TRANSFER'!E:E, B120, 'STOCK IN  TRANSFER'!F:F, "ADJUSTMENT (+)") - SUMIFS('STOCK IN  TRANSFER'!G:G, 'STOCK IN  TRANSFER'!E:E, B120, 'STOCK IN  TRANSFER'!F:F, "ADJUSTMENT (-)") - SUMIFS('STOCK IN  TRANSFER'!G:G, 'STOCK IN  TRANSFER'!E:E, B120, 'STOCK IN  TRANSFER'!F:F, "STOCK TRANSFER") - SUMIFS(SALES!H:H, SALES!E:E, B120)</f>
        <v>1</v>
      </c>
      <c r="F120" s="28"/>
    </row>
    <row r="121" ht="22.5" customHeight="1">
      <c r="A121" s="13" t="s">
        <v>474</v>
      </c>
      <c r="B121" s="13" t="s">
        <v>475</v>
      </c>
      <c r="C121" s="16">
        <v>773.0</v>
      </c>
      <c r="D121" s="13" t="s">
        <v>75</v>
      </c>
      <c r="E121" s="28">
        <f>SUMIFS('STOCK IN  TRANSFER'!G:G, 'STOCK IN  TRANSFER'!E:E, B121, 'STOCK IN  TRANSFER'!F:F, "STOCK IN") + SUMIFS('STOCK IN  TRANSFER'!G:G, 'STOCK IN  TRANSFER'!E:E, B121, 'STOCK IN  TRANSFER'!F:F, "ADJUSTMENT (+)") - SUMIFS('STOCK IN  TRANSFER'!G:G, 'STOCK IN  TRANSFER'!E:E, B121, 'STOCK IN  TRANSFER'!F:F, "ADJUSTMENT (-)") - SUMIFS('STOCK IN  TRANSFER'!G:G, 'STOCK IN  TRANSFER'!E:E, B121, 'STOCK IN  TRANSFER'!F:F, "STOCK TRANSFER") - SUMIFS(SALES!H:H, SALES!E:E, B121)</f>
        <v>3</v>
      </c>
      <c r="F121" s="13"/>
    </row>
    <row r="122" ht="22.5" customHeight="1">
      <c r="A122" s="13" t="s">
        <v>478</v>
      </c>
      <c r="B122" s="13" t="s">
        <v>479</v>
      </c>
      <c r="C122" s="16">
        <v>1593.0</v>
      </c>
      <c r="D122" s="13" t="s">
        <v>28</v>
      </c>
      <c r="E122" s="28">
        <f>SUMIFS('STOCK IN  TRANSFER'!G:G, 'STOCK IN  TRANSFER'!E:E, B122, 'STOCK IN  TRANSFER'!F:F, "STOCK IN") + SUMIFS('STOCK IN  TRANSFER'!G:G, 'STOCK IN  TRANSFER'!E:E, B122, 'STOCK IN  TRANSFER'!F:F, "ADJUSTMENT (+)") - SUMIFS('STOCK IN  TRANSFER'!G:G, 'STOCK IN  TRANSFER'!E:E, B122, 'STOCK IN  TRANSFER'!F:F, "ADJUSTMENT (-)") - SUMIFS('STOCK IN  TRANSFER'!G:G, 'STOCK IN  TRANSFER'!E:E, B122, 'STOCK IN  TRANSFER'!F:F, "STOCK TRANSFER") - SUMIFS(SALES!H:H, SALES!E:E, B122)</f>
        <v>1</v>
      </c>
      <c r="F122" s="13"/>
    </row>
    <row r="123" ht="22.5" customHeight="1">
      <c r="A123" s="13" t="s">
        <v>483</v>
      </c>
      <c r="B123" s="13" t="s">
        <v>484</v>
      </c>
      <c r="C123" s="16">
        <v>668.0</v>
      </c>
      <c r="D123" s="13" t="s">
        <v>75</v>
      </c>
      <c r="E123" s="28">
        <f>SUMIFS('STOCK IN  TRANSFER'!G:G, 'STOCK IN  TRANSFER'!E:E, B123, 'STOCK IN  TRANSFER'!F:F, "STOCK IN") + SUMIFS('STOCK IN  TRANSFER'!G:G, 'STOCK IN  TRANSFER'!E:E, B123, 'STOCK IN  TRANSFER'!F:F, "ADJUSTMENT (+)") - SUMIFS('STOCK IN  TRANSFER'!G:G, 'STOCK IN  TRANSFER'!E:E, B123, 'STOCK IN  TRANSFER'!F:F, "ADJUSTMENT (-)") - SUMIFS('STOCK IN  TRANSFER'!G:G, 'STOCK IN  TRANSFER'!E:E, B123, 'STOCK IN  TRANSFER'!F:F, "STOCK TRANSFER") - SUMIFS(SALES!H:H, SALES!E:E, B123)</f>
        <v>2</v>
      </c>
      <c r="F123" s="28"/>
    </row>
    <row r="124" ht="22.5" customHeight="1">
      <c r="A124" s="13" t="s">
        <v>334</v>
      </c>
      <c r="B124" s="13" t="s">
        <v>485</v>
      </c>
      <c r="C124" s="16">
        <v>661.0</v>
      </c>
      <c r="D124" s="13" t="s">
        <v>75</v>
      </c>
      <c r="E124" s="28">
        <f>SUMIFS('STOCK IN  TRANSFER'!G:G, 'STOCK IN  TRANSFER'!E:E, B124, 'STOCK IN  TRANSFER'!F:F, "STOCK IN") + SUMIFS('STOCK IN  TRANSFER'!G:G, 'STOCK IN  TRANSFER'!E:E, B124, 'STOCK IN  TRANSFER'!F:F, "ADJUSTMENT (+)") - SUMIFS('STOCK IN  TRANSFER'!G:G, 'STOCK IN  TRANSFER'!E:E, B124, 'STOCK IN  TRANSFER'!F:F, "ADJUSTMENT (-)") - SUMIFS('STOCK IN  TRANSFER'!G:G, 'STOCK IN  TRANSFER'!E:E, B124, 'STOCK IN  TRANSFER'!F:F, "STOCK TRANSFER") - SUMIFS(SALES!H:H, SALES!E:E, B124)</f>
        <v>2</v>
      </c>
      <c r="F124" s="28"/>
    </row>
    <row r="125" ht="22.5" customHeight="1">
      <c r="A125" s="13" t="s">
        <v>488</v>
      </c>
      <c r="B125" s="13" t="s">
        <v>489</v>
      </c>
      <c r="C125" s="16">
        <v>6.25</v>
      </c>
      <c r="D125" s="13" t="s">
        <v>89</v>
      </c>
      <c r="E125" s="28">
        <f>SUMIFS('STOCK IN  TRANSFER'!G:G, 'STOCK IN  TRANSFER'!E:E, B125, 'STOCK IN  TRANSFER'!F:F, "STOCK IN") + SUMIFS('STOCK IN  TRANSFER'!G:G, 'STOCK IN  TRANSFER'!E:E, B125, 'STOCK IN  TRANSFER'!F:F, "ADJUSTMENT (+)") - SUMIFS('STOCK IN  TRANSFER'!G:G, 'STOCK IN  TRANSFER'!E:E, B125, 'STOCK IN  TRANSFER'!F:F, "ADJUSTMENT (-)") - SUMIFS('STOCK IN  TRANSFER'!G:G, 'STOCK IN  TRANSFER'!E:E, B125, 'STOCK IN  TRANSFER'!F:F, "STOCK TRANSFER") - SUMIFS(SALES!H:H, SALES!E:E, B125)</f>
        <v>0</v>
      </c>
      <c r="F125" s="28"/>
    </row>
    <row r="126" ht="22.5" customHeight="1">
      <c r="A126" s="13" t="s">
        <v>490</v>
      </c>
      <c r="B126" s="13" t="s">
        <v>491</v>
      </c>
      <c r="C126" s="16">
        <v>681.4</v>
      </c>
      <c r="D126" s="13" t="s">
        <v>124</v>
      </c>
      <c r="E126" s="28">
        <f>SUMIFS('STOCK IN  TRANSFER'!G:G, 'STOCK IN  TRANSFER'!E:E, B126, 'STOCK IN  TRANSFER'!F:F, "STOCK IN") + SUMIFS('STOCK IN  TRANSFER'!G:G, 'STOCK IN  TRANSFER'!E:E, B126, 'STOCK IN  TRANSFER'!F:F, "ADJUSTMENT (+)") - SUMIFS('STOCK IN  TRANSFER'!G:G, 'STOCK IN  TRANSFER'!E:E, B126, 'STOCK IN  TRANSFER'!F:F, "ADJUSTMENT (-)") - SUMIFS('STOCK IN  TRANSFER'!G:G, 'STOCK IN  TRANSFER'!E:E, B126, 'STOCK IN  TRANSFER'!F:F, "STOCK TRANSFER") - SUMIFS(SALES!H:H, SALES!E:E, B126)</f>
        <v>1</v>
      </c>
      <c r="F126" s="28"/>
    </row>
    <row r="127" ht="22.5" customHeight="1">
      <c r="A127" s="13" t="s">
        <v>493</v>
      </c>
      <c r="B127" s="13" t="s">
        <v>494</v>
      </c>
      <c r="C127" s="16">
        <v>1160.0</v>
      </c>
      <c r="D127" s="13" t="s">
        <v>28</v>
      </c>
      <c r="E127" s="28">
        <f>SUMIFS('STOCK IN  TRANSFER'!G:G, 'STOCK IN  TRANSFER'!E:E, B127, 'STOCK IN  TRANSFER'!F:F, "STOCK IN") + SUMIFS('STOCK IN  TRANSFER'!G:G, 'STOCK IN  TRANSFER'!E:E, B127, 'STOCK IN  TRANSFER'!F:F, "ADJUSTMENT (+)") - SUMIFS('STOCK IN  TRANSFER'!G:G, 'STOCK IN  TRANSFER'!E:E, B127, 'STOCK IN  TRANSFER'!F:F, "ADJUSTMENT (-)") - SUMIFS('STOCK IN  TRANSFER'!G:G, 'STOCK IN  TRANSFER'!E:E, B127, 'STOCK IN  TRANSFER'!F:F, "STOCK TRANSFER") - SUMIFS(SALES!H:H, SALES!E:E, B127)</f>
        <v>0</v>
      </c>
      <c r="F127" s="13"/>
    </row>
    <row r="128" ht="22.5" customHeight="1">
      <c r="A128" s="13" t="s">
        <v>495</v>
      </c>
      <c r="B128" s="13" t="s">
        <v>496</v>
      </c>
      <c r="C128" s="16">
        <v>80.5933</v>
      </c>
      <c r="D128" s="13" t="s">
        <v>267</v>
      </c>
      <c r="E128" s="28">
        <f>SUMIFS('STOCK IN  TRANSFER'!G:G, 'STOCK IN  TRANSFER'!E:E, B128, 'STOCK IN  TRANSFER'!F:F, "STOCK IN") + SUMIFS('STOCK IN  TRANSFER'!G:G, 'STOCK IN  TRANSFER'!E:E, B128, 'STOCK IN  TRANSFER'!F:F, "ADJUSTMENT (+)") - SUMIFS('STOCK IN  TRANSFER'!G:G, 'STOCK IN  TRANSFER'!E:E, B128, 'STOCK IN  TRANSFER'!F:F, "ADJUSTMENT (-)") - SUMIFS('STOCK IN  TRANSFER'!G:G, 'STOCK IN  TRANSFER'!E:E, B128, 'STOCK IN  TRANSFER'!F:F, "STOCK TRANSFER") - SUMIFS(SALES!H:H, SALES!E:E, B128)</f>
        <v>0</v>
      </c>
      <c r="F128" s="13"/>
    </row>
    <row r="129" ht="22.5" customHeight="1">
      <c r="A129" s="13" t="s">
        <v>499</v>
      </c>
      <c r="B129" s="13" t="s">
        <v>500</v>
      </c>
      <c r="C129" s="16">
        <v>181.764</v>
      </c>
      <c r="D129" s="13" t="s">
        <v>172</v>
      </c>
      <c r="E129" s="28">
        <f>SUMIFS('STOCK IN  TRANSFER'!G:G, 'STOCK IN  TRANSFER'!E:E, B129, 'STOCK IN  TRANSFER'!F:F, "STOCK IN") + SUMIFS('STOCK IN  TRANSFER'!G:G, 'STOCK IN  TRANSFER'!E:E, B129, 'STOCK IN  TRANSFER'!F:F, "ADJUSTMENT (+)") - SUMIFS('STOCK IN  TRANSFER'!G:G, 'STOCK IN  TRANSFER'!E:E, B129, 'STOCK IN  TRANSFER'!F:F, "ADJUSTMENT (-)") - SUMIFS('STOCK IN  TRANSFER'!G:G, 'STOCK IN  TRANSFER'!E:E, B129, 'STOCK IN  TRANSFER'!F:F, "STOCK TRANSFER") - SUMIFS(SALES!H:H, SALES!E:E, B129)</f>
        <v>0</v>
      </c>
      <c r="F129" s="13"/>
    </row>
    <row r="130" ht="22.5" customHeight="1">
      <c r="A130" s="13" t="s">
        <v>503</v>
      </c>
      <c r="B130" s="13" t="s">
        <v>504</v>
      </c>
      <c r="C130" s="16">
        <v>143.182</v>
      </c>
      <c r="D130" s="13" t="s">
        <v>172</v>
      </c>
      <c r="E130" s="28">
        <f>SUMIFS('STOCK IN  TRANSFER'!G:G, 'STOCK IN  TRANSFER'!E:E, B130, 'STOCK IN  TRANSFER'!F:F, "STOCK IN") + SUMIFS('STOCK IN  TRANSFER'!G:G, 'STOCK IN  TRANSFER'!E:E, B130, 'STOCK IN  TRANSFER'!F:F, "ADJUSTMENT (+)") - SUMIFS('STOCK IN  TRANSFER'!G:G, 'STOCK IN  TRANSFER'!E:E, B130, 'STOCK IN  TRANSFER'!F:F, "ADJUSTMENT (-)") - SUMIFS('STOCK IN  TRANSFER'!G:G, 'STOCK IN  TRANSFER'!E:E, B130, 'STOCK IN  TRANSFER'!F:F, "STOCK TRANSFER") - SUMIFS(SALES!H:H, SALES!E:E, B130)</f>
        <v>5</v>
      </c>
      <c r="F130" s="13"/>
    </row>
    <row r="131" ht="22.5" customHeight="1">
      <c r="A131" s="13" t="s">
        <v>505</v>
      </c>
      <c r="B131" s="13" t="s">
        <v>506</v>
      </c>
      <c r="C131" s="16">
        <v>40.0</v>
      </c>
      <c r="D131" s="13" t="s">
        <v>89</v>
      </c>
      <c r="E131" s="28">
        <f>SUMIFS('STOCK IN  TRANSFER'!G:G, 'STOCK IN  TRANSFER'!E:E, B131, 'STOCK IN  TRANSFER'!F:F, "STOCK IN") + SUMIFS('STOCK IN  TRANSFER'!G:G, 'STOCK IN  TRANSFER'!E:E, B131, 'STOCK IN  TRANSFER'!F:F, "ADJUSTMENT (+)") - SUMIFS('STOCK IN  TRANSFER'!G:G, 'STOCK IN  TRANSFER'!E:E, B131, 'STOCK IN  TRANSFER'!F:F, "ADJUSTMENT (-)") - SUMIFS('STOCK IN  TRANSFER'!G:G, 'STOCK IN  TRANSFER'!E:E, B131, 'STOCK IN  TRANSFER'!F:F, "STOCK TRANSFER") - SUMIFS(SALES!H:H, SALES!E:E, B131)</f>
        <v>6</v>
      </c>
      <c r="F131" s="28"/>
    </row>
    <row r="132" ht="22.5" customHeight="1">
      <c r="A132" s="13" t="s">
        <v>384</v>
      </c>
      <c r="B132" s="13" t="s">
        <v>510</v>
      </c>
      <c r="C132" s="16">
        <v>18.0</v>
      </c>
      <c r="D132" s="13" t="s">
        <v>89</v>
      </c>
      <c r="E132" s="28">
        <f>SUMIFS('STOCK IN  TRANSFER'!G:G, 'STOCK IN  TRANSFER'!E:E, B132, 'STOCK IN  TRANSFER'!F:F, "STOCK IN") + SUMIFS('STOCK IN  TRANSFER'!G:G, 'STOCK IN  TRANSFER'!E:E, B132, 'STOCK IN  TRANSFER'!F:F, "ADJUSTMENT (+)") - SUMIFS('STOCK IN  TRANSFER'!G:G, 'STOCK IN  TRANSFER'!E:E, B132, 'STOCK IN  TRANSFER'!F:F, "ADJUSTMENT (-)") - SUMIFS('STOCK IN  TRANSFER'!G:G, 'STOCK IN  TRANSFER'!E:E, B132, 'STOCK IN  TRANSFER'!F:F, "STOCK TRANSFER") - SUMIFS(SALES!H:H, SALES!E:E, B132)</f>
        <v>16</v>
      </c>
      <c r="F132" s="13"/>
    </row>
    <row r="133" ht="22.5" customHeight="1">
      <c r="A133" s="13" t="s">
        <v>513</v>
      </c>
      <c r="B133" s="13" t="s">
        <v>515</v>
      </c>
      <c r="C133" s="16">
        <v>1200.0</v>
      </c>
      <c r="D133" s="13" t="s">
        <v>124</v>
      </c>
      <c r="E133" s="28">
        <f>SUMIFS('STOCK IN  TRANSFER'!G:G, 'STOCK IN  TRANSFER'!E:E, B133, 'STOCK IN  TRANSFER'!F:F, "STOCK IN") + SUMIFS('STOCK IN  TRANSFER'!G:G, 'STOCK IN  TRANSFER'!E:E, B133, 'STOCK IN  TRANSFER'!F:F, "ADJUSTMENT (+)") - SUMIFS('STOCK IN  TRANSFER'!G:G, 'STOCK IN  TRANSFER'!E:E, B133, 'STOCK IN  TRANSFER'!F:F, "ADJUSTMENT (-)") - SUMIFS('STOCK IN  TRANSFER'!G:G, 'STOCK IN  TRANSFER'!E:E, B133, 'STOCK IN  TRANSFER'!F:F, "STOCK TRANSFER") - SUMIFS(SALES!H:H, SALES!E:E, B133)</f>
        <v>0</v>
      </c>
      <c r="F133" s="13"/>
    </row>
    <row r="134" ht="22.5" customHeight="1">
      <c r="A134" s="13" t="s">
        <v>63</v>
      </c>
      <c r="B134" s="13" t="s">
        <v>518</v>
      </c>
      <c r="C134" s="16">
        <v>45.0</v>
      </c>
      <c r="D134" s="13" t="s">
        <v>255</v>
      </c>
      <c r="E134" s="28">
        <f>SUMIFS('STOCK IN  TRANSFER'!G:G, 'STOCK IN  TRANSFER'!E:E, B134, 'STOCK IN  TRANSFER'!F:F, "STOCK IN") + SUMIFS('STOCK IN  TRANSFER'!G:G, 'STOCK IN  TRANSFER'!E:E, B134, 'STOCK IN  TRANSFER'!F:F, "ADJUSTMENT (+)") - SUMIFS('STOCK IN  TRANSFER'!G:G, 'STOCK IN  TRANSFER'!E:E, B134, 'STOCK IN  TRANSFER'!F:F, "ADJUSTMENT (-)") - SUMIFS('STOCK IN  TRANSFER'!G:G, 'STOCK IN  TRANSFER'!E:E, B134, 'STOCK IN  TRANSFER'!F:F, "STOCK TRANSFER") - SUMIFS(SALES!H:H, SALES!E:E, B134)</f>
        <v>37</v>
      </c>
      <c r="F134" s="13"/>
    </row>
    <row r="135" ht="22.5" customHeight="1">
      <c r="A135" s="13" t="s">
        <v>520</v>
      </c>
      <c r="B135" s="13" t="s">
        <v>521</v>
      </c>
      <c r="C135" s="16">
        <v>1200.0</v>
      </c>
      <c r="D135" s="13" t="s">
        <v>39</v>
      </c>
      <c r="E135" s="28">
        <f>SUMIFS('STOCK IN  TRANSFER'!G:G, 'STOCK IN  TRANSFER'!E:E, B135, 'STOCK IN  TRANSFER'!F:F, "STOCK IN") + SUMIFS('STOCK IN  TRANSFER'!G:G, 'STOCK IN  TRANSFER'!E:E, B135, 'STOCK IN  TRANSFER'!F:F, "ADJUSTMENT (+)") - SUMIFS('STOCK IN  TRANSFER'!G:G, 'STOCK IN  TRANSFER'!E:E, B135, 'STOCK IN  TRANSFER'!F:F, "ADJUSTMENT (-)") - SUMIFS('STOCK IN  TRANSFER'!G:G, 'STOCK IN  TRANSFER'!E:E, B135, 'STOCK IN  TRANSFER'!F:F, "STOCK TRANSFER") - SUMIFS(SALES!H:H, SALES!E:E, B135)</f>
        <v>24.37</v>
      </c>
      <c r="F135" s="28"/>
    </row>
    <row r="136" ht="22.5" customHeight="1">
      <c r="A136" s="13" t="s">
        <v>522</v>
      </c>
      <c r="B136" s="13" t="s">
        <v>523</v>
      </c>
      <c r="C136" s="16">
        <v>1755.0</v>
      </c>
      <c r="D136" s="13" t="s">
        <v>343</v>
      </c>
      <c r="E136" s="28">
        <f>SUMIFS('STOCK IN  TRANSFER'!G:G, 'STOCK IN  TRANSFER'!E:E, B136, 'STOCK IN  TRANSFER'!F:F, "STOCK IN") + SUMIFS('STOCK IN  TRANSFER'!G:G, 'STOCK IN  TRANSFER'!E:E, B136, 'STOCK IN  TRANSFER'!F:F, "ADJUSTMENT (+)") - SUMIFS('STOCK IN  TRANSFER'!G:G, 'STOCK IN  TRANSFER'!E:E, B136, 'STOCK IN  TRANSFER'!F:F, "ADJUSTMENT (-)") - SUMIFS('STOCK IN  TRANSFER'!G:G, 'STOCK IN  TRANSFER'!E:E, B136, 'STOCK IN  TRANSFER'!F:F, "STOCK TRANSFER") - SUMIFS(SALES!H:H, SALES!E:E, B136)</f>
        <v>0</v>
      </c>
      <c r="F136" s="28"/>
    </row>
    <row r="137" ht="22.5" customHeight="1">
      <c r="A137" s="13" t="s">
        <v>525</v>
      </c>
      <c r="B137" s="13" t="s">
        <v>526</v>
      </c>
      <c r="C137" s="16">
        <v>585.0</v>
      </c>
      <c r="D137" s="13" t="s">
        <v>39</v>
      </c>
      <c r="E137" s="28">
        <f>SUMIFS('STOCK IN  TRANSFER'!G:G, 'STOCK IN  TRANSFER'!E:E, B137, 'STOCK IN  TRANSFER'!F:F, "STOCK IN") + SUMIFS('STOCK IN  TRANSFER'!G:G, 'STOCK IN  TRANSFER'!E:E, B137, 'STOCK IN  TRANSFER'!F:F, "ADJUSTMENT (+)") - SUMIFS('STOCK IN  TRANSFER'!G:G, 'STOCK IN  TRANSFER'!E:E, B137, 'STOCK IN  TRANSFER'!F:F, "ADJUSTMENT (-)") - SUMIFS('STOCK IN  TRANSFER'!G:G, 'STOCK IN  TRANSFER'!E:E, B137, 'STOCK IN  TRANSFER'!F:F, "STOCK TRANSFER") - SUMIFS(SALES!H:H, SALES!E:E, B137)</f>
        <v>0</v>
      </c>
      <c r="F137" s="28"/>
    </row>
    <row r="138" ht="22.5" customHeight="1">
      <c r="A138" s="13" t="s">
        <v>528</v>
      </c>
      <c r="B138" s="13" t="s">
        <v>529</v>
      </c>
      <c r="C138" s="16">
        <v>565.0</v>
      </c>
      <c r="D138" s="13" t="s">
        <v>75</v>
      </c>
      <c r="E138" s="28">
        <f>SUMIFS('STOCK IN  TRANSFER'!G:G, 'STOCK IN  TRANSFER'!E:E, B138, 'STOCK IN  TRANSFER'!F:F, "STOCK IN") + SUMIFS('STOCK IN  TRANSFER'!G:G, 'STOCK IN  TRANSFER'!E:E, B138, 'STOCK IN  TRANSFER'!F:F, "ADJUSTMENT (+)") - SUMIFS('STOCK IN  TRANSFER'!G:G, 'STOCK IN  TRANSFER'!E:E, B138, 'STOCK IN  TRANSFER'!F:F, "ADJUSTMENT (-)") - SUMIFS('STOCK IN  TRANSFER'!G:G, 'STOCK IN  TRANSFER'!E:E, B138, 'STOCK IN  TRANSFER'!F:F, "STOCK TRANSFER") - SUMIFS(SALES!H:H, SALES!E:E, B138)</f>
        <v>0</v>
      </c>
      <c r="F138" s="28"/>
    </row>
    <row r="139" ht="22.5" customHeight="1">
      <c r="A139" s="13" t="s">
        <v>530</v>
      </c>
      <c r="B139" s="13" t="s">
        <v>531</v>
      </c>
      <c r="C139" s="16">
        <v>400.0</v>
      </c>
      <c r="D139" s="13" t="s">
        <v>83</v>
      </c>
      <c r="E139" s="28">
        <f>SUMIFS('STOCK IN  TRANSFER'!G:G, 'STOCK IN  TRANSFER'!E:E, B139, 'STOCK IN  TRANSFER'!F:F, "STOCK IN") + SUMIFS('STOCK IN  TRANSFER'!G:G, 'STOCK IN  TRANSFER'!E:E, B139, 'STOCK IN  TRANSFER'!F:F, "ADJUSTMENT (+)") - SUMIFS('STOCK IN  TRANSFER'!G:G, 'STOCK IN  TRANSFER'!E:E, B139, 'STOCK IN  TRANSFER'!F:F, "ADJUSTMENT (-)") - SUMIFS('STOCK IN  TRANSFER'!G:G, 'STOCK IN  TRANSFER'!E:E, B139, 'STOCK IN  TRANSFER'!F:F, "STOCK TRANSFER") - SUMIFS(SALES!H:H, SALES!E:E, B139)</f>
        <v>4</v>
      </c>
      <c r="F139" s="28"/>
    </row>
    <row r="140" ht="22.5" customHeight="1">
      <c r="A140" s="13" t="s">
        <v>533</v>
      </c>
      <c r="B140" s="13" t="s">
        <v>534</v>
      </c>
      <c r="C140" s="16">
        <v>147.0</v>
      </c>
      <c r="D140" s="13" t="s">
        <v>197</v>
      </c>
      <c r="E140" s="28">
        <f>SUMIFS('STOCK IN  TRANSFER'!G:G, 'STOCK IN  TRANSFER'!E:E, B140, 'STOCK IN  TRANSFER'!F:F, "STOCK IN") + SUMIFS('STOCK IN  TRANSFER'!G:G, 'STOCK IN  TRANSFER'!E:E, B140, 'STOCK IN  TRANSFER'!F:F, "ADJUSTMENT (+)") - SUMIFS('STOCK IN  TRANSFER'!G:G, 'STOCK IN  TRANSFER'!E:E, B140, 'STOCK IN  TRANSFER'!F:F, "ADJUSTMENT (-)") - SUMIFS('STOCK IN  TRANSFER'!G:G, 'STOCK IN  TRANSFER'!E:E, B140, 'STOCK IN  TRANSFER'!F:F, "STOCK TRANSFER") - SUMIFS(SALES!H:H, SALES!E:E, B140)</f>
        <v>0</v>
      </c>
      <c r="F140" s="28"/>
    </row>
    <row r="141" ht="22.5" customHeight="1">
      <c r="A141" s="13" t="s">
        <v>537</v>
      </c>
      <c r="B141" s="13" t="s">
        <v>538</v>
      </c>
      <c r="C141" s="16">
        <v>515.0</v>
      </c>
      <c r="D141" s="13" t="s">
        <v>75</v>
      </c>
      <c r="E141" s="28">
        <f>SUMIFS('STOCK IN  TRANSFER'!G:G, 'STOCK IN  TRANSFER'!E:E, B141, 'STOCK IN  TRANSFER'!F:F, "STOCK IN") + SUMIFS('STOCK IN  TRANSFER'!G:G, 'STOCK IN  TRANSFER'!E:E, B141, 'STOCK IN  TRANSFER'!F:F, "ADJUSTMENT (+)") - SUMIFS('STOCK IN  TRANSFER'!G:G, 'STOCK IN  TRANSFER'!E:E, B141, 'STOCK IN  TRANSFER'!F:F, "ADJUSTMENT (-)") - SUMIFS('STOCK IN  TRANSFER'!G:G, 'STOCK IN  TRANSFER'!E:E, B141, 'STOCK IN  TRANSFER'!F:F, "STOCK TRANSFER") - SUMIFS(SALES!H:H, SALES!E:E, B141)</f>
        <v>9</v>
      </c>
      <c r="F141" s="28"/>
    </row>
    <row r="142" ht="22.5" customHeight="1">
      <c r="A142" s="13" t="s">
        <v>540</v>
      </c>
      <c r="B142" s="13" t="s">
        <v>541</v>
      </c>
      <c r="C142" s="16">
        <v>435.0</v>
      </c>
      <c r="D142" s="13" t="s">
        <v>75</v>
      </c>
      <c r="E142" s="28">
        <f>SUMIFS('STOCK IN  TRANSFER'!G:G, 'STOCK IN  TRANSFER'!E:E, B142, 'STOCK IN  TRANSFER'!F:F, "STOCK IN") + SUMIFS('STOCK IN  TRANSFER'!G:G, 'STOCK IN  TRANSFER'!E:E, B142, 'STOCK IN  TRANSFER'!F:F, "ADJUSTMENT (+)") - SUMIFS('STOCK IN  TRANSFER'!G:G, 'STOCK IN  TRANSFER'!E:E, B142, 'STOCK IN  TRANSFER'!F:F, "ADJUSTMENT (-)") - SUMIFS('STOCK IN  TRANSFER'!G:G, 'STOCK IN  TRANSFER'!E:E, B142, 'STOCK IN  TRANSFER'!F:F, "STOCK TRANSFER") - SUMIFS(SALES!H:H, SALES!E:E, B142)</f>
        <v>7</v>
      </c>
      <c r="F142" s="28"/>
    </row>
    <row r="143" ht="22.5" customHeight="1">
      <c r="A143" s="13" t="s">
        <v>543</v>
      </c>
      <c r="B143" s="13" t="s">
        <v>544</v>
      </c>
      <c r="C143" s="16">
        <v>611.0</v>
      </c>
      <c r="D143" s="13" t="s">
        <v>28</v>
      </c>
      <c r="E143" s="28">
        <f>SUMIFS('STOCK IN  TRANSFER'!G:G, 'STOCK IN  TRANSFER'!E:E, B143, 'STOCK IN  TRANSFER'!F:F, "STOCK IN") + SUMIFS('STOCK IN  TRANSFER'!G:G, 'STOCK IN  TRANSFER'!E:E, B143, 'STOCK IN  TRANSFER'!F:F, "ADJUSTMENT (+)") - SUMIFS('STOCK IN  TRANSFER'!G:G, 'STOCK IN  TRANSFER'!E:E, B143, 'STOCK IN  TRANSFER'!F:F, "ADJUSTMENT (-)") - SUMIFS('STOCK IN  TRANSFER'!G:G, 'STOCK IN  TRANSFER'!E:E, B143, 'STOCK IN  TRANSFER'!F:F, "STOCK TRANSFER") - SUMIFS(SALES!H:H, SALES!E:E, B143)</f>
        <v>0</v>
      </c>
      <c r="F143" s="28"/>
    </row>
    <row r="144" ht="22.5" customHeight="1">
      <c r="A144" s="13" t="s">
        <v>397</v>
      </c>
      <c r="B144" s="13" t="s">
        <v>545</v>
      </c>
      <c r="C144" s="16">
        <v>550.0</v>
      </c>
      <c r="D144" s="13" t="s">
        <v>39</v>
      </c>
      <c r="E144" s="28">
        <f>SUMIFS('STOCK IN  TRANSFER'!G:G, 'STOCK IN  TRANSFER'!E:E, B144, 'STOCK IN  TRANSFER'!F:F, "STOCK IN") + SUMIFS('STOCK IN  TRANSFER'!G:G, 'STOCK IN  TRANSFER'!E:E, B144, 'STOCK IN  TRANSFER'!F:F, "ADJUSTMENT (+)") - SUMIFS('STOCK IN  TRANSFER'!G:G, 'STOCK IN  TRANSFER'!E:E, B144, 'STOCK IN  TRANSFER'!F:F, "ADJUSTMENT (-)") - SUMIFS('STOCK IN  TRANSFER'!G:G, 'STOCK IN  TRANSFER'!E:E, B144, 'STOCK IN  TRANSFER'!F:F, "STOCK TRANSFER") - SUMIFS(SALES!H:H, SALES!E:E, B144)</f>
        <v>10</v>
      </c>
      <c r="F144" s="28"/>
    </row>
    <row r="145" ht="22.5" customHeight="1">
      <c r="A145" s="13" t="s">
        <v>547</v>
      </c>
      <c r="B145" s="13" t="s">
        <v>549</v>
      </c>
      <c r="C145" s="16">
        <v>1342.0</v>
      </c>
      <c r="D145" s="13" t="s">
        <v>550</v>
      </c>
      <c r="E145" s="28">
        <f>SUMIFS('STOCK IN  TRANSFER'!G:G, 'STOCK IN  TRANSFER'!E:E, B145, 'STOCK IN  TRANSFER'!F:F, "STOCK IN") + SUMIFS('STOCK IN  TRANSFER'!G:G, 'STOCK IN  TRANSFER'!E:E, B145, 'STOCK IN  TRANSFER'!F:F, "ADJUSTMENT (+)") - SUMIFS('STOCK IN  TRANSFER'!G:G, 'STOCK IN  TRANSFER'!E:E, B145, 'STOCK IN  TRANSFER'!F:F, "ADJUSTMENT (-)") - SUMIFS('STOCK IN  TRANSFER'!G:G, 'STOCK IN  TRANSFER'!E:E, B145, 'STOCK IN  TRANSFER'!F:F, "STOCK TRANSFER") - SUMIFS(SALES!H:H, SALES!E:E, B145)</f>
        <v>0</v>
      </c>
      <c r="F145" s="28"/>
    </row>
    <row r="146" ht="22.5" customHeight="1">
      <c r="A146" s="13" t="s">
        <v>551</v>
      </c>
      <c r="B146" s="13" t="s">
        <v>552</v>
      </c>
      <c r="C146" s="16">
        <v>615.0</v>
      </c>
      <c r="D146" s="13" t="s">
        <v>75</v>
      </c>
      <c r="E146" s="28">
        <f>SUMIFS('STOCK IN  TRANSFER'!G:G, 'STOCK IN  TRANSFER'!E:E, B146, 'STOCK IN  TRANSFER'!F:F, "STOCK IN") + SUMIFS('STOCK IN  TRANSFER'!G:G, 'STOCK IN  TRANSFER'!E:E, B146, 'STOCK IN  TRANSFER'!F:F, "ADJUSTMENT (+)") - SUMIFS('STOCK IN  TRANSFER'!G:G, 'STOCK IN  TRANSFER'!E:E, B146, 'STOCK IN  TRANSFER'!F:F, "ADJUSTMENT (-)") - SUMIFS('STOCK IN  TRANSFER'!G:G, 'STOCK IN  TRANSFER'!E:E, B146, 'STOCK IN  TRANSFER'!F:F, "STOCK TRANSFER") - SUMIFS(SALES!H:H, SALES!E:E, B146)</f>
        <v>2</v>
      </c>
      <c r="F146" s="28"/>
    </row>
    <row r="147" ht="22.5" customHeight="1">
      <c r="A147" s="13" t="s">
        <v>555</v>
      </c>
      <c r="B147" s="13" t="s">
        <v>556</v>
      </c>
      <c r="C147" s="16">
        <v>620.0</v>
      </c>
      <c r="D147" s="13" t="s">
        <v>39</v>
      </c>
      <c r="E147" s="28">
        <f>SUMIFS('STOCK IN  TRANSFER'!G:G, 'STOCK IN  TRANSFER'!E:E, B147, 'STOCK IN  TRANSFER'!F:F, "STOCK IN") + SUMIFS('STOCK IN  TRANSFER'!G:G, 'STOCK IN  TRANSFER'!E:E, B147, 'STOCK IN  TRANSFER'!F:F, "ADJUSTMENT (+)") - SUMIFS('STOCK IN  TRANSFER'!G:G, 'STOCK IN  TRANSFER'!E:E, B147, 'STOCK IN  TRANSFER'!F:F, "ADJUSTMENT (-)") - SUMIFS('STOCK IN  TRANSFER'!G:G, 'STOCK IN  TRANSFER'!E:E, B147, 'STOCK IN  TRANSFER'!F:F, "STOCK TRANSFER") - SUMIFS(SALES!H:H, SALES!E:E, B147)</f>
        <v>8</v>
      </c>
      <c r="F147" s="28"/>
    </row>
    <row r="148" ht="22.5" customHeight="1">
      <c r="A148" s="13" t="s">
        <v>557</v>
      </c>
      <c r="B148" s="13" t="s">
        <v>558</v>
      </c>
      <c r="C148" s="16">
        <v>1160.0</v>
      </c>
      <c r="D148" s="13" t="s">
        <v>197</v>
      </c>
      <c r="E148" s="28">
        <f>SUMIFS('STOCK IN  TRANSFER'!G:G, 'STOCK IN  TRANSFER'!E:E, B148, 'STOCK IN  TRANSFER'!F:F, "STOCK IN") + SUMIFS('STOCK IN  TRANSFER'!G:G, 'STOCK IN  TRANSFER'!E:E, B148, 'STOCK IN  TRANSFER'!F:F, "ADJUSTMENT (+)") - SUMIFS('STOCK IN  TRANSFER'!G:G, 'STOCK IN  TRANSFER'!E:E, B148, 'STOCK IN  TRANSFER'!F:F, "ADJUSTMENT (-)") - SUMIFS('STOCK IN  TRANSFER'!G:G, 'STOCK IN  TRANSFER'!E:E, B148, 'STOCK IN  TRANSFER'!F:F, "STOCK TRANSFER") - SUMIFS(SALES!H:H, SALES!E:E, B148)</f>
        <v>1</v>
      </c>
      <c r="F148" s="28"/>
    </row>
    <row r="149" ht="22.5" customHeight="1">
      <c r="A149" s="13" t="s">
        <v>560</v>
      </c>
      <c r="B149" s="13" t="s">
        <v>561</v>
      </c>
      <c r="C149" s="16">
        <v>1630.0</v>
      </c>
      <c r="D149" s="13" t="s">
        <v>75</v>
      </c>
      <c r="E149" s="28">
        <f>SUMIFS('STOCK IN  TRANSFER'!G:G, 'STOCK IN  TRANSFER'!E:E, B149, 'STOCK IN  TRANSFER'!F:F, "STOCK IN") + SUMIFS('STOCK IN  TRANSFER'!G:G, 'STOCK IN  TRANSFER'!E:E, B149, 'STOCK IN  TRANSFER'!F:F, "ADJUSTMENT (+)") - SUMIFS('STOCK IN  TRANSFER'!G:G, 'STOCK IN  TRANSFER'!E:E, B149, 'STOCK IN  TRANSFER'!F:F, "ADJUSTMENT (-)") - SUMIFS('STOCK IN  TRANSFER'!G:G, 'STOCK IN  TRANSFER'!E:E, B149, 'STOCK IN  TRANSFER'!F:F, "STOCK TRANSFER") - SUMIFS(SALES!H:H, SALES!E:E, B149)</f>
        <v>3</v>
      </c>
      <c r="F149" s="28"/>
    </row>
    <row r="150" ht="22.5" customHeight="1">
      <c r="A150" s="13" t="s">
        <v>563</v>
      </c>
      <c r="B150" s="13" t="s">
        <v>564</v>
      </c>
      <c r="C150" s="16">
        <v>1550.0</v>
      </c>
      <c r="D150" s="13" t="s">
        <v>75</v>
      </c>
      <c r="E150" s="28">
        <f>SUMIFS('STOCK IN  TRANSFER'!G:G, 'STOCK IN  TRANSFER'!E:E, B150, 'STOCK IN  TRANSFER'!F:F, "STOCK IN") + SUMIFS('STOCK IN  TRANSFER'!G:G, 'STOCK IN  TRANSFER'!E:E, B150, 'STOCK IN  TRANSFER'!F:F, "ADJUSTMENT (+)") - SUMIFS('STOCK IN  TRANSFER'!G:G, 'STOCK IN  TRANSFER'!E:E, B150, 'STOCK IN  TRANSFER'!F:F, "ADJUSTMENT (-)") - SUMIFS('STOCK IN  TRANSFER'!G:G, 'STOCK IN  TRANSFER'!E:E, B150, 'STOCK IN  TRANSFER'!F:F, "STOCK TRANSFER") - SUMIFS(SALES!H:H, SALES!E:E, B150)</f>
        <v>-1</v>
      </c>
      <c r="F150" s="13"/>
    </row>
    <row r="151" ht="22.5" customHeight="1">
      <c r="A151" s="13" t="s">
        <v>565</v>
      </c>
      <c r="B151" s="13" t="s">
        <v>566</v>
      </c>
      <c r="C151" s="16">
        <v>1630.0</v>
      </c>
      <c r="D151" s="13" t="s">
        <v>83</v>
      </c>
      <c r="E151" s="28">
        <f>SUMIFS('STOCK IN  TRANSFER'!G:G, 'STOCK IN  TRANSFER'!E:E, B151, 'STOCK IN  TRANSFER'!F:F, "STOCK IN") + SUMIFS('STOCK IN  TRANSFER'!G:G, 'STOCK IN  TRANSFER'!E:E, B151, 'STOCK IN  TRANSFER'!F:F, "ADJUSTMENT (+)") - SUMIFS('STOCK IN  TRANSFER'!G:G, 'STOCK IN  TRANSFER'!E:E, B151, 'STOCK IN  TRANSFER'!F:F, "ADJUSTMENT (-)") - SUMIFS('STOCK IN  TRANSFER'!G:G, 'STOCK IN  TRANSFER'!E:E, B151, 'STOCK IN  TRANSFER'!F:F, "STOCK TRANSFER") - SUMIFS(SALES!H:H, SALES!E:E, B151)</f>
        <v>4</v>
      </c>
      <c r="F151" s="28"/>
    </row>
    <row r="152" ht="22.5" customHeight="1">
      <c r="A152" s="13" t="s">
        <v>568</v>
      </c>
      <c r="B152" s="13" t="s">
        <v>570</v>
      </c>
      <c r="C152" s="16">
        <v>1485.0</v>
      </c>
      <c r="D152" s="13" t="s">
        <v>75</v>
      </c>
      <c r="E152" s="28">
        <f>SUMIFS('STOCK IN  TRANSFER'!G:G, 'STOCK IN  TRANSFER'!E:E, B152, 'STOCK IN  TRANSFER'!F:F, "STOCK IN") + SUMIFS('STOCK IN  TRANSFER'!G:G, 'STOCK IN  TRANSFER'!E:E, B152, 'STOCK IN  TRANSFER'!F:F, "ADJUSTMENT (+)") - SUMIFS('STOCK IN  TRANSFER'!G:G, 'STOCK IN  TRANSFER'!E:E, B152, 'STOCK IN  TRANSFER'!F:F, "ADJUSTMENT (-)") - SUMIFS('STOCK IN  TRANSFER'!G:G, 'STOCK IN  TRANSFER'!E:E, B152, 'STOCK IN  TRANSFER'!F:F, "STOCK TRANSFER") - SUMIFS(SALES!H:H, SALES!E:E, B152)</f>
        <v>1</v>
      </c>
      <c r="F152" s="13"/>
    </row>
    <row r="153" ht="22.5" customHeight="1">
      <c r="A153" s="13" t="s">
        <v>571</v>
      </c>
      <c r="B153" s="13" t="s">
        <v>572</v>
      </c>
      <c r="C153" s="16">
        <v>1630.0</v>
      </c>
      <c r="D153" s="13" t="s">
        <v>75</v>
      </c>
      <c r="E153" s="28">
        <f>SUMIFS('STOCK IN  TRANSFER'!G:G, 'STOCK IN  TRANSFER'!E:E, B153, 'STOCK IN  TRANSFER'!F:F, "STOCK IN") + SUMIFS('STOCK IN  TRANSFER'!G:G, 'STOCK IN  TRANSFER'!E:E, B153, 'STOCK IN  TRANSFER'!F:F, "ADJUSTMENT (+)") - SUMIFS('STOCK IN  TRANSFER'!G:G, 'STOCK IN  TRANSFER'!E:E, B153, 'STOCK IN  TRANSFER'!F:F, "ADJUSTMENT (-)") - SUMIFS('STOCK IN  TRANSFER'!G:G, 'STOCK IN  TRANSFER'!E:E, B153, 'STOCK IN  TRANSFER'!F:F, "STOCK TRANSFER") - SUMIFS(SALES!H:H, SALES!E:E, B153)</f>
        <v>0</v>
      </c>
      <c r="F153" s="28"/>
    </row>
    <row r="154" ht="22.5" customHeight="1">
      <c r="A154" s="13" t="s">
        <v>574</v>
      </c>
      <c r="B154" s="13" t="s">
        <v>575</v>
      </c>
      <c r="C154" s="16">
        <v>1630.0</v>
      </c>
      <c r="D154" s="13" t="s">
        <v>75</v>
      </c>
      <c r="E154" s="28">
        <f>SUMIFS('STOCK IN  TRANSFER'!G:G, 'STOCK IN  TRANSFER'!E:E, B154, 'STOCK IN  TRANSFER'!F:F, "STOCK IN") + SUMIFS('STOCK IN  TRANSFER'!G:G, 'STOCK IN  TRANSFER'!E:E, B154, 'STOCK IN  TRANSFER'!F:F, "ADJUSTMENT (+)") - SUMIFS('STOCK IN  TRANSFER'!G:G, 'STOCK IN  TRANSFER'!E:E, B154, 'STOCK IN  TRANSFER'!F:F, "ADJUSTMENT (-)") - SUMIFS('STOCK IN  TRANSFER'!G:G, 'STOCK IN  TRANSFER'!E:E, B154, 'STOCK IN  TRANSFER'!F:F, "STOCK TRANSFER") - SUMIFS(SALES!H:H, SALES!E:E, B154)</f>
        <v>0</v>
      </c>
      <c r="F154" s="13"/>
    </row>
    <row r="155" ht="22.5" customHeight="1">
      <c r="A155" s="13" t="s">
        <v>578</v>
      </c>
      <c r="B155" s="13" t="s">
        <v>579</v>
      </c>
      <c r="C155" s="16">
        <v>1630.0</v>
      </c>
      <c r="D155" s="13" t="s">
        <v>75</v>
      </c>
      <c r="E155" s="28">
        <f>SUMIFS('STOCK IN  TRANSFER'!G:G, 'STOCK IN  TRANSFER'!E:E, B155, 'STOCK IN  TRANSFER'!F:F, "STOCK IN") + SUMIFS('STOCK IN  TRANSFER'!G:G, 'STOCK IN  TRANSFER'!E:E, B155, 'STOCK IN  TRANSFER'!F:F, "ADJUSTMENT (+)") - SUMIFS('STOCK IN  TRANSFER'!G:G, 'STOCK IN  TRANSFER'!E:E, B155, 'STOCK IN  TRANSFER'!F:F, "ADJUSTMENT (-)") - SUMIFS('STOCK IN  TRANSFER'!G:G, 'STOCK IN  TRANSFER'!E:E, B155, 'STOCK IN  TRANSFER'!F:F, "STOCK TRANSFER") - SUMIFS(SALES!H:H, SALES!E:E, B155)</f>
        <v>0</v>
      </c>
      <c r="F155" s="13"/>
    </row>
    <row r="156" ht="22.5" customHeight="1">
      <c r="A156" s="13" t="s">
        <v>581</v>
      </c>
      <c r="B156" s="13" t="s">
        <v>582</v>
      </c>
      <c r="C156" s="16">
        <v>1485.0</v>
      </c>
      <c r="D156" s="13" t="s">
        <v>83</v>
      </c>
      <c r="E156" s="28">
        <f>SUMIFS('STOCK IN  TRANSFER'!G:G, 'STOCK IN  TRANSFER'!E:E, B156, 'STOCK IN  TRANSFER'!F:F, "STOCK IN") + SUMIFS('STOCK IN  TRANSFER'!G:G, 'STOCK IN  TRANSFER'!E:E, B156, 'STOCK IN  TRANSFER'!F:F, "ADJUSTMENT (+)") - SUMIFS('STOCK IN  TRANSFER'!G:G, 'STOCK IN  TRANSFER'!E:E, B156, 'STOCK IN  TRANSFER'!F:F, "ADJUSTMENT (-)") - SUMIFS('STOCK IN  TRANSFER'!G:G, 'STOCK IN  TRANSFER'!E:E, B156, 'STOCK IN  TRANSFER'!F:F, "STOCK TRANSFER") - SUMIFS(SALES!H:H, SALES!E:E, B156)</f>
        <v>0</v>
      </c>
      <c r="F156" s="13"/>
    </row>
    <row r="157" ht="22.5" customHeight="1">
      <c r="A157" s="13" t="s">
        <v>584</v>
      </c>
      <c r="B157" s="13" t="s">
        <v>586</v>
      </c>
      <c r="C157" s="16">
        <v>1630.0</v>
      </c>
      <c r="D157" s="13" t="s">
        <v>75</v>
      </c>
      <c r="E157" s="28">
        <f>SUMIFS('STOCK IN  TRANSFER'!G:G, 'STOCK IN  TRANSFER'!E:E, B157, 'STOCK IN  TRANSFER'!F:F, "STOCK IN") + SUMIFS('STOCK IN  TRANSFER'!G:G, 'STOCK IN  TRANSFER'!E:E, B157, 'STOCK IN  TRANSFER'!F:F, "ADJUSTMENT (+)") - SUMIFS('STOCK IN  TRANSFER'!G:G, 'STOCK IN  TRANSFER'!E:E, B157, 'STOCK IN  TRANSFER'!F:F, "ADJUSTMENT (-)") - SUMIFS('STOCK IN  TRANSFER'!G:G, 'STOCK IN  TRANSFER'!E:E, B157, 'STOCK IN  TRANSFER'!F:F, "STOCK TRANSFER") - SUMIFS(SALES!H:H, SALES!E:E, B157)</f>
        <v>0</v>
      </c>
      <c r="F157" s="28"/>
    </row>
    <row r="158" ht="22.5" customHeight="1">
      <c r="A158" s="13" t="s">
        <v>72</v>
      </c>
      <c r="B158" s="13" t="s">
        <v>589</v>
      </c>
      <c r="C158" s="16">
        <v>1485.0</v>
      </c>
      <c r="D158" s="13" t="s">
        <v>75</v>
      </c>
      <c r="E158" s="28">
        <f>SUMIFS('STOCK IN  TRANSFER'!G:G, 'STOCK IN  TRANSFER'!E:E, B158, 'STOCK IN  TRANSFER'!F:F, "STOCK IN") + SUMIFS('STOCK IN  TRANSFER'!G:G, 'STOCK IN  TRANSFER'!E:E, B158, 'STOCK IN  TRANSFER'!F:F, "ADJUSTMENT (+)") - SUMIFS('STOCK IN  TRANSFER'!G:G, 'STOCK IN  TRANSFER'!E:E, B158, 'STOCK IN  TRANSFER'!F:F, "ADJUSTMENT (-)") - SUMIFS('STOCK IN  TRANSFER'!G:G, 'STOCK IN  TRANSFER'!E:E, B158, 'STOCK IN  TRANSFER'!F:F, "STOCK TRANSFER") - SUMIFS(SALES!H:H, SALES!E:E, B158)</f>
        <v>3</v>
      </c>
      <c r="F158" s="13"/>
    </row>
    <row r="159" ht="22.5" customHeight="1">
      <c r="A159" s="13" t="s">
        <v>591</v>
      </c>
      <c r="B159" s="13" t="s">
        <v>592</v>
      </c>
      <c r="C159" s="16">
        <v>1771.0</v>
      </c>
      <c r="D159" s="13" t="s">
        <v>75</v>
      </c>
      <c r="E159" s="28">
        <f>SUMIFS('STOCK IN  TRANSFER'!G:G, 'STOCK IN  TRANSFER'!E:E, B159, 'STOCK IN  TRANSFER'!F:F, "STOCK IN") + SUMIFS('STOCK IN  TRANSFER'!G:G, 'STOCK IN  TRANSFER'!E:E, B159, 'STOCK IN  TRANSFER'!F:F, "ADJUSTMENT (+)") - SUMIFS('STOCK IN  TRANSFER'!G:G, 'STOCK IN  TRANSFER'!E:E, B159, 'STOCK IN  TRANSFER'!F:F, "ADJUSTMENT (-)") - SUMIFS('STOCK IN  TRANSFER'!G:G, 'STOCK IN  TRANSFER'!E:E, B159, 'STOCK IN  TRANSFER'!F:F, "STOCK TRANSFER") - SUMIFS(SALES!H:H, SALES!E:E, B159)</f>
        <v>0</v>
      </c>
      <c r="F159" s="13"/>
    </row>
    <row r="160" ht="22.5" customHeight="1">
      <c r="A160" s="13" t="s">
        <v>594</v>
      </c>
      <c r="B160" s="13" t="s">
        <v>595</v>
      </c>
      <c r="C160" s="16">
        <v>1870.0</v>
      </c>
      <c r="D160" s="13" t="s">
        <v>75</v>
      </c>
      <c r="E160" s="28">
        <f>SUMIFS('STOCK IN  TRANSFER'!G:G, 'STOCK IN  TRANSFER'!E:E, B160, 'STOCK IN  TRANSFER'!F:F, "STOCK IN") + SUMIFS('STOCK IN  TRANSFER'!G:G, 'STOCK IN  TRANSFER'!E:E, B160, 'STOCK IN  TRANSFER'!F:F, "ADJUSTMENT (+)") - SUMIFS('STOCK IN  TRANSFER'!G:G, 'STOCK IN  TRANSFER'!E:E, B160, 'STOCK IN  TRANSFER'!F:F, "ADJUSTMENT (-)") - SUMIFS('STOCK IN  TRANSFER'!G:G, 'STOCK IN  TRANSFER'!E:E, B160, 'STOCK IN  TRANSFER'!F:F, "STOCK TRANSFER") - SUMIFS(SALES!H:H, SALES!E:E, B160)</f>
        <v>5</v>
      </c>
      <c r="F160" s="13"/>
    </row>
    <row r="161" ht="22.5" customHeight="1">
      <c r="A161" s="13" t="s">
        <v>600</v>
      </c>
      <c r="B161" s="13" t="s">
        <v>601</v>
      </c>
      <c r="C161" s="16">
        <v>1630.0</v>
      </c>
      <c r="D161" s="13" t="s">
        <v>75</v>
      </c>
      <c r="E161" s="28">
        <f>SUMIFS('STOCK IN  TRANSFER'!G:G, 'STOCK IN  TRANSFER'!E:E, B161, 'STOCK IN  TRANSFER'!F:F, "STOCK IN") + SUMIFS('STOCK IN  TRANSFER'!G:G, 'STOCK IN  TRANSFER'!E:E, B161, 'STOCK IN  TRANSFER'!F:F, "ADJUSTMENT (+)") - SUMIFS('STOCK IN  TRANSFER'!G:G, 'STOCK IN  TRANSFER'!E:E, B161, 'STOCK IN  TRANSFER'!F:F, "ADJUSTMENT (-)") - SUMIFS('STOCK IN  TRANSFER'!G:G, 'STOCK IN  TRANSFER'!E:E, B161, 'STOCK IN  TRANSFER'!F:F, "STOCK TRANSFER") - SUMIFS(SALES!H:H, SALES!E:E, B161)</f>
        <v>5</v>
      </c>
      <c r="F161" s="13"/>
    </row>
    <row r="162" ht="22.5" customHeight="1">
      <c r="A162" s="13" t="s">
        <v>390</v>
      </c>
      <c r="B162" s="13" t="s">
        <v>603</v>
      </c>
      <c r="C162" s="16">
        <v>550.0</v>
      </c>
      <c r="D162" s="13" t="s">
        <v>83</v>
      </c>
      <c r="E162" s="28">
        <f>SUMIFS('STOCK IN  TRANSFER'!G:G, 'STOCK IN  TRANSFER'!E:E, B162, 'STOCK IN  TRANSFER'!F:F, "STOCK IN") + SUMIFS('STOCK IN  TRANSFER'!G:G, 'STOCK IN  TRANSFER'!E:E, B162, 'STOCK IN  TRANSFER'!F:F, "ADJUSTMENT (+)") - SUMIFS('STOCK IN  TRANSFER'!G:G, 'STOCK IN  TRANSFER'!E:E, B162, 'STOCK IN  TRANSFER'!F:F, "ADJUSTMENT (-)") - SUMIFS('STOCK IN  TRANSFER'!G:G, 'STOCK IN  TRANSFER'!E:E, B162, 'STOCK IN  TRANSFER'!F:F, "STOCK TRANSFER") - SUMIFS(SALES!H:H, SALES!E:E, B162)</f>
        <v>0</v>
      </c>
      <c r="F162" s="13"/>
    </row>
    <row r="163" ht="22.5" customHeight="1">
      <c r="A163" s="13" t="s">
        <v>605</v>
      </c>
      <c r="B163" s="13" t="s">
        <v>606</v>
      </c>
      <c r="C163" s="16"/>
      <c r="D163" s="13" t="s">
        <v>75</v>
      </c>
      <c r="E163" s="28">
        <f>SUMIFS('STOCK IN  TRANSFER'!G:G, 'STOCK IN  TRANSFER'!E:E, B163, 'STOCK IN  TRANSFER'!F:F, "STOCK IN") + SUMIFS('STOCK IN  TRANSFER'!G:G, 'STOCK IN  TRANSFER'!E:E, B163, 'STOCK IN  TRANSFER'!F:F, "ADJUSTMENT (+)") - SUMIFS('STOCK IN  TRANSFER'!G:G, 'STOCK IN  TRANSFER'!E:E, B163, 'STOCK IN  TRANSFER'!F:F, "ADJUSTMENT (-)") - SUMIFS('STOCK IN  TRANSFER'!G:G, 'STOCK IN  TRANSFER'!E:E, B163, 'STOCK IN  TRANSFER'!F:F, "STOCK TRANSFER") - SUMIFS(SALES!H:H, SALES!E:E, B163)</f>
        <v>0</v>
      </c>
      <c r="F163" s="13"/>
    </row>
    <row r="164" ht="22.5" customHeight="1">
      <c r="A164" s="13" t="s">
        <v>609</v>
      </c>
      <c r="B164" s="13" t="s">
        <v>610</v>
      </c>
      <c r="C164" s="16"/>
      <c r="D164" s="13" t="s">
        <v>39</v>
      </c>
      <c r="E164" s="28">
        <f>SUMIFS('STOCK IN  TRANSFER'!G:G, 'STOCK IN  TRANSFER'!E:E, B164, 'STOCK IN  TRANSFER'!F:F, "STOCK IN") + SUMIFS('STOCK IN  TRANSFER'!G:G, 'STOCK IN  TRANSFER'!E:E, B164, 'STOCK IN  TRANSFER'!F:F, "ADJUSTMENT (+)") - SUMIFS('STOCK IN  TRANSFER'!G:G, 'STOCK IN  TRANSFER'!E:E, B164, 'STOCK IN  TRANSFER'!F:F, "ADJUSTMENT (-)") - SUMIFS('STOCK IN  TRANSFER'!G:G, 'STOCK IN  TRANSFER'!E:E, B164, 'STOCK IN  TRANSFER'!F:F, "STOCK TRANSFER") - SUMIFS(SALES!H:H, SALES!E:E, B164)</f>
        <v>0</v>
      </c>
      <c r="F164" s="13"/>
    </row>
    <row r="165" ht="22.5" customHeight="1">
      <c r="A165" s="13" t="s">
        <v>612</v>
      </c>
      <c r="B165" s="13" t="s">
        <v>613</v>
      </c>
      <c r="C165" s="16"/>
      <c r="D165" s="13" t="s">
        <v>343</v>
      </c>
      <c r="E165" s="28">
        <f>SUMIFS('STOCK IN  TRANSFER'!G:G, 'STOCK IN  TRANSFER'!E:E, B165, 'STOCK IN  TRANSFER'!F:F, "STOCK IN") + SUMIFS('STOCK IN  TRANSFER'!G:G, 'STOCK IN  TRANSFER'!E:E, B165, 'STOCK IN  TRANSFER'!F:F, "ADJUSTMENT (+)") - SUMIFS('STOCK IN  TRANSFER'!G:G, 'STOCK IN  TRANSFER'!E:E, B165, 'STOCK IN  TRANSFER'!F:F, "ADJUSTMENT (-)") - SUMIFS('STOCK IN  TRANSFER'!G:G, 'STOCK IN  TRANSFER'!E:E, B165, 'STOCK IN  TRANSFER'!F:F, "STOCK TRANSFER") - SUMIFS(SALES!H:H, SALES!E:E, B165)</f>
        <v>0</v>
      </c>
      <c r="F165" s="13"/>
    </row>
    <row r="166" ht="22.5" customHeight="1">
      <c r="A166" s="13" t="s">
        <v>616</v>
      </c>
      <c r="B166" s="13" t="s">
        <v>617</v>
      </c>
      <c r="C166" s="16">
        <v>186.0</v>
      </c>
      <c r="D166" s="13" t="s">
        <v>39</v>
      </c>
      <c r="E166" s="28">
        <f>SUMIFS('STOCK IN  TRANSFER'!G:G, 'STOCK IN  TRANSFER'!E:E, B166, 'STOCK IN  TRANSFER'!F:F, "STOCK IN") + SUMIFS('STOCK IN  TRANSFER'!G:G, 'STOCK IN  TRANSFER'!E:E, B166, 'STOCK IN  TRANSFER'!F:F, "ADJUSTMENT (+)") - SUMIFS('STOCK IN  TRANSFER'!G:G, 'STOCK IN  TRANSFER'!E:E, B166, 'STOCK IN  TRANSFER'!F:F, "ADJUSTMENT (-)") - SUMIFS('STOCK IN  TRANSFER'!G:G, 'STOCK IN  TRANSFER'!E:E, B166, 'STOCK IN  TRANSFER'!F:F, "STOCK TRANSFER") - SUMIFS(SALES!H:H, SALES!E:E, B166)</f>
        <v>0</v>
      </c>
      <c r="F166" s="13"/>
    </row>
    <row r="167" ht="22.5" customHeight="1">
      <c r="A167" s="13" t="s">
        <v>620</v>
      </c>
      <c r="B167" s="13" t="s">
        <v>622</v>
      </c>
      <c r="C167" s="16">
        <v>2680.0</v>
      </c>
      <c r="D167" s="13" t="s">
        <v>343</v>
      </c>
      <c r="E167" s="28">
        <f>SUMIFS('STOCK IN  TRANSFER'!G:G, 'STOCK IN  TRANSFER'!E:E, B167, 'STOCK IN  TRANSFER'!F:F, "STOCK IN") + SUMIFS('STOCK IN  TRANSFER'!G:G, 'STOCK IN  TRANSFER'!E:E, B167, 'STOCK IN  TRANSFER'!F:F, "ADJUSTMENT (+)") - SUMIFS('STOCK IN  TRANSFER'!G:G, 'STOCK IN  TRANSFER'!E:E, B167, 'STOCK IN  TRANSFER'!F:F, "ADJUSTMENT (-)") - SUMIFS('STOCK IN  TRANSFER'!G:G, 'STOCK IN  TRANSFER'!E:E, B167, 'STOCK IN  TRANSFER'!F:F, "STOCK TRANSFER") - SUMIFS(SALES!H:H, SALES!E:E, B167)</f>
        <v>0</v>
      </c>
      <c r="F167" s="13"/>
    </row>
    <row r="168" ht="22.5" customHeight="1">
      <c r="A168" s="13" t="s">
        <v>624</v>
      </c>
      <c r="B168" s="13" t="s">
        <v>625</v>
      </c>
      <c r="C168" s="16"/>
      <c r="D168" s="13" t="s">
        <v>83</v>
      </c>
      <c r="E168" s="28">
        <f>SUMIFS('STOCK IN  TRANSFER'!G:G, 'STOCK IN  TRANSFER'!E:E, B168, 'STOCK IN  TRANSFER'!F:F, "STOCK IN") + SUMIFS('STOCK IN  TRANSFER'!G:G, 'STOCK IN  TRANSFER'!E:E, B168, 'STOCK IN  TRANSFER'!F:F, "ADJUSTMENT (+)") - SUMIFS('STOCK IN  TRANSFER'!G:G, 'STOCK IN  TRANSFER'!E:E, B168, 'STOCK IN  TRANSFER'!F:F, "ADJUSTMENT (-)") - SUMIFS('STOCK IN  TRANSFER'!G:G, 'STOCK IN  TRANSFER'!E:E, B168, 'STOCK IN  TRANSFER'!F:F, "STOCK TRANSFER") - SUMIFS(SALES!H:H, SALES!E:E, B168)</f>
        <v>0</v>
      </c>
      <c r="F168" s="13"/>
    </row>
    <row r="169" ht="22.5" customHeight="1">
      <c r="A169" s="13" t="s">
        <v>628</v>
      </c>
      <c r="B169" s="13" t="s">
        <v>629</v>
      </c>
      <c r="C169" s="16"/>
      <c r="D169" s="13" t="s">
        <v>83</v>
      </c>
      <c r="E169" s="28">
        <f>SUMIFS('STOCK IN  TRANSFER'!G:G, 'STOCK IN  TRANSFER'!E:E, B169, 'STOCK IN  TRANSFER'!F:F, "STOCK IN") + SUMIFS('STOCK IN  TRANSFER'!G:G, 'STOCK IN  TRANSFER'!E:E, B169, 'STOCK IN  TRANSFER'!F:F, "ADJUSTMENT (+)") - SUMIFS('STOCK IN  TRANSFER'!G:G, 'STOCK IN  TRANSFER'!E:E, B169, 'STOCK IN  TRANSFER'!F:F, "ADJUSTMENT (-)") - SUMIFS('STOCK IN  TRANSFER'!G:G, 'STOCK IN  TRANSFER'!E:E, B169, 'STOCK IN  TRANSFER'!F:F, "STOCK TRANSFER") - SUMIFS(SALES!H:H, SALES!E:E, B169)</f>
        <v>0</v>
      </c>
      <c r="F169" s="13"/>
    </row>
    <row r="170" ht="22.5" customHeight="1">
      <c r="A170" s="13" t="s">
        <v>631</v>
      </c>
      <c r="B170" s="13" t="s">
        <v>632</v>
      </c>
      <c r="C170" s="16"/>
      <c r="D170" s="13" t="s">
        <v>83</v>
      </c>
      <c r="E170" s="28">
        <f>SUMIFS('STOCK IN  TRANSFER'!G:G, 'STOCK IN  TRANSFER'!E:E, B170, 'STOCK IN  TRANSFER'!F:F, "STOCK IN") + SUMIFS('STOCK IN  TRANSFER'!G:G, 'STOCK IN  TRANSFER'!E:E, B170, 'STOCK IN  TRANSFER'!F:F, "ADJUSTMENT (+)") - SUMIFS('STOCK IN  TRANSFER'!G:G, 'STOCK IN  TRANSFER'!E:E, B170, 'STOCK IN  TRANSFER'!F:F, "ADJUSTMENT (-)") - SUMIFS('STOCK IN  TRANSFER'!G:G, 'STOCK IN  TRANSFER'!E:E, B170, 'STOCK IN  TRANSFER'!F:F, "STOCK TRANSFER") - SUMIFS(SALES!H:H, SALES!E:E, B170)</f>
        <v>0</v>
      </c>
      <c r="F170" s="13"/>
    </row>
    <row r="171" ht="22.5" customHeight="1">
      <c r="A171" s="13" t="s">
        <v>452</v>
      </c>
      <c r="B171" s="13" t="s">
        <v>635</v>
      </c>
      <c r="C171" s="16">
        <v>828.0</v>
      </c>
      <c r="D171" s="13" t="s">
        <v>75</v>
      </c>
      <c r="E171" s="28">
        <f>SUMIFS('STOCK IN  TRANSFER'!G:G, 'STOCK IN  TRANSFER'!E:E, B171, 'STOCK IN  TRANSFER'!F:F, "STOCK IN") + SUMIFS('STOCK IN  TRANSFER'!G:G, 'STOCK IN  TRANSFER'!E:E, B171, 'STOCK IN  TRANSFER'!F:F, "ADJUSTMENT (+)") - SUMIFS('STOCK IN  TRANSFER'!G:G, 'STOCK IN  TRANSFER'!E:E, B171, 'STOCK IN  TRANSFER'!F:F, "ADJUSTMENT (-)") - SUMIFS('STOCK IN  TRANSFER'!G:G, 'STOCK IN  TRANSFER'!E:E, B171, 'STOCK IN  TRANSFER'!F:F, "STOCK TRANSFER") - SUMIFS(SALES!H:H, SALES!E:E, B171)</f>
        <v>0</v>
      </c>
      <c r="F171" s="13"/>
    </row>
    <row r="172" ht="22.5" customHeight="1">
      <c r="A172" s="13" t="s">
        <v>637</v>
      </c>
      <c r="B172" s="13" t="s">
        <v>638</v>
      </c>
      <c r="C172" s="16"/>
      <c r="D172" s="13" t="s">
        <v>75</v>
      </c>
      <c r="E172" s="28">
        <f>SUMIFS('STOCK IN  TRANSFER'!G:G, 'STOCK IN  TRANSFER'!E:E, B172, 'STOCK IN  TRANSFER'!F:F, "STOCK IN") + SUMIFS('STOCK IN  TRANSFER'!G:G, 'STOCK IN  TRANSFER'!E:E, B172, 'STOCK IN  TRANSFER'!F:F, "ADJUSTMENT (+)") - SUMIFS('STOCK IN  TRANSFER'!G:G, 'STOCK IN  TRANSFER'!E:E, B172, 'STOCK IN  TRANSFER'!F:F, "ADJUSTMENT (-)") - SUMIFS('STOCK IN  TRANSFER'!G:G, 'STOCK IN  TRANSFER'!E:E, B172, 'STOCK IN  TRANSFER'!F:F, "STOCK TRANSFER") - SUMIFS(SALES!H:H, SALES!E:E, B172)</f>
        <v>0</v>
      </c>
      <c r="F172" s="13"/>
    </row>
    <row r="173" ht="22.5" customHeight="1">
      <c r="A173" s="13" t="s">
        <v>640</v>
      </c>
      <c r="B173" s="13" t="s">
        <v>641</v>
      </c>
      <c r="C173" s="16"/>
      <c r="D173" s="13" t="s">
        <v>39</v>
      </c>
      <c r="E173" s="28">
        <f>SUMIFS('STOCK IN  TRANSFER'!G:G, 'STOCK IN  TRANSFER'!E:E, B173, 'STOCK IN  TRANSFER'!F:F, "STOCK IN") + SUMIFS('STOCK IN  TRANSFER'!G:G, 'STOCK IN  TRANSFER'!E:E, B173, 'STOCK IN  TRANSFER'!F:F, "ADJUSTMENT (+)") - SUMIFS('STOCK IN  TRANSFER'!G:G, 'STOCK IN  TRANSFER'!E:E, B173, 'STOCK IN  TRANSFER'!F:F, "ADJUSTMENT (-)") - SUMIFS('STOCK IN  TRANSFER'!G:G, 'STOCK IN  TRANSFER'!E:E, B173, 'STOCK IN  TRANSFER'!F:F, "STOCK TRANSFER") - SUMIFS(SALES!H:H, SALES!E:E, B173)</f>
        <v>0</v>
      </c>
      <c r="F173" s="13"/>
    </row>
    <row r="174" ht="22.5" customHeight="1">
      <c r="A174" s="13" t="s">
        <v>643</v>
      </c>
      <c r="B174" s="13" t="s">
        <v>644</v>
      </c>
      <c r="C174" s="16"/>
      <c r="D174" s="13" t="s">
        <v>343</v>
      </c>
      <c r="E174" s="28">
        <f>SUMIFS('STOCK IN  TRANSFER'!G:G, 'STOCK IN  TRANSFER'!E:E, B174, 'STOCK IN  TRANSFER'!F:F, "STOCK IN") + SUMIFS('STOCK IN  TRANSFER'!G:G, 'STOCK IN  TRANSFER'!E:E, B174, 'STOCK IN  TRANSFER'!F:F, "ADJUSTMENT (+)") - SUMIFS('STOCK IN  TRANSFER'!G:G, 'STOCK IN  TRANSFER'!E:E, B174, 'STOCK IN  TRANSFER'!F:F, "ADJUSTMENT (-)") - SUMIFS('STOCK IN  TRANSFER'!G:G, 'STOCK IN  TRANSFER'!E:E, B174, 'STOCK IN  TRANSFER'!F:F, "STOCK TRANSFER") - SUMIFS(SALES!H:H, SALES!E:E, B174)</f>
        <v>0</v>
      </c>
      <c r="F174" s="13"/>
    </row>
    <row r="175" ht="22.5" customHeight="1">
      <c r="A175" s="13" t="s">
        <v>646</v>
      </c>
      <c r="B175" s="13" t="s">
        <v>647</v>
      </c>
      <c r="C175" s="16">
        <v>630.0</v>
      </c>
      <c r="D175" s="13" t="s">
        <v>75</v>
      </c>
      <c r="E175" s="28">
        <f>SUMIFS('STOCK IN  TRANSFER'!G:G, 'STOCK IN  TRANSFER'!E:E, B175, 'STOCK IN  TRANSFER'!F:F, "STOCK IN") + SUMIFS('STOCK IN  TRANSFER'!G:G, 'STOCK IN  TRANSFER'!E:E, B175, 'STOCK IN  TRANSFER'!F:F, "ADJUSTMENT (+)") - SUMIFS('STOCK IN  TRANSFER'!G:G, 'STOCK IN  TRANSFER'!E:E, B175, 'STOCK IN  TRANSFER'!F:F, "ADJUSTMENT (-)") - SUMIFS('STOCK IN  TRANSFER'!G:G, 'STOCK IN  TRANSFER'!E:E, B175, 'STOCK IN  TRANSFER'!F:F, "STOCK TRANSFER") - SUMIFS(SALES!H:H, SALES!E:E, B175)</f>
        <v>0</v>
      </c>
      <c r="F175" s="13"/>
    </row>
    <row r="176" ht="22.5" customHeight="1">
      <c r="A176" s="13" t="s">
        <v>649</v>
      </c>
      <c r="B176" s="13" t="s">
        <v>650</v>
      </c>
      <c r="C176" s="16">
        <v>165.0</v>
      </c>
      <c r="D176" s="13" t="s">
        <v>39</v>
      </c>
      <c r="E176" s="28">
        <f>SUMIFS('STOCK IN  TRANSFER'!G:G, 'STOCK IN  TRANSFER'!E:E, B176, 'STOCK IN  TRANSFER'!F:F, "STOCK IN") + SUMIFS('STOCK IN  TRANSFER'!G:G, 'STOCK IN  TRANSFER'!E:E, B176, 'STOCK IN  TRANSFER'!F:F, "ADJUSTMENT (+)") - SUMIFS('STOCK IN  TRANSFER'!G:G, 'STOCK IN  TRANSFER'!E:E, B176, 'STOCK IN  TRANSFER'!F:F, "ADJUSTMENT (-)") - SUMIFS('STOCK IN  TRANSFER'!G:G, 'STOCK IN  TRANSFER'!E:E, B176, 'STOCK IN  TRANSFER'!F:F, "STOCK TRANSFER") - SUMIFS(SALES!H:H, SALES!E:E, B176)</f>
        <v>2</v>
      </c>
      <c r="F176" s="13"/>
    </row>
    <row r="177" ht="22.5" customHeight="1">
      <c r="A177" s="13" t="s">
        <v>651</v>
      </c>
      <c r="B177" s="13" t="s">
        <v>652</v>
      </c>
      <c r="C177" s="16">
        <v>2130.0</v>
      </c>
      <c r="D177" s="13" t="s">
        <v>343</v>
      </c>
      <c r="E177" s="28">
        <f>SUMIFS('STOCK IN  TRANSFER'!G:G, 'STOCK IN  TRANSFER'!E:E, B177, 'STOCK IN  TRANSFER'!F:F, "STOCK IN") + SUMIFS('STOCK IN  TRANSFER'!G:G, 'STOCK IN  TRANSFER'!E:E, B177, 'STOCK IN  TRANSFER'!F:F, "ADJUSTMENT (+)") - SUMIFS('STOCK IN  TRANSFER'!G:G, 'STOCK IN  TRANSFER'!E:E, B177, 'STOCK IN  TRANSFER'!F:F, "ADJUSTMENT (-)") - SUMIFS('STOCK IN  TRANSFER'!G:G, 'STOCK IN  TRANSFER'!E:E, B177, 'STOCK IN  TRANSFER'!F:F, "STOCK TRANSFER") - SUMIFS(SALES!H:H, SALES!E:E, B177)</f>
        <v>4</v>
      </c>
      <c r="F177" s="13"/>
    </row>
    <row r="178" ht="22.5" customHeight="1">
      <c r="A178" s="13" t="s">
        <v>653</v>
      </c>
      <c r="B178" s="13" t="s">
        <v>654</v>
      </c>
      <c r="C178" s="16"/>
      <c r="D178" s="13" t="s">
        <v>75</v>
      </c>
      <c r="E178" s="28">
        <f>SUMIFS('STOCK IN  TRANSFER'!G:G, 'STOCK IN  TRANSFER'!E:E, B178, 'STOCK IN  TRANSFER'!F:F, "STOCK IN") + SUMIFS('STOCK IN  TRANSFER'!G:G, 'STOCK IN  TRANSFER'!E:E, B178, 'STOCK IN  TRANSFER'!F:F, "ADJUSTMENT (+)") - SUMIFS('STOCK IN  TRANSFER'!G:G, 'STOCK IN  TRANSFER'!E:E, B178, 'STOCK IN  TRANSFER'!F:F, "ADJUSTMENT (-)") - SUMIFS('STOCK IN  TRANSFER'!G:G, 'STOCK IN  TRANSFER'!E:E, B178, 'STOCK IN  TRANSFER'!F:F, "STOCK TRANSFER") - SUMIFS(SALES!H:H, SALES!E:E, B178)</f>
        <v>0</v>
      </c>
      <c r="F178" s="13"/>
    </row>
    <row r="179" ht="22.5" customHeight="1">
      <c r="A179" s="13" t="s">
        <v>655</v>
      </c>
      <c r="B179" s="13" t="s">
        <v>656</v>
      </c>
      <c r="C179" s="16"/>
      <c r="D179" s="13" t="s">
        <v>39</v>
      </c>
      <c r="E179" s="28">
        <f>SUMIFS('STOCK IN  TRANSFER'!G:G, 'STOCK IN  TRANSFER'!E:E, B179, 'STOCK IN  TRANSFER'!F:F, "STOCK IN") + SUMIFS('STOCK IN  TRANSFER'!G:G, 'STOCK IN  TRANSFER'!E:E, B179, 'STOCK IN  TRANSFER'!F:F, "ADJUSTMENT (+)") - SUMIFS('STOCK IN  TRANSFER'!G:G, 'STOCK IN  TRANSFER'!E:E, B179, 'STOCK IN  TRANSFER'!F:F, "ADJUSTMENT (-)") - SUMIFS('STOCK IN  TRANSFER'!G:G, 'STOCK IN  TRANSFER'!E:E, B179, 'STOCK IN  TRANSFER'!F:F, "STOCK TRANSFER") - SUMIFS(SALES!H:H, SALES!E:E, B179)</f>
        <v>0</v>
      </c>
      <c r="F179" s="13"/>
    </row>
    <row r="180" ht="22.5" customHeight="1">
      <c r="A180" s="13" t="s">
        <v>657</v>
      </c>
      <c r="B180" s="13" t="s">
        <v>658</v>
      </c>
      <c r="C180" s="16"/>
      <c r="D180" s="13" t="s">
        <v>343</v>
      </c>
      <c r="E180" s="28">
        <f>SUMIFS('STOCK IN  TRANSFER'!G:G, 'STOCK IN  TRANSFER'!E:E, B180, 'STOCK IN  TRANSFER'!F:F, "STOCK IN") + SUMIFS('STOCK IN  TRANSFER'!G:G, 'STOCK IN  TRANSFER'!E:E, B180, 'STOCK IN  TRANSFER'!F:F, "ADJUSTMENT (+)") - SUMIFS('STOCK IN  TRANSFER'!G:G, 'STOCK IN  TRANSFER'!E:E, B180, 'STOCK IN  TRANSFER'!F:F, "ADJUSTMENT (-)") - SUMIFS('STOCK IN  TRANSFER'!G:G, 'STOCK IN  TRANSFER'!E:E, B180, 'STOCK IN  TRANSFER'!F:F, "STOCK TRANSFER") - SUMIFS(SALES!H:H, SALES!E:E, B180)</f>
        <v>0</v>
      </c>
      <c r="F180" s="13"/>
    </row>
    <row r="181" ht="22.5" customHeight="1">
      <c r="A181" s="13" t="s">
        <v>659</v>
      </c>
      <c r="B181" s="13" t="s">
        <v>660</v>
      </c>
      <c r="C181" s="16"/>
      <c r="D181" s="13" t="s">
        <v>75</v>
      </c>
      <c r="E181" s="28">
        <f>SUMIFS('STOCK IN  TRANSFER'!G:G, 'STOCK IN  TRANSFER'!E:E, B181, 'STOCK IN  TRANSFER'!F:F, "STOCK IN") + SUMIFS('STOCK IN  TRANSFER'!G:G, 'STOCK IN  TRANSFER'!E:E, B181, 'STOCK IN  TRANSFER'!F:F, "ADJUSTMENT (+)") - SUMIFS('STOCK IN  TRANSFER'!G:G, 'STOCK IN  TRANSFER'!E:E, B181, 'STOCK IN  TRANSFER'!F:F, "ADJUSTMENT (-)") - SUMIFS('STOCK IN  TRANSFER'!G:G, 'STOCK IN  TRANSFER'!E:E, B181, 'STOCK IN  TRANSFER'!F:F, "STOCK TRANSFER") - SUMIFS(SALES!H:H, SALES!E:E, B181)</f>
        <v>0</v>
      </c>
      <c r="F181" s="13"/>
    </row>
    <row r="182" ht="22.5" customHeight="1">
      <c r="A182" s="13" t="s">
        <v>661</v>
      </c>
      <c r="B182" s="13" t="s">
        <v>662</v>
      </c>
      <c r="C182" s="16"/>
      <c r="D182" s="13" t="s">
        <v>39</v>
      </c>
      <c r="E182" s="28">
        <f>SUMIFS('STOCK IN  TRANSFER'!G:G, 'STOCK IN  TRANSFER'!E:E, B182, 'STOCK IN  TRANSFER'!F:F, "STOCK IN") + SUMIFS('STOCK IN  TRANSFER'!G:G, 'STOCK IN  TRANSFER'!E:E, B182, 'STOCK IN  TRANSFER'!F:F, "ADJUSTMENT (+)") - SUMIFS('STOCK IN  TRANSFER'!G:G, 'STOCK IN  TRANSFER'!E:E, B182, 'STOCK IN  TRANSFER'!F:F, "ADJUSTMENT (-)") - SUMIFS('STOCK IN  TRANSFER'!G:G, 'STOCK IN  TRANSFER'!E:E, B182, 'STOCK IN  TRANSFER'!F:F, "STOCK TRANSFER") - SUMIFS(SALES!H:H, SALES!E:E, B182)</f>
        <v>0</v>
      </c>
      <c r="F182" s="13"/>
    </row>
    <row r="183" ht="22.5" customHeight="1">
      <c r="A183" s="13" t="s">
        <v>663</v>
      </c>
      <c r="B183" s="13" t="s">
        <v>664</v>
      </c>
      <c r="C183" s="16"/>
      <c r="D183" s="13" t="s">
        <v>343</v>
      </c>
      <c r="E183" s="28">
        <f>SUMIFS('STOCK IN  TRANSFER'!G:G, 'STOCK IN  TRANSFER'!E:E, B183, 'STOCK IN  TRANSFER'!F:F, "STOCK IN") + SUMIFS('STOCK IN  TRANSFER'!G:G, 'STOCK IN  TRANSFER'!E:E, B183, 'STOCK IN  TRANSFER'!F:F, "ADJUSTMENT (+)") - SUMIFS('STOCK IN  TRANSFER'!G:G, 'STOCK IN  TRANSFER'!E:E, B183, 'STOCK IN  TRANSFER'!F:F, "ADJUSTMENT (-)") - SUMIFS('STOCK IN  TRANSFER'!G:G, 'STOCK IN  TRANSFER'!E:E, B183, 'STOCK IN  TRANSFER'!F:F, "STOCK TRANSFER") - SUMIFS(SALES!H:H, SALES!E:E, B183)</f>
        <v>0</v>
      </c>
      <c r="F183" s="13"/>
    </row>
    <row r="184" ht="22.5" customHeight="1">
      <c r="A184" s="13" t="s">
        <v>665</v>
      </c>
      <c r="B184" s="13" t="s">
        <v>666</v>
      </c>
      <c r="C184" s="16">
        <v>449.0</v>
      </c>
      <c r="D184" s="13" t="s">
        <v>197</v>
      </c>
      <c r="E184" s="28">
        <f>SUMIFS('STOCK IN  TRANSFER'!G:G, 'STOCK IN  TRANSFER'!E:E, B184, 'STOCK IN  TRANSFER'!F:F, "STOCK IN") + SUMIFS('STOCK IN  TRANSFER'!G:G, 'STOCK IN  TRANSFER'!E:E, B184, 'STOCK IN  TRANSFER'!F:F, "ADJUSTMENT (+)") - SUMIFS('STOCK IN  TRANSFER'!G:G, 'STOCK IN  TRANSFER'!E:E, B184, 'STOCK IN  TRANSFER'!F:F, "ADJUSTMENT (-)") - SUMIFS('STOCK IN  TRANSFER'!G:G, 'STOCK IN  TRANSFER'!E:E, B184, 'STOCK IN  TRANSFER'!F:F, "STOCK TRANSFER") - SUMIFS(SALES!H:H, SALES!E:E, B184)</f>
        <v>1</v>
      </c>
      <c r="F184" s="13"/>
    </row>
    <row r="185" ht="22.5" customHeight="1">
      <c r="A185" s="13" t="s">
        <v>142</v>
      </c>
      <c r="B185" s="13" t="s">
        <v>668</v>
      </c>
      <c r="C185" s="16">
        <v>1460.0</v>
      </c>
      <c r="D185" s="13" t="s">
        <v>75</v>
      </c>
      <c r="E185" s="28">
        <f>SUMIFS('STOCK IN  TRANSFER'!G:G, 'STOCK IN  TRANSFER'!E:E, B185, 'STOCK IN  TRANSFER'!F:F, "STOCK IN") + SUMIFS('STOCK IN  TRANSFER'!G:G, 'STOCK IN  TRANSFER'!E:E, B185, 'STOCK IN  TRANSFER'!F:F, "ADJUSTMENT (+)") - SUMIFS('STOCK IN  TRANSFER'!G:G, 'STOCK IN  TRANSFER'!E:E, B185, 'STOCK IN  TRANSFER'!F:F, "ADJUSTMENT (-)") - SUMIFS('STOCK IN  TRANSFER'!G:G, 'STOCK IN  TRANSFER'!E:E, B185, 'STOCK IN  TRANSFER'!F:F, "STOCK TRANSFER") - SUMIFS(SALES!H:H, SALES!E:E, B185)</f>
        <v>4</v>
      </c>
      <c r="F185" s="13"/>
    </row>
    <row r="186" ht="22.5" customHeight="1">
      <c r="A186" s="13" t="s">
        <v>670</v>
      </c>
      <c r="B186" s="13" t="s">
        <v>671</v>
      </c>
      <c r="C186" s="16">
        <v>660.0</v>
      </c>
      <c r="D186" s="13" t="s">
        <v>75</v>
      </c>
      <c r="E186" s="28">
        <f>SUMIFS('STOCK IN  TRANSFER'!G:G, 'STOCK IN  TRANSFER'!E:E, B186, 'STOCK IN  TRANSFER'!F:F, "STOCK IN") + SUMIFS('STOCK IN  TRANSFER'!G:G, 'STOCK IN  TRANSFER'!E:E, B186, 'STOCK IN  TRANSFER'!F:F, "ADJUSTMENT (+)") - SUMIFS('STOCK IN  TRANSFER'!G:G, 'STOCK IN  TRANSFER'!E:E, B186, 'STOCK IN  TRANSFER'!F:F, "ADJUSTMENT (-)") - SUMIFS('STOCK IN  TRANSFER'!G:G, 'STOCK IN  TRANSFER'!E:E, B186, 'STOCK IN  TRANSFER'!F:F, "STOCK TRANSFER") - SUMIFS(SALES!H:H, SALES!E:E, B186)</f>
        <v>4</v>
      </c>
      <c r="F186" s="13"/>
    </row>
    <row r="187" ht="22.5" customHeight="1">
      <c r="A187" s="13" t="s">
        <v>673</v>
      </c>
      <c r="B187" s="13" t="s">
        <v>675</v>
      </c>
      <c r="C187" s="16">
        <v>402.0</v>
      </c>
      <c r="D187" s="13" t="s">
        <v>550</v>
      </c>
      <c r="E187" s="28">
        <f>SUMIFS('STOCK IN  TRANSFER'!G:G, 'STOCK IN  TRANSFER'!E:E, B187, 'STOCK IN  TRANSFER'!F:F, "STOCK IN") + SUMIFS('STOCK IN  TRANSFER'!G:G, 'STOCK IN  TRANSFER'!E:E, B187, 'STOCK IN  TRANSFER'!F:F, "ADJUSTMENT (+)") - SUMIFS('STOCK IN  TRANSFER'!G:G, 'STOCK IN  TRANSFER'!E:E, B187, 'STOCK IN  TRANSFER'!F:F, "ADJUSTMENT (-)") - SUMIFS('STOCK IN  TRANSFER'!G:G, 'STOCK IN  TRANSFER'!E:E, B187, 'STOCK IN  TRANSFER'!F:F, "STOCK TRANSFER") - SUMIFS(SALES!H:H, SALES!E:E, B187)</f>
        <v>7</v>
      </c>
      <c r="F187" s="13"/>
    </row>
    <row r="188" ht="22.5" customHeight="1">
      <c r="A188" s="13" t="s">
        <v>676</v>
      </c>
      <c r="B188" s="13" t="s">
        <v>677</v>
      </c>
      <c r="C188" s="16">
        <v>450.0</v>
      </c>
      <c r="D188" s="13" t="s">
        <v>83</v>
      </c>
      <c r="E188" s="28">
        <f>SUMIFS('STOCK IN  TRANSFER'!G:G, 'STOCK IN  TRANSFER'!E:E, B188, 'STOCK IN  TRANSFER'!F:F, "STOCK IN") + SUMIFS('STOCK IN  TRANSFER'!G:G, 'STOCK IN  TRANSFER'!E:E, B188, 'STOCK IN  TRANSFER'!F:F, "ADJUSTMENT (+)") - SUMIFS('STOCK IN  TRANSFER'!G:G, 'STOCK IN  TRANSFER'!E:E, B188, 'STOCK IN  TRANSFER'!F:F, "ADJUSTMENT (-)") - SUMIFS('STOCK IN  TRANSFER'!G:G, 'STOCK IN  TRANSFER'!E:E, B188, 'STOCK IN  TRANSFER'!F:F, "STOCK TRANSFER") - SUMIFS(SALES!H:H, SALES!E:E, B188)</f>
        <v>13</v>
      </c>
      <c r="F188" s="13"/>
    </row>
    <row r="189" ht="22.5" customHeight="1">
      <c r="A189" s="13" t="s">
        <v>679</v>
      </c>
      <c r="B189" s="13" t="s">
        <v>680</v>
      </c>
      <c r="C189" s="16">
        <v>900.0</v>
      </c>
      <c r="D189" s="13" t="s">
        <v>39</v>
      </c>
      <c r="E189" s="28">
        <f>SUMIFS('STOCK IN  TRANSFER'!G:G, 'STOCK IN  TRANSFER'!E:E, B189, 'STOCK IN  TRANSFER'!F:F, "STOCK IN") + SUMIFS('STOCK IN  TRANSFER'!G:G, 'STOCK IN  TRANSFER'!E:E, B189, 'STOCK IN  TRANSFER'!F:F, "ADJUSTMENT (+)") - SUMIFS('STOCK IN  TRANSFER'!G:G, 'STOCK IN  TRANSFER'!E:E, B189, 'STOCK IN  TRANSFER'!F:F, "ADJUSTMENT (-)") - SUMIFS('STOCK IN  TRANSFER'!G:G, 'STOCK IN  TRANSFER'!E:E, B189, 'STOCK IN  TRANSFER'!F:F, "STOCK TRANSFER") - SUMIFS(SALES!H:H, SALES!E:E, B189)</f>
        <v>0</v>
      </c>
      <c r="F189" s="13"/>
    </row>
    <row r="190" ht="22.5" customHeight="1">
      <c r="A190" s="13" t="s">
        <v>682</v>
      </c>
      <c r="B190" s="13" t="s">
        <v>683</v>
      </c>
      <c r="C190" s="16">
        <v>1215.0</v>
      </c>
      <c r="D190" s="13" t="s">
        <v>75</v>
      </c>
      <c r="E190" s="28">
        <f>SUMIFS('STOCK IN  TRANSFER'!G:G, 'STOCK IN  TRANSFER'!E:E, B190, 'STOCK IN  TRANSFER'!F:F, "STOCK IN") + SUMIFS('STOCK IN  TRANSFER'!G:G, 'STOCK IN  TRANSFER'!E:E, B190, 'STOCK IN  TRANSFER'!F:F, "ADJUSTMENT (+)") - SUMIFS('STOCK IN  TRANSFER'!G:G, 'STOCK IN  TRANSFER'!E:E, B190, 'STOCK IN  TRANSFER'!F:F, "ADJUSTMENT (-)") - SUMIFS('STOCK IN  TRANSFER'!G:G, 'STOCK IN  TRANSFER'!E:E, B190, 'STOCK IN  TRANSFER'!F:F, "STOCK TRANSFER") - SUMIFS(SALES!H:H, SALES!E:E, B190)</f>
        <v>6</v>
      </c>
      <c r="F190" s="13"/>
    </row>
    <row r="191" ht="22.5" customHeight="1">
      <c r="A191" s="13" t="s">
        <v>684</v>
      </c>
      <c r="B191" s="13" t="s">
        <v>685</v>
      </c>
      <c r="C191" s="16">
        <v>1850.0</v>
      </c>
      <c r="D191" s="13" t="s">
        <v>75</v>
      </c>
      <c r="E191" s="28">
        <f>SUMIFS('STOCK IN  TRANSFER'!G:G, 'STOCK IN  TRANSFER'!E:E, B191, 'STOCK IN  TRANSFER'!F:F, "STOCK IN") + SUMIFS('STOCK IN  TRANSFER'!G:G, 'STOCK IN  TRANSFER'!E:E, B191, 'STOCK IN  TRANSFER'!F:F, "ADJUSTMENT (+)") - SUMIFS('STOCK IN  TRANSFER'!G:G, 'STOCK IN  TRANSFER'!E:E, B191, 'STOCK IN  TRANSFER'!F:F, "ADJUSTMENT (-)") - SUMIFS('STOCK IN  TRANSFER'!G:G, 'STOCK IN  TRANSFER'!E:E, B191, 'STOCK IN  TRANSFER'!F:F, "STOCK TRANSFER") - SUMIFS(SALES!H:H, SALES!E:E, B191)</f>
        <v>8</v>
      </c>
      <c r="F191" s="13"/>
    </row>
    <row r="192" ht="22.5" customHeight="1">
      <c r="A192" s="13" t="s">
        <v>687</v>
      </c>
      <c r="B192" s="13" t="s">
        <v>688</v>
      </c>
      <c r="C192" s="16">
        <v>0.0</v>
      </c>
      <c r="D192" s="13" t="s">
        <v>75</v>
      </c>
      <c r="E192" s="28">
        <f>SUMIFS('STOCK IN  TRANSFER'!G:G, 'STOCK IN  TRANSFER'!E:E, B192, 'STOCK IN  TRANSFER'!F:F, "STOCK IN") + SUMIFS('STOCK IN  TRANSFER'!G:G, 'STOCK IN  TRANSFER'!E:E, B192, 'STOCK IN  TRANSFER'!F:F, "ADJUSTMENT (+)") - SUMIFS('STOCK IN  TRANSFER'!G:G, 'STOCK IN  TRANSFER'!E:E, B192, 'STOCK IN  TRANSFER'!F:F, "ADJUSTMENT (-)") - SUMIFS('STOCK IN  TRANSFER'!G:G, 'STOCK IN  TRANSFER'!E:E, B192, 'STOCK IN  TRANSFER'!F:F, "STOCK TRANSFER") - SUMIFS(SALES!H:H, SALES!E:E, B192)</f>
        <v>0</v>
      </c>
      <c r="F192" s="13"/>
    </row>
    <row r="193" ht="22.5" customHeight="1">
      <c r="A193" s="13" t="s">
        <v>690</v>
      </c>
      <c r="B193" s="13" t="s">
        <v>691</v>
      </c>
      <c r="C193" s="16">
        <v>1120.0</v>
      </c>
      <c r="D193" s="13" t="s">
        <v>75</v>
      </c>
      <c r="E193" s="28">
        <f>SUMIFS('STOCK IN  TRANSFER'!G:G, 'STOCK IN  TRANSFER'!E:E, B193, 'STOCK IN  TRANSFER'!F:F, "STOCK IN") + SUMIFS('STOCK IN  TRANSFER'!G:G, 'STOCK IN  TRANSFER'!E:E, B193, 'STOCK IN  TRANSFER'!F:F, "ADJUSTMENT (+)") - SUMIFS('STOCK IN  TRANSFER'!G:G, 'STOCK IN  TRANSFER'!E:E, B193, 'STOCK IN  TRANSFER'!F:F, "ADJUSTMENT (-)") - SUMIFS('STOCK IN  TRANSFER'!G:G, 'STOCK IN  TRANSFER'!E:E, B193, 'STOCK IN  TRANSFER'!F:F, "STOCK TRANSFER") - SUMIFS(SALES!H:H, SALES!E:E, B193)</f>
        <v>4</v>
      </c>
      <c r="F193" s="13"/>
    </row>
    <row r="194" ht="22.5" customHeight="1">
      <c r="A194" s="13" t="s">
        <v>695</v>
      </c>
      <c r="B194" s="13" t="s">
        <v>696</v>
      </c>
      <c r="C194" s="16">
        <v>1050.0</v>
      </c>
      <c r="D194" s="13" t="s">
        <v>75</v>
      </c>
      <c r="E194" s="28">
        <f>SUMIFS('STOCK IN  TRANSFER'!G:G, 'STOCK IN  TRANSFER'!E:E, B194, 'STOCK IN  TRANSFER'!F:F, "STOCK IN") + SUMIFS('STOCK IN  TRANSFER'!G:G, 'STOCK IN  TRANSFER'!E:E, B194, 'STOCK IN  TRANSFER'!F:F, "ADJUSTMENT (+)") - SUMIFS('STOCK IN  TRANSFER'!G:G, 'STOCK IN  TRANSFER'!E:E, B194, 'STOCK IN  TRANSFER'!F:F, "ADJUSTMENT (-)") - SUMIFS('STOCK IN  TRANSFER'!G:G, 'STOCK IN  TRANSFER'!E:E, B194, 'STOCK IN  TRANSFER'!F:F, "STOCK TRANSFER") - SUMIFS(SALES!H:H, SALES!E:E, B194)</f>
        <v>2</v>
      </c>
      <c r="F194" s="13"/>
    </row>
    <row r="195" ht="22.5" customHeight="1">
      <c r="A195" s="13" t="s">
        <v>697</v>
      </c>
      <c r="B195" s="13" t="s">
        <v>698</v>
      </c>
      <c r="C195" s="16">
        <v>1000.0</v>
      </c>
      <c r="D195" s="13" t="s">
        <v>75</v>
      </c>
      <c r="E195" s="28">
        <f>SUMIFS('STOCK IN  TRANSFER'!G:G, 'STOCK IN  TRANSFER'!E:E, B195, 'STOCK IN  TRANSFER'!F:F, "STOCK IN") + SUMIFS('STOCK IN  TRANSFER'!G:G, 'STOCK IN  TRANSFER'!E:E, B195, 'STOCK IN  TRANSFER'!F:F, "ADJUSTMENT (+)") - SUMIFS('STOCK IN  TRANSFER'!G:G, 'STOCK IN  TRANSFER'!E:E, B195, 'STOCK IN  TRANSFER'!F:F, "ADJUSTMENT (-)") - SUMIFS('STOCK IN  TRANSFER'!G:G, 'STOCK IN  TRANSFER'!E:E, B195, 'STOCK IN  TRANSFER'!F:F, "STOCK TRANSFER") - SUMIFS(SALES!H:H, SALES!E:E, B195)</f>
        <v>12</v>
      </c>
      <c r="F195" s="13"/>
    </row>
    <row r="196" ht="22.5" customHeight="1">
      <c r="A196" s="13" t="s">
        <v>703</v>
      </c>
      <c r="B196" s="13" t="s">
        <v>704</v>
      </c>
      <c r="C196" s="16">
        <v>445.0</v>
      </c>
      <c r="D196" s="13" t="s">
        <v>75</v>
      </c>
      <c r="E196" s="28">
        <f>SUMIFS('STOCK IN  TRANSFER'!G:G, 'STOCK IN  TRANSFER'!E:E, B196, 'STOCK IN  TRANSFER'!F:F, "STOCK IN") + SUMIFS('STOCK IN  TRANSFER'!G:G, 'STOCK IN  TRANSFER'!E:E, B196, 'STOCK IN  TRANSFER'!F:F, "ADJUSTMENT (+)") - SUMIFS('STOCK IN  TRANSFER'!G:G, 'STOCK IN  TRANSFER'!E:E, B196, 'STOCK IN  TRANSFER'!F:F, "ADJUSTMENT (-)") - SUMIFS('STOCK IN  TRANSFER'!G:G, 'STOCK IN  TRANSFER'!E:E, B196, 'STOCK IN  TRANSFER'!F:F, "STOCK TRANSFER") - SUMIFS(SALES!H:H, SALES!E:E, B196)</f>
        <v>2.7575</v>
      </c>
      <c r="F196" s="13"/>
    </row>
    <row r="197" ht="22.5" customHeight="1">
      <c r="A197" s="13" t="s">
        <v>706</v>
      </c>
      <c r="B197" s="13" t="s">
        <v>708</v>
      </c>
      <c r="C197" s="16">
        <v>786.0</v>
      </c>
      <c r="D197" s="13" t="s">
        <v>75</v>
      </c>
      <c r="E197" s="28">
        <f>SUMIFS('STOCK IN  TRANSFER'!G:G, 'STOCK IN  TRANSFER'!E:E, B197, 'STOCK IN  TRANSFER'!F:F, "STOCK IN") + SUMIFS('STOCK IN  TRANSFER'!G:G, 'STOCK IN  TRANSFER'!E:E, B197, 'STOCK IN  TRANSFER'!F:F, "ADJUSTMENT (+)") - SUMIFS('STOCK IN  TRANSFER'!G:G, 'STOCK IN  TRANSFER'!E:E, B197, 'STOCK IN  TRANSFER'!F:F, "ADJUSTMENT (-)") - SUMIFS('STOCK IN  TRANSFER'!G:G, 'STOCK IN  TRANSFER'!E:E, B197, 'STOCK IN  TRANSFER'!F:F, "STOCK TRANSFER") - SUMIFS(SALES!H:H, SALES!E:E, B197)</f>
        <v>5.15</v>
      </c>
      <c r="F197" s="13"/>
    </row>
    <row r="198" ht="22.5" customHeight="1">
      <c r="A198" s="13" t="s">
        <v>415</v>
      </c>
      <c r="B198" s="13" t="s">
        <v>709</v>
      </c>
      <c r="C198" s="16">
        <v>1030.0</v>
      </c>
      <c r="D198" s="13" t="s">
        <v>39</v>
      </c>
      <c r="E198" s="28">
        <f>SUMIFS('STOCK IN  TRANSFER'!G:G, 'STOCK IN  TRANSFER'!E:E, B198, 'STOCK IN  TRANSFER'!F:F, "STOCK IN") + SUMIFS('STOCK IN  TRANSFER'!G:G, 'STOCK IN  TRANSFER'!E:E, B198, 'STOCK IN  TRANSFER'!F:F, "ADJUSTMENT (+)") - SUMIFS('STOCK IN  TRANSFER'!G:G, 'STOCK IN  TRANSFER'!E:E, B198, 'STOCK IN  TRANSFER'!F:F, "ADJUSTMENT (-)") - SUMIFS('STOCK IN  TRANSFER'!G:G, 'STOCK IN  TRANSFER'!E:E, B198, 'STOCK IN  TRANSFER'!F:F, "STOCK TRANSFER") - SUMIFS(SALES!H:H, SALES!E:E, B198)</f>
        <v>9</v>
      </c>
      <c r="F198" s="13"/>
    </row>
    <row r="199" ht="22.5" customHeight="1">
      <c r="A199" s="13" t="s">
        <v>213</v>
      </c>
      <c r="B199" s="13" t="s">
        <v>712</v>
      </c>
      <c r="C199" s="16">
        <v>871.0</v>
      </c>
      <c r="D199" s="13" t="s">
        <v>39</v>
      </c>
      <c r="E199" s="28">
        <f>SUMIFS('STOCK IN  TRANSFER'!G:G, 'STOCK IN  TRANSFER'!E:E, B199, 'STOCK IN  TRANSFER'!F:F, "STOCK IN") + SUMIFS('STOCK IN  TRANSFER'!G:G, 'STOCK IN  TRANSFER'!E:E, B199, 'STOCK IN  TRANSFER'!F:F, "ADJUSTMENT (+)") - SUMIFS('STOCK IN  TRANSFER'!G:G, 'STOCK IN  TRANSFER'!E:E, B199, 'STOCK IN  TRANSFER'!F:F, "ADJUSTMENT (-)") - SUMIFS('STOCK IN  TRANSFER'!G:G, 'STOCK IN  TRANSFER'!E:E, B199, 'STOCK IN  TRANSFER'!F:F, "STOCK TRANSFER") - SUMIFS(SALES!H:H, SALES!E:E, B199)</f>
        <v>10</v>
      </c>
      <c r="F199" s="13"/>
    </row>
    <row r="200" ht="22.5" customHeight="1">
      <c r="A200" s="13" t="s">
        <v>714</v>
      </c>
      <c r="B200" s="13" t="s">
        <v>716</v>
      </c>
      <c r="C200" s="16">
        <v>2100.0</v>
      </c>
      <c r="D200" s="13" t="s">
        <v>75</v>
      </c>
      <c r="E200" s="28">
        <f>SUMIFS('STOCK IN  TRANSFER'!G:G, 'STOCK IN  TRANSFER'!E:E, B200, 'STOCK IN  TRANSFER'!F:F, "STOCK IN") + SUMIFS('STOCK IN  TRANSFER'!G:G, 'STOCK IN  TRANSFER'!E:E, B200, 'STOCK IN  TRANSFER'!F:F, "ADJUSTMENT (+)") - SUMIFS('STOCK IN  TRANSFER'!G:G, 'STOCK IN  TRANSFER'!E:E, B200, 'STOCK IN  TRANSFER'!F:F, "ADJUSTMENT (-)") - SUMIFS('STOCK IN  TRANSFER'!G:G, 'STOCK IN  TRANSFER'!E:E, B200, 'STOCK IN  TRANSFER'!F:F, "STOCK TRANSFER") - SUMIFS(SALES!H:H, SALES!E:E, B200)</f>
        <v>1</v>
      </c>
      <c r="F200" s="13"/>
    </row>
    <row r="201" ht="22.5" customHeight="1">
      <c r="A201" s="13" t="s">
        <v>718</v>
      </c>
      <c r="B201" s="13" t="s">
        <v>719</v>
      </c>
      <c r="C201" s="16">
        <v>2100.0</v>
      </c>
      <c r="D201" s="13" t="s">
        <v>75</v>
      </c>
      <c r="E201" s="28">
        <f>SUMIFS('STOCK IN  TRANSFER'!G:G, 'STOCK IN  TRANSFER'!E:E, B201, 'STOCK IN  TRANSFER'!F:F, "STOCK IN") + SUMIFS('STOCK IN  TRANSFER'!G:G, 'STOCK IN  TRANSFER'!E:E, B201, 'STOCK IN  TRANSFER'!F:F, "ADJUSTMENT (+)") - SUMIFS('STOCK IN  TRANSFER'!G:G, 'STOCK IN  TRANSFER'!E:E, B201, 'STOCK IN  TRANSFER'!F:F, "ADJUSTMENT (-)") - SUMIFS('STOCK IN  TRANSFER'!G:G, 'STOCK IN  TRANSFER'!E:E, B201, 'STOCK IN  TRANSFER'!F:F, "STOCK TRANSFER") - SUMIFS(SALES!H:H, SALES!E:E, B201)</f>
        <v>1</v>
      </c>
      <c r="F201" s="13"/>
    </row>
    <row r="202" ht="22.5" customHeight="1">
      <c r="A202" s="13" t="s">
        <v>50</v>
      </c>
      <c r="B202" s="13" t="s">
        <v>721</v>
      </c>
      <c r="C202" s="16">
        <v>1593.0</v>
      </c>
      <c r="D202" s="13" t="s">
        <v>722</v>
      </c>
      <c r="E202" s="28">
        <f>SUMIFS('STOCK IN  TRANSFER'!G:G, 'STOCK IN  TRANSFER'!E:E, B202, 'STOCK IN  TRANSFER'!F:F, "STOCK IN") + SUMIFS('STOCK IN  TRANSFER'!G:G, 'STOCK IN  TRANSFER'!E:E, B202, 'STOCK IN  TRANSFER'!F:F, "ADJUSTMENT (+)") - SUMIFS('STOCK IN  TRANSFER'!G:G, 'STOCK IN  TRANSFER'!E:E, B202, 'STOCK IN  TRANSFER'!F:F, "ADJUSTMENT (-)") - SUMIFS('STOCK IN  TRANSFER'!G:G, 'STOCK IN  TRANSFER'!E:E, B202, 'STOCK IN  TRANSFER'!F:F, "STOCK TRANSFER") - SUMIFS(SALES!H:H, SALES!E:E, B202)</f>
        <v>2</v>
      </c>
      <c r="F202" s="13"/>
    </row>
    <row r="203" ht="22.5" customHeight="1">
      <c r="A203" s="13" t="s">
        <v>56</v>
      </c>
      <c r="B203" s="13" t="s">
        <v>724</v>
      </c>
      <c r="C203" s="16">
        <v>1561.0</v>
      </c>
      <c r="D203" s="13" t="s">
        <v>722</v>
      </c>
      <c r="E203" s="28">
        <f>SUMIFS('STOCK IN  TRANSFER'!G:G, 'STOCK IN  TRANSFER'!E:E, B203, 'STOCK IN  TRANSFER'!F:F, "STOCK IN") + SUMIFS('STOCK IN  TRANSFER'!G:G, 'STOCK IN  TRANSFER'!E:E, B203, 'STOCK IN  TRANSFER'!F:F, "ADJUSTMENT (+)") - SUMIFS('STOCK IN  TRANSFER'!G:G, 'STOCK IN  TRANSFER'!E:E, B203, 'STOCK IN  TRANSFER'!F:F, "ADJUSTMENT (-)") - SUMIFS('STOCK IN  TRANSFER'!G:G, 'STOCK IN  TRANSFER'!E:E, B203, 'STOCK IN  TRANSFER'!F:F, "STOCK TRANSFER") - SUMIFS(SALES!H:H, SALES!E:E, B203)</f>
        <v>2</v>
      </c>
      <c r="F203" s="13"/>
    </row>
    <row r="204" ht="22.5" customHeight="1">
      <c r="A204" s="13" t="s">
        <v>60</v>
      </c>
      <c r="B204" s="13" t="s">
        <v>726</v>
      </c>
      <c r="C204" s="16">
        <v>1593.0</v>
      </c>
      <c r="D204" s="13" t="s">
        <v>722</v>
      </c>
      <c r="E204" s="28">
        <f>SUMIFS('STOCK IN  TRANSFER'!G:G, 'STOCK IN  TRANSFER'!E:E, B204, 'STOCK IN  TRANSFER'!F:F, "STOCK IN") + SUMIFS('STOCK IN  TRANSFER'!G:G, 'STOCK IN  TRANSFER'!E:E, B204, 'STOCK IN  TRANSFER'!F:F, "ADJUSTMENT (+)") - SUMIFS('STOCK IN  TRANSFER'!G:G, 'STOCK IN  TRANSFER'!E:E, B204, 'STOCK IN  TRANSFER'!F:F, "ADJUSTMENT (-)") - SUMIFS('STOCK IN  TRANSFER'!G:G, 'STOCK IN  TRANSFER'!E:E, B204, 'STOCK IN  TRANSFER'!F:F, "STOCK TRANSFER") - SUMIFS(SALES!H:H, SALES!E:E, B204)</f>
        <v>3</v>
      </c>
      <c r="F204" s="13"/>
    </row>
    <row r="205" ht="22.5" customHeight="1">
      <c r="A205" s="13" t="s">
        <v>727</v>
      </c>
      <c r="B205" s="13" t="s">
        <v>728</v>
      </c>
      <c r="C205" s="16">
        <v>1593.0</v>
      </c>
      <c r="D205" s="13" t="s">
        <v>722</v>
      </c>
      <c r="E205" s="28">
        <f>SUMIFS('STOCK IN  TRANSFER'!G:G, 'STOCK IN  TRANSFER'!E:E, B205, 'STOCK IN  TRANSFER'!F:F, "STOCK IN") + SUMIFS('STOCK IN  TRANSFER'!G:G, 'STOCK IN  TRANSFER'!E:E, B205, 'STOCK IN  TRANSFER'!F:F, "ADJUSTMENT (+)") - SUMIFS('STOCK IN  TRANSFER'!G:G, 'STOCK IN  TRANSFER'!E:E, B205, 'STOCK IN  TRANSFER'!F:F, "ADJUSTMENT (-)") - SUMIFS('STOCK IN  TRANSFER'!G:G, 'STOCK IN  TRANSFER'!E:E, B205, 'STOCK IN  TRANSFER'!F:F, "STOCK TRANSFER") - SUMIFS(SALES!H:H, SALES!E:E, B205)</f>
        <v>0</v>
      </c>
      <c r="F205" s="13"/>
    </row>
    <row r="206" ht="22.5" customHeight="1">
      <c r="A206" s="13" t="s">
        <v>65</v>
      </c>
      <c r="B206" s="13" t="s">
        <v>730</v>
      </c>
      <c r="C206" s="16">
        <v>1593.0</v>
      </c>
      <c r="D206" s="13" t="s">
        <v>722</v>
      </c>
      <c r="E206" s="28">
        <f>SUMIFS('STOCK IN  TRANSFER'!G:G, 'STOCK IN  TRANSFER'!E:E, B206, 'STOCK IN  TRANSFER'!F:F, "STOCK IN") + SUMIFS('STOCK IN  TRANSFER'!G:G, 'STOCK IN  TRANSFER'!E:E, B206, 'STOCK IN  TRANSFER'!F:F, "ADJUSTMENT (+)") - SUMIFS('STOCK IN  TRANSFER'!G:G, 'STOCK IN  TRANSFER'!E:E, B206, 'STOCK IN  TRANSFER'!F:F, "ADJUSTMENT (-)") - SUMIFS('STOCK IN  TRANSFER'!G:G, 'STOCK IN  TRANSFER'!E:E, B206, 'STOCK IN  TRANSFER'!F:F, "STOCK TRANSFER") - SUMIFS(SALES!H:H, SALES!E:E, B206)</f>
        <v>3</v>
      </c>
      <c r="F206" s="13"/>
    </row>
    <row r="207" ht="22.5" customHeight="1">
      <c r="A207" s="13" t="s">
        <v>69</v>
      </c>
      <c r="B207" s="13" t="s">
        <v>732</v>
      </c>
      <c r="C207" s="16">
        <v>1593.0</v>
      </c>
      <c r="D207" s="13" t="s">
        <v>722</v>
      </c>
      <c r="E207" s="28">
        <f>SUMIFS('STOCK IN  TRANSFER'!G:G, 'STOCK IN  TRANSFER'!E:E, B207, 'STOCK IN  TRANSFER'!F:F, "STOCK IN") + SUMIFS('STOCK IN  TRANSFER'!G:G, 'STOCK IN  TRANSFER'!E:E, B207, 'STOCK IN  TRANSFER'!F:F, "ADJUSTMENT (+)") - SUMIFS('STOCK IN  TRANSFER'!G:G, 'STOCK IN  TRANSFER'!E:E, B207, 'STOCK IN  TRANSFER'!F:F, "ADJUSTMENT (-)") - SUMIFS('STOCK IN  TRANSFER'!G:G, 'STOCK IN  TRANSFER'!E:E, B207, 'STOCK IN  TRANSFER'!F:F, "STOCK TRANSFER") - SUMIFS(SALES!H:H, SALES!E:E, B207)</f>
        <v>2</v>
      </c>
      <c r="F207" s="13"/>
    </row>
    <row r="208" ht="22.5" customHeight="1">
      <c r="A208" s="13" t="s">
        <v>76</v>
      </c>
      <c r="B208" s="13" t="s">
        <v>734</v>
      </c>
      <c r="C208" s="16">
        <v>1593.0</v>
      </c>
      <c r="D208" s="13" t="s">
        <v>722</v>
      </c>
      <c r="E208" s="28">
        <f>SUMIFS('STOCK IN  TRANSFER'!G:G, 'STOCK IN  TRANSFER'!E:E, B208, 'STOCK IN  TRANSFER'!F:F, "STOCK IN") + SUMIFS('STOCK IN  TRANSFER'!G:G, 'STOCK IN  TRANSFER'!E:E, B208, 'STOCK IN  TRANSFER'!F:F, "ADJUSTMENT (+)") - SUMIFS('STOCK IN  TRANSFER'!G:G, 'STOCK IN  TRANSFER'!E:E, B208, 'STOCK IN  TRANSFER'!F:F, "ADJUSTMENT (-)") - SUMIFS('STOCK IN  TRANSFER'!G:G, 'STOCK IN  TRANSFER'!E:E, B208, 'STOCK IN  TRANSFER'!F:F, "STOCK TRANSFER") - SUMIFS(SALES!H:H, SALES!E:E, B208)</f>
        <v>1</v>
      </c>
      <c r="F208" s="13"/>
    </row>
    <row r="209" ht="22.5" customHeight="1">
      <c r="A209" s="13" t="s">
        <v>80</v>
      </c>
      <c r="B209" s="13" t="s">
        <v>736</v>
      </c>
      <c r="C209" s="16">
        <v>1593.0</v>
      </c>
      <c r="D209" s="13" t="s">
        <v>722</v>
      </c>
      <c r="E209" s="28">
        <f>SUMIFS('STOCK IN  TRANSFER'!G:G, 'STOCK IN  TRANSFER'!E:E, B209, 'STOCK IN  TRANSFER'!F:F, "STOCK IN") + SUMIFS('STOCK IN  TRANSFER'!G:G, 'STOCK IN  TRANSFER'!E:E, B209, 'STOCK IN  TRANSFER'!F:F, "ADJUSTMENT (+)") - SUMIFS('STOCK IN  TRANSFER'!G:G, 'STOCK IN  TRANSFER'!E:E, B209, 'STOCK IN  TRANSFER'!F:F, "ADJUSTMENT (-)") - SUMIFS('STOCK IN  TRANSFER'!G:G, 'STOCK IN  TRANSFER'!E:E, B209, 'STOCK IN  TRANSFER'!F:F, "STOCK TRANSFER") - SUMIFS(SALES!H:H, SALES!E:E, B209)</f>
        <v>0</v>
      </c>
      <c r="F209" s="13"/>
    </row>
    <row r="210" ht="22.5" customHeight="1">
      <c r="A210" s="13" t="s">
        <v>88</v>
      </c>
      <c r="B210" s="13" t="s">
        <v>738</v>
      </c>
      <c r="C210" s="16">
        <v>1593.0</v>
      </c>
      <c r="D210" s="13" t="s">
        <v>722</v>
      </c>
      <c r="E210" s="28">
        <f>SUMIFS('STOCK IN  TRANSFER'!G:G, 'STOCK IN  TRANSFER'!E:E, B210, 'STOCK IN  TRANSFER'!F:F, "STOCK IN") + SUMIFS('STOCK IN  TRANSFER'!G:G, 'STOCK IN  TRANSFER'!E:E, B210, 'STOCK IN  TRANSFER'!F:F, "ADJUSTMENT (+)") - SUMIFS('STOCK IN  TRANSFER'!G:G, 'STOCK IN  TRANSFER'!E:E, B210, 'STOCK IN  TRANSFER'!F:F, "ADJUSTMENT (-)") - SUMIFS('STOCK IN  TRANSFER'!G:G, 'STOCK IN  TRANSFER'!E:E, B210, 'STOCK IN  TRANSFER'!F:F, "STOCK TRANSFER") - SUMIFS(SALES!H:H, SALES!E:E, B210)</f>
        <v>1</v>
      </c>
      <c r="F210" s="13"/>
    </row>
    <row r="211" ht="22.5" customHeight="1">
      <c r="A211" s="13" t="s">
        <v>95</v>
      </c>
      <c r="B211" s="13" t="s">
        <v>740</v>
      </c>
      <c r="C211" s="16">
        <v>1593.0</v>
      </c>
      <c r="D211" s="13" t="s">
        <v>722</v>
      </c>
      <c r="E211" s="28">
        <f>SUMIFS('STOCK IN  TRANSFER'!G:G, 'STOCK IN  TRANSFER'!E:E, B211, 'STOCK IN  TRANSFER'!F:F, "STOCK IN") + SUMIFS('STOCK IN  TRANSFER'!G:G, 'STOCK IN  TRANSFER'!E:E, B211, 'STOCK IN  TRANSFER'!F:F, "ADJUSTMENT (+)") - SUMIFS('STOCK IN  TRANSFER'!G:G, 'STOCK IN  TRANSFER'!E:E, B211, 'STOCK IN  TRANSFER'!F:F, "ADJUSTMENT (-)") - SUMIFS('STOCK IN  TRANSFER'!G:G, 'STOCK IN  TRANSFER'!E:E, B211, 'STOCK IN  TRANSFER'!F:F, "STOCK TRANSFER") - SUMIFS(SALES!H:H, SALES!E:E, B211)</f>
        <v>3</v>
      </c>
      <c r="F211" s="13"/>
    </row>
    <row r="212" ht="22.5" customHeight="1">
      <c r="A212" s="13" t="s">
        <v>96</v>
      </c>
      <c r="B212" s="13" t="s">
        <v>741</v>
      </c>
      <c r="C212" s="16">
        <v>1896.0</v>
      </c>
      <c r="D212" s="13" t="s">
        <v>722</v>
      </c>
      <c r="E212" s="28">
        <f>SUMIFS('STOCK IN  TRANSFER'!G:G, 'STOCK IN  TRANSFER'!E:E, B212, 'STOCK IN  TRANSFER'!F:F, "STOCK IN") + SUMIFS('STOCK IN  TRANSFER'!G:G, 'STOCK IN  TRANSFER'!E:E, B212, 'STOCK IN  TRANSFER'!F:F, "ADJUSTMENT (+)") - SUMIFS('STOCK IN  TRANSFER'!G:G, 'STOCK IN  TRANSFER'!E:E, B212, 'STOCK IN  TRANSFER'!F:F, "ADJUSTMENT (-)") - SUMIFS('STOCK IN  TRANSFER'!G:G, 'STOCK IN  TRANSFER'!E:E, B212, 'STOCK IN  TRANSFER'!F:F, "STOCK TRANSFER") - SUMIFS(SALES!H:H, SALES!E:E, B212)</f>
        <v>4</v>
      </c>
      <c r="F212" s="13"/>
    </row>
    <row r="213" ht="22.5" customHeight="1">
      <c r="A213" s="13" t="s">
        <v>102</v>
      </c>
      <c r="B213" s="13" t="s">
        <v>743</v>
      </c>
      <c r="C213" s="16">
        <v>1593.0</v>
      </c>
      <c r="D213" s="13" t="s">
        <v>722</v>
      </c>
      <c r="E213" s="28">
        <f>SUMIFS('STOCK IN  TRANSFER'!G:G, 'STOCK IN  TRANSFER'!E:E, B213, 'STOCK IN  TRANSFER'!F:F, "STOCK IN") + SUMIFS('STOCK IN  TRANSFER'!G:G, 'STOCK IN  TRANSFER'!E:E, B213, 'STOCK IN  TRANSFER'!F:F, "ADJUSTMENT (+)") - SUMIFS('STOCK IN  TRANSFER'!G:G, 'STOCK IN  TRANSFER'!E:E, B213, 'STOCK IN  TRANSFER'!F:F, "ADJUSTMENT (-)") - SUMIFS('STOCK IN  TRANSFER'!G:G, 'STOCK IN  TRANSFER'!E:E, B213, 'STOCK IN  TRANSFER'!F:F, "STOCK TRANSFER") - SUMIFS(SALES!H:H, SALES!E:E, B213)</f>
        <v>4</v>
      </c>
      <c r="F213" s="13"/>
    </row>
    <row r="214" ht="22.5" customHeight="1">
      <c r="A214" s="13" t="s">
        <v>745</v>
      </c>
      <c r="B214" s="13" t="s">
        <v>746</v>
      </c>
      <c r="C214" s="16">
        <v>0.0</v>
      </c>
      <c r="D214" s="13" t="s">
        <v>722</v>
      </c>
      <c r="E214" s="28">
        <f>SUMIFS('STOCK IN  TRANSFER'!G:G, 'STOCK IN  TRANSFER'!E:E, B214, 'STOCK IN  TRANSFER'!F:F, "STOCK IN") + SUMIFS('STOCK IN  TRANSFER'!G:G, 'STOCK IN  TRANSFER'!E:E, B214, 'STOCK IN  TRANSFER'!F:F, "ADJUSTMENT (+)") - SUMIFS('STOCK IN  TRANSFER'!G:G, 'STOCK IN  TRANSFER'!E:E, B214, 'STOCK IN  TRANSFER'!F:F, "ADJUSTMENT (-)") - SUMIFS('STOCK IN  TRANSFER'!G:G, 'STOCK IN  TRANSFER'!E:E, B214, 'STOCK IN  TRANSFER'!F:F, "STOCK TRANSFER") - SUMIFS(SALES!H:H, SALES!E:E, B214)</f>
        <v>0</v>
      </c>
      <c r="F214" s="13"/>
    </row>
    <row r="215" ht="22.5" customHeight="1">
      <c r="A215" s="13" t="s">
        <v>747</v>
      </c>
      <c r="B215" s="13" t="s">
        <v>749</v>
      </c>
      <c r="C215" s="16">
        <v>1744.0</v>
      </c>
      <c r="D215" s="13" t="s">
        <v>722</v>
      </c>
      <c r="E215" s="28">
        <f>SUMIFS('STOCK IN  TRANSFER'!G:G, 'STOCK IN  TRANSFER'!E:E, B215, 'STOCK IN  TRANSFER'!F:F, "STOCK IN") + SUMIFS('STOCK IN  TRANSFER'!G:G, 'STOCK IN  TRANSFER'!E:E, B215, 'STOCK IN  TRANSFER'!F:F, "ADJUSTMENT (+)") - SUMIFS('STOCK IN  TRANSFER'!G:G, 'STOCK IN  TRANSFER'!E:E, B215, 'STOCK IN  TRANSFER'!F:F, "ADJUSTMENT (-)") - SUMIFS('STOCK IN  TRANSFER'!G:G, 'STOCK IN  TRANSFER'!E:E, B215, 'STOCK IN  TRANSFER'!F:F, "STOCK TRANSFER") - SUMIFS(SALES!H:H, SALES!E:E, B215)</f>
        <v>0</v>
      </c>
      <c r="F215" s="13"/>
    </row>
    <row r="216" ht="22.5" customHeight="1">
      <c r="A216" s="13" t="s">
        <v>106</v>
      </c>
      <c r="B216" s="13" t="s">
        <v>750</v>
      </c>
      <c r="C216" s="16">
        <v>2048.0</v>
      </c>
      <c r="D216" s="13" t="s">
        <v>722</v>
      </c>
      <c r="E216" s="28">
        <f>SUMIFS('STOCK IN  TRANSFER'!G:G, 'STOCK IN  TRANSFER'!E:E, B216, 'STOCK IN  TRANSFER'!F:F, "STOCK IN") + SUMIFS('STOCK IN  TRANSFER'!G:G, 'STOCK IN  TRANSFER'!E:E, B216, 'STOCK IN  TRANSFER'!F:F, "ADJUSTMENT (+)") - SUMIFS('STOCK IN  TRANSFER'!G:G, 'STOCK IN  TRANSFER'!E:E, B216, 'STOCK IN  TRANSFER'!F:F, "ADJUSTMENT (-)") - SUMIFS('STOCK IN  TRANSFER'!G:G, 'STOCK IN  TRANSFER'!E:E, B216, 'STOCK IN  TRANSFER'!F:F, "STOCK TRANSFER") - SUMIFS(SALES!H:H, SALES!E:E, B216)</f>
        <v>1</v>
      </c>
      <c r="F216" s="13"/>
    </row>
    <row r="217" ht="22.5" customHeight="1">
      <c r="A217" s="13" t="s">
        <v>110</v>
      </c>
      <c r="B217" s="13" t="s">
        <v>752</v>
      </c>
      <c r="C217" s="16">
        <v>1608.0</v>
      </c>
      <c r="D217" s="13" t="s">
        <v>722</v>
      </c>
      <c r="E217" s="28">
        <f>SUMIFS('STOCK IN  TRANSFER'!G:G, 'STOCK IN  TRANSFER'!E:E, B217, 'STOCK IN  TRANSFER'!F:F, "STOCK IN") + SUMIFS('STOCK IN  TRANSFER'!G:G, 'STOCK IN  TRANSFER'!E:E, B217, 'STOCK IN  TRANSFER'!F:F, "ADJUSTMENT (+)") - SUMIFS('STOCK IN  TRANSFER'!G:G, 'STOCK IN  TRANSFER'!E:E, B217, 'STOCK IN  TRANSFER'!F:F, "ADJUSTMENT (-)") - SUMIFS('STOCK IN  TRANSFER'!G:G, 'STOCK IN  TRANSFER'!E:E, B217, 'STOCK IN  TRANSFER'!F:F, "STOCK TRANSFER") - SUMIFS(SALES!H:H, SALES!E:E, B217)</f>
        <v>2</v>
      </c>
      <c r="F217" s="13"/>
    </row>
    <row r="218" ht="22.5" customHeight="1">
      <c r="A218" s="13" t="s">
        <v>116</v>
      </c>
      <c r="B218" s="13" t="s">
        <v>753</v>
      </c>
      <c r="C218" s="16">
        <v>2048.0</v>
      </c>
      <c r="D218" s="13" t="s">
        <v>722</v>
      </c>
      <c r="E218" s="28">
        <f>SUMIFS('STOCK IN  TRANSFER'!G:G, 'STOCK IN  TRANSFER'!E:E, B218, 'STOCK IN  TRANSFER'!F:F, "STOCK IN") + SUMIFS('STOCK IN  TRANSFER'!G:G, 'STOCK IN  TRANSFER'!E:E, B218, 'STOCK IN  TRANSFER'!F:F, "ADJUSTMENT (+)") - SUMIFS('STOCK IN  TRANSFER'!G:G, 'STOCK IN  TRANSFER'!E:E, B218, 'STOCK IN  TRANSFER'!F:F, "ADJUSTMENT (-)") - SUMIFS('STOCK IN  TRANSFER'!G:G, 'STOCK IN  TRANSFER'!E:E, B218, 'STOCK IN  TRANSFER'!F:F, "STOCK TRANSFER") - SUMIFS(SALES!H:H, SALES!E:E, B218)</f>
        <v>1</v>
      </c>
      <c r="F218" s="13"/>
    </row>
    <row r="219" ht="22.5" customHeight="1">
      <c r="A219" s="13" t="s">
        <v>120</v>
      </c>
      <c r="B219" s="13" t="s">
        <v>755</v>
      </c>
      <c r="C219" s="16">
        <v>1896.0</v>
      </c>
      <c r="D219" s="13" t="s">
        <v>722</v>
      </c>
      <c r="E219" s="28">
        <f>SUMIFS('STOCK IN  TRANSFER'!G:G, 'STOCK IN  TRANSFER'!E:E, B219, 'STOCK IN  TRANSFER'!F:F, "STOCK IN") + SUMIFS('STOCK IN  TRANSFER'!G:G, 'STOCK IN  TRANSFER'!E:E, B219, 'STOCK IN  TRANSFER'!F:F, "ADJUSTMENT (+)") - SUMIFS('STOCK IN  TRANSFER'!G:G, 'STOCK IN  TRANSFER'!E:E, B219, 'STOCK IN  TRANSFER'!F:F, "ADJUSTMENT (-)") - SUMIFS('STOCK IN  TRANSFER'!G:G, 'STOCK IN  TRANSFER'!E:E, B219, 'STOCK IN  TRANSFER'!F:F, "STOCK TRANSFER") - SUMIFS(SALES!H:H, SALES!E:E, B219)</f>
        <v>3</v>
      </c>
      <c r="F219" s="13"/>
    </row>
    <row r="220" ht="22.5" customHeight="1">
      <c r="A220" s="13" t="s">
        <v>128</v>
      </c>
      <c r="B220" s="13" t="s">
        <v>757</v>
      </c>
      <c r="C220" s="16">
        <v>2302.0</v>
      </c>
      <c r="D220" s="13" t="s">
        <v>722</v>
      </c>
      <c r="E220" s="28">
        <f>SUMIFS('STOCK IN  TRANSFER'!G:G, 'STOCK IN  TRANSFER'!E:E, B220, 'STOCK IN  TRANSFER'!F:F, "STOCK IN") + SUMIFS('STOCK IN  TRANSFER'!G:G, 'STOCK IN  TRANSFER'!E:E, B220, 'STOCK IN  TRANSFER'!F:F, "ADJUSTMENT (+)") - SUMIFS('STOCK IN  TRANSFER'!G:G, 'STOCK IN  TRANSFER'!E:E, B220, 'STOCK IN  TRANSFER'!F:F, "ADJUSTMENT (-)") - SUMIFS('STOCK IN  TRANSFER'!G:G, 'STOCK IN  TRANSFER'!E:E, B220, 'STOCK IN  TRANSFER'!F:F, "STOCK TRANSFER") - SUMIFS(SALES!H:H, SALES!E:E, B220)</f>
        <v>2</v>
      </c>
      <c r="F220" s="13"/>
    </row>
    <row r="221" ht="22.5" customHeight="1">
      <c r="A221" s="13" t="s">
        <v>131</v>
      </c>
      <c r="B221" s="13" t="s">
        <v>758</v>
      </c>
      <c r="C221" s="16">
        <v>1849.0</v>
      </c>
      <c r="D221" s="13" t="s">
        <v>722</v>
      </c>
      <c r="E221" s="28">
        <f>SUMIFS('STOCK IN  TRANSFER'!G:G, 'STOCK IN  TRANSFER'!E:E, B221, 'STOCK IN  TRANSFER'!F:F, "STOCK IN") + SUMIFS('STOCK IN  TRANSFER'!G:G, 'STOCK IN  TRANSFER'!E:E, B221, 'STOCK IN  TRANSFER'!F:F, "ADJUSTMENT (+)") - SUMIFS('STOCK IN  TRANSFER'!G:G, 'STOCK IN  TRANSFER'!E:E, B221, 'STOCK IN  TRANSFER'!F:F, "ADJUSTMENT (-)") - SUMIFS('STOCK IN  TRANSFER'!G:G, 'STOCK IN  TRANSFER'!E:E, B221, 'STOCK IN  TRANSFER'!F:F, "STOCK TRANSFER") - SUMIFS(SALES!H:H, SALES!E:E, B221)</f>
        <v>3</v>
      </c>
      <c r="F221" s="13"/>
    </row>
    <row r="222" ht="22.5" customHeight="1">
      <c r="A222" s="13" t="s">
        <v>137</v>
      </c>
      <c r="B222" s="13" t="s">
        <v>761</v>
      </c>
      <c r="C222" s="16">
        <v>2349.0</v>
      </c>
      <c r="D222" s="13" t="s">
        <v>722</v>
      </c>
      <c r="E222" s="28">
        <f>SUMIFS('STOCK IN  TRANSFER'!G:G, 'STOCK IN  TRANSFER'!E:E, B222, 'STOCK IN  TRANSFER'!F:F, "STOCK IN") + SUMIFS('STOCK IN  TRANSFER'!G:G, 'STOCK IN  TRANSFER'!E:E, B222, 'STOCK IN  TRANSFER'!F:F, "ADJUSTMENT (+)") - SUMIFS('STOCK IN  TRANSFER'!G:G, 'STOCK IN  TRANSFER'!E:E, B222, 'STOCK IN  TRANSFER'!F:F, "ADJUSTMENT (-)") - SUMIFS('STOCK IN  TRANSFER'!G:G, 'STOCK IN  TRANSFER'!E:E, B222, 'STOCK IN  TRANSFER'!F:F, "STOCK TRANSFER") - SUMIFS(SALES!H:H, SALES!E:E, B222)</f>
        <v>2</v>
      </c>
      <c r="F222" s="13"/>
    </row>
    <row r="223" ht="22.5" customHeight="1">
      <c r="A223" s="13" t="s">
        <v>143</v>
      </c>
      <c r="B223" s="13" t="s">
        <v>763</v>
      </c>
      <c r="C223" s="16">
        <v>2867.0</v>
      </c>
      <c r="D223" s="13" t="s">
        <v>722</v>
      </c>
      <c r="E223" s="28">
        <f>SUMIFS('STOCK IN  TRANSFER'!G:G, 'STOCK IN  TRANSFER'!E:E, B223, 'STOCK IN  TRANSFER'!F:F, "STOCK IN") + SUMIFS('STOCK IN  TRANSFER'!G:G, 'STOCK IN  TRANSFER'!E:E, B223, 'STOCK IN  TRANSFER'!F:F, "ADJUSTMENT (+)") - SUMIFS('STOCK IN  TRANSFER'!G:G, 'STOCK IN  TRANSFER'!E:E, B223, 'STOCK IN  TRANSFER'!F:F, "ADJUSTMENT (-)") - SUMIFS('STOCK IN  TRANSFER'!G:G, 'STOCK IN  TRANSFER'!E:E, B223, 'STOCK IN  TRANSFER'!F:F, "STOCK TRANSFER") - SUMIFS(SALES!H:H, SALES!E:E, B223)</f>
        <v>2</v>
      </c>
      <c r="F223" s="13"/>
    </row>
    <row r="224" ht="22.5" customHeight="1">
      <c r="A224" s="13" t="s">
        <v>149</v>
      </c>
      <c r="B224" s="13" t="s">
        <v>765</v>
      </c>
      <c r="C224" s="16">
        <v>1896.0</v>
      </c>
      <c r="D224" s="13" t="s">
        <v>722</v>
      </c>
      <c r="E224" s="28">
        <f>SUMIFS('STOCK IN  TRANSFER'!G:G, 'STOCK IN  TRANSFER'!E:E, B224, 'STOCK IN  TRANSFER'!F:F, "STOCK IN") + SUMIFS('STOCK IN  TRANSFER'!G:G, 'STOCK IN  TRANSFER'!E:E, B224, 'STOCK IN  TRANSFER'!F:F, "ADJUSTMENT (+)") - SUMIFS('STOCK IN  TRANSFER'!G:G, 'STOCK IN  TRANSFER'!E:E, B224, 'STOCK IN  TRANSFER'!F:F, "ADJUSTMENT (-)") - SUMIFS('STOCK IN  TRANSFER'!G:G, 'STOCK IN  TRANSFER'!E:E, B224, 'STOCK IN  TRANSFER'!F:F, "STOCK TRANSFER") - SUMIFS(SALES!H:H, SALES!E:E, B224)</f>
        <v>3</v>
      </c>
      <c r="F224" s="28"/>
    </row>
    <row r="225" ht="22.5" customHeight="1">
      <c r="A225" s="13" t="s">
        <v>154</v>
      </c>
      <c r="B225" s="13" t="s">
        <v>766</v>
      </c>
      <c r="C225" s="16">
        <v>2900.0</v>
      </c>
      <c r="D225" s="13" t="s">
        <v>722</v>
      </c>
      <c r="E225" s="28">
        <f>SUMIFS('STOCK IN  TRANSFER'!G:G, 'STOCK IN  TRANSFER'!E:E, B225, 'STOCK IN  TRANSFER'!F:F, "STOCK IN") + SUMIFS('STOCK IN  TRANSFER'!G:G, 'STOCK IN  TRANSFER'!E:E, B225, 'STOCK IN  TRANSFER'!F:F, "ADJUSTMENT (+)") - SUMIFS('STOCK IN  TRANSFER'!G:G, 'STOCK IN  TRANSFER'!E:E, B225, 'STOCK IN  TRANSFER'!F:F, "ADJUSTMENT (-)") - SUMIFS('STOCK IN  TRANSFER'!G:G, 'STOCK IN  TRANSFER'!E:E, B225, 'STOCK IN  TRANSFER'!F:F, "STOCK TRANSFER") - SUMIFS(SALES!H:H, SALES!E:E, B225)</f>
        <v>3</v>
      </c>
      <c r="F225" s="13"/>
    </row>
    <row r="226" ht="22.5" customHeight="1">
      <c r="A226" s="13" t="s">
        <v>769</v>
      </c>
      <c r="B226" s="13" t="s">
        <v>770</v>
      </c>
      <c r="C226" s="16">
        <v>1896.0</v>
      </c>
      <c r="D226" s="13" t="s">
        <v>722</v>
      </c>
      <c r="E226" s="28">
        <f>SUMIFS('STOCK IN  TRANSFER'!G:G, 'STOCK IN  TRANSFER'!E:E, B226, 'STOCK IN  TRANSFER'!F:F, "STOCK IN") + SUMIFS('STOCK IN  TRANSFER'!G:G, 'STOCK IN  TRANSFER'!E:E, B226, 'STOCK IN  TRANSFER'!F:F, "ADJUSTMENT (+)") - SUMIFS('STOCK IN  TRANSFER'!G:G, 'STOCK IN  TRANSFER'!E:E, B226, 'STOCK IN  TRANSFER'!F:F, "ADJUSTMENT (-)") - SUMIFS('STOCK IN  TRANSFER'!G:G, 'STOCK IN  TRANSFER'!E:E, B226, 'STOCK IN  TRANSFER'!F:F, "STOCK TRANSFER") - SUMIFS(SALES!H:H, SALES!E:E, B226)</f>
        <v>0</v>
      </c>
      <c r="F226" s="13"/>
    </row>
    <row r="227" ht="22.5" customHeight="1">
      <c r="A227" s="13" t="s">
        <v>159</v>
      </c>
      <c r="B227" s="13" t="s">
        <v>772</v>
      </c>
      <c r="C227" s="16">
        <v>2048.0</v>
      </c>
      <c r="D227" s="13" t="s">
        <v>722</v>
      </c>
      <c r="E227" s="28">
        <f>SUMIFS('STOCK IN  TRANSFER'!G:G, 'STOCK IN  TRANSFER'!E:E, B227, 'STOCK IN  TRANSFER'!F:F, "STOCK IN") + SUMIFS('STOCK IN  TRANSFER'!G:G, 'STOCK IN  TRANSFER'!E:E, B227, 'STOCK IN  TRANSFER'!F:F, "ADJUSTMENT (+)") - SUMIFS('STOCK IN  TRANSFER'!G:G, 'STOCK IN  TRANSFER'!E:E, B227, 'STOCK IN  TRANSFER'!F:F, "ADJUSTMENT (-)") - SUMIFS('STOCK IN  TRANSFER'!G:G, 'STOCK IN  TRANSFER'!E:E, B227, 'STOCK IN  TRANSFER'!F:F, "STOCK TRANSFER") - SUMIFS(SALES!H:H, SALES!E:E, B227)</f>
        <v>4</v>
      </c>
      <c r="F227" s="13"/>
    </row>
    <row r="228" ht="22.5" customHeight="1">
      <c r="A228" s="13" t="s">
        <v>164</v>
      </c>
      <c r="B228" s="13" t="s">
        <v>773</v>
      </c>
      <c r="C228" s="16">
        <v>1896.0</v>
      </c>
      <c r="D228" s="13" t="s">
        <v>722</v>
      </c>
      <c r="E228" s="28">
        <f>SUMIFS('STOCK IN  TRANSFER'!G:G, 'STOCK IN  TRANSFER'!E:E, B228, 'STOCK IN  TRANSFER'!F:F, "STOCK IN") + SUMIFS('STOCK IN  TRANSFER'!G:G, 'STOCK IN  TRANSFER'!E:E, B228, 'STOCK IN  TRANSFER'!F:F, "ADJUSTMENT (+)") - SUMIFS('STOCK IN  TRANSFER'!G:G, 'STOCK IN  TRANSFER'!E:E, B228, 'STOCK IN  TRANSFER'!F:F, "ADJUSTMENT (-)") - SUMIFS('STOCK IN  TRANSFER'!G:G, 'STOCK IN  TRANSFER'!E:E, B228, 'STOCK IN  TRANSFER'!F:F, "STOCK TRANSFER") - SUMIFS(SALES!H:H, SALES!E:E, B228)</f>
        <v>1</v>
      </c>
      <c r="F228" s="13"/>
    </row>
    <row r="229" ht="22.5" customHeight="1">
      <c r="A229" s="13" t="s">
        <v>168</v>
      </c>
      <c r="B229" s="13" t="s">
        <v>774</v>
      </c>
      <c r="C229" s="16">
        <v>2426.0</v>
      </c>
      <c r="D229" s="13" t="s">
        <v>722</v>
      </c>
      <c r="E229" s="28">
        <f>SUMIFS('STOCK IN  TRANSFER'!G:G, 'STOCK IN  TRANSFER'!E:E, B229, 'STOCK IN  TRANSFER'!F:F, "STOCK IN") + SUMIFS('STOCK IN  TRANSFER'!G:G, 'STOCK IN  TRANSFER'!E:E, B229, 'STOCK IN  TRANSFER'!F:F, "ADJUSTMENT (+)") - SUMIFS('STOCK IN  TRANSFER'!G:G, 'STOCK IN  TRANSFER'!E:E, B229, 'STOCK IN  TRANSFER'!F:F, "ADJUSTMENT (-)") - SUMIFS('STOCK IN  TRANSFER'!G:G, 'STOCK IN  TRANSFER'!E:E, B229, 'STOCK IN  TRANSFER'!F:F, "STOCK TRANSFER") - SUMIFS(SALES!H:H, SALES!E:E, B229)</f>
        <v>2</v>
      </c>
      <c r="F229" s="13"/>
    </row>
    <row r="230" ht="22.5" customHeight="1">
      <c r="A230" s="13" t="s">
        <v>173</v>
      </c>
      <c r="B230" s="13" t="s">
        <v>775</v>
      </c>
      <c r="C230" s="16">
        <v>2958.0</v>
      </c>
      <c r="D230" s="13" t="s">
        <v>722</v>
      </c>
      <c r="E230" s="28">
        <f>SUMIFS('STOCK IN  TRANSFER'!G:G, 'STOCK IN  TRANSFER'!E:E, B230, 'STOCK IN  TRANSFER'!F:F, "STOCK IN") + SUMIFS('STOCK IN  TRANSFER'!G:G, 'STOCK IN  TRANSFER'!E:E, B230, 'STOCK IN  TRANSFER'!F:F, "ADJUSTMENT (+)") - SUMIFS('STOCK IN  TRANSFER'!G:G, 'STOCK IN  TRANSFER'!E:E, B230, 'STOCK IN  TRANSFER'!F:F, "ADJUSTMENT (-)") - SUMIFS('STOCK IN  TRANSFER'!G:G, 'STOCK IN  TRANSFER'!E:E, B230, 'STOCK IN  TRANSFER'!F:F, "STOCK TRANSFER") - SUMIFS(SALES!H:H, SALES!E:E, B230)</f>
        <v>2</v>
      </c>
      <c r="F230" s="13"/>
    </row>
    <row r="231" ht="22.5" customHeight="1">
      <c r="A231" s="13" t="s">
        <v>180</v>
      </c>
      <c r="B231" s="13" t="s">
        <v>778</v>
      </c>
      <c r="C231" s="16">
        <v>1744.0</v>
      </c>
      <c r="D231" s="13" t="s">
        <v>722</v>
      </c>
      <c r="E231" s="28">
        <f>SUMIFS('STOCK IN  TRANSFER'!G:G, 'STOCK IN  TRANSFER'!E:E, B231, 'STOCK IN  TRANSFER'!F:F, "STOCK IN") + SUMIFS('STOCK IN  TRANSFER'!G:G, 'STOCK IN  TRANSFER'!E:E, B231, 'STOCK IN  TRANSFER'!F:F, "ADJUSTMENT (+)") - SUMIFS('STOCK IN  TRANSFER'!G:G, 'STOCK IN  TRANSFER'!E:E, B231, 'STOCK IN  TRANSFER'!F:F, "ADJUSTMENT (-)") - SUMIFS('STOCK IN  TRANSFER'!G:G, 'STOCK IN  TRANSFER'!E:E, B231, 'STOCK IN  TRANSFER'!F:F, "STOCK TRANSFER") - SUMIFS(SALES!H:H, SALES!E:E, B231)</f>
        <v>2</v>
      </c>
      <c r="F231" s="13"/>
    </row>
    <row r="232" ht="22.5" customHeight="1">
      <c r="A232" s="13" t="s">
        <v>184</v>
      </c>
      <c r="B232" s="13" t="s">
        <v>780</v>
      </c>
      <c r="C232" s="16">
        <v>3600.0</v>
      </c>
      <c r="D232" s="13" t="s">
        <v>722</v>
      </c>
      <c r="E232" s="28">
        <f>SUMIFS('STOCK IN  TRANSFER'!G:G, 'STOCK IN  TRANSFER'!E:E, B232, 'STOCK IN  TRANSFER'!F:F, "STOCK IN") + SUMIFS('STOCK IN  TRANSFER'!G:G, 'STOCK IN  TRANSFER'!E:E, B232, 'STOCK IN  TRANSFER'!F:F, "ADJUSTMENT (+)") - SUMIFS('STOCK IN  TRANSFER'!G:G, 'STOCK IN  TRANSFER'!E:E, B232, 'STOCK IN  TRANSFER'!F:F, "ADJUSTMENT (-)") - SUMIFS('STOCK IN  TRANSFER'!G:G, 'STOCK IN  TRANSFER'!E:E, B232, 'STOCK IN  TRANSFER'!F:F, "STOCK TRANSFER") - SUMIFS(SALES!H:H, SALES!E:E, B232)</f>
        <v>2</v>
      </c>
      <c r="F232" s="13"/>
    </row>
    <row r="233" ht="22.5" customHeight="1">
      <c r="A233" s="13" t="s">
        <v>189</v>
      </c>
      <c r="B233" s="13" t="s">
        <v>781</v>
      </c>
      <c r="C233" s="16">
        <v>1896.0</v>
      </c>
      <c r="D233" s="13" t="s">
        <v>722</v>
      </c>
      <c r="E233" s="28">
        <f>SUMIFS('STOCK IN  TRANSFER'!G:G, 'STOCK IN  TRANSFER'!E:E, B233, 'STOCK IN  TRANSFER'!F:F, "STOCK IN") + SUMIFS('STOCK IN  TRANSFER'!G:G, 'STOCK IN  TRANSFER'!E:E, B233, 'STOCK IN  TRANSFER'!F:F, "ADJUSTMENT (+)") - SUMIFS('STOCK IN  TRANSFER'!G:G, 'STOCK IN  TRANSFER'!E:E, B233, 'STOCK IN  TRANSFER'!F:F, "ADJUSTMENT (-)") - SUMIFS('STOCK IN  TRANSFER'!G:G, 'STOCK IN  TRANSFER'!E:E, B233, 'STOCK IN  TRANSFER'!F:F, "STOCK TRANSFER") - SUMIFS(SALES!H:H, SALES!E:E, B233)</f>
        <v>1</v>
      </c>
      <c r="F233" s="28"/>
    </row>
    <row r="234" ht="22.5" customHeight="1">
      <c r="A234" s="13" t="s">
        <v>194</v>
      </c>
      <c r="B234" s="13" t="s">
        <v>783</v>
      </c>
      <c r="C234" s="16">
        <v>1896.0</v>
      </c>
      <c r="D234" s="13" t="s">
        <v>722</v>
      </c>
      <c r="E234" s="28">
        <f>SUMIFS('STOCK IN  TRANSFER'!G:G, 'STOCK IN  TRANSFER'!E:E, B234, 'STOCK IN  TRANSFER'!F:F, "STOCK IN") + SUMIFS('STOCK IN  TRANSFER'!G:G, 'STOCK IN  TRANSFER'!E:E, B234, 'STOCK IN  TRANSFER'!F:F, "ADJUSTMENT (+)") - SUMIFS('STOCK IN  TRANSFER'!G:G, 'STOCK IN  TRANSFER'!E:E, B234, 'STOCK IN  TRANSFER'!F:F, "ADJUSTMENT (-)") - SUMIFS('STOCK IN  TRANSFER'!G:G, 'STOCK IN  TRANSFER'!E:E, B234, 'STOCK IN  TRANSFER'!F:F, "STOCK TRANSFER") - SUMIFS(SALES!H:H, SALES!E:E, B234)</f>
        <v>2</v>
      </c>
      <c r="F234" s="13"/>
    </row>
    <row r="235" ht="22.5" customHeight="1">
      <c r="A235" s="13" t="s">
        <v>199</v>
      </c>
      <c r="B235" s="13" t="s">
        <v>784</v>
      </c>
      <c r="C235" s="16">
        <v>1896.0</v>
      </c>
      <c r="D235" s="13" t="s">
        <v>722</v>
      </c>
      <c r="E235" s="28">
        <f>SUMIFS('STOCK IN  TRANSFER'!G:G, 'STOCK IN  TRANSFER'!E:E, B235, 'STOCK IN  TRANSFER'!F:F, "STOCK IN") + SUMIFS('STOCK IN  TRANSFER'!G:G, 'STOCK IN  TRANSFER'!E:E, B235, 'STOCK IN  TRANSFER'!F:F, "ADJUSTMENT (+)") - SUMIFS('STOCK IN  TRANSFER'!G:G, 'STOCK IN  TRANSFER'!E:E, B235, 'STOCK IN  TRANSFER'!F:F, "ADJUSTMENT (-)") - SUMIFS('STOCK IN  TRANSFER'!G:G, 'STOCK IN  TRANSFER'!E:E, B235, 'STOCK IN  TRANSFER'!F:F, "STOCK TRANSFER") - SUMIFS(SALES!H:H, SALES!E:E, B235)</f>
        <v>3</v>
      </c>
      <c r="F235" s="28"/>
    </row>
    <row r="236" ht="22.5" customHeight="1">
      <c r="A236" s="13" t="s">
        <v>202</v>
      </c>
      <c r="B236" s="13" t="s">
        <v>785</v>
      </c>
      <c r="C236" s="16">
        <v>1668.0</v>
      </c>
      <c r="D236" s="13" t="s">
        <v>722</v>
      </c>
      <c r="E236" s="28">
        <f>SUMIFS('STOCK IN  TRANSFER'!G:G, 'STOCK IN  TRANSFER'!E:E, B236, 'STOCK IN  TRANSFER'!F:F, "STOCK IN") + SUMIFS('STOCK IN  TRANSFER'!G:G, 'STOCK IN  TRANSFER'!E:E, B236, 'STOCK IN  TRANSFER'!F:F, "ADJUSTMENT (+)") - SUMIFS('STOCK IN  TRANSFER'!G:G, 'STOCK IN  TRANSFER'!E:E, B236, 'STOCK IN  TRANSFER'!F:F, "ADJUSTMENT (-)") - SUMIFS('STOCK IN  TRANSFER'!G:G, 'STOCK IN  TRANSFER'!E:E, B236, 'STOCK IN  TRANSFER'!F:F, "STOCK TRANSFER") - SUMIFS(SALES!H:H, SALES!E:E, B236)</f>
        <v>-1</v>
      </c>
      <c r="F236" s="28"/>
    </row>
    <row r="237" ht="22.5" customHeight="1">
      <c r="A237" s="13" t="s">
        <v>207</v>
      </c>
      <c r="B237" s="13" t="s">
        <v>786</v>
      </c>
      <c r="C237" s="16">
        <v>1090.0</v>
      </c>
      <c r="D237" s="13" t="s">
        <v>722</v>
      </c>
      <c r="E237" s="28">
        <f>SUMIFS('STOCK IN  TRANSFER'!G:G, 'STOCK IN  TRANSFER'!E:E, B237, 'STOCK IN  TRANSFER'!F:F, "STOCK IN") + SUMIFS('STOCK IN  TRANSFER'!G:G, 'STOCK IN  TRANSFER'!E:E, B237, 'STOCK IN  TRANSFER'!F:F, "ADJUSTMENT (+)") - SUMIFS('STOCK IN  TRANSFER'!G:G, 'STOCK IN  TRANSFER'!E:E, B237, 'STOCK IN  TRANSFER'!F:F, "ADJUSTMENT (-)") - SUMIFS('STOCK IN  TRANSFER'!G:G, 'STOCK IN  TRANSFER'!E:E, B237, 'STOCK IN  TRANSFER'!F:F, "STOCK TRANSFER") - SUMIFS(SALES!H:H, SALES!E:E, B237)</f>
        <v>2</v>
      </c>
      <c r="F237" s="13"/>
    </row>
    <row r="238" ht="22.5" customHeight="1">
      <c r="A238" s="13" t="s">
        <v>210</v>
      </c>
      <c r="B238" s="13" t="s">
        <v>787</v>
      </c>
      <c r="C238" s="16">
        <v>1090.0</v>
      </c>
      <c r="D238" s="13" t="s">
        <v>722</v>
      </c>
      <c r="E238" s="28">
        <f>SUMIFS('STOCK IN  TRANSFER'!G:G, 'STOCK IN  TRANSFER'!E:E, B238, 'STOCK IN  TRANSFER'!F:F, "STOCK IN") + SUMIFS('STOCK IN  TRANSFER'!G:G, 'STOCK IN  TRANSFER'!E:E, B238, 'STOCK IN  TRANSFER'!F:F, "ADJUSTMENT (+)") - SUMIFS('STOCK IN  TRANSFER'!G:G, 'STOCK IN  TRANSFER'!E:E, B238, 'STOCK IN  TRANSFER'!F:F, "ADJUSTMENT (-)") - SUMIFS('STOCK IN  TRANSFER'!G:G, 'STOCK IN  TRANSFER'!E:E, B238, 'STOCK IN  TRANSFER'!F:F, "STOCK TRANSFER") - SUMIFS(SALES!H:H, SALES!E:E, B238)</f>
        <v>4</v>
      </c>
      <c r="F238" s="13"/>
    </row>
    <row r="239" ht="22.5" customHeight="1">
      <c r="A239" s="13" t="s">
        <v>221</v>
      </c>
      <c r="B239" s="13" t="s">
        <v>788</v>
      </c>
      <c r="C239" s="16">
        <v>1896.0</v>
      </c>
      <c r="D239" s="13" t="s">
        <v>722</v>
      </c>
      <c r="E239" s="28">
        <f>SUMIFS('STOCK IN  TRANSFER'!G:G, 'STOCK IN  TRANSFER'!E:E, B239, 'STOCK IN  TRANSFER'!F:F, "STOCK IN") + SUMIFS('STOCK IN  TRANSFER'!G:G, 'STOCK IN  TRANSFER'!E:E, B239, 'STOCK IN  TRANSFER'!F:F, "ADJUSTMENT (+)") - SUMIFS('STOCK IN  TRANSFER'!G:G, 'STOCK IN  TRANSFER'!E:E, B239, 'STOCK IN  TRANSFER'!F:F, "ADJUSTMENT (-)") - SUMIFS('STOCK IN  TRANSFER'!G:G, 'STOCK IN  TRANSFER'!E:E, B239, 'STOCK IN  TRANSFER'!F:F, "STOCK TRANSFER") - SUMIFS(SALES!H:H, SALES!E:E, B239)</f>
        <v>2</v>
      </c>
      <c r="F239" s="28"/>
    </row>
    <row r="240" ht="22.5" customHeight="1">
      <c r="A240" s="13" t="s">
        <v>226</v>
      </c>
      <c r="B240" s="13" t="s">
        <v>789</v>
      </c>
      <c r="C240" s="16">
        <v>2996.0</v>
      </c>
      <c r="D240" s="13" t="s">
        <v>722</v>
      </c>
      <c r="E240" s="28">
        <f>SUMIFS('STOCK IN  TRANSFER'!G:G, 'STOCK IN  TRANSFER'!E:E, B240, 'STOCK IN  TRANSFER'!F:F, "STOCK IN") + SUMIFS('STOCK IN  TRANSFER'!G:G, 'STOCK IN  TRANSFER'!E:E, B240, 'STOCK IN  TRANSFER'!F:F, "ADJUSTMENT (+)") - SUMIFS('STOCK IN  TRANSFER'!G:G, 'STOCK IN  TRANSFER'!E:E, B240, 'STOCK IN  TRANSFER'!F:F, "ADJUSTMENT (-)") - SUMIFS('STOCK IN  TRANSFER'!G:G, 'STOCK IN  TRANSFER'!E:E, B240, 'STOCK IN  TRANSFER'!F:F, "STOCK TRANSFER") - SUMIFS(SALES!H:H, SALES!E:E, B240)</f>
        <v>3</v>
      </c>
      <c r="F240" s="28"/>
    </row>
    <row r="241" ht="22.5" customHeight="1">
      <c r="A241" s="13" t="s">
        <v>232</v>
      </c>
      <c r="B241" s="13" t="s">
        <v>790</v>
      </c>
      <c r="C241" s="16">
        <v>1376.0</v>
      </c>
      <c r="D241" s="13" t="s">
        <v>722</v>
      </c>
      <c r="E241" s="28">
        <f>SUMIFS('STOCK IN  TRANSFER'!G:G, 'STOCK IN  TRANSFER'!E:E, B241, 'STOCK IN  TRANSFER'!F:F, "STOCK IN") + SUMIFS('STOCK IN  TRANSFER'!G:G, 'STOCK IN  TRANSFER'!E:E, B241, 'STOCK IN  TRANSFER'!F:F, "ADJUSTMENT (+)") - SUMIFS('STOCK IN  TRANSFER'!G:G, 'STOCK IN  TRANSFER'!E:E, B241, 'STOCK IN  TRANSFER'!F:F, "ADJUSTMENT (-)") - SUMIFS('STOCK IN  TRANSFER'!G:G, 'STOCK IN  TRANSFER'!E:E, B241, 'STOCK IN  TRANSFER'!F:F, "STOCK TRANSFER") - SUMIFS(SALES!H:H, SALES!E:E, B241)</f>
        <v>2</v>
      </c>
      <c r="F241" s="13"/>
    </row>
    <row r="242" ht="22.5" customHeight="1">
      <c r="A242" s="13" t="s">
        <v>238</v>
      </c>
      <c r="B242" s="13" t="s">
        <v>791</v>
      </c>
      <c r="C242" s="16">
        <v>5050.0</v>
      </c>
      <c r="D242" s="13" t="s">
        <v>722</v>
      </c>
      <c r="E242" s="28">
        <f>SUMIFS('STOCK IN  TRANSFER'!G:G, 'STOCK IN  TRANSFER'!E:E, B242, 'STOCK IN  TRANSFER'!F:F, "STOCK IN") + SUMIFS('STOCK IN  TRANSFER'!G:G, 'STOCK IN  TRANSFER'!E:E, B242, 'STOCK IN  TRANSFER'!F:F, "ADJUSTMENT (+)") - SUMIFS('STOCK IN  TRANSFER'!G:G, 'STOCK IN  TRANSFER'!E:E, B242, 'STOCK IN  TRANSFER'!F:F, "ADJUSTMENT (-)") - SUMIFS('STOCK IN  TRANSFER'!G:G, 'STOCK IN  TRANSFER'!E:E, B242, 'STOCK IN  TRANSFER'!F:F, "STOCK TRANSFER") - SUMIFS(SALES!H:H, SALES!E:E, B242)</f>
        <v>0</v>
      </c>
      <c r="F242" s="13"/>
    </row>
    <row r="243" ht="22.5" customHeight="1">
      <c r="A243" s="13" t="s">
        <v>240</v>
      </c>
      <c r="B243" s="13" t="s">
        <v>792</v>
      </c>
      <c r="C243" s="16">
        <v>3600.0</v>
      </c>
      <c r="D243" s="13" t="s">
        <v>722</v>
      </c>
      <c r="E243" s="28">
        <f>SUMIFS('STOCK IN  TRANSFER'!G:G, 'STOCK IN  TRANSFER'!E:E, B243, 'STOCK IN  TRANSFER'!F:F, "STOCK IN") + SUMIFS('STOCK IN  TRANSFER'!G:G, 'STOCK IN  TRANSFER'!E:E, B243, 'STOCK IN  TRANSFER'!F:F, "ADJUSTMENT (+)") - SUMIFS('STOCK IN  TRANSFER'!G:G, 'STOCK IN  TRANSFER'!E:E, B243, 'STOCK IN  TRANSFER'!F:F, "ADJUSTMENT (-)") - SUMIFS('STOCK IN  TRANSFER'!G:G, 'STOCK IN  TRANSFER'!E:E, B243, 'STOCK IN  TRANSFER'!F:F, "STOCK TRANSFER") - SUMIFS(SALES!H:H, SALES!E:E, B243)</f>
        <v>3</v>
      </c>
      <c r="F243" s="13"/>
    </row>
    <row r="244" ht="22.5" customHeight="1">
      <c r="A244" s="13" t="s">
        <v>245</v>
      </c>
      <c r="B244" s="13" t="s">
        <v>793</v>
      </c>
      <c r="C244" s="16">
        <v>1090.0</v>
      </c>
      <c r="D244" s="13" t="s">
        <v>722</v>
      </c>
      <c r="E244" s="28">
        <f>SUMIFS('STOCK IN  TRANSFER'!G:G, 'STOCK IN  TRANSFER'!E:E, B244, 'STOCK IN  TRANSFER'!F:F, "STOCK IN") + SUMIFS('STOCK IN  TRANSFER'!G:G, 'STOCK IN  TRANSFER'!E:E, B244, 'STOCK IN  TRANSFER'!F:F, "ADJUSTMENT (+)") - SUMIFS('STOCK IN  TRANSFER'!G:G, 'STOCK IN  TRANSFER'!E:E, B244, 'STOCK IN  TRANSFER'!F:F, "ADJUSTMENT (-)") - SUMIFS('STOCK IN  TRANSFER'!G:G, 'STOCK IN  TRANSFER'!E:E, B244, 'STOCK IN  TRANSFER'!F:F, "STOCK TRANSFER") - SUMIFS(SALES!H:H, SALES!E:E, B244)</f>
        <v>2</v>
      </c>
      <c r="F244" s="13"/>
    </row>
    <row r="245" ht="22.5" customHeight="1">
      <c r="A245" s="13" t="s">
        <v>249</v>
      </c>
      <c r="B245" s="13" t="s">
        <v>794</v>
      </c>
      <c r="C245" s="16">
        <v>4160.0</v>
      </c>
      <c r="D245" s="13" t="s">
        <v>83</v>
      </c>
      <c r="E245" s="28">
        <f>SUMIFS('STOCK IN  TRANSFER'!G:G, 'STOCK IN  TRANSFER'!E:E, B245, 'STOCK IN  TRANSFER'!F:F, "STOCK IN") + SUMIFS('STOCK IN  TRANSFER'!G:G, 'STOCK IN  TRANSFER'!E:E, B245, 'STOCK IN  TRANSFER'!F:F, "ADJUSTMENT (+)") - SUMIFS('STOCK IN  TRANSFER'!G:G, 'STOCK IN  TRANSFER'!E:E, B245, 'STOCK IN  TRANSFER'!F:F, "ADJUSTMENT (-)") - SUMIFS('STOCK IN  TRANSFER'!G:G, 'STOCK IN  TRANSFER'!E:E, B245, 'STOCK IN  TRANSFER'!F:F, "STOCK TRANSFER") - SUMIFS(SALES!H:H, SALES!E:E, B245)</f>
        <v>1</v>
      </c>
      <c r="F245" s="13"/>
    </row>
    <row r="246" ht="22.5" customHeight="1">
      <c r="A246" s="13" t="s">
        <v>256</v>
      </c>
      <c r="B246" s="13" t="s">
        <v>795</v>
      </c>
      <c r="C246" s="16">
        <v>1090.0</v>
      </c>
      <c r="D246" s="13" t="s">
        <v>722</v>
      </c>
      <c r="E246" s="28">
        <f>SUMIFS('STOCK IN  TRANSFER'!G:G, 'STOCK IN  TRANSFER'!E:E, B246, 'STOCK IN  TRANSFER'!F:F, "STOCK IN") + SUMIFS('STOCK IN  TRANSFER'!G:G, 'STOCK IN  TRANSFER'!E:E, B246, 'STOCK IN  TRANSFER'!F:F, "ADJUSTMENT (+)") - SUMIFS('STOCK IN  TRANSFER'!G:G, 'STOCK IN  TRANSFER'!E:E, B246, 'STOCK IN  TRANSFER'!F:F, "ADJUSTMENT (-)") - SUMIFS('STOCK IN  TRANSFER'!G:G, 'STOCK IN  TRANSFER'!E:E, B246, 'STOCK IN  TRANSFER'!F:F, "STOCK TRANSFER") - SUMIFS(SALES!H:H, SALES!E:E, B246)</f>
        <v>2</v>
      </c>
      <c r="F246" s="13"/>
    </row>
    <row r="247" ht="22.5" customHeight="1">
      <c r="A247" s="13" t="s">
        <v>266</v>
      </c>
      <c r="B247" s="13" t="s">
        <v>796</v>
      </c>
      <c r="C247" s="16">
        <v>6000.0</v>
      </c>
      <c r="D247" s="13" t="s">
        <v>722</v>
      </c>
      <c r="E247" s="28">
        <f>SUMIFS('STOCK IN  TRANSFER'!G:G, 'STOCK IN  TRANSFER'!E:E, B247, 'STOCK IN  TRANSFER'!F:F, "STOCK IN") + SUMIFS('STOCK IN  TRANSFER'!G:G, 'STOCK IN  TRANSFER'!E:E, B247, 'STOCK IN  TRANSFER'!F:F, "ADJUSTMENT (+)") - SUMIFS('STOCK IN  TRANSFER'!G:G, 'STOCK IN  TRANSFER'!E:E, B247, 'STOCK IN  TRANSFER'!F:F, "ADJUSTMENT (-)") - SUMIFS('STOCK IN  TRANSFER'!G:G, 'STOCK IN  TRANSFER'!E:E, B247, 'STOCK IN  TRANSFER'!F:F, "STOCK TRANSFER") - SUMIFS(SALES!H:H, SALES!E:E, B247)</f>
        <v>0</v>
      </c>
      <c r="F247" s="13"/>
    </row>
    <row r="248" ht="22.5" customHeight="1">
      <c r="A248" s="13" t="s">
        <v>275</v>
      </c>
      <c r="B248" s="13" t="s">
        <v>797</v>
      </c>
      <c r="C248" s="16">
        <v>3000.0</v>
      </c>
      <c r="D248" s="13" t="s">
        <v>722</v>
      </c>
      <c r="E248" s="28">
        <f>SUMIFS('STOCK IN  TRANSFER'!G:G, 'STOCK IN  TRANSFER'!E:E, B248, 'STOCK IN  TRANSFER'!F:F, "STOCK IN") + SUMIFS('STOCK IN  TRANSFER'!G:G, 'STOCK IN  TRANSFER'!E:E, B248, 'STOCK IN  TRANSFER'!F:F, "ADJUSTMENT (+)") - SUMIFS('STOCK IN  TRANSFER'!G:G, 'STOCK IN  TRANSFER'!E:E, B248, 'STOCK IN  TRANSFER'!F:F, "ADJUSTMENT (-)") - SUMIFS('STOCK IN  TRANSFER'!G:G, 'STOCK IN  TRANSFER'!E:E, B248, 'STOCK IN  TRANSFER'!F:F, "STOCK TRANSFER") - SUMIFS(SALES!H:H, SALES!E:E, B248)</f>
        <v>2</v>
      </c>
      <c r="F248" s="13"/>
    </row>
    <row r="249" ht="22.5" customHeight="1">
      <c r="A249" s="13" t="s">
        <v>287</v>
      </c>
      <c r="B249" s="13" t="s">
        <v>800</v>
      </c>
      <c r="C249" s="16">
        <v>3000.0</v>
      </c>
      <c r="D249" s="13" t="s">
        <v>722</v>
      </c>
      <c r="E249" s="28">
        <f>SUMIFS('STOCK IN  TRANSFER'!G:G, 'STOCK IN  TRANSFER'!E:E, B249, 'STOCK IN  TRANSFER'!F:F, "STOCK IN") + SUMIFS('STOCK IN  TRANSFER'!G:G, 'STOCK IN  TRANSFER'!E:E, B249, 'STOCK IN  TRANSFER'!F:F, "ADJUSTMENT (+)") - SUMIFS('STOCK IN  TRANSFER'!G:G, 'STOCK IN  TRANSFER'!E:E, B249, 'STOCK IN  TRANSFER'!F:F, "ADJUSTMENT (-)") - SUMIFS('STOCK IN  TRANSFER'!G:G, 'STOCK IN  TRANSFER'!E:E, B249, 'STOCK IN  TRANSFER'!F:F, "STOCK TRANSFER") - SUMIFS(SALES!H:H, SALES!E:E, B249)</f>
        <v>2</v>
      </c>
      <c r="F249" s="28"/>
    </row>
    <row r="250" ht="22.5" customHeight="1">
      <c r="A250" s="13" t="s">
        <v>295</v>
      </c>
      <c r="B250" s="13" t="s">
        <v>801</v>
      </c>
      <c r="C250" s="16">
        <v>3000.0</v>
      </c>
      <c r="D250" s="13" t="s">
        <v>722</v>
      </c>
      <c r="E250" s="28">
        <f>SUMIFS('STOCK IN  TRANSFER'!G:G, 'STOCK IN  TRANSFER'!E:E, B250, 'STOCK IN  TRANSFER'!F:F, "STOCK IN") + SUMIFS('STOCK IN  TRANSFER'!G:G, 'STOCK IN  TRANSFER'!E:E, B250, 'STOCK IN  TRANSFER'!F:F, "ADJUSTMENT (+)") - SUMIFS('STOCK IN  TRANSFER'!G:G, 'STOCK IN  TRANSFER'!E:E, B250, 'STOCK IN  TRANSFER'!F:F, "ADJUSTMENT (-)") - SUMIFS('STOCK IN  TRANSFER'!G:G, 'STOCK IN  TRANSFER'!E:E, B250, 'STOCK IN  TRANSFER'!F:F, "STOCK TRANSFER") - SUMIFS(SALES!H:H, SALES!E:E, B250)</f>
        <v>3</v>
      </c>
      <c r="F250" s="13"/>
    </row>
    <row r="251" ht="22.5" customHeight="1">
      <c r="A251" s="13" t="s">
        <v>301</v>
      </c>
      <c r="B251" s="13" t="s">
        <v>802</v>
      </c>
      <c r="C251" s="16">
        <v>3000.0</v>
      </c>
      <c r="D251" s="13" t="s">
        <v>722</v>
      </c>
      <c r="E251" s="28">
        <f>SUMIFS('STOCK IN  TRANSFER'!G:G, 'STOCK IN  TRANSFER'!E:E, B251, 'STOCK IN  TRANSFER'!F:F, "STOCK IN") + SUMIFS('STOCK IN  TRANSFER'!G:G, 'STOCK IN  TRANSFER'!E:E, B251, 'STOCK IN  TRANSFER'!F:F, "ADJUSTMENT (+)") - SUMIFS('STOCK IN  TRANSFER'!G:G, 'STOCK IN  TRANSFER'!E:E, B251, 'STOCK IN  TRANSFER'!F:F, "ADJUSTMENT (-)") - SUMIFS('STOCK IN  TRANSFER'!G:G, 'STOCK IN  TRANSFER'!E:E, B251, 'STOCK IN  TRANSFER'!F:F, "STOCK TRANSFER") - SUMIFS(SALES!H:H, SALES!E:E, B251)</f>
        <v>3</v>
      </c>
      <c r="F251" s="13"/>
    </row>
    <row r="252" ht="22.5" customHeight="1">
      <c r="A252" s="13" t="s">
        <v>305</v>
      </c>
      <c r="B252" s="13" t="s">
        <v>803</v>
      </c>
      <c r="C252" s="16">
        <v>3000.0</v>
      </c>
      <c r="D252" s="13" t="s">
        <v>722</v>
      </c>
      <c r="E252" s="28">
        <f>SUMIFS('STOCK IN  TRANSFER'!G:G, 'STOCK IN  TRANSFER'!E:E, B252, 'STOCK IN  TRANSFER'!F:F, "STOCK IN") + SUMIFS('STOCK IN  TRANSFER'!G:G, 'STOCK IN  TRANSFER'!E:E, B252, 'STOCK IN  TRANSFER'!F:F, "ADJUSTMENT (+)") - SUMIFS('STOCK IN  TRANSFER'!G:G, 'STOCK IN  TRANSFER'!E:E, B252, 'STOCK IN  TRANSFER'!F:F, "ADJUSTMENT (-)") - SUMIFS('STOCK IN  TRANSFER'!G:G, 'STOCK IN  TRANSFER'!E:E, B252, 'STOCK IN  TRANSFER'!F:F, "STOCK TRANSFER") - SUMIFS(SALES!H:H, SALES!E:E, B252)</f>
        <v>2</v>
      </c>
      <c r="F252" s="13"/>
    </row>
    <row r="253" ht="22.5" customHeight="1">
      <c r="A253" s="13" t="s">
        <v>310</v>
      </c>
      <c r="B253" s="13" t="s">
        <v>804</v>
      </c>
      <c r="C253" s="16">
        <v>3000.0</v>
      </c>
      <c r="D253" s="13" t="s">
        <v>722</v>
      </c>
      <c r="E253" s="28">
        <f>SUMIFS('STOCK IN  TRANSFER'!G:G, 'STOCK IN  TRANSFER'!E:E, B253, 'STOCK IN  TRANSFER'!F:F, "STOCK IN") + SUMIFS('STOCK IN  TRANSFER'!G:G, 'STOCK IN  TRANSFER'!E:E, B253, 'STOCK IN  TRANSFER'!F:F, "ADJUSTMENT (+)") - SUMIFS('STOCK IN  TRANSFER'!G:G, 'STOCK IN  TRANSFER'!E:E, B253, 'STOCK IN  TRANSFER'!F:F, "ADJUSTMENT (-)") - SUMIFS('STOCK IN  TRANSFER'!G:G, 'STOCK IN  TRANSFER'!E:E, B253, 'STOCK IN  TRANSFER'!F:F, "STOCK TRANSFER") - SUMIFS(SALES!H:H, SALES!E:E, B253)</f>
        <v>4</v>
      </c>
      <c r="F253" s="13"/>
    </row>
    <row r="254" ht="22.5" customHeight="1">
      <c r="A254" s="13" t="s">
        <v>318</v>
      </c>
      <c r="B254" s="13" t="s">
        <v>805</v>
      </c>
      <c r="C254" s="16">
        <v>3000.0</v>
      </c>
      <c r="D254" s="13" t="s">
        <v>722</v>
      </c>
      <c r="E254" s="28">
        <f>SUMIFS('STOCK IN  TRANSFER'!G:G, 'STOCK IN  TRANSFER'!E:E, B254, 'STOCK IN  TRANSFER'!F:F, "STOCK IN") + SUMIFS('STOCK IN  TRANSFER'!G:G, 'STOCK IN  TRANSFER'!E:E, B254, 'STOCK IN  TRANSFER'!F:F, "ADJUSTMENT (+)") - SUMIFS('STOCK IN  TRANSFER'!G:G, 'STOCK IN  TRANSFER'!E:E, B254, 'STOCK IN  TRANSFER'!F:F, "ADJUSTMENT (-)") - SUMIFS('STOCK IN  TRANSFER'!G:G, 'STOCK IN  TRANSFER'!E:E, B254, 'STOCK IN  TRANSFER'!F:F, "STOCK TRANSFER") - SUMIFS(SALES!H:H, SALES!E:E, B254)</f>
        <v>3</v>
      </c>
      <c r="F254" s="13"/>
    </row>
    <row r="255" ht="22.5" customHeight="1">
      <c r="A255" s="13" t="s">
        <v>324</v>
      </c>
      <c r="B255" s="13" t="s">
        <v>806</v>
      </c>
      <c r="C255" s="16">
        <v>3000.0</v>
      </c>
      <c r="D255" s="13" t="s">
        <v>722</v>
      </c>
      <c r="E255" s="28">
        <f>SUMIFS('STOCK IN  TRANSFER'!G:G, 'STOCK IN  TRANSFER'!E:E, B255, 'STOCK IN  TRANSFER'!F:F, "STOCK IN") + SUMIFS('STOCK IN  TRANSFER'!G:G, 'STOCK IN  TRANSFER'!E:E, B255, 'STOCK IN  TRANSFER'!F:F, "ADJUSTMENT (+)") - SUMIFS('STOCK IN  TRANSFER'!G:G, 'STOCK IN  TRANSFER'!E:E, B255, 'STOCK IN  TRANSFER'!F:F, "ADJUSTMENT (-)") - SUMIFS('STOCK IN  TRANSFER'!G:G, 'STOCK IN  TRANSFER'!E:E, B255, 'STOCK IN  TRANSFER'!F:F, "STOCK TRANSFER") - SUMIFS(SALES!H:H, SALES!E:E, B255)</f>
        <v>1</v>
      </c>
      <c r="F255" s="13"/>
    </row>
    <row r="256" ht="22.5" customHeight="1">
      <c r="A256" s="13" t="s">
        <v>329</v>
      </c>
      <c r="B256" s="13" t="s">
        <v>807</v>
      </c>
      <c r="C256" s="16">
        <v>3000.0</v>
      </c>
      <c r="D256" s="13" t="s">
        <v>722</v>
      </c>
      <c r="E256" s="28">
        <f>SUMIFS('STOCK IN  TRANSFER'!G:G, 'STOCK IN  TRANSFER'!E:E, B256, 'STOCK IN  TRANSFER'!F:F, "STOCK IN") + SUMIFS('STOCK IN  TRANSFER'!G:G, 'STOCK IN  TRANSFER'!E:E, B256, 'STOCK IN  TRANSFER'!F:F, "ADJUSTMENT (+)") - SUMIFS('STOCK IN  TRANSFER'!G:G, 'STOCK IN  TRANSFER'!E:E, B256, 'STOCK IN  TRANSFER'!F:F, "ADJUSTMENT (-)") - SUMIFS('STOCK IN  TRANSFER'!G:G, 'STOCK IN  TRANSFER'!E:E, B256, 'STOCK IN  TRANSFER'!F:F, "STOCK TRANSFER") - SUMIFS(SALES!H:H, SALES!E:E, B256)</f>
        <v>2</v>
      </c>
      <c r="F256" s="13"/>
    </row>
    <row r="257" ht="22.5" customHeight="1">
      <c r="A257" s="13" t="s">
        <v>338</v>
      </c>
      <c r="B257" s="13" t="s">
        <v>809</v>
      </c>
      <c r="C257" s="16">
        <v>3000.0</v>
      </c>
      <c r="D257" s="13" t="s">
        <v>722</v>
      </c>
      <c r="E257" s="28">
        <f>SUMIFS('STOCK IN  TRANSFER'!G:G, 'STOCK IN  TRANSFER'!E:E, B257, 'STOCK IN  TRANSFER'!F:F, "STOCK IN") + SUMIFS('STOCK IN  TRANSFER'!G:G, 'STOCK IN  TRANSFER'!E:E, B257, 'STOCK IN  TRANSFER'!F:F, "ADJUSTMENT (+)") - SUMIFS('STOCK IN  TRANSFER'!G:G, 'STOCK IN  TRANSFER'!E:E, B257, 'STOCK IN  TRANSFER'!F:F, "ADJUSTMENT (-)") - SUMIFS('STOCK IN  TRANSFER'!G:G, 'STOCK IN  TRANSFER'!E:E, B257, 'STOCK IN  TRANSFER'!F:F, "STOCK TRANSFER") - SUMIFS(SALES!H:H, SALES!E:E, B257)</f>
        <v>2</v>
      </c>
      <c r="F257" s="13"/>
    </row>
    <row r="258" ht="22.5" customHeight="1">
      <c r="A258" s="13" t="s">
        <v>344</v>
      </c>
      <c r="B258" s="13" t="s">
        <v>810</v>
      </c>
      <c r="C258" s="16">
        <v>3000.0</v>
      </c>
      <c r="D258" s="13" t="s">
        <v>722</v>
      </c>
      <c r="E258" s="28">
        <f>SUMIFS('STOCK IN  TRANSFER'!G:G, 'STOCK IN  TRANSFER'!E:E, B258, 'STOCK IN  TRANSFER'!F:F, "STOCK IN") + SUMIFS('STOCK IN  TRANSFER'!G:G, 'STOCK IN  TRANSFER'!E:E, B258, 'STOCK IN  TRANSFER'!F:F, "ADJUSTMENT (+)") - SUMIFS('STOCK IN  TRANSFER'!G:G, 'STOCK IN  TRANSFER'!E:E, B258, 'STOCK IN  TRANSFER'!F:F, "ADJUSTMENT (-)") - SUMIFS('STOCK IN  TRANSFER'!G:G, 'STOCK IN  TRANSFER'!E:E, B258, 'STOCK IN  TRANSFER'!F:F, "STOCK TRANSFER") - SUMIFS(SALES!H:H, SALES!E:E, B258)</f>
        <v>3</v>
      </c>
      <c r="F258" s="13"/>
    </row>
    <row r="259" ht="22.5" customHeight="1">
      <c r="A259" s="13" t="s">
        <v>352</v>
      </c>
      <c r="B259" s="13" t="s">
        <v>811</v>
      </c>
      <c r="C259" s="16">
        <v>3000.0</v>
      </c>
      <c r="D259" s="13" t="s">
        <v>722</v>
      </c>
      <c r="E259" s="28">
        <f>SUMIFS('STOCK IN  TRANSFER'!G:G, 'STOCK IN  TRANSFER'!E:E, B259, 'STOCK IN  TRANSFER'!F:F, "STOCK IN") + SUMIFS('STOCK IN  TRANSFER'!G:G, 'STOCK IN  TRANSFER'!E:E, B259, 'STOCK IN  TRANSFER'!F:F, "ADJUSTMENT (+)") - SUMIFS('STOCK IN  TRANSFER'!G:G, 'STOCK IN  TRANSFER'!E:E, B259, 'STOCK IN  TRANSFER'!F:F, "ADJUSTMENT (-)") - SUMIFS('STOCK IN  TRANSFER'!G:G, 'STOCK IN  TRANSFER'!E:E, B259, 'STOCK IN  TRANSFER'!F:F, "STOCK TRANSFER") - SUMIFS(SALES!H:H, SALES!E:E, B259)</f>
        <v>1</v>
      </c>
      <c r="F259" s="13"/>
    </row>
    <row r="260" ht="22.5" customHeight="1">
      <c r="A260" s="13" t="s">
        <v>361</v>
      </c>
      <c r="B260" s="13" t="s">
        <v>812</v>
      </c>
      <c r="C260" s="16">
        <v>3650.0</v>
      </c>
      <c r="D260" s="13" t="s">
        <v>722</v>
      </c>
      <c r="E260" s="28">
        <f>SUMIFS('STOCK IN  TRANSFER'!G:G, 'STOCK IN  TRANSFER'!E:E, B260, 'STOCK IN  TRANSFER'!F:F, "STOCK IN") + SUMIFS('STOCK IN  TRANSFER'!G:G, 'STOCK IN  TRANSFER'!E:E, B260, 'STOCK IN  TRANSFER'!F:F, "ADJUSTMENT (+)") - SUMIFS('STOCK IN  TRANSFER'!G:G, 'STOCK IN  TRANSFER'!E:E, B260, 'STOCK IN  TRANSFER'!F:F, "ADJUSTMENT (-)") - SUMIFS('STOCK IN  TRANSFER'!G:G, 'STOCK IN  TRANSFER'!E:E, B260, 'STOCK IN  TRANSFER'!F:F, "STOCK TRANSFER") - SUMIFS(SALES!H:H, SALES!E:E, B260)</f>
        <v>0</v>
      </c>
      <c r="F260" s="13"/>
    </row>
    <row r="261" ht="22.5" customHeight="1">
      <c r="A261" s="13" t="s">
        <v>366</v>
      </c>
      <c r="B261" s="13" t="s">
        <v>813</v>
      </c>
      <c r="C261" s="16">
        <v>3650.0</v>
      </c>
      <c r="D261" s="13" t="s">
        <v>722</v>
      </c>
      <c r="E261" s="28">
        <f>SUMIFS('STOCK IN  TRANSFER'!G:G, 'STOCK IN  TRANSFER'!E:E, B261, 'STOCK IN  TRANSFER'!F:F, "STOCK IN") + SUMIFS('STOCK IN  TRANSFER'!G:G, 'STOCK IN  TRANSFER'!E:E, B261, 'STOCK IN  TRANSFER'!F:F, "ADJUSTMENT (+)") - SUMIFS('STOCK IN  TRANSFER'!G:G, 'STOCK IN  TRANSFER'!E:E, B261, 'STOCK IN  TRANSFER'!F:F, "ADJUSTMENT (-)") - SUMIFS('STOCK IN  TRANSFER'!G:G, 'STOCK IN  TRANSFER'!E:E, B261, 'STOCK IN  TRANSFER'!F:F, "STOCK TRANSFER") - SUMIFS(SALES!H:H, SALES!E:E, B261)</f>
        <v>1</v>
      </c>
      <c r="F261" s="13"/>
    </row>
    <row r="262" ht="22.5" customHeight="1">
      <c r="A262" s="13" t="s">
        <v>373</v>
      </c>
      <c r="B262" s="13" t="s">
        <v>814</v>
      </c>
      <c r="C262" s="16">
        <v>6000.0</v>
      </c>
      <c r="D262" s="13" t="s">
        <v>722</v>
      </c>
      <c r="E262" s="28">
        <f>SUMIFS('STOCK IN  TRANSFER'!G:G, 'STOCK IN  TRANSFER'!E:E, B262, 'STOCK IN  TRANSFER'!F:F, "STOCK IN") + SUMIFS('STOCK IN  TRANSFER'!G:G, 'STOCK IN  TRANSFER'!E:E, B262, 'STOCK IN  TRANSFER'!F:F, "ADJUSTMENT (+)") - SUMIFS('STOCK IN  TRANSFER'!G:G, 'STOCK IN  TRANSFER'!E:E, B262, 'STOCK IN  TRANSFER'!F:F, "ADJUSTMENT (-)") - SUMIFS('STOCK IN  TRANSFER'!G:G, 'STOCK IN  TRANSFER'!E:E, B262, 'STOCK IN  TRANSFER'!F:F, "STOCK TRANSFER") - SUMIFS(SALES!H:H, SALES!E:E, B262)</f>
        <v>2</v>
      </c>
      <c r="F262" s="13"/>
    </row>
    <row r="263" ht="22.5" customHeight="1">
      <c r="A263" s="13" t="s">
        <v>377</v>
      </c>
      <c r="B263" s="13" t="s">
        <v>815</v>
      </c>
      <c r="C263" s="16">
        <v>3000.0</v>
      </c>
      <c r="D263" s="13" t="s">
        <v>722</v>
      </c>
      <c r="E263" s="28">
        <f>SUMIFS('STOCK IN  TRANSFER'!G:G, 'STOCK IN  TRANSFER'!E:E, B263, 'STOCK IN  TRANSFER'!F:F, "STOCK IN") + SUMIFS('STOCK IN  TRANSFER'!G:G, 'STOCK IN  TRANSFER'!E:E, B263, 'STOCK IN  TRANSFER'!F:F, "ADJUSTMENT (+)") - SUMIFS('STOCK IN  TRANSFER'!G:G, 'STOCK IN  TRANSFER'!E:E, B263, 'STOCK IN  TRANSFER'!F:F, "ADJUSTMENT (-)") - SUMIFS('STOCK IN  TRANSFER'!G:G, 'STOCK IN  TRANSFER'!E:E, B263, 'STOCK IN  TRANSFER'!F:F, "STOCK TRANSFER") - SUMIFS(SALES!H:H, SALES!E:E, B263)</f>
        <v>3</v>
      </c>
      <c r="F263" s="13"/>
    </row>
    <row r="264" ht="22.5" customHeight="1">
      <c r="A264" s="13" t="s">
        <v>382</v>
      </c>
      <c r="B264" s="13" t="s">
        <v>816</v>
      </c>
      <c r="C264" s="16">
        <v>3000.0</v>
      </c>
      <c r="D264" s="13" t="s">
        <v>722</v>
      </c>
      <c r="E264" s="28">
        <f>SUMIFS('STOCK IN  TRANSFER'!G:G, 'STOCK IN  TRANSFER'!E:E, B264, 'STOCK IN  TRANSFER'!F:F, "STOCK IN") + SUMIFS('STOCK IN  TRANSFER'!G:G, 'STOCK IN  TRANSFER'!E:E, B264, 'STOCK IN  TRANSFER'!F:F, "ADJUSTMENT (+)") - SUMIFS('STOCK IN  TRANSFER'!G:G, 'STOCK IN  TRANSFER'!E:E, B264, 'STOCK IN  TRANSFER'!F:F, "ADJUSTMENT (-)") - SUMIFS('STOCK IN  TRANSFER'!G:G, 'STOCK IN  TRANSFER'!E:E, B264, 'STOCK IN  TRANSFER'!F:F, "STOCK TRANSFER") - SUMIFS(SALES!H:H, SALES!E:E, B264)</f>
        <v>4</v>
      </c>
      <c r="F264" s="13"/>
    </row>
    <row r="265" ht="22.5" customHeight="1">
      <c r="A265" s="13" t="s">
        <v>387</v>
      </c>
      <c r="B265" s="13" t="s">
        <v>817</v>
      </c>
      <c r="C265" s="16">
        <v>3000.0</v>
      </c>
      <c r="D265" s="13" t="s">
        <v>722</v>
      </c>
      <c r="E265" s="28">
        <f>SUMIFS('STOCK IN  TRANSFER'!G:G, 'STOCK IN  TRANSFER'!E:E, B265, 'STOCK IN  TRANSFER'!F:F, "STOCK IN") + SUMIFS('STOCK IN  TRANSFER'!G:G, 'STOCK IN  TRANSFER'!E:E, B265, 'STOCK IN  TRANSFER'!F:F, "ADJUSTMENT (+)") - SUMIFS('STOCK IN  TRANSFER'!G:G, 'STOCK IN  TRANSFER'!E:E, B265, 'STOCK IN  TRANSFER'!F:F, "ADJUSTMENT (-)") - SUMIFS('STOCK IN  TRANSFER'!G:G, 'STOCK IN  TRANSFER'!E:E, B265, 'STOCK IN  TRANSFER'!F:F, "STOCK TRANSFER") - SUMIFS(SALES!H:H, SALES!E:E, B265)</f>
        <v>3</v>
      </c>
      <c r="F265" s="13"/>
    </row>
    <row r="266" ht="22.5" customHeight="1">
      <c r="A266" s="13" t="s">
        <v>398</v>
      </c>
      <c r="B266" s="13" t="s">
        <v>819</v>
      </c>
      <c r="C266" s="16">
        <v>3000.0</v>
      </c>
      <c r="D266" s="13" t="s">
        <v>722</v>
      </c>
      <c r="E266" s="28">
        <f>SUMIFS('STOCK IN  TRANSFER'!G:G, 'STOCK IN  TRANSFER'!E:E, B266, 'STOCK IN  TRANSFER'!F:F, "STOCK IN") + SUMIFS('STOCK IN  TRANSFER'!G:G, 'STOCK IN  TRANSFER'!E:E, B266, 'STOCK IN  TRANSFER'!F:F, "ADJUSTMENT (+)") - SUMIFS('STOCK IN  TRANSFER'!G:G, 'STOCK IN  TRANSFER'!E:E, B266, 'STOCK IN  TRANSFER'!F:F, "ADJUSTMENT (-)") - SUMIFS('STOCK IN  TRANSFER'!G:G, 'STOCK IN  TRANSFER'!E:E, B266, 'STOCK IN  TRANSFER'!F:F, "STOCK TRANSFER") - SUMIFS(SALES!H:H, SALES!E:E, B266)</f>
        <v>2</v>
      </c>
      <c r="F266" s="13"/>
    </row>
    <row r="267" ht="22.5" customHeight="1">
      <c r="A267" s="13" t="s">
        <v>404</v>
      </c>
      <c r="B267" s="13" t="s">
        <v>820</v>
      </c>
      <c r="C267" s="16">
        <v>3000.0</v>
      </c>
      <c r="D267" s="13" t="s">
        <v>722</v>
      </c>
      <c r="E267" s="28">
        <f>SUMIFS('STOCK IN  TRANSFER'!G:G, 'STOCK IN  TRANSFER'!E:E, B267, 'STOCK IN  TRANSFER'!F:F, "STOCK IN") + SUMIFS('STOCK IN  TRANSFER'!G:G, 'STOCK IN  TRANSFER'!E:E, B267, 'STOCK IN  TRANSFER'!F:F, "ADJUSTMENT (+)") - SUMIFS('STOCK IN  TRANSFER'!G:G, 'STOCK IN  TRANSFER'!E:E, B267, 'STOCK IN  TRANSFER'!F:F, "ADJUSTMENT (-)") - SUMIFS('STOCK IN  TRANSFER'!G:G, 'STOCK IN  TRANSFER'!E:E, B267, 'STOCK IN  TRANSFER'!F:F, "STOCK TRANSFER") - SUMIFS(SALES!H:H, SALES!E:E, B267)</f>
        <v>1</v>
      </c>
      <c r="F267" s="13"/>
    </row>
    <row r="268" ht="22.5" customHeight="1">
      <c r="A268" s="13" t="s">
        <v>412</v>
      </c>
      <c r="B268" s="13" t="s">
        <v>821</v>
      </c>
      <c r="C268" s="16">
        <v>3000.0</v>
      </c>
      <c r="D268" s="13" t="s">
        <v>722</v>
      </c>
      <c r="E268" s="28">
        <f>SUMIFS('STOCK IN  TRANSFER'!G:G, 'STOCK IN  TRANSFER'!E:E, B268, 'STOCK IN  TRANSFER'!F:F, "STOCK IN") + SUMIFS('STOCK IN  TRANSFER'!G:G, 'STOCK IN  TRANSFER'!E:E, B268, 'STOCK IN  TRANSFER'!F:F, "ADJUSTMENT (+)") - SUMIFS('STOCK IN  TRANSFER'!G:G, 'STOCK IN  TRANSFER'!E:E, B268, 'STOCK IN  TRANSFER'!F:F, "ADJUSTMENT (-)") - SUMIFS('STOCK IN  TRANSFER'!G:G, 'STOCK IN  TRANSFER'!E:E, B268, 'STOCK IN  TRANSFER'!F:F, "STOCK TRANSFER") - SUMIFS(SALES!H:H, SALES!E:E, B268)</f>
        <v>1</v>
      </c>
      <c r="F268" s="13"/>
    </row>
    <row r="269" ht="22.5" customHeight="1">
      <c r="A269" s="13" t="s">
        <v>822</v>
      </c>
      <c r="B269" s="13" t="s">
        <v>823</v>
      </c>
      <c r="C269" s="16">
        <v>6430.0</v>
      </c>
      <c r="D269" s="13" t="s">
        <v>83</v>
      </c>
      <c r="E269" s="28">
        <f>SUMIFS('STOCK IN  TRANSFER'!G:G, 'STOCK IN  TRANSFER'!E:E, B269, 'STOCK IN  TRANSFER'!F:F, "STOCK IN") + SUMIFS('STOCK IN  TRANSFER'!G:G, 'STOCK IN  TRANSFER'!E:E, B269, 'STOCK IN  TRANSFER'!F:F, "ADJUSTMENT (+)") - SUMIFS('STOCK IN  TRANSFER'!G:G, 'STOCK IN  TRANSFER'!E:E, B269, 'STOCK IN  TRANSFER'!F:F, "ADJUSTMENT (-)") - SUMIFS('STOCK IN  TRANSFER'!G:G, 'STOCK IN  TRANSFER'!E:E, B269, 'STOCK IN  TRANSFER'!F:F, "STOCK TRANSFER") - SUMIFS(SALES!H:H, SALES!E:E, B269)</f>
        <v>0</v>
      </c>
      <c r="F269" s="13"/>
    </row>
    <row r="270" ht="22.5" customHeight="1">
      <c r="A270" s="13" t="s">
        <v>416</v>
      </c>
      <c r="B270" s="13" t="s">
        <v>824</v>
      </c>
      <c r="C270" s="16">
        <v>1995.0</v>
      </c>
      <c r="D270" s="13" t="s">
        <v>722</v>
      </c>
      <c r="E270" s="28">
        <f>SUMIFS('STOCK IN  TRANSFER'!G:G, 'STOCK IN  TRANSFER'!E:E, B270, 'STOCK IN  TRANSFER'!F:F, "STOCK IN") + SUMIFS('STOCK IN  TRANSFER'!G:G, 'STOCK IN  TRANSFER'!E:E, B270, 'STOCK IN  TRANSFER'!F:F, "ADJUSTMENT (+)") - SUMIFS('STOCK IN  TRANSFER'!G:G, 'STOCK IN  TRANSFER'!E:E, B270, 'STOCK IN  TRANSFER'!F:F, "ADJUSTMENT (-)") - SUMIFS('STOCK IN  TRANSFER'!G:G, 'STOCK IN  TRANSFER'!E:E, B270, 'STOCK IN  TRANSFER'!F:F, "STOCK TRANSFER") - SUMIFS(SALES!H:H, SALES!E:E, B270)</f>
        <v>2</v>
      </c>
      <c r="F270" s="13"/>
    </row>
    <row r="271" ht="22.5" customHeight="1">
      <c r="A271" s="13" t="s">
        <v>421</v>
      </c>
      <c r="B271" s="13" t="s">
        <v>825</v>
      </c>
      <c r="C271" s="16">
        <v>1745.0</v>
      </c>
      <c r="D271" s="13" t="s">
        <v>722</v>
      </c>
      <c r="E271" s="28">
        <f>SUMIFS('STOCK IN  TRANSFER'!G:G, 'STOCK IN  TRANSFER'!E:E, B271, 'STOCK IN  TRANSFER'!F:F, "STOCK IN") + SUMIFS('STOCK IN  TRANSFER'!G:G, 'STOCK IN  TRANSFER'!E:E, B271, 'STOCK IN  TRANSFER'!F:F, "ADJUSTMENT (+)") - SUMIFS('STOCK IN  TRANSFER'!G:G, 'STOCK IN  TRANSFER'!E:E, B271, 'STOCK IN  TRANSFER'!F:F, "ADJUSTMENT (-)") - SUMIFS('STOCK IN  TRANSFER'!G:G, 'STOCK IN  TRANSFER'!E:E, B271, 'STOCK IN  TRANSFER'!F:F, "STOCK TRANSFER") - SUMIFS(SALES!H:H, SALES!E:E, B271)</f>
        <v>1</v>
      </c>
      <c r="F271" s="13"/>
    </row>
    <row r="272" ht="22.5" customHeight="1">
      <c r="A272" s="13" t="s">
        <v>423</v>
      </c>
      <c r="B272" s="13" t="s">
        <v>826</v>
      </c>
      <c r="C272" s="16">
        <v>2150.0</v>
      </c>
      <c r="D272" s="13" t="s">
        <v>722</v>
      </c>
      <c r="E272" s="28">
        <f>SUMIFS('STOCK IN  TRANSFER'!G:G, 'STOCK IN  TRANSFER'!E:E, B272, 'STOCK IN  TRANSFER'!F:F, "STOCK IN") + SUMIFS('STOCK IN  TRANSFER'!G:G, 'STOCK IN  TRANSFER'!E:E, B272, 'STOCK IN  TRANSFER'!F:F, "ADJUSTMENT (+)") - SUMIFS('STOCK IN  TRANSFER'!G:G, 'STOCK IN  TRANSFER'!E:E, B272, 'STOCK IN  TRANSFER'!F:F, "ADJUSTMENT (-)") - SUMIFS('STOCK IN  TRANSFER'!G:G, 'STOCK IN  TRANSFER'!E:E, B272, 'STOCK IN  TRANSFER'!F:F, "STOCK TRANSFER") - SUMIFS(SALES!H:H, SALES!E:E, B272)</f>
        <v>4</v>
      </c>
      <c r="F272" s="28"/>
    </row>
    <row r="273" ht="22.5" customHeight="1">
      <c r="A273" s="13" t="s">
        <v>429</v>
      </c>
      <c r="B273" s="13" t="s">
        <v>827</v>
      </c>
      <c r="C273" s="16">
        <v>1745.0</v>
      </c>
      <c r="D273" s="13" t="s">
        <v>722</v>
      </c>
      <c r="E273" s="28">
        <f>SUMIFS('STOCK IN  TRANSFER'!G:G, 'STOCK IN  TRANSFER'!E:E, B273, 'STOCK IN  TRANSFER'!F:F, "STOCK IN") + SUMIFS('STOCK IN  TRANSFER'!G:G, 'STOCK IN  TRANSFER'!E:E, B273, 'STOCK IN  TRANSFER'!F:F, "ADJUSTMENT (+)") - SUMIFS('STOCK IN  TRANSFER'!G:G, 'STOCK IN  TRANSFER'!E:E, B273, 'STOCK IN  TRANSFER'!F:F, "ADJUSTMENT (-)") - SUMIFS('STOCK IN  TRANSFER'!G:G, 'STOCK IN  TRANSFER'!E:E, B273, 'STOCK IN  TRANSFER'!F:F, "STOCK TRANSFER") - SUMIFS(SALES!H:H, SALES!E:E, B273)</f>
        <v>0</v>
      </c>
      <c r="F273" s="13"/>
    </row>
    <row r="274" ht="22.5" customHeight="1">
      <c r="A274" s="13" t="s">
        <v>829</v>
      </c>
      <c r="B274" s="13" t="s">
        <v>830</v>
      </c>
      <c r="C274" s="16">
        <v>6430.0</v>
      </c>
      <c r="D274" s="13" t="s">
        <v>83</v>
      </c>
      <c r="E274" s="28">
        <f>SUMIFS('STOCK IN  TRANSFER'!G:G, 'STOCK IN  TRANSFER'!E:E, B274, 'STOCK IN  TRANSFER'!F:F, "STOCK IN") + SUMIFS('STOCK IN  TRANSFER'!G:G, 'STOCK IN  TRANSFER'!E:E, B274, 'STOCK IN  TRANSFER'!F:F, "ADJUSTMENT (+)") - SUMIFS('STOCK IN  TRANSFER'!G:G, 'STOCK IN  TRANSFER'!E:E, B274, 'STOCK IN  TRANSFER'!F:F, "ADJUSTMENT (-)") - SUMIFS('STOCK IN  TRANSFER'!G:G, 'STOCK IN  TRANSFER'!E:E, B274, 'STOCK IN  TRANSFER'!F:F, "STOCK TRANSFER") - SUMIFS(SALES!H:H, SALES!E:E, B274)</f>
        <v>0</v>
      </c>
      <c r="F274" s="13"/>
    </row>
    <row r="275" ht="22.5" customHeight="1">
      <c r="A275" s="13" t="s">
        <v>434</v>
      </c>
      <c r="B275" s="13" t="s">
        <v>831</v>
      </c>
      <c r="C275" s="16">
        <v>1994.0</v>
      </c>
      <c r="D275" s="13" t="s">
        <v>722</v>
      </c>
      <c r="E275" s="28">
        <f>SUMIFS('STOCK IN  TRANSFER'!G:G, 'STOCK IN  TRANSFER'!E:E, B275, 'STOCK IN  TRANSFER'!F:F, "STOCK IN") + SUMIFS('STOCK IN  TRANSFER'!G:G, 'STOCK IN  TRANSFER'!E:E, B275, 'STOCK IN  TRANSFER'!F:F, "ADJUSTMENT (+)") - SUMIFS('STOCK IN  TRANSFER'!G:G, 'STOCK IN  TRANSFER'!E:E, B275, 'STOCK IN  TRANSFER'!F:F, "ADJUSTMENT (-)") - SUMIFS('STOCK IN  TRANSFER'!G:G, 'STOCK IN  TRANSFER'!E:E, B275, 'STOCK IN  TRANSFER'!F:F, "STOCK TRANSFER") - SUMIFS(SALES!H:H, SALES!E:E, B275)</f>
        <v>1</v>
      </c>
      <c r="F275" s="13"/>
    </row>
    <row r="276" ht="22.5" customHeight="1">
      <c r="A276" s="13" t="s">
        <v>441</v>
      </c>
      <c r="B276" s="13" t="s">
        <v>832</v>
      </c>
      <c r="C276" s="16">
        <v>1745.0</v>
      </c>
      <c r="D276" s="13" t="s">
        <v>722</v>
      </c>
      <c r="E276" s="28">
        <f>SUMIFS('STOCK IN  TRANSFER'!G:G, 'STOCK IN  TRANSFER'!E:E, B276, 'STOCK IN  TRANSFER'!F:F, "STOCK IN") + SUMIFS('STOCK IN  TRANSFER'!G:G, 'STOCK IN  TRANSFER'!E:E, B276, 'STOCK IN  TRANSFER'!F:F, "ADJUSTMENT (+)") - SUMIFS('STOCK IN  TRANSFER'!G:G, 'STOCK IN  TRANSFER'!E:E, B276, 'STOCK IN  TRANSFER'!F:F, "ADJUSTMENT (-)") - SUMIFS('STOCK IN  TRANSFER'!G:G, 'STOCK IN  TRANSFER'!E:E, B276, 'STOCK IN  TRANSFER'!F:F, "STOCK TRANSFER") - SUMIFS(SALES!H:H, SALES!E:E, B276)</f>
        <v>1</v>
      </c>
      <c r="F276" s="13"/>
    </row>
    <row r="277" ht="22.5" customHeight="1">
      <c r="A277" s="13" t="s">
        <v>447</v>
      </c>
      <c r="B277" s="13" t="s">
        <v>833</v>
      </c>
      <c r="C277" s="16">
        <v>2150.0</v>
      </c>
      <c r="D277" s="13" t="s">
        <v>722</v>
      </c>
      <c r="E277" s="28">
        <f>SUMIFS('STOCK IN  TRANSFER'!G:G, 'STOCK IN  TRANSFER'!E:E, B277, 'STOCK IN  TRANSFER'!F:F, "STOCK IN") + SUMIFS('STOCK IN  TRANSFER'!G:G, 'STOCK IN  TRANSFER'!E:E, B277, 'STOCK IN  TRANSFER'!F:F, "ADJUSTMENT (+)") - SUMIFS('STOCK IN  TRANSFER'!G:G, 'STOCK IN  TRANSFER'!E:E, B277, 'STOCK IN  TRANSFER'!F:F, "ADJUSTMENT (-)") - SUMIFS('STOCK IN  TRANSFER'!G:G, 'STOCK IN  TRANSFER'!E:E, B277, 'STOCK IN  TRANSFER'!F:F, "STOCK TRANSFER") - SUMIFS(SALES!H:H, SALES!E:E, B277)</f>
        <v>3</v>
      </c>
      <c r="F277" s="13"/>
    </row>
    <row r="278" ht="22.5" customHeight="1">
      <c r="A278" s="13" t="s">
        <v>453</v>
      </c>
      <c r="B278" s="13" t="s">
        <v>836</v>
      </c>
      <c r="C278" s="16">
        <v>2150.0</v>
      </c>
      <c r="D278" s="13" t="s">
        <v>722</v>
      </c>
      <c r="E278" s="28">
        <f>SUMIFS('STOCK IN  TRANSFER'!G:G, 'STOCK IN  TRANSFER'!E:E, B278, 'STOCK IN  TRANSFER'!F:F, "STOCK IN") + SUMIFS('STOCK IN  TRANSFER'!G:G, 'STOCK IN  TRANSFER'!E:E, B278, 'STOCK IN  TRANSFER'!F:F, "ADJUSTMENT (+)") - SUMIFS('STOCK IN  TRANSFER'!G:G, 'STOCK IN  TRANSFER'!E:E, B278, 'STOCK IN  TRANSFER'!F:F, "ADJUSTMENT (-)") - SUMIFS('STOCK IN  TRANSFER'!G:G, 'STOCK IN  TRANSFER'!E:E, B278, 'STOCK IN  TRANSFER'!F:F, "STOCK TRANSFER") - SUMIFS(SALES!H:H, SALES!E:E, B278)</f>
        <v>2</v>
      </c>
      <c r="F278" s="13"/>
    </row>
    <row r="279" ht="22.5" customHeight="1">
      <c r="A279" s="13" t="s">
        <v>460</v>
      </c>
      <c r="B279" s="13" t="s">
        <v>837</v>
      </c>
      <c r="C279" s="16">
        <v>2150.0</v>
      </c>
      <c r="D279" s="13" t="s">
        <v>722</v>
      </c>
      <c r="E279" s="28">
        <f>SUMIFS('STOCK IN  TRANSFER'!G:G, 'STOCK IN  TRANSFER'!E:E, B279, 'STOCK IN  TRANSFER'!F:F, "STOCK IN") + SUMIFS('STOCK IN  TRANSFER'!G:G, 'STOCK IN  TRANSFER'!E:E, B279, 'STOCK IN  TRANSFER'!F:F, "ADJUSTMENT (+)") - SUMIFS('STOCK IN  TRANSFER'!G:G, 'STOCK IN  TRANSFER'!E:E, B279, 'STOCK IN  TRANSFER'!F:F, "ADJUSTMENT (-)") - SUMIFS('STOCK IN  TRANSFER'!G:G, 'STOCK IN  TRANSFER'!E:E, B279, 'STOCK IN  TRANSFER'!F:F, "STOCK TRANSFER") - SUMIFS(SALES!H:H, SALES!E:E, B279)</f>
        <v>1</v>
      </c>
      <c r="F279" s="13"/>
    </row>
    <row r="280" ht="22.5" customHeight="1">
      <c r="A280" s="13" t="s">
        <v>465</v>
      </c>
      <c r="B280" s="13" t="s">
        <v>839</v>
      </c>
      <c r="C280" s="16">
        <v>2150.0</v>
      </c>
      <c r="D280" s="13" t="s">
        <v>722</v>
      </c>
      <c r="E280" s="28">
        <f>SUMIFS('STOCK IN  TRANSFER'!G:G, 'STOCK IN  TRANSFER'!E:E, B280, 'STOCK IN  TRANSFER'!F:F, "STOCK IN") + SUMIFS('STOCK IN  TRANSFER'!G:G, 'STOCK IN  TRANSFER'!E:E, B280, 'STOCK IN  TRANSFER'!F:F, "ADJUSTMENT (+)") - SUMIFS('STOCK IN  TRANSFER'!G:G, 'STOCK IN  TRANSFER'!E:E, B280, 'STOCK IN  TRANSFER'!F:F, "ADJUSTMENT (-)") - SUMIFS('STOCK IN  TRANSFER'!G:G, 'STOCK IN  TRANSFER'!E:E, B280, 'STOCK IN  TRANSFER'!F:F, "STOCK TRANSFER") - SUMIFS(SALES!H:H, SALES!E:E, B280)</f>
        <v>0</v>
      </c>
      <c r="F280" s="13"/>
    </row>
    <row r="281" ht="22.5" customHeight="1">
      <c r="A281" s="13" t="s">
        <v>840</v>
      </c>
      <c r="B281" s="13" t="s">
        <v>841</v>
      </c>
      <c r="C281" s="16">
        <v>6563.0</v>
      </c>
      <c r="D281" s="13" t="s">
        <v>83</v>
      </c>
      <c r="E281" s="28">
        <f>SUMIFS('STOCK IN  TRANSFER'!G:G, 'STOCK IN  TRANSFER'!E:E, B281, 'STOCK IN  TRANSFER'!F:F, "STOCK IN") + SUMIFS('STOCK IN  TRANSFER'!G:G, 'STOCK IN  TRANSFER'!E:E, B281, 'STOCK IN  TRANSFER'!F:F, "ADJUSTMENT (+)") - SUMIFS('STOCK IN  TRANSFER'!G:G, 'STOCK IN  TRANSFER'!E:E, B281, 'STOCK IN  TRANSFER'!F:F, "ADJUSTMENT (-)") - SUMIFS('STOCK IN  TRANSFER'!G:G, 'STOCK IN  TRANSFER'!E:E, B281, 'STOCK IN  TRANSFER'!F:F, "STOCK TRANSFER") - SUMIFS(SALES!H:H, SALES!E:E, B281)</f>
        <v>0</v>
      </c>
      <c r="F281" s="13"/>
    </row>
    <row r="282" ht="22.5" customHeight="1">
      <c r="A282" s="13" t="s">
        <v>471</v>
      </c>
      <c r="B282" s="13" t="s">
        <v>843</v>
      </c>
      <c r="C282" s="16">
        <v>2150.0</v>
      </c>
      <c r="D282" s="13" t="s">
        <v>722</v>
      </c>
      <c r="E282" s="28">
        <f>SUMIFS('STOCK IN  TRANSFER'!G:G, 'STOCK IN  TRANSFER'!E:E, B282, 'STOCK IN  TRANSFER'!F:F, "STOCK IN") + SUMIFS('STOCK IN  TRANSFER'!G:G, 'STOCK IN  TRANSFER'!E:E, B282, 'STOCK IN  TRANSFER'!F:F, "ADJUSTMENT (+)") - SUMIFS('STOCK IN  TRANSFER'!G:G, 'STOCK IN  TRANSFER'!E:E, B282, 'STOCK IN  TRANSFER'!F:F, "ADJUSTMENT (-)") - SUMIFS('STOCK IN  TRANSFER'!G:G, 'STOCK IN  TRANSFER'!E:E, B282, 'STOCK IN  TRANSFER'!F:F, "STOCK TRANSFER") - SUMIFS(SALES!H:H, SALES!E:E, B282)</f>
        <v>3</v>
      </c>
      <c r="F282" s="13"/>
    </row>
    <row r="283" ht="22.5" customHeight="1">
      <c r="A283" s="13" t="s">
        <v>476</v>
      </c>
      <c r="B283" s="13" t="s">
        <v>844</v>
      </c>
      <c r="C283" s="16">
        <v>2150.0</v>
      </c>
      <c r="D283" s="13" t="s">
        <v>722</v>
      </c>
      <c r="E283" s="28">
        <f>SUMIFS('STOCK IN  TRANSFER'!G:G, 'STOCK IN  TRANSFER'!E:E, B283, 'STOCK IN  TRANSFER'!F:F, "STOCK IN") + SUMIFS('STOCK IN  TRANSFER'!G:G, 'STOCK IN  TRANSFER'!E:E, B283, 'STOCK IN  TRANSFER'!F:F, "ADJUSTMENT (+)") - SUMIFS('STOCK IN  TRANSFER'!G:G, 'STOCK IN  TRANSFER'!E:E, B283, 'STOCK IN  TRANSFER'!F:F, "ADJUSTMENT (-)") - SUMIFS('STOCK IN  TRANSFER'!G:G, 'STOCK IN  TRANSFER'!E:E, B283, 'STOCK IN  TRANSFER'!F:F, "STOCK TRANSFER") - SUMIFS(SALES!H:H, SALES!E:E, B283)</f>
        <v>3</v>
      </c>
      <c r="F283" s="13"/>
    </row>
    <row r="284" ht="22.5" customHeight="1">
      <c r="A284" s="13" t="s">
        <v>357</v>
      </c>
      <c r="B284" s="13" t="s">
        <v>845</v>
      </c>
      <c r="C284" s="16">
        <v>3650.0</v>
      </c>
      <c r="D284" s="13" t="s">
        <v>722</v>
      </c>
      <c r="E284" s="28">
        <f>SUMIFS('STOCK IN  TRANSFER'!G:G, 'STOCK IN  TRANSFER'!E:E, B284, 'STOCK IN  TRANSFER'!F:F, "STOCK IN") + SUMIFS('STOCK IN  TRANSFER'!G:G, 'STOCK IN  TRANSFER'!E:E, B284, 'STOCK IN  TRANSFER'!F:F, "ADJUSTMENT (+)") - SUMIFS('STOCK IN  TRANSFER'!G:G, 'STOCK IN  TRANSFER'!E:E, B284, 'STOCK IN  TRANSFER'!F:F, "ADJUSTMENT (-)") - SUMIFS('STOCK IN  TRANSFER'!G:G, 'STOCK IN  TRANSFER'!E:E, B284, 'STOCK IN  TRANSFER'!F:F, "STOCK TRANSFER") - SUMIFS(SALES!H:H, SALES!E:E, B284)</f>
        <v>3</v>
      </c>
      <c r="F284" s="13"/>
    </row>
    <row r="285" ht="22.5" customHeight="1">
      <c r="A285" s="13" t="s">
        <v>846</v>
      </c>
      <c r="B285" s="13" t="s">
        <v>847</v>
      </c>
      <c r="C285" s="16">
        <v>1030.0</v>
      </c>
      <c r="D285" s="13" t="s">
        <v>197</v>
      </c>
      <c r="E285" s="28">
        <f>SUMIFS('STOCK IN  TRANSFER'!G:G, 'STOCK IN  TRANSFER'!E:E, B285, 'STOCK IN  TRANSFER'!F:F, "STOCK IN") + SUMIFS('STOCK IN  TRANSFER'!G:G, 'STOCK IN  TRANSFER'!E:E, B285, 'STOCK IN  TRANSFER'!F:F, "ADJUSTMENT (+)") - SUMIFS('STOCK IN  TRANSFER'!G:G, 'STOCK IN  TRANSFER'!E:E, B285, 'STOCK IN  TRANSFER'!F:F, "ADJUSTMENT (-)") - SUMIFS('STOCK IN  TRANSFER'!G:G, 'STOCK IN  TRANSFER'!E:E, B285, 'STOCK IN  TRANSFER'!F:F, "STOCK TRANSFER") - SUMIFS(SALES!H:H, SALES!E:E, B285)</f>
        <v>0</v>
      </c>
      <c r="F285" s="13"/>
    </row>
    <row r="286" ht="22.5" customHeight="1">
      <c r="A286" s="13" t="s">
        <v>410</v>
      </c>
      <c r="B286" s="13" t="s">
        <v>848</v>
      </c>
      <c r="C286" s="16">
        <v>190.0</v>
      </c>
      <c r="D286" s="13" t="s">
        <v>849</v>
      </c>
      <c r="E286" s="28">
        <f>SUMIFS('STOCK IN  TRANSFER'!G:G, 'STOCK IN  TRANSFER'!E:E, B286, 'STOCK IN  TRANSFER'!F:F, "STOCK IN") + SUMIFS('STOCK IN  TRANSFER'!G:G, 'STOCK IN  TRANSFER'!E:E, B286, 'STOCK IN  TRANSFER'!F:F, "ADJUSTMENT (+)") - SUMIFS('STOCK IN  TRANSFER'!G:G, 'STOCK IN  TRANSFER'!E:E, B286, 'STOCK IN  TRANSFER'!F:F, "ADJUSTMENT (-)") - SUMIFS('STOCK IN  TRANSFER'!G:G, 'STOCK IN  TRANSFER'!E:E, B286, 'STOCK IN  TRANSFER'!F:F, "STOCK TRANSFER") - SUMIFS(SALES!H:H, SALES!E:E, B286)</f>
        <v>-11</v>
      </c>
      <c r="F286" s="13"/>
    </row>
    <row r="287" ht="22.5" customHeight="1">
      <c r="A287" s="13" t="s">
        <v>492</v>
      </c>
      <c r="B287" s="13" t="s">
        <v>850</v>
      </c>
      <c r="C287" s="16">
        <v>410.0</v>
      </c>
      <c r="D287" s="13" t="s">
        <v>39</v>
      </c>
      <c r="E287" s="28">
        <f>SUMIFS('STOCK IN  TRANSFER'!G:G, 'STOCK IN  TRANSFER'!E:E, B287, 'STOCK IN  TRANSFER'!F:F, "STOCK IN") + SUMIFS('STOCK IN  TRANSFER'!G:G, 'STOCK IN  TRANSFER'!E:E, B287, 'STOCK IN  TRANSFER'!F:F, "ADJUSTMENT (+)") - SUMIFS('STOCK IN  TRANSFER'!G:G, 'STOCK IN  TRANSFER'!E:E, B287, 'STOCK IN  TRANSFER'!F:F, "ADJUSTMENT (-)") - SUMIFS('STOCK IN  TRANSFER'!G:G, 'STOCK IN  TRANSFER'!E:E, B287, 'STOCK IN  TRANSFER'!F:F, "STOCK TRANSFER") - SUMIFS(SALES!H:H, SALES!E:E, B287)</f>
        <v>6</v>
      </c>
      <c r="F287" s="13"/>
    </row>
    <row r="288" ht="22.5" customHeight="1">
      <c r="A288" s="13" t="s">
        <v>94</v>
      </c>
      <c r="B288" s="13" t="s">
        <v>851</v>
      </c>
      <c r="C288" s="16">
        <v>1518.0</v>
      </c>
      <c r="D288" s="13" t="s">
        <v>75</v>
      </c>
      <c r="E288" s="28">
        <f>SUMIFS('STOCK IN  TRANSFER'!G:G, 'STOCK IN  TRANSFER'!E:E, B288, 'STOCK IN  TRANSFER'!F:F, "STOCK IN") + SUMIFS('STOCK IN  TRANSFER'!G:G, 'STOCK IN  TRANSFER'!E:E, B288, 'STOCK IN  TRANSFER'!F:F, "ADJUSTMENT (+)") - SUMIFS('STOCK IN  TRANSFER'!G:G, 'STOCK IN  TRANSFER'!E:E, B288, 'STOCK IN  TRANSFER'!F:F, "ADJUSTMENT (-)") - SUMIFS('STOCK IN  TRANSFER'!G:G, 'STOCK IN  TRANSFER'!E:E, B288, 'STOCK IN  TRANSFER'!F:F, "STOCK TRANSFER") - SUMIFS(SALES!H:H, SALES!E:E, B288)</f>
        <v>3</v>
      </c>
      <c r="F288" s="13"/>
    </row>
    <row r="289" ht="22.5" customHeight="1">
      <c r="A289" s="13" t="s">
        <v>501</v>
      </c>
      <c r="B289" s="13" t="s">
        <v>852</v>
      </c>
      <c r="C289" s="16">
        <v>409.0</v>
      </c>
      <c r="D289" s="13" t="s">
        <v>39</v>
      </c>
      <c r="E289" s="28">
        <f>SUMIFS('STOCK IN  TRANSFER'!G:G, 'STOCK IN  TRANSFER'!E:E, B289, 'STOCK IN  TRANSFER'!F:F, "STOCK IN") + SUMIFS('STOCK IN  TRANSFER'!G:G, 'STOCK IN  TRANSFER'!E:E, B289, 'STOCK IN  TRANSFER'!F:F, "ADJUSTMENT (+)") - SUMIFS('STOCK IN  TRANSFER'!G:G, 'STOCK IN  TRANSFER'!E:E, B289, 'STOCK IN  TRANSFER'!F:F, "ADJUSTMENT (-)") - SUMIFS('STOCK IN  TRANSFER'!G:G, 'STOCK IN  TRANSFER'!E:E, B289, 'STOCK IN  TRANSFER'!F:F, "STOCK TRANSFER") - SUMIFS(SALES!H:H, SALES!E:E, B289)</f>
        <v>4</v>
      </c>
      <c r="F289" s="13"/>
    </row>
    <row r="290" ht="22.5" customHeight="1">
      <c r="A290" s="13" t="s">
        <v>508</v>
      </c>
      <c r="B290" s="13" t="s">
        <v>853</v>
      </c>
      <c r="C290" s="16">
        <v>830.0</v>
      </c>
      <c r="D290" s="13" t="s">
        <v>39</v>
      </c>
      <c r="E290" s="28">
        <f>SUMIFS('STOCK IN  TRANSFER'!G:G, 'STOCK IN  TRANSFER'!E:E, B290, 'STOCK IN  TRANSFER'!F:F, "STOCK IN") + SUMIFS('STOCK IN  TRANSFER'!G:G, 'STOCK IN  TRANSFER'!E:E, B290, 'STOCK IN  TRANSFER'!F:F, "ADJUSTMENT (+)") - SUMIFS('STOCK IN  TRANSFER'!G:G, 'STOCK IN  TRANSFER'!E:E, B290, 'STOCK IN  TRANSFER'!F:F, "ADJUSTMENT (-)") - SUMIFS('STOCK IN  TRANSFER'!G:G, 'STOCK IN  TRANSFER'!E:E, B290, 'STOCK IN  TRANSFER'!F:F, "STOCK TRANSFER") - SUMIFS(SALES!H:H, SALES!E:E, B290)</f>
        <v>7</v>
      </c>
      <c r="F290" s="13"/>
    </row>
    <row r="291" ht="22.5" customHeight="1">
      <c r="A291" s="13" t="s">
        <v>511</v>
      </c>
      <c r="B291" s="13" t="s">
        <v>854</v>
      </c>
      <c r="C291" s="16">
        <v>470.0</v>
      </c>
      <c r="D291" s="13" t="s">
        <v>39</v>
      </c>
      <c r="E291" s="28">
        <f>SUMIFS('STOCK IN  TRANSFER'!G:G, 'STOCK IN  TRANSFER'!E:E, B291, 'STOCK IN  TRANSFER'!F:F, "STOCK IN") + SUMIFS('STOCK IN  TRANSFER'!G:G, 'STOCK IN  TRANSFER'!E:E, B291, 'STOCK IN  TRANSFER'!F:F, "ADJUSTMENT (+)") - SUMIFS('STOCK IN  TRANSFER'!G:G, 'STOCK IN  TRANSFER'!E:E, B291, 'STOCK IN  TRANSFER'!F:F, "ADJUSTMENT (-)") - SUMIFS('STOCK IN  TRANSFER'!G:G, 'STOCK IN  TRANSFER'!E:E, B291, 'STOCK IN  TRANSFER'!F:F, "STOCK TRANSFER") - SUMIFS(SALES!H:H, SALES!E:E, B291)</f>
        <v>2</v>
      </c>
      <c r="F291" s="13"/>
    </row>
    <row r="292" ht="22.5" customHeight="1">
      <c r="A292" s="13" t="s">
        <v>517</v>
      </c>
      <c r="B292" s="13" t="s">
        <v>855</v>
      </c>
      <c r="C292" s="16">
        <v>685.0</v>
      </c>
      <c r="D292" s="13" t="s">
        <v>39</v>
      </c>
      <c r="E292" s="28">
        <f>SUMIFS('STOCK IN  TRANSFER'!G:G, 'STOCK IN  TRANSFER'!E:E, B292, 'STOCK IN  TRANSFER'!F:F, "STOCK IN") + SUMIFS('STOCK IN  TRANSFER'!G:G, 'STOCK IN  TRANSFER'!E:E, B292, 'STOCK IN  TRANSFER'!F:F, "ADJUSTMENT (+)") - SUMIFS('STOCK IN  TRANSFER'!G:G, 'STOCK IN  TRANSFER'!E:E, B292, 'STOCK IN  TRANSFER'!F:F, "ADJUSTMENT (-)") - SUMIFS('STOCK IN  TRANSFER'!G:G, 'STOCK IN  TRANSFER'!E:E, B292, 'STOCK IN  TRANSFER'!F:F, "STOCK TRANSFER") - SUMIFS(SALES!H:H, SALES!E:E, B292)</f>
        <v>0</v>
      </c>
      <c r="F292" s="13"/>
    </row>
    <row r="293" ht="22.5" customHeight="1">
      <c r="A293" s="13" t="s">
        <v>519</v>
      </c>
      <c r="B293" s="13" t="s">
        <v>856</v>
      </c>
      <c r="C293" s="16">
        <v>436.0</v>
      </c>
      <c r="D293" s="13" t="s">
        <v>39</v>
      </c>
      <c r="E293" s="28">
        <f>SUMIFS('STOCK IN  TRANSFER'!G:G, 'STOCK IN  TRANSFER'!E:E, B293, 'STOCK IN  TRANSFER'!F:F, "STOCK IN") + SUMIFS('STOCK IN  TRANSFER'!G:G, 'STOCK IN  TRANSFER'!E:E, B293, 'STOCK IN  TRANSFER'!F:F, "ADJUSTMENT (+)") - SUMIFS('STOCK IN  TRANSFER'!G:G, 'STOCK IN  TRANSFER'!E:E, B293, 'STOCK IN  TRANSFER'!F:F, "ADJUSTMENT (-)") - SUMIFS('STOCK IN  TRANSFER'!G:G, 'STOCK IN  TRANSFER'!E:E, B293, 'STOCK IN  TRANSFER'!F:F, "STOCK TRANSFER") - SUMIFS(SALES!H:H, SALES!E:E, B293)</f>
        <v>9</v>
      </c>
      <c r="F293" s="13"/>
    </row>
    <row r="294" ht="22.5" customHeight="1">
      <c r="A294" s="13" t="s">
        <v>524</v>
      </c>
      <c r="B294" s="13" t="s">
        <v>857</v>
      </c>
      <c r="C294" s="16">
        <v>760.0</v>
      </c>
      <c r="D294" s="13" t="s">
        <v>39</v>
      </c>
      <c r="E294" s="28">
        <f>SUMIFS('STOCK IN  TRANSFER'!G:G, 'STOCK IN  TRANSFER'!E:E, B294, 'STOCK IN  TRANSFER'!F:F, "STOCK IN") + SUMIFS('STOCK IN  TRANSFER'!G:G, 'STOCK IN  TRANSFER'!E:E, B294, 'STOCK IN  TRANSFER'!F:F, "ADJUSTMENT (+)") - SUMIFS('STOCK IN  TRANSFER'!G:G, 'STOCK IN  TRANSFER'!E:E, B294, 'STOCK IN  TRANSFER'!F:F, "ADJUSTMENT (-)") - SUMIFS('STOCK IN  TRANSFER'!G:G, 'STOCK IN  TRANSFER'!E:E, B294, 'STOCK IN  TRANSFER'!F:F, "STOCK TRANSFER") - SUMIFS(SALES!H:H, SALES!E:E, B294)</f>
        <v>6</v>
      </c>
      <c r="F294" s="13"/>
    </row>
    <row r="295" ht="22.5" customHeight="1">
      <c r="A295" s="13" t="s">
        <v>527</v>
      </c>
      <c r="B295" s="13" t="s">
        <v>858</v>
      </c>
      <c r="C295" s="16">
        <v>995.0</v>
      </c>
      <c r="D295" s="13" t="s">
        <v>39</v>
      </c>
      <c r="E295" s="28">
        <f>SUMIFS('STOCK IN  TRANSFER'!G:G, 'STOCK IN  TRANSFER'!E:E, B295, 'STOCK IN  TRANSFER'!F:F, "STOCK IN") + SUMIFS('STOCK IN  TRANSFER'!G:G, 'STOCK IN  TRANSFER'!E:E, B295, 'STOCK IN  TRANSFER'!F:F, "ADJUSTMENT (+)") - SUMIFS('STOCK IN  TRANSFER'!G:G, 'STOCK IN  TRANSFER'!E:E, B295, 'STOCK IN  TRANSFER'!F:F, "ADJUSTMENT (-)") - SUMIFS('STOCK IN  TRANSFER'!G:G, 'STOCK IN  TRANSFER'!E:E, B295, 'STOCK IN  TRANSFER'!F:F, "STOCK TRANSFER") - SUMIFS(SALES!H:H, SALES!E:E, B295)</f>
        <v>1</v>
      </c>
      <c r="F295" s="13"/>
    </row>
    <row r="296" ht="22.5" customHeight="1">
      <c r="A296" s="13" t="s">
        <v>532</v>
      </c>
      <c r="B296" s="13" t="s">
        <v>859</v>
      </c>
      <c r="C296" s="16">
        <v>1085.0</v>
      </c>
      <c r="D296" s="13" t="s">
        <v>39</v>
      </c>
      <c r="E296" s="28">
        <f>SUMIFS('STOCK IN  TRANSFER'!G:G, 'STOCK IN  TRANSFER'!E:E, B296, 'STOCK IN  TRANSFER'!F:F, "STOCK IN") + SUMIFS('STOCK IN  TRANSFER'!G:G, 'STOCK IN  TRANSFER'!E:E, B296, 'STOCK IN  TRANSFER'!F:F, "ADJUSTMENT (+)") - SUMIFS('STOCK IN  TRANSFER'!G:G, 'STOCK IN  TRANSFER'!E:E, B296, 'STOCK IN  TRANSFER'!F:F, "ADJUSTMENT (-)") - SUMIFS('STOCK IN  TRANSFER'!G:G, 'STOCK IN  TRANSFER'!E:E, B296, 'STOCK IN  TRANSFER'!F:F, "STOCK TRANSFER") - SUMIFS(SALES!H:H, SALES!E:E, B296)</f>
        <v>6</v>
      </c>
      <c r="F296" s="13"/>
    </row>
    <row r="297" ht="22.5" customHeight="1">
      <c r="A297" s="13" t="s">
        <v>536</v>
      </c>
      <c r="B297" s="13" t="s">
        <v>860</v>
      </c>
      <c r="C297" s="16">
        <v>652.0</v>
      </c>
      <c r="D297" s="13" t="s">
        <v>39</v>
      </c>
      <c r="E297" s="28">
        <f>SUMIFS('STOCK IN  TRANSFER'!G:G, 'STOCK IN  TRANSFER'!E:E, B297, 'STOCK IN  TRANSFER'!F:F, "STOCK IN") + SUMIFS('STOCK IN  TRANSFER'!G:G, 'STOCK IN  TRANSFER'!E:E, B297, 'STOCK IN  TRANSFER'!F:F, "ADJUSTMENT (+)") - SUMIFS('STOCK IN  TRANSFER'!G:G, 'STOCK IN  TRANSFER'!E:E, B297, 'STOCK IN  TRANSFER'!F:F, "ADJUSTMENT (-)") - SUMIFS('STOCK IN  TRANSFER'!G:G, 'STOCK IN  TRANSFER'!E:E, B297, 'STOCK IN  TRANSFER'!F:F, "STOCK TRANSFER") - SUMIFS(SALES!H:H, SALES!E:E, B297)</f>
        <v>6</v>
      </c>
      <c r="F297" s="13"/>
    </row>
    <row r="298" ht="22.5" customHeight="1">
      <c r="A298" s="13" t="s">
        <v>542</v>
      </c>
      <c r="B298" s="13" t="s">
        <v>861</v>
      </c>
      <c r="C298" s="16">
        <v>621.0</v>
      </c>
      <c r="D298" s="13" t="s">
        <v>39</v>
      </c>
      <c r="E298" s="28">
        <f>SUMIFS('STOCK IN  TRANSFER'!G:G, 'STOCK IN  TRANSFER'!E:E, B298, 'STOCK IN  TRANSFER'!F:F, "STOCK IN") + SUMIFS('STOCK IN  TRANSFER'!G:G, 'STOCK IN  TRANSFER'!E:E, B298, 'STOCK IN  TRANSFER'!F:F, "ADJUSTMENT (+)") - SUMIFS('STOCK IN  TRANSFER'!G:G, 'STOCK IN  TRANSFER'!E:E, B298, 'STOCK IN  TRANSFER'!F:F, "ADJUSTMENT (-)") - SUMIFS('STOCK IN  TRANSFER'!G:G, 'STOCK IN  TRANSFER'!E:E, B298, 'STOCK IN  TRANSFER'!F:F, "STOCK TRANSFER") - SUMIFS(SALES!H:H, SALES!E:E, B298)</f>
        <v>6</v>
      </c>
      <c r="F298" s="13"/>
    </row>
    <row r="299" ht="22.5" customHeight="1">
      <c r="A299" s="13" t="s">
        <v>546</v>
      </c>
      <c r="B299" s="13" t="s">
        <v>862</v>
      </c>
      <c r="C299" s="16">
        <v>2325.0</v>
      </c>
      <c r="D299" s="13" t="s">
        <v>75</v>
      </c>
      <c r="E299" s="28">
        <f>SUMIFS('STOCK IN  TRANSFER'!G:G, 'STOCK IN  TRANSFER'!E:E, B299, 'STOCK IN  TRANSFER'!F:F, "STOCK IN") + SUMIFS('STOCK IN  TRANSFER'!G:G, 'STOCK IN  TRANSFER'!E:E, B299, 'STOCK IN  TRANSFER'!F:F, "ADJUSTMENT (+)") - SUMIFS('STOCK IN  TRANSFER'!G:G, 'STOCK IN  TRANSFER'!E:E, B299, 'STOCK IN  TRANSFER'!F:F, "ADJUSTMENT (-)") - SUMIFS('STOCK IN  TRANSFER'!G:G, 'STOCK IN  TRANSFER'!E:E, B299, 'STOCK IN  TRANSFER'!F:F, "STOCK TRANSFER") - SUMIFS(SALES!H:H, SALES!E:E, B299)</f>
        <v>1</v>
      </c>
      <c r="F299" s="13"/>
    </row>
    <row r="300" ht="22.5" customHeight="1">
      <c r="A300" s="13" t="s">
        <v>553</v>
      </c>
      <c r="B300" s="13" t="s">
        <v>863</v>
      </c>
      <c r="C300" s="16">
        <v>595.0</v>
      </c>
      <c r="D300" s="13" t="s">
        <v>39</v>
      </c>
      <c r="E300" s="28">
        <f>SUMIFS('STOCK IN  TRANSFER'!G:G, 'STOCK IN  TRANSFER'!E:E, B300, 'STOCK IN  TRANSFER'!F:F, "STOCK IN") + SUMIFS('STOCK IN  TRANSFER'!G:G, 'STOCK IN  TRANSFER'!E:E, B300, 'STOCK IN  TRANSFER'!F:F, "ADJUSTMENT (+)") - SUMIFS('STOCK IN  TRANSFER'!G:G, 'STOCK IN  TRANSFER'!E:E, B300, 'STOCK IN  TRANSFER'!F:F, "ADJUSTMENT (-)") - SUMIFS('STOCK IN  TRANSFER'!G:G, 'STOCK IN  TRANSFER'!E:E, B300, 'STOCK IN  TRANSFER'!F:F, "STOCK TRANSFER") - SUMIFS(SALES!H:H, SALES!E:E, B300)</f>
        <v>9</v>
      </c>
      <c r="F300" s="13"/>
    </row>
    <row r="301" ht="22.5" customHeight="1">
      <c r="A301" s="13" t="s">
        <v>559</v>
      </c>
      <c r="B301" s="13" t="s">
        <v>865</v>
      </c>
      <c r="C301" s="16">
        <v>422.0</v>
      </c>
      <c r="D301" s="13" t="s">
        <v>39</v>
      </c>
      <c r="E301" s="28">
        <f>SUMIFS('STOCK IN  TRANSFER'!G:G, 'STOCK IN  TRANSFER'!E:E, B301, 'STOCK IN  TRANSFER'!F:F, "STOCK IN") + SUMIFS('STOCK IN  TRANSFER'!G:G, 'STOCK IN  TRANSFER'!E:E, B301, 'STOCK IN  TRANSFER'!F:F, "ADJUSTMENT (+)") - SUMIFS('STOCK IN  TRANSFER'!G:G, 'STOCK IN  TRANSFER'!E:E, B301, 'STOCK IN  TRANSFER'!F:F, "ADJUSTMENT (-)") - SUMIFS('STOCK IN  TRANSFER'!G:G, 'STOCK IN  TRANSFER'!E:E, B301, 'STOCK IN  TRANSFER'!F:F, "STOCK TRANSFER") - SUMIFS(SALES!H:H, SALES!E:E, B301)</f>
        <v>6</v>
      </c>
      <c r="F301" s="13"/>
    </row>
    <row r="302" ht="22.5" customHeight="1">
      <c r="A302" s="13" t="s">
        <v>562</v>
      </c>
      <c r="B302" s="13" t="s">
        <v>866</v>
      </c>
      <c r="C302" s="16">
        <v>422.0</v>
      </c>
      <c r="D302" s="13" t="s">
        <v>39</v>
      </c>
      <c r="E302" s="28">
        <f>SUMIFS('STOCK IN  TRANSFER'!G:G, 'STOCK IN  TRANSFER'!E:E, B302, 'STOCK IN  TRANSFER'!F:F, "STOCK IN") + SUMIFS('STOCK IN  TRANSFER'!G:G, 'STOCK IN  TRANSFER'!E:E, B302, 'STOCK IN  TRANSFER'!F:F, "ADJUSTMENT (+)") - SUMIFS('STOCK IN  TRANSFER'!G:G, 'STOCK IN  TRANSFER'!E:E, B302, 'STOCK IN  TRANSFER'!F:F, "ADJUSTMENT (-)") - SUMIFS('STOCK IN  TRANSFER'!G:G, 'STOCK IN  TRANSFER'!E:E, B302, 'STOCK IN  TRANSFER'!F:F, "STOCK TRANSFER") - SUMIFS(SALES!H:H, SALES!E:E, B302)</f>
        <v>0</v>
      </c>
      <c r="F302" s="13"/>
    </row>
    <row r="303" ht="22.5" customHeight="1">
      <c r="A303" s="13" t="s">
        <v>867</v>
      </c>
      <c r="B303" s="13" t="s">
        <v>868</v>
      </c>
      <c r="C303" s="16">
        <v>2180.0</v>
      </c>
      <c r="D303" s="13" t="s">
        <v>75</v>
      </c>
      <c r="E303" s="28">
        <f>SUMIFS('STOCK IN  TRANSFER'!G:G, 'STOCK IN  TRANSFER'!E:E, B303, 'STOCK IN  TRANSFER'!F:F, "STOCK IN") + SUMIFS('STOCK IN  TRANSFER'!G:G, 'STOCK IN  TRANSFER'!E:E, B303, 'STOCK IN  TRANSFER'!F:F, "ADJUSTMENT (+)") - SUMIFS('STOCK IN  TRANSFER'!G:G, 'STOCK IN  TRANSFER'!E:E, B303, 'STOCK IN  TRANSFER'!F:F, "ADJUSTMENT (-)") - SUMIFS('STOCK IN  TRANSFER'!G:G, 'STOCK IN  TRANSFER'!E:E, B303, 'STOCK IN  TRANSFER'!F:F, "STOCK TRANSFER") - SUMIFS(SALES!H:H, SALES!E:E, B303)</f>
        <v>0</v>
      </c>
      <c r="F303" s="13"/>
    </row>
    <row r="304" ht="22.5" customHeight="1">
      <c r="A304" s="13" t="s">
        <v>569</v>
      </c>
      <c r="B304" s="13" t="s">
        <v>870</v>
      </c>
      <c r="C304" s="16">
        <v>581.0</v>
      </c>
      <c r="D304" s="13" t="s">
        <v>39</v>
      </c>
      <c r="E304" s="28">
        <f>SUMIFS('STOCK IN  TRANSFER'!G:G, 'STOCK IN  TRANSFER'!E:E, B304, 'STOCK IN  TRANSFER'!F:F, "STOCK IN") + SUMIFS('STOCK IN  TRANSFER'!G:G, 'STOCK IN  TRANSFER'!E:E, B304, 'STOCK IN  TRANSFER'!F:F, "ADJUSTMENT (+)") - SUMIFS('STOCK IN  TRANSFER'!G:G, 'STOCK IN  TRANSFER'!E:E, B304, 'STOCK IN  TRANSFER'!F:F, "ADJUSTMENT (-)") - SUMIFS('STOCK IN  TRANSFER'!G:G, 'STOCK IN  TRANSFER'!E:E, B304, 'STOCK IN  TRANSFER'!F:F, "STOCK TRANSFER") - SUMIFS(SALES!H:H, SALES!E:E, B304)</f>
        <v>0</v>
      </c>
      <c r="F304" s="13"/>
    </row>
    <row r="305" ht="22.5" customHeight="1">
      <c r="A305" s="13" t="s">
        <v>871</v>
      </c>
      <c r="B305" s="13" t="s">
        <v>872</v>
      </c>
      <c r="C305" s="16">
        <v>581.0</v>
      </c>
      <c r="D305" s="13" t="s">
        <v>39</v>
      </c>
      <c r="E305" s="28">
        <f>SUMIFS('STOCK IN  TRANSFER'!G:G, 'STOCK IN  TRANSFER'!E:E, B305, 'STOCK IN  TRANSFER'!F:F, "STOCK IN") + SUMIFS('STOCK IN  TRANSFER'!G:G, 'STOCK IN  TRANSFER'!E:E, B305, 'STOCK IN  TRANSFER'!F:F, "ADJUSTMENT (+)") - SUMIFS('STOCK IN  TRANSFER'!G:G, 'STOCK IN  TRANSFER'!E:E, B305, 'STOCK IN  TRANSFER'!F:F, "ADJUSTMENT (-)") - SUMIFS('STOCK IN  TRANSFER'!G:G, 'STOCK IN  TRANSFER'!E:E, B305, 'STOCK IN  TRANSFER'!F:F, "STOCK TRANSFER") - SUMIFS(SALES!H:H, SALES!E:E, B305)</f>
        <v>5</v>
      </c>
      <c r="F305" s="13"/>
    </row>
    <row r="306" ht="22.5" customHeight="1">
      <c r="A306" s="13" t="s">
        <v>873</v>
      </c>
      <c r="B306" s="13" t="s">
        <v>874</v>
      </c>
      <c r="C306" s="16">
        <v>422.0</v>
      </c>
      <c r="D306" s="13" t="s">
        <v>39</v>
      </c>
      <c r="E306" s="28">
        <f>SUMIFS('STOCK IN  TRANSFER'!G:G, 'STOCK IN  TRANSFER'!E:E, B306, 'STOCK IN  TRANSFER'!F:F, "STOCK IN") + SUMIFS('STOCK IN  TRANSFER'!G:G, 'STOCK IN  TRANSFER'!E:E, B306, 'STOCK IN  TRANSFER'!F:F, "ADJUSTMENT (+)") - SUMIFS('STOCK IN  TRANSFER'!G:G, 'STOCK IN  TRANSFER'!E:E, B306, 'STOCK IN  TRANSFER'!F:F, "ADJUSTMENT (-)") - SUMIFS('STOCK IN  TRANSFER'!G:G, 'STOCK IN  TRANSFER'!E:E, B306, 'STOCK IN  TRANSFER'!F:F, "STOCK TRANSFER") - SUMIFS(SALES!H:H, SALES!E:E, B306)</f>
        <v>6</v>
      </c>
      <c r="F306" s="13"/>
    </row>
    <row r="307" ht="22.5" customHeight="1">
      <c r="A307" s="13" t="s">
        <v>875</v>
      </c>
      <c r="B307" s="13" t="s">
        <v>876</v>
      </c>
      <c r="C307" s="16">
        <v>422.0</v>
      </c>
      <c r="D307" s="13" t="s">
        <v>39</v>
      </c>
      <c r="E307" s="28">
        <f>SUMIFS('STOCK IN  TRANSFER'!G:G, 'STOCK IN  TRANSFER'!E:E, B307, 'STOCK IN  TRANSFER'!F:F, "STOCK IN") + SUMIFS('STOCK IN  TRANSFER'!G:G, 'STOCK IN  TRANSFER'!E:E, B307, 'STOCK IN  TRANSFER'!F:F, "ADJUSTMENT (+)") - SUMIFS('STOCK IN  TRANSFER'!G:G, 'STOCK IN  TRANSFER'!E:E, B307, 'STOCK IN  TRANSFER'!F:F, "ADJUSTMENT (-)") - SUMIFS('STOCK IN  TRANSFER'!G:G, 'STOCK IN  TRANSFER'!E:E, B307, 'STOCK IN  TRANSFER'!F:F, "STOCK TRANSFER") - SUMIFS(SALES!H:H, SALES!E:E, B307)</f>
        <v>3</v>
      </c>
      <c r="F307" s="28"/>
    </row>
    <row r="308" ht="22.5" customHeight="1">
      <c r="A308" s="13" t="s">
        <v>573</v>
      </c>
      <c r="B308" s="13" t="s">
        <v>877</v>
      </c>
      <c r="C308" s="16">
        <v>498.0</v>
      </c>
      <c r="D308" s="13" t="s">
        <v>39</v>
      </c>
      <c r="E308" s="28">
        <f>SUMIFS('STOCK IN  TRANSFER'!G:G, 'STOCK IN  TRANSFER'!E:E, B308, 'STOCK IN  TRANSFER'!F:F, "STOCK IN") + SUMIFS('STOCK IN  TRANSFER'!G:G, 'STOCK IN  TRANSFER'!E:E, B308, 'STOCK IN  TRANSFER'!F:F, "ADJUSTMENT (+)") - SUMIFS('STOCK IN  TRANSFER'!G:G, 'STOCK IN  TRANSFER'!E:E, B308, 'STOCK IN  TRANSFER'!F:F, "ADJUSTMENT (-)") - SUMIFS('STOCK IN  TRANSFER'!G:G, 'STOCK IN  TRANSFER'!E:E, B308, 'STOCK IN  TRANSFER'!F:F, "STOCK TRANSFER") - SUMIFS(SALES!H:H, SALES!E:E, B308)</f>
        <v>5</v>
      </c>
      <c r="F308" s="13"/>
    </row>
    <row r="309" ht="22.5" customHeight="1">
      <c r="A309" s="13" t="s">
        <v>580</v>
      </c>
      <c r="B309" s="13" t="s">
        <v>878</v>
      </c>
      <c r="C309" s="16">
        <v>450.0</v>
      </c>
      <c r="D309" s="13" t="s">
        <v>39</v>
      </c>
      <c r="E309" s="28">
        <f>SUMIFS('STOCK IN  TRANSFER'!G:G, 'STOCK IN  TRANSFER'!E:E, B309, 'STOCK IN  TRANSFER'!F:F, "STOCK IN") + SUMIFS('STOCK IN  TRANSFER'!G:G, 'STOCK IN  TRANSFER'!E:E, B309, 'STOCK IN  TRANSFER'!F:F, "ADJUSTMENT (+)") - SUMIFS('STOCK IN  TRANSFER'!G:G, 'STOCK IN  TRANSFER'!E:E, B309, 'STOCK IN  TRANSFER'!F:F, "ADJUSTMENT (-)") - SUMIFS('STOCK IN  TRANSFER'!G:G, 'STOCK IN  TRANSFER'!E:E, B309, 'STOCK IN  TRANSFER'!F:F, "STOCK TRANSFER") - SUMIFS(SALES!H:H, SALES!E:E, B309)</f>
        <v>6</v>
      </c>
      <c r="F309" s="13"/>
    </row>
    <row r="310" ht="22.5" customHeight="1">
      <c r="A310" s="13" t="s">
        <v>585</v>
      </c>
      <c r="B310" s="13" t="s">
        <v>879</v>
      </c>
      <c r="C310" s="16">
        <v>620.0</v>
      </c>
      <c r="D310" s="13" t="s">
        <v>39</v>
      </c>
      <c r="E310" s="28">
        <f>SUMIFS('STOCK IN  TRANSFER'!G:G, 'STOCK IN  TRANSFER'!E:E, B310, 'STOCK IN  TRANSFER'!F:F, "STOCK IN") + SUMIFS('STOCK IN  TRANSFER'!G:G, 'STOCK IN  TRANSFER'!E:E, B310, 'STOCK IN  TRANSFER'!F:F, "ADJUSTMENT (+)") - SUMIFS('STOCK IN  TRANSFER'!G:G, 'STOCK IN  TRANSFER'!E:E, B310, 'STOCK IN  TRANSFER'!F:F, "ADJUSTMENT (-)") - SUMIFS('STOCK IN  TRANSFER'!G:G, 'STOCK IN  TRANSFER'!E:E, B310, 'STOCK IN  TRANSFER'!F:F, "STOCK TRANSFER") - SUMIFS(SALES!H:H, SALES!E:E, B310)</f>
        <v>1</v>
      </c>
      <c r="F310" s="13"/>
    </row>
    <row r="311" ht="22.5" customHeight="1">
      <c r="A311" s="13" t="s">
        <v>590</v>
      </c>
      <c r="B311" s="13" t="s">
        <v>880</v>
      </c>
      <c r="C311" s="16">
        <v>517.0</v>
      </c>
      <c r="D311" s="13" t="s">
        <v>39</v>
      </c>
      <c r="E311" s="28">
        <f>SUMIFS('STOCK IN  TRANSFER'!G:G, 'STOCK IN  TRANSFER'!E:E, B311, 'STOCK IN  TRANSFER'!F:F, "STOCK IN") + SUMIFS('STOCK IN  TRANSFER'!G:G, 'STOCK IN  TRANSFER'!E:E, B311, 'STOCK IN  TRANSFER'!F:F, "ADJUSTMENT (+)") - SUMIFS('STOCK IN  TRANSFER'!G:G, 'STOCK IN  TRANSFER'!E:E, B311, 'STOCK IN  TRANSFER'!F:F, "ADJUSTMENT (-)") - SUMIFS('STOCK IN  TRANSFER'!G:G, 'STOCK IN  TRANSFER'!E:E, B311, 'STOCK IN  TRANSFER'!F:F, "STOCK TRANSFER") - SUMIFS(SALES!H:H, SALES!E:E, B311)</f>
        <v>6</v>
      </c>
      <c r="F311" s="13"/>
    </row>
    <row r="312" ht="22.5" customHeight="1">
      <c r="A312" s="13" t="s">
        <v>596</v>
      </c>
      <c r="B312" s="13" t="s">
        <v>881</v>
      </c>
      <c r="C312" s="16">
        <v>435.0</v>
      </c>
      <c r="D312" s="13" t="s">
        <v>39</v>
      </c>
      <c r="E312" s="28">
        <f>SUMIFS('STOCK IN  TRANSFER'!G:G, 'STOCK IN  TRANSFER'!E:E, B312, 'STOCK IN  TRANSFER'!F:F, "STOCK IN") + SUMIFS('STOCK IN  TRANSFER'!G:G, 'STOCK IN  TRANSFER'!E:E, B312, 'STOCK IN  TRANSFER'!F:F, "ADJUSTMENT (+)") - SUMIFS('STOCK IN  TRANSFER'!G:G, 'STOCK IN  TRANSFER'!E:E, B312, 'STOCK IN  TRANSFER'!F:F, "ADJUSTMENT (-)") - SUMIFS('STOCK IN  TRANSFER'!G:G, 'STOCK IN  TRANSFER'!E:E, B312, 'STOCK IN  TRANSFER'!F:F, "STOCK TRANSFER") - SUMIFS(SALES!H:H, SALES!E:E, B312)</f>
        <v>2</v>
      </c>
      <c r="F312" s="28"/>
    </row>
    <row r="313" ht="22.5" customHeight="1">
      <c r="A313" s="13" t="s">
        <v>602</v>
      </c>
      <c r="B313" s="13" t="s">
        <v>882</v>
      </c>
      <c r="C313" s="16">
        <v>1090.0</v>
      </c>
      <c r="D313" s="13" t="s">
        <v>39</v>
      </c>
      <c r="E313" s="28">
        <f>SUMIFS('STOCK IN  TRANSFER'!G:G, 'STOCK IN  TRANSFER'!E:E, B313, 'STOCK IN  TRANSFER'!F:F, "STOCK IN") + SUMIFS('STOCK IN  TRANSFER'!G:G, 'STOCK IN  TRANSFER'!E:E, B313, 'STOCK IN  TRANSFER'!F:F, "ADJUSTMENT (+)") - SUMIFS('STOCK IN  TRANSFER'!G:G, 'STOCK IN  TRANSFER'!E:E, B313, 'STOCK IN  TRANSFER'!F:F, "ADJUSTMENT (-)") - SUMIFS('STOCK IN  TRANSFER'!G:G, 'STOCK IN  TRANSFER'!E:E, B313, 'STOCK IN  TRANSFER'!F:F, "STOCK TRANSFER") - SUMIFS(SALES!H:H, SALES!E:E, B313)</f>
        <v>2</v>
      </c>
      <c r="F313" s="13"/>
    </row>
    <row r="314" ht="22.5" customHeight="1">
      <c r="A314" s="13" t="s">
        <v>607</v>
      </c>
      <c r="B314" s="13" t="s">
        <v>883</v>
      </c>
      <c r="C314" s="16">
        <v>500.0</v>
      </c>
      <c r="D314" s="13" t="s">
        <v>39</v>
      </c>
      <c r="E314" s="28">
        <f>SUMIFS('STOCK IN  TRANSFER'!G:G, 'STOCK IN  TRANSFER'!E:E, B314, 'STOCK IN  TRANSFER'!F:F, "STOCK IN") + SUMIFS('STOCK IN  TRANSFER'!G:G, 'STOCK IN  TRANSFER'!E:E, B314, 'STOCK IN  TRANSFER'!F:F, "ADJUSTMENT (+)") - SUMIFS('STOCK IN  TRANSFER'!G:G, 'STOCK IN  TRANSFER'!E:E, B314, 'STOCK IN  TRANSFER'!F:F, "ADJUSTMENT (-)") - SUMIFS('STOCK IN  TRANSFER'!G:G, 'STOCK IN  TRANSFER'!E:E, B314, 'STOCK IN  TRANSFER'!F:F, "STOCK TRANSFER") - SUMIFS(SALES!H:H, SALES!E:E, B314)</f>
        <v>5</v>
      </c>
      <c r="F314" s="13"/>
    </row>
    <row r="315" ht="22.5" customHeight="1">
      <c r="A315" s="13" t="s">
        <v>611</v>
      </c>
      <c r="B315" s="13" t="s">
        <v>884</v>
      </c>
      <c r="C315" s="16">
        <v>683.0</v>
      </c>
      <c r="D315" s="13" t="s">
        <v>39</v>
      </c>
      <c r="E315" s="28">
        <f>SUMIFS('STOCK IN  TRANSFER'!G:G, 'STOCK IN  TRANSFER'!E:E, B315, 'STOCK IN  TRANSFER'!F:F, "STOCK IN") + SUMIFS('STOCK IN  TRANSFER'!G:G, 'STOCK IN  TRANSFER'!E:E, B315, 'STOCK IN  TRANSFER'!F:F, "ADJUSTMENT (+)") - SUMIFS('STOCK IN  TRANSFER'!G:G, 'STOCK IN  TRANSFER'!E:E, B315, 'STOCK IN  TRANSFER'!F:F, "ADJUSTMENT (-)") - SUMIFS('STOCK IN  TRANSFER'!G:G, 'STOCK IN  TRANSFER'!E:E, B315, 'STOCK IN  TRANSFER'!F:F, "STOCK TRANSFER") - SUMIFS(SALES!H:H, SALES!E:E, B315)</f>
        <v>6</v>
      </c>
      <c r="F315" s="13"/>
    </row>
    <row r="316" ht="22.5" customHeight="1">
      <c r="A316" s="13" t="s">
        <v>818</v>
      </c>
      <c r="B316" s="13" t="s">
        <v>885</v>
      </c>
      <c r="C316" s="16">
        <v>451.0</v>
      </c>
      <c r="D316" s="13" t="s">
        <v>39</v>
      </c>
      <c r="E316" s="28">
        <f>SUMIFS('STOCK IN  TRANSFER'!G:G, 'STOCK IN  TRANSFER'!E:E, B316, 'STOCK IN  TRANSFER'!F:F, "STOCK IN") + SUMIFS('STOCK IN  TRANSFER'!G:G, 'STOCK IN  TRANSFER'!E:E, B316, 'STOCK IN  TRANSFER'!F:F, "ADJUSTMENT (+)") - SUMIFS('STOCK IN  TRANSFER'!G:G, 'STOCK IN  TRANSFER'!E:E, B316, 'STOCK IN  TRANSFER'!F:F, "ADJUSTMENT (-)") - SUMIFS('STOCK IN  TRANSFER'!G:G, 'STOCK IN  TRANSFER'!E:E, B316, 'STOCK IN  TRANSFER'!F:F, "STOCK TRANSFER") - SUMIFS(SALES!H:H, SALES!E:E, B316)</f>
        <v>-1.25</v>
      </c>
      <c r="F316" s="13"/>
    </row>
    <row r="317" ht="22.5" customHeight="1">
      <c r="A317" s="13" t="s">
        <v>615</v>
      </c>
      <c r="B317" s="13" t="s">
        <v>887</v>
      </c>
      <c r="C317" s="16">
        <v>367.0</v>
      </c>
      <c r="D317" s="13" t="s">
        <v>39</v>
      </c>
      <c r="E317" s="28">
        <f>SUMIFS('STOCK IN  TRANSFER'!G:G, 'STOCK IN  TRANSFER'!E:E, B317, 'STOCK IN  TRANSFER'!F:F, "STOCK IN") + SUMIFS('STOCK IN  TRANSFER'!G:G, 'STOCK IN  TRANSFER'!E:E, B317, 'STOCK IN  TRANSFER'!F:F, "ADJUSTMENT (+)") - SUMIFS('STOCK IN  TRANSFER'!G:G, 'STOCK IN  TRANSFER'!E:E, B317, 'STOCK IN  TRANSFER'!F:F, "ADJUSTMENT (-)") - SUMIFS('STOCK IN  TRANSFER'!G:G, 'STOCK IN  TRANSFER'!E:E, B317, 'STOCK IN  TRANSFER'!F:F, "STOCK TRANSFER") - SUMIFS(SALES!H:H, SALES!E:E, B317)</f>
        <v>9</v>
      </c>
      <c r="F317" s="13"/>
    </row>
    <row r="318" ht="22.5" customHeight="1">
      <c r="A318" s="13" t="s">
        <v>619</v>
      </c>
      <c r="B318" s="13" t="s">
        <v>888</v>
      </c>
      <c r="C318" s="16">
        <v>1035.0</v>
      </c>
      <c r="D318" s="13" t="s">
        <v>39</v>
      </c>
      <c r="E318" s="28">
        <f>SUMIFS('STOCK IN  TRANSFER'!G:G, 'STOCK IN  TRANSFER'!E:E, B318, 'STOCK IN  TRANSFER'!F:F, "STOCK IN") + SUMIFS('STOCK IN  TRANSFER'!G:G, 'STOCK IN  TRANSFER'!E:E, B318, 'STOCK IN  TRANSFER'!F:F, "ADJUSTMENT (+)") - SUMIFS('STOCK IN  TRANSFER'!G:G, 'STOCK IN  TRANSFER'!E:E, B318, 'STOCK IN  TRANSFER'!F:F, "ADJUSTMENT (-)") - SUMIFS('STOCK IN  TRANSFER'!G:G, 'STOCK IN  TRANSFER'!E:E, B318, 'STOCK IN  TRANSFER'!F:F, "STOCK TRANSFER") - SUMIFS(SALES!H:H, SALES!E:E, B318)</f>
        <v>4</v>
      </c>
      <c r="F318" s="28"/>
    </row>
    <row r="319" ht="22.5" customHeight="1">
      <c r="A319" s="13" t="s">
        <v>623</v>
      </c>
      <c r="B319" s="13" t="s">
        <v>889</v>
      </c>
      <c r="C319" s="16">
        <v>897.0</v>
      </c>
      <c r="D319" s="13" t="s">
        <v>39</v>
      </c>
      <c r="E319" s="28">
        <f>SUMIFS('STOCK IN  TRANSFER'!G:G, 'STOCK IN  TRANSFER'!E:E, B319, 'STOCK IN  TRANSFER'!F:F, "STOCK IN") + SUMIFS('STOCK IN  TRANSFER'!G:G, 'STOCK IN  TRANSFER'!E:E, B319, 'STOCK IN  TRANSFER'!F:F, "ADJUSTMENT (+)") - SUMIFS('STOCK IN  TRANSFER'!G:G, 'STOCK IN  TRANSFER'!E:E, B319, 'STOCK IN  TRANSFER'!F:F, "ADJUSTMENT (-)") - SUMIFS('STOCK IN  TRANSFER'!G:G, 'STOCK IN  TRANSFER'!E:E, B319, 'STOCK IN  TRANSFER'!F:F, "STOCK TRANSFER") - SUMIFS(SALES!H:H, SALES!E:E, B319)</f>
        <v>10</v>
      </c>
      <c r="F319" s="13"/>
    </row>
    <row r="320" ht="22.5" customHeight="1">
      <c r="A320" s="13" t="s">
        <v>630</v>
      </c>
      <c r="B320" s="13" t="s">
        <v>890</v>
      </c>
      <c r="C320" s="16">
        <v>425.0</v>
      </c>
      <c r="D320" s="13" t="s">
        <v>39</v>
      </c>
      <c r="E320" s="28">
        <f>SUMIFS('STOCK IN  TRANSFER'!G:G, 'STOCK IN  TRANSFER'!E:E, B320, 'STOCK IN  TRANSFER'!F:F, "STOCK IN") + SUMIFS('STOCK IN  TRANSFER'!G:G, 'STOCK IN  TRANSFER'!E:E, B320, 'STOCK IN  TRANSFER'!F:F, "ADJUSTMENT (+)") - SUMIFS('STOCK IN  TRANSFER'!G:G, 'STOCK IN  TRANSFER'!E:E, B320, 'STOCK IN  TRANSFER'!F:F, "ADJUSTMENT (-)") - SUMIFS('STOCK IN  TRANSFER'!G:G, 'STOCK IN  TRANSFER'!E:E, B320, 'STOCK IN  TRANSFER'!F:F, "STOCK TRANSFER") - SUMIFS(SALES!H:H, SALES!E:E, B320)</f>
        <v>5</v>
      </c>
      <c r="F320" s="13"/>
    </row>
    <row r="321" ht="22.5" customHeight="1">
      <c r="A321" s="13" t="s">
        <v>636</v>
      </c>
      <c r="B321" s="13" t="s">
        <v>891</v>
      </c>
      <c r="C321" s="16">
        <v>1380.0</v>
      </c>
      <c r="D321" s="13" t="s">
        <v>39</v>
      </c>
      <c r="E321" s="28">
        <f>SUMIFS('STOCK IN  TRANSFER'!G:G, 'STOCK IN  TRANSFER'!E:E, B321, 'STOCK IN  TRANSFER'!F:F, "STOCK IN") + SUMIFS('STOCK IN  TRANSFER'!G:G, 'STOCK IN  TRANSFER'!E:E, B321, 'STOCK IN  TRANSFER'!F:F, "ADJUSTMENT (+)") - SUMIFS('STOCK IN  TRANSFER'!G:G, 'STOCK IN  TRANSFER'!E:E, B321, 'STOCK IN  TRANSFER'!F:F, "ADJUSTMENT (-)") - SUMIFS('STOCK IN  TRANSFER'!G:G, 'STOCK IN  TRANSFER'!E:E, B321, 'STOCK IN  TRANSFER'!F:F, "STOCK TRANSFER") - SUMIFS(SALES!H:H, SALES!E:E, B321)</f>
        <v>4</v>
      </c>
      <c r="F321" s="28"/>
    </row>
    <row r="322" ht="22.5" customHeight="1">
      <c r="A322" s="13" t="s">
        <v>892</v>
      </c>
      <c r="B322" s="13" t="s">
        <v>893</v>
      </c>
      <c r="C322" s="55"/>
      <c r="D322" s="13" t="s">
        <v>39</v>
      </c>
      <c r="E322" s="28">
        <f>SUMIFS('STOCK IN  TRANSFER'!G:G, 'STOCK IN  TRANSFER'!E:E, B322, 'STOCK IN  TRANSFER'!F:F, "STOCK IN") + SUMIFS('STOCK IN  TRANSFER'!G:G, 'STOCK IN  TRANSFER'!E:E, B322, 'STOCK IN  TRANSFER'!F:F, "ADJUSTMENT (+)") - SUMIFS('STOCK IN  TRANSFER'!G:G, 'STOCK IN  TRANSFER'!E:E, B322, 'STOCK IN  TRANSFER'!F:F, "ADJUSTMENT (-)") - SUMIFS('STOCK IN  TRANSFER'!G:G, 'STOCK IN  TRANSFER'!E:E, B322, 'STOCK IN  TRANSFER'!F:F, "STOCK TRANSFER") - SUMIFS(SALES!H:H, SALES!E:E, B322)</f>
        <v>0</v>
      </c>
      <c r="F322" s="28"/>
    </row>
    <row r="323" ht="22.5" customHeight="1">
      <c r="A323" s="13" t="s">
        <v>639</v>
      </c>
      <c r="B323" s="13" t="s">
        <v>894</v>
      </c>
      <c r="C323" s="16">
        <v>1511.0</v>
      </c>
      <c r="D323" s="13" t="s">
        <v>39</v>
      </c>
      <c r="E323" s="28">
        <f>SUMIFS('STOCK IN  TRANSFER'!G:G, 'STOCK IN  TRANSFER'!E:E, B323, 'STOCK IN  TRANSFER'!F:F, "STOCK IN") + SUMIFS('STOCK IN  TRANSFER'!G:G, 'STOCK IN  TRANSFER'!E:E, B323, 'STOCK IN  TRANSFER'!F:F, "ADJUSTMENT (+)") - SUMIFS('STOCK IN  TRANSFER'!G:G, 'STOCK IN  TRANSFER'!E:E, B323, 'STOCK IN  TRANSFER'!F:F, "ADJUSTMENT (-)") - SUMIFS('STOCK IN  TRANSFER'!G:G, 'STOCK IN  TRANSFER'!E:E, B323, 'STOCK IN  TRANSFER'!F:F, "STOCK TRANSFER") - SUMIFS(SALES!H:H, SALES!E:E, B323)</f>
        <v>6</v>
      </c>
      <c r="F323" s="28"/>
    </row>
    <row r="324" ht="22.5" customHeight="1">
      <c r="A324" s="13" t="s">
        <v>895</v>
      </c>
      <c r="B324" s="13" t="s">
        <v>896</v>
      </c>
      <c r="C324" s="16">
        <v>425.0</v>
      </c>
      <c r="D324" s="13" t="s">
        <v>39</v>
      </c>
      <c r="E324" s="28">
        <f>SUMIFS('STOCK IN  TRANSFER'!G:G, 'STOCK IN  TRANSFER'!E:E, B324, 'STOCK IN  TRANSFER'!F:F, "STOCK IN") + SUMIFS('STOCK IN  TRANSFER'!G:G, 'STOCK IN  TRANSFER'!E:E, B324, 'STOCK IN  TRANSFER'!F:F, "ADJUSTMENT (+)") - SUMIFS('STOCK IN  TRANSFER'!G:G, 'STOCK IN  TRANSFER'!E:E, B324, 'STOCK IN  TRANSFER'!F:F, "ADJUSTMENT (-)") - SUMIFS('STOCK IN  TRANSFER'!G:G, 'STOCK IN  TRANSFER'!E:E, B324, 'STOCK IN  TRANSFER'!F:F, "STOCK TRANSFER") - SUMIFS(SALES!H:H, SALES!E:E, B324)</f>
        <v>0</v>
      </c>
      <c r="F324" s="28"/>
    </row>
    <row r="325" ht="22.5" customHeight="1">
      <c r="A325" s="13" t="s">
        <v>642</v>
      </c>
      <c r="B325" s="13" t="s">
        <v>897</v>
      </c>
      <c r="C325" s="16">
        <v>1125.0</v>
      </c>
      <c r="D325" s="13" t="s">
        <v>39</v>
      </c>
      <c r="E325" s="28">
        <f>SUMIFS('STOCK IN  TRANSFER'!G:G, 'STOCK IN  TRANSFER'!E:E, B325, 'STOCK IN  TRANSFER'!F:F, "STOCK IN") + SUMIFS('STOCK IN  TRANSFER'!G:G, 'STOCK IN  TRANSFER'!E:E, B325, 'STOCK IN  TRANSFER'!F:F, "ADJUSTMENT (+)") - SUMIFS('STOCK IN  TRANSFER'!G:G, 'STOCK IN  TRANSFER'!E:E, B325, 'STOCK IN  TRANSFER'!F:F, "ADJUSTMENT (-)") - SUMIFS('STOCK IN  TRANSFER'!G:G, 'STOCK IN  TRANSFER'!E:E, B325, 'STOCK IN  TRANSFER'!F:F, "STOCK TRANSFER") - SUMIFS(SALES!H:H, SALES!E:E, B325)</f>
        <v>14</v>
      </c>
      <c r="F325" s="28"/>
    </row>
    <row r="326" ht="22.5" customHeight="1">
      <c r="A326" s="13" t="s">
        <v>648</v>
      </c>
      <c r="B326" s="13" t="s">
        <v>898</v>
      </c>
      <c r="C326" s="16">
        <v>540.0</v>
      </c>
      <c r="D326" s="13" t="s">
        <v>39</v>
      </c>
      <c r="E326" s="28">
        <f>SUMIFS('STOCK IN  TRANSFER'!G:G, 'STOCK IN  TRANSFER'!E:E, B326, 'STOCK IN  TRANSFER'!F:F, "STOCK IN") + SUMIFS('STOCK IN  TRANSFER'!G:G, 'STOCK IN  TRANSFER'!E:E, B326, 'STOCK IN  TRANSFER'!F:F, "ADJUSTMENT (+)") - SUMIFS('STOCK IN  TRANSFER'!G:G, 'STOCK IN  TRANSFER'!E:E, B326, 'STOCK IN  TRANSFER'!F:F, "ADJUSTMENT (-)") - SUMIFS('STOCK IN  TRANSFER'!G:G, 'STOCK IN  TRANSFER'!E:E, B326, 'STOCK IN  TRANSFER'!F:F, "STOCK TRANSFER") - SUMIFS(SALES!H:H, SALES!E:E, B326)</f>
        <v>3</v>
      </c>
      <c r="F326" s="28"/>
    </row>
    <row r="327" ht="22.5" customHeight="1">
      <c r="A327" s="13" t="s">
        <v>667</v>
      </c>
      <c r="B327" s="13" t="s">
        <v>899</v>
      </c>
      <c r="C327" s="16">
        <v>395.0</v>
      </c>
      <c r="D327" s="13" t="s">
        <v>39</v>
      </c>
      <c r="E327" s="28">
        <f>SUMIFS('STOCK IN  TRANSFER'!G:G, 'STOCK IN  TRANSFER'!E:E, B327, 'STOCK IN  TRANSFER'!F:F, "STOCK IN") + SUMIFS('STOCK IN  TRANSFER'!G:G, 'STOCK IN  TRANSFER'!E:E, B327, 'STOCK IN  TRANSFER'!F:F, "ADJUSTMENT (+)") - SUMIFS('STOCK IN  TRANSFER'!G:G, 'STOCK IN  TRANSFER'!E:E, B327, 'STOCK IN  TRANSFER'!F:F, "ADJUSTMENT (-)") - SUMIFS('STOCK IN  TRANSFER'!G:G, 'STOCK IN  TRANSFER'!E:E, B327, 'STOCK IN  TRANSFER'!F:F, "STOCK TRANSFER") - SUMIFS(SALES!H:H, SALES!E:E, B327)</f>
        <v>5</v>
      </c>
      <c r="F327" s="13"/>
    </row>
    <row r="328" ht="22.5" customHeight="1">
      <c r="A328" s="13" t="s">
        <v>672</v>
      </c>
      <c r="B328" s="13" t="s">
        <v>900</v>
      </c>
      <c r="C328" s="16">
        <v>895.0</v>
      </c>
      <c r="D328" s="13" t="s">
        <v>39</v>
      </c>
      <c r="E328" s="28">
        <f>SUMIFS('STOCK IN  TRANSFER'!G:G, 'STOCK IN  TRANSFER'!E:E, B328, 'STOCK IN  TRANSFER'!F:F, "STOCK IN") + SUMIFS('STOCK IN  TRANSFER'!G:G, 'STOCK IN  TRANSFER'!E:E, B328, 'STOCK IN  TRANSFER'!F:F, "ADJUSTMENT (+)") - SUMIFS('STOCK IN  TRANSFER'!G:G, 'STOCK IN  TRANSFER'!E:E, B328, 'STOCK IN  TRANSFER'!F:F, "ADJUSTMENT (-)") - SUMIFS('STOCK IN  TRANSFER'!G:G, 'STOCK IN  TRANSFER'!E:E, B328, 'STOCK IN  TRANSFER'!F:F, "STOCK TRANSFER") - SUMIFS(SALES!H:H, SALES!E:E, B328)</f>
        <v>6</v>
      </c>
      <c r="F328" s="13"/>
    </row>
    <row r="329" ht="22.5" customHeight="1">
      <c r="A329" s="13" t="s">
        <v>902</v>
      </c>
      <c r="B329" s="13" t="s">
        <v>903</v>
      </c>
      <c r="C329" s="16">
        <v>1310.0</v>
      </c>
      <c r="D329" s="13" t="s">
        <v>39</v>
      </c>
      <c r="E329" s="28">
        <f>SUMIFS('STOCK IN  TRANSFER'!G:G, 'STOCK IN  TRANSFER'!E:E, B329, 'STOCK IN  TRANSFER'!F:F, "STOCK IN") + SUMIFS('STOCK IN  TRANSFER'!G:G, 'STOCK IN  TRANSFER'!E:E, B329, 'STOCK IN  TRANSFER'!F:F, "ADJUSTMENT (+)") - SUMIFS('STOCK IN  TRANSFER'!G:G, 'STOCK IN  TRANSFER'!E:E, B329, 'STOCK IN  TRANSFER'!F:F, "ADJUSTMENT (-)") - SUMIFS('STOCK IN  TRANSFER'!G:G, 'STOCK IN  TRANSFER'!E:E, B329, 'STOCK IN  TRANSFER'!F:F, "STOCK TRANSFER") - SUMIFS(SALES!H:H, SALES!E:E, B329)</f>
        <v>2</v>
      </c>
      <c r="F329" s="13"/>
    </row>
    <row r="330" ht="22.5" customHeight="1">
      <c r="A330" s="13" t="s">
        <v>678</v>
      </c>
      <c r="B330" s="13" t="s">
        <v>905</v>
      </c>
      <c r="C330" s="16">
        <v>1110.0</v>
      </c>
      <c r="D330" s="13" t="s">
        <v>39</v>
      </c>
      <c r="E330" s="28">
        <f>SUMIFS('STOCK IN  TRANSFER'!G:G, 'STOCK IN  TRANSFER'!E:E, B330, 'STOCK IN  TRANSFER'!F:F, "STOCK IN") + SUMIFS('STOCK IN  TRANSFER'!G:G, 'STOCK IN  TRANSFER'!E:E, B330, 'STOCK IN  TRANSFER'!F:F, "ADJUSTMENT (+)") - SUMIFS('STOCK IN  TRANSFER'!G:G, 'STOCK IN  TRANSFER'!E:E, B330, 'STOCK IN  TRANSFER'!F:F, "ADJUSTMENT (-)") - SUMIFS('STOCK IN  TRANSFER'!G:G, 'STOCK IN  TRANSFER'!E:E, B330, 'STOCK IN  TRANSFER'!F:F, "STOCK TRANSFER") - SUMIFS(SALES!H:H, SALES!E:E, B330)</f>
        <v>10</v>
      </c>
      <c r="F330" s="13"/>
    </row>
    <row r="331" ht="22.5" customHeight="1">
      <c r="A331" s="13" t="s">
        <v>681</v>
      </c>
      <c r="B331" s="13" t="s">
        <v>906</v>
      </c>
      <c r="C331" s="16">
        <v>1120.0</v>
      </c>
      <c r="D331" s="13" t="s">
        <v>39</v>
      </c>
      <c r="E331" s="28">
        <f>SUMIFS('STOCK IN  TRANSFER'!G:G, 'STOCK IN  TRANSFER'!E:E, B331, 'STOCK IN  TRANSFER'!F:F, "STOCK IN") + SUMIFS('STOCK IN  TRANSFER'!G:G, 'STOCK IN  TRANSFER'!E:E, B331, 'STOCK IN  TRANSFER'!F:F, "ADJUSTMENT (+)") - SUMIFS('STOCK IN  TRANSFER'!G:G, 'STOCK IN  TRANSFER'!E:E, B331, 'STOCK IN  TRANSFER'!F:F, "ADJUSTMENT (-)") - SUMIFS('STOCK IN  TRANSFER'!G:G, 'STOCK IN  TRANSFER'!E:E, B331, 'STOCK IN  TRANSFER'!F:F, "STOCK TRANSFER") - SUMIFS(SALES!H:H, SALES!E:E, B331)</f>
        <v>7</v>
      </c>
      <c r="F331" s="13"/>
    </row>
    <row r="332" ht="22.5" customHeight="1">
      <c r="A332" s="13" t="s">
        <v>686</v>
      </c>
      <c r="B332" s="13" t="s">
        <v>907</v>
      </c>
      <c r="C332" s="16">
        <v>1315.0</v>
      </c>
      <c r="D332" s="13" t="s">
        <v>39</v>
      </c>
      <c r="E332" s="28">
        <f>SUMIFS('STOCK IN  TRANSFER'!G:G, 'STOCK IN  TRANSFER'!E:E, B332, 'STOCK IN  TRANSFER'!F:F, "STOCK IN") + SUMIFS('STOCK IN  TRANSFER'!G:G, 'STOCK IN  TRANSFER'!E:E, B332, 'STOCK IN  TRANSFER'!F:F, "ADJUSTMENT (+)") - SUMIFS('STOCK IN  TRANSFER'!G:G, 'STOCK IN  TRANSFER'!E:E, B332, 'STOCK IN  TRANSFER'!F:F, "ADJUSTMENT (-)") - SUMIFS('STOCK IN  TRANSFER'!G:G, 'STOCK IN  TRANSFER'!E:E, B332, 'STOCK IN  TRANSFER'!F:F, "STOCK TRANSFER") - SUMIFS(SALES!H:H, SALES!E:E, B332)</f>
        <v>12</v>
      </c>
      <c r="F332" s="13"/>
    </row>
    <row r="333" ht="22.5" customHeight="1">
      <c r="A333" s="13" t="s">
        <v>689</v>
      </c>
      <c r="B333" s="13" t="s">
        <v>908</v>
      </c>
      <c r="C333" s="16">
        <v>1542.0</v>
      </c>
      <c r="D333" s="13" t="s">
        <v>39</v>
      </c>
      <c r="E333" s="28">
        <f>SUMIFS('STOCK IN  TRANSFER'!G:G, 'STOCK IN  TRANSFER'!E:E, B333, 'STOCK IN  TRANSFER'!F:F, "STOCK IN") + SUMIFS('STOCK IN  TRANSFER'!G:G, 'STOCK IN  TRANSFER'!E:E, B333, 'STOCK IN  TRANSFER'!F:F, "ADJUSTMENT (+)") - SUMIFS('STOCK IN  TRANSFER'!G:G, 'STOCK IN  TRANSFER'!E:E, B333, 'STOCK IN  TRANSFER'!F:F, "ADJUSTMENT (-)") - SUMIFS('STOCK IN  TRANSFER'!G:G, 'STOCK IN  TRANSFER'!E:E, B333, 'STOCK IN  TRANSFER'!F:F, "STOCK TRANSFER") - SUMIFS(SALES!H:H, SALES!E:E, B333)</f>
        <v>6</v>
      </c>
      <c r="F333" s="13"/>
    </row>
    <row r="334" ht="22.5" customHeight="1">
      <c r="A334" s="13" t="s">
        <v>694</v>
      </c>
      <c r="B334" s="13" t="s">
        <v>910</v>
      </c>
      <c r="C334" s="16">
        <v>1956.0</v>
      </c>
      <c r="D334" s="13" t="s">
        <v>39</v>
      </c>
      <c r="E334" s="28">
        <f>SUMIFS('STOCK IN  TRANSFER'!G:G, 'STOCK IN  TRANSFER'!E:E, B334, 'STOCK IN  TRANSFER'!F:F, "STOCK IN") + SUMIFS('STOCK IN  TRANSFER'!G:G, 'STOCK IN  TRANSFER'!E:E, B334, 'STOCK IN  TRANSFER'!F:F, "ADJUSTMENT (+)") - SUMIFS('STOCK IN  TRANSFER'!G:G, 'STOCK IN  TRANSFER'!E:E, B334, 'STOCK IN  TRANSFER'!F:F, "ADJUSTMENT (-)") - SUMIFS('STOCK IN  TRANSFER'!G:G, 'STOCK IN  TRANSFER'!E:E, B334, 'STOCK IN  TRANSFER'!F:F, "STOCK TRANSFER") - SUMIFS(SALES!H:H, SALES!E:E, B334)</f>
        <v>2</v>
      </c>
      <c r="F334" s="13"/>
    </row>
    <row r="335" ht="22.5" customHeight="1">
      <c r="A335" s="13" t="s">
        <v>702</v>
      </c>
      <c r="B335" s="13" t="s">
        <v>911</v>
      </c>
      <c r="C335" s="16">
        <v>1956.0</v>
      </c>
      <c r="D335" s="13" t="s">
        <v>39</v>
      </c>
      <c r="E335" s="28">
        <f>SUMIFS('STOCK IN  TRANSFER'!G:G, 'STOCK IN  TRANSFER'!E:E, B335, 'STOCK IN  TRANSFER'!F:F, "STOCK IN") + SUMIFS('STOCK IN  TRANSFER'!G:G, 'STOCK IN  TRANSFER'!E:E, B335, 'STOCK IN  TRANSFER'!F:F, "ADJUSTMENT (+)") - SUMIFS('STOCK IN  TRANSFER'!G:G, 'STOCK IN  TRANSFER'!E:E, B335, 'STOCK IN  TRANSFER'!F:F, "ADJUSTMENT (-)") - SUMIFS('STOCK IN  TRANSFER'!G:G, 'STOCK IN  TRANSFER'!E:E, B335, 'STOCK IN  TRANSFER'!F:F, "STOCK TRANSFER") - SUMIFS(SALES!H:H, SALES!E:E, B335)</f>
        <v>6</v>
      </c>
      <c r="F335" s="13"/>
    </row>
    <row r="336" ht="22.5" customHeight="1">
      <c r="A336" s="13" t="s">
        <v>705</v>
      </c>
      <c r="B336" s="13" t="s">
        <v>913</v>
      </c>
      <c r="C336" s="16">
        <v>1956.0</v>
      </c>
      <c r="D336" s="13" t="s">
        <v>39</v>
      </c>
      <c r="E336" s="28">
        <f>SUMIFS('STOCK IN  TRANSFER'!G:G, 'STOCK IN  TRANSFER'!E:E, B336, 'STOCK IN  TRANSFER'!F:F, "STOCK IN") + SUMIFS('STOCK IN  TRANSFER'!G:G, 'STOCK IN  TRANSFER'!E:E, B336, 'STOCK IN  TRANSFER'!F:F, "ADJUSTMENT (+)") - SUMIFS('STOCK IN  TRANSFER'!G:G, 'STOCK IN  TRANSFER'!E:E, B336, 'STOCK IN  TRANSFER'!F:F, "ADJUSTMENT (-)") - SUMIFS('STOCK IN  TRANSFER'!G:G, 'STOCK IN  TRANSFER'!E:E, B336, 'STOCK IN  TRANSFER'!F:F, "STOCK TRANSFER") - SUMIFS(SALES!H:H, SALES!E:E, B336)</f>
        <v>5</v>
      </c>
      <c r="F336" s="28"/>
    </row>
    <row r="337" ht="22.5" customHeight="1">
      <c r="A337" s="13" t="s">
        <v>710</v>
      </c>
      <c r="B337" s="13" t="s">
        <v>914</v>
      </c>
      <c r="C337" s="16">
        <v>1956.0</v>
      </c>
      <c r="D337" s="13" t="s">
        <v>39</v>
      </c>
      <c r="E337" s="28">
        <f>SUMIFS('STOCK IN  TRANSFER'!G:G, 'STOCK IN  TRANSFER'!E:E, B337, 'STOCK IN  TRANSFER'!F:F, "STOCK IN") + SUMIFS('STOCK IN  TRANSFER'!G:G, 'STOCK IN  TRANSFER'!E:E, B337, 'STOCK IN  TRANSFER'!F:F, "ADJUSTMENT (+)") - SUMIFS('STOCK IN  TRANSFER'!G:G, 'STOCK IN  TRANSFER'!E:E, B337, 'STOCK IN  TRANSFER'!F:F, "ADJUSTMENT (-)") - SUMIFS('STOCK IN  TRANSFER'!G:G, 'STOCK IN  TRANSFER'!E:E, B337, 'STOCK IN  TRANSFER'!F:F, "STOCK TRANSFER") - SUMIFS(SALES!H:H, SALES!E:E, B337)</f>
        <v>5</v>
      </c>
      <c r="F337" s="28"/>
    </row>
    <row r="338" ht="22.5" customHeight="1">
      <c r="A338" s="13" t="s">
        <v>715</v>
      </c>
      <c r="B338" s="13" t="s">
        <v>915</v>
      </c>
      <c r="C338" s="16">
        <v>1543.0</v>
      </c>
      <c r="D338" s="13" t="s">
        <v>39</v>
      </c>
      <c r="E338" s="28">
        <f>SUMIFS('STOCK IN  TRANSFER'!G:G, 'STOCK IN  TRANSFER'!E:E, B338, 'STOCK IN  TRANSFER'!F:F, "STOCK IN") + SUMIFS('STOCK IN  TRANSFER'!G:G, 'STOCK IN  TRANSFER'!E:E, B338, 'STOCK IN  TRANSFER'!F:F, "ADJUSTMENT (+)") - SUMIFS('STOCK IN  TRANSFER'!G:G, 'STOCK IN  TRANSFER'!E:E, B338, 'STOCK IN  TRANSFER'!F:F, "ADJUSTMENT (-)") - SUMIFS('STOCK IN  TRANSFER'!G:G, 'STOCK IN  TRANSFER'!E:E, B338, 'STOCK IN  TRANSFER'!F:F, "STOCK TRANSFER") - SUMIFS(SALES!H:H, SALES!E:E, B338)</f>
        <v>6</v>
      </c>
      <c r="F338" s="13"/>
    </row>
    <row r="339" ht="22.5" customHeight="1">
      <c r="A339" s="13" t="s">
        <v>720</v>
      </c>
      <c r="B339" s="13" t="s">
        <v>916</v>
      </c>
      <c r="C339" s="16">
        <v>798.0</v>
      </c>
      <c r="D339" s="13" t="s">
        <v>39</v>
      </c>
      <c r="E339" s="28">
        <f>SUMIFS('STOCK IN  TRANSFER'!G:G, 'STOCK IN  TRANSFER'!E:E, B339, 'STOCK IN  TRANSFER'!F:F, "STOCK IN") + SUMIFS('STOCK IN  TRANSFER'!G:G, 'STOCK IN  TRANSFER'!E:E, B339, 'STOCK IN  TRANSFER'!F:F, "ADJUSTMENT (+)") - SUMIFS('STOCK IN  TRANSFER'!G:G, 'STOCK IN  TRANSFER'!E:E, B339, 'STOCK IN  TRANSFER'!F:F, "ADJUSTMENT (-)") - SUMIFS('STOCK IN  TRANSFER'!G:G, 'STOCK IN  TRANSFER'!E:E, B339, 'STOCK IN  TRANSFER'!F:F, "STOCK TRANSFER") - SUMIFS(SALES!H:H, SALES!E:E, B339)</f>
        <v>5</v>
      </c>
      <c r="F339" s="13"/>
    </row>
    <row r="340" ht="22.5" customHeight="1">
      <c r="A340" s="13" t="s">
        <v>723</v>
      </c>
      <c r="B340" s="13" t="s">
        <v>917</v>
      </c>
      <c r="C340" s="16">
        <v>1599.0</v>
      </c>
      <c r="D340" s="13" t="s">
        <v>39</v>
      </c>
      <c r="E340" s="28">
        <f>SUMIFS('STOCK IN  TRANSFER'!G:G, 'STOCK IN  TRANSFER'!E:E, B340, 'STOCK IN  TRANSFER'!F:F, "STOCK IN") + SUMIFS('STOCK IN  TRANSFER'!G:G, 'STOCK IN  TRANSFER'!E:E, B340, 'STOCK IN  TRANSFER'!F:F, "ADJUSTMENT (+)") - SUMIFS('STOCK IN  TRANSFER'!G:G, 'STOCK IN  TRANSFER'!E:E, B340, 'STOCK IN  TRANSFER'!F:F, "ADJUSTMENT (-)") - SUMIFS('STOCK IN  TRANSFER'!G:G, 'STOCK IN  TRANSFER'!E:E, B340, 'STOCK IN  TRANSFER'!F:F, "STOCK TRANSFER") - SUMIFS(SALES!H:H, SALES!E:E, B340)</f>
        <v>6</v>
      </c>
      <c r="F340" s="28"/>
    </row>
    <row r="341" ht="22.5" customHeight="1">
      <c r="A341" s="13" t="s">
        <v>725</v>
      </c>
      <c r="B341" s="13" t="s">
        <v>918</v>
      </c>
      <c r="C341" s="16">
        <v>910.0</v>
      </c>
      <c r="D341" s="13" t="s">
        <v>39</v>
      </c>
      <c r="E341" s="28">
        <f>SUMIFS('STOCK IN  TRANSFER'!G:G, 'STOCK IN  TRANSFER'!E:E, B341, 'STOCK IN  TRANSFER'!F:F, "STOCK IN") + SUMIFS('STOCK IN  TRANSFER'!G:G, 'STOCK IN  TRANSFER'!E:E, B341, 'STOCK IN  TRANSFER'!F:F, "ADJUSTMENT (+)") - SUMIFS('STOCK IN  TRANSFER'!G:G, 'STOCK IN  TRANSFER'!E:E, B341, 'STOCK IN  TRANSFER'!F:F, "ADJUSTMENT (-)") - SUMIFS('STOCK IN  TRANSFER'!G:G, 'STOCK IN  TRANSFER'!E:E, B341, 'STOCK IN  TRANSFER'!F:F, "STOCK TRANSFER") - SUMIFS(SALES!H:H, SALES!E:E, B341)</f>
        <v>6</v>
      </c>
      <c r="F341" s="28"/>
    </row>
    <row r="342" ht="22.5" customHeight="1">
      <c r="A342" s="13" t="s">
        <v>729</v>
      </c>
      <c r="B342" s="13" t="s">
        <v>919</v>
      </c>
      <c r="C342" s="16">
        <v>840.0</v>
      </c>
      <c r="D342" s="13" t="s">
        <v>39</v>
      </c>
      <c r="E342" s="28">
        <f>SUMIFS('STOCK IN  TRANSFER'!G:G, 'STOCK IN  TRANSFER'!E:E, B342, 'STOCK IN  TRANSFER'!F:F, "STOCK IN") + SUMIFS('STOCK IN  TRANSFER'!G:G, 'STOCK IN  TRANSFER'!E:E, B342, 'STOCK IN  TRANSFER'!F:F, "ADJUSTMENT (+)") - SUMIFS('STOCK IN  TRANSFER'!G:G, 'STOCK IN  TRANSFER'!E:E, B342, 'STOCK IN  TRANSFER'!F:F, "ADJUSTMENT (-)") - SUMIFS('STOCK IN  TRANSFER'!G:G, 'STOCK IN  TRANSFER'!E:E, B342, 'STOCK IN  TRANSFER'!F:F, "STOCK TRANSFER") - SUMIFS(SALES!H:H, SALES!E:E, B342)</f>
        <v>6</v>
      </c>
      <c r="F342" s="13"/>
    </row>
    <row r="343" ht="22.5" customHeight="1">
      <c r="A343" s="13" t="s">
        <v>731</v>
      </c>
      <c r="B343" s="13" t="s">
        <v>920</v>
      </c>
      <c r="C343" s="16">
        <v>840.0</v>
      </c>
      <c r="D343" s="13" t="s">
        <v>39</v>
      </c>
      <c r="E343" s="28">
        <f>SUMIFS('STOCK IN  TRANSFER'!G:G, 'STOCK IN  TRANSFER'!E:E, B343, 'STOCK IN  TRANSFER'!F:F, "STOCK IN") + SUMIFS('STOCK IN  TRANSFER'!G:G, 'STOCK IN  TRANSFER'!E:E, B343, 'STOCK IN  TRANSFER'!F:F, "ADJUSTMENT (+)") - SUMIFS('STOCK IN  TRANSFER'!G:G, 'STOCK IN  TRANSFER'!E:E, B343, 'STOCK IN  TRANSFER'!F:F, "ADJUSTMENT (-)") - SUMIFS('STOCK IN  TRANSFER'!G:G, 'STOCK IN  TRANSFER'!E:E, B343, 'STOCK IN  TRANSFER'!F:F, "STOCK TRANSFER") - SUMIFS(SALES!H:H, SALES!E:E, B343)</f>
        <v>6</v>
      </c>
      <c r="F343" s="28"/>
    </row>
    <row r="344" ht="22.5" customHeight="1">
      <c r="A344" s="13" t="s">
        <v>733</v>
      </c>
      <c r="B344" s="13" t="s">
        <v>921</v>
      </c>
      <c r="C344" s="16">
        <v>886.0</v>
      </c>
      <c r="D344" s="13" t="s">
        <v>39</v>
      </c>
      <c r="E344" s="28">
        <f>SUMIFS('STOCK IN  TRANSFER'!G:G, 'STOCK IN  TRANSFER'!E:E, B344, 'STOCK IN  TRANSFER'!F:F, "STOCK IN") + SUMIFS('STOCK IN  TRANSFER'!G:G, 'STOCK IN  TRANSFER'!E:E, B344, 'STOCK IN  TRANSFER'!F:F, "ADJUSTMENT (+)") - SUMIFS('STOCK IN  TRANSFER'!G:G, 'STOCK IN  TRANSFER'!E:E, B344, 'STOCK IN  TRANSFER'!F:F, "ADJUSTMENT (-)") - SUMIFS('STOCK IN  TRANSFER'!G:G, 'STOCK IN  TRANSFER'!E:E, B344, 'STOCK IN  TRANSFER'!F:F, "STOCK TRANSFER") - SUMIFS(SALES!H:H, SALES!E:E, B344)</f>
        <v>6</v>
      </c>
      <c r="F344" s="28"/>
    </row>
    <row r="345" ht="22.5" customHeight="1">
      <c r="A345" s="13" t="s">
        <v>735</v>
      </c>
      <c r="B345" s="13" t="s">
        <v>923</v>
      </c>
      <c r="C345" s="16">
        <v>780.0</v>
      </c>
      <c r="D345" s="13" t="s">
        <v>39</v>
      </c>
      <c r="E345" s="28">
        <f>SUMIFS('STOCK IN  TRANSFER'!G:G, 'STOCK IN  TRANSFER'!E:E, B345, 'STOCK IN  TRANSFER'!F:F, "STOCK IN") + SUMIFS('STOCK IN  TRANSFER'!G:G, 'STOCK IN  TRANSFER'!E:E, B345, 'STOCK IN  TRANSFER'!F:F, "ADJUSTMENT (+)") - SUMIFS('STOCK IN  TRANSFER'!G:G, 'STOCK IN  TRANSFER'!E:E, B345, 'STOCK IN  TRANSFER'!F:F, "ADJUSTMENT (-)") - SUMIFS('STOCK IN  TRANSFER'!G:G, 'STOCK IN  TRANSFER'!E:E, B345, 'STOCK IN  TRANSFER'!F:F, "STOCK TRANSFER") - SUMIFS(SALES!H:H, SALES!E:E, B345)</f>
        <v>0</v>
      </c>
      <c r="F345" s="28"/>
    </row>
    <row r="346" ht="22.5" customHeight="1">
      <c r="A346" s="13" t="s">
        <v>737</v>
      </c>
      <c r="B346" s="13" t="s">
        <v>924</v>
      </c>
      <c r="C346" s="16">
        <v>640.0</v>
      </c>
      <c r="D346" s="13" t="s">
        <v>39</v>
      </c>
      <c r="E346" s="28">
        <f>SUMIFS('STOCK IN  TRANSFER'!G:G, 'STOCK IN  TRANSFER'!E:E, B346, 'STOCK IN  TRANSFER'!F:F, "STOCK IN") + SUMIFS('STOCK IN  TRANSFER'!G:G, 'STOCK IN  TRANSFER'!E:E, B346, 'STOCK IN  TRANSFER'!F:F, "ADJUSTMENT (+)") - SUMIFS('STOCK IN  TRANSFER'!G:G, 'STOCK IN  TRANSFER'!E:E, B346, 'STOCK IN  TRANSFER'!F:F, "ADJUSTMENT (-)") - SUMIFS('STOCK IN  TRANSFER'!G:G, 'STOCK IN  TRANSFER'!E:E, B346, 'STOCK IN  TRANSFER'!F:F, "STOCK TRANSFER") - SUMIFS(SALES!H:H, SALES!E:E, B346)</f>
        <v>0</v>
      </c>
      <c r="F346" s="28"/>
    </row>
    <row r="347" ht="22.5" customHeight="1">
      <c r="A347" s="13" t="s">
        <v>739</v>
      </c>
      <c r="B347" s="13" t="s">
        <v>925</v>
      </c>
      <c r="C347" s="16">
        <v>780.0</v>
      </c>
      <c r="D347" s="13" t="s">
        <v>39</v>
      </c>
      <c r="E347" s="28">
        <f>SUMIFS('STOCK IN  TRANSFER'!G:G, 'STOCK IN  TRANSFER'!E:E, B347, 'STOCK IN  TRANSFER'!F:F, "STOCK IN") + SUMIFS('STOCK IN  TRANSFER'!G:G, 'STOCK IN  TRANSFER'!E:E, B347, 'STOCK IN  TRANSFER'!F:F, "ADJUSTMENT (+)") - SUMIFS('STOCK IN  TRANSFER'!G:G, 'STOCK IN  TRANSFER'!E:E, B347, 'STOCK IN  TRANSFER'!F:F, "ADJUSTMENT (-)") - SUMIFS('STOCK IN  TRANSFER'!G:G, 'STOCK IN  TRANSFER'!E:E, B347, 'STOCK IN  TRANSFER'!F:F, "STOCK TRANSFER") - SUMIFS(SALES!H:H, SALES!E:E, B347)</f>
        <v>5</v>
      </c>
      <c r="F347" s="28"/>
    </row>
    <row r="348" ht="22.5" customHeight="1">
      <c r="A348" s="13" t="s">
        <v>926</v>
      </c>
      <c r="B348" s="13" t="s">
        <v>927</v>
      </c>
      <c r="C348" s="16">
        <v>780.0</v>
      </c>
      <c r="D348" s="13" t="s">
        <v>39</v>
      </c>
      <c r="E348" s="28">
        <f>SUMIFS('STOCK IN  TRANSFER'!G:G, 'STOCK IN  TRANSFER'!E:E, B348, 'STOCK IN  TRANSFER'!F:F, "STOCK IN") + SUMIFS('STOCK IN  TRANSFER'!G:G, 'STOCK IN  TRANSFER'!E:E, B348, 'STOCK IN  TRANSFER'!F:F, "ADJUSTMENT (+)") - SUMIFS('STOCK IN  TRANSFER'!G:G, 'STOCK IN  TRANSFER'!E:E, B348, 'STOCK IN  TRANSFER'!F:F, "ADJUSTMENT (-)") - SUMIFS('STOCK IN  TRANSFER'!G:G, 'STOCK IN  TRANSFER'!E:E, B348, 'STOCK IN  TRANSFER'!F:F, "STOCK TRANSFER") - SUMIFS(SALES!H:H, SALES!E:E, B348)</f>
        <v>0</v>
      </c>
      <c r="F348" s="28"/>
    </row>
    <row r="349" ht="22.5" customHeight="1">
      <c r="A349" s="13" t="s">
        <v>742</v>
      </c>
      <c r="B349" s="13" t="s">
        <v>928</v>
      </c>
      <c r="C349" s="16">
        <v>694.0</v>
      </c>
      <c r="D349" s="13" t="s">
        <v>39</v>
      </c>
      <c r="E349" s="28">
        <f>SUMIFS('STOCK IN  TRANSFER'!G:G, 'STOCK IN  TRANSFER'!E:E, B349, 'STOCK IN  TRANSFER'!F:F, "STOCK IN") + SUMIFS('STOCK IN  TRANSFER'!G:G, 'STOCK IN  TRANSFER'!E:E, B349, 'STOCK IN  TRANSFER'!F:F, "ADJUSTMENT (+)") - SUMIFS('STOCK IN  TRANSFER'!G:G, 'STOCK IN  TRANSFER'!E:E, B349, 'STOCK IN  TRANSFER'!F:F, "ADJUSTMENT (-)") - SUMIFS('STOCK IN  TRANSFER'!G:G, 'STOCK IN  TRANSFER'!E:E, B349, 'STOCK IN  TRANSFER'!F:F, "STOCK TRANSFER") - SUMIFS(SALES!H:H, SALES!E:E, B349)</f>
        <v>6</v>
      </c>
      <c r="F349" s="28"/>
    </row>
    <row r="350" ht="22.5" customHeight="1">
      <c r="A350" s="13" t="s">
        <v>929</v>
      </c>
      <c r="B350" s="13" t="s">
        <v>930</v>
      </c>
      <c r="C350" s="16">
        <v>780.0</v>
      </c>
      <c r="D350" s="13" t="s">
        <v>39</v>
      </c>
      <c r="E350" s="28">
        <f>SUMIFS('STOCK IN  TRANSFER'!G:G, 'STOCK IN  TRANSFER'!E:E, B350, 'STOCK IN  TRANSFER'!F:F, "STOCK IN") + SUMIFS('STOCK IN  TRANSFER'!G:G, 'STOCK IN  TRANSFER'!E:E, B350, 'STOCK IN  TRANSFER'!F:F, "ADJUSTMENT (+)") - SUMIFS('STOCK IN  TRANSFER'!G:G, 'STOCK IN  TRANSFER'!E:E, B350, 'STOCK IN  TRANSFER'!F:F, "ADJUSTMENT (-)") - SUMIFS('STOCK IN  TRANSFER'!G:G, 'STOCK IN  TRANSFER'!E:E, B350, 'STOCK IN  TRANSFER'!F:F, "STOCK TRANSFER") - SUMIFS(SALES!H:H, SALES!E:E, B350)</f>
        <v>0</v>
      </c>
      <c r="F350" s="28"/>
    </row>
    <row r="351" ht="22.5" customHeight="1">
      <c r="A351" s="13" t="s">
        <v>744</v>
      </c>
      <c r="B351" s="13" t="s">
        <v>932</v>
      </c>
      <c r="C351" s="16">
        <v>780.0</v>
      </c>
      <c r="D351" s="13" t="s">
        <v>39</v>
      </c>
      <c r="E351" s="28">
        <f>SUMIFS('STOCK IN  TRANSFER'!G:G, 'STOCK IN  TRANSFER'!E:E, B351, 'STOCK IN  TRANSFER'!F:F, "STOCK IN") + SUMIFS('STOCK IN  TRANSFER'!G:G, 'STOCK IN  TRANSFER'!E:E, B351, 'STOCK IN  TRANSFER'!F:F, "ADJUSTMENT (+)") - SUMIFS('STOCK IN  TRANSFER'!G:G, 'STOCK IN  TRANSFER'!E:E, B351, 'STOCK IN  TRANSFER'!F:F, "ADJUSTMENT (-)") - SUMIFS('STOCK IN  TRANSFER'!G:G, 'STOCK IN  TRANSFER'!E:E, B351, 'STOCK IN  TRANSFER'!F:F, "STOCK TRANSFER") - SUMIFS(SALES!H:H, SALES!E:E, B351)</f>
        <v>3</v>
      </c>
      <c r="F351" s="28"/>
    </row>
    <row r="352" ht="22.5" customHeight="1">
      <c r="A352" s="13" t="s">
        <v>748</v>
      </c>
      <c r="B352" s="13" t="s">
        <v>933</v>
      </c>
      <c r="C352" s="16">
        <v>780.0</v>
      </c>
      <c r="D352" s="13" t="s">
        <v>39</v>
      </c>
      <c r="E352" s="28">
        <f>SUMIFS('STOCK IN  TRANSFER'!G:G, 'STOCK IN  TRANSFER'!E:E, B352, 'STOCK IN  TRANSFER'!F:F, "STOCK IN") + SUMIFS('STOCK IN  TRANSFER'!G:G, 'STOCK IN  TRANSFER'!E:E, B352, 'STOCK IN  TRANSFER'!F:F, "ADJUSTMENT (+)") - SUMIFS('STOCK IN  TRANSFER'!G:G, 'STOCK IN  TRANSFER'!E:E, B352, 'STOCK IN  TRANSFER'!F:F, "ADJUSTMENT (-)") - SUMIFS('STOCK IN  TRANSFER'!G:G, 'STOCK IN  TRANSFER'!E:E, B352, 'STOCK IN  TRANSFER'!F:F, "STOCK TRANSFER") - SUMIFS(SALES!H:H, SALES!E:E, B352)</f>
        <v>0</v>
      </c>
      <c r="F352" s="28"/>
    </row>
    <row r="353" ht="22.5" customHeight="1">
      <c r="A353" s="13" t="s">
        <v>751</v>
      </c>
      <c r="B353" s="13" t="s">
        <v>934</v>
      </c>
      <c r="C353" s="16">
        <v>780.0</v>
      </c>
      <c r="D353" s="13" t="s">
        <v>39</v>
      </c>
      <c r="E353" s="28">
        <f>SUMIFS('STOCK IN  TRANSFER'!G:G, 'STOCK IN  TRANSFER'!E:E, B353, 'STOCK IN  TRANSFER'!F:F, "STOCK IN") + SUMIFS('STOCK IN  TRANSFER'!G:G, 'STOCK IN  TRANSFER'!E:E, B353, 'STOCK IN  TRANSFER'!F:F, "ADJUSTMENT (+)") - SUMIFS('STOCK IN  TRANSFER'!G:G, 'STOCK IN  TRANSFER'!E:E, B353, 'STOCK IN  TRANSFER'!F:F, "ADJUSTMENT (-)") - SUMIFS('STOCK IN  TRANSFER'!G:G, 'STOCK IN  TRANSFER'!E:E, B353, 'STOCK IN  TRANSFER'!F:F, "STOCK TRANSFER") - SUMIFS(SALES!H:H, SALES!E:E, B353)</f>
        <v>2</v>
      </c>
      <c r="F353" s="28"/>
    </row>
    <row r="354" ht="22.5" customHeight="1">
      <c r="A354" s="13" t="s">
        <v>754</v>
      </c>
      <c r="B354" s="13" t="s">
        <v>936</v>
      </c>
      <c r="C354" s="16">
        <v>661.0</v>
      </c>
      <c r="D354" s="13" t="s">
        <v>39</v>
      </c>
      <c r="E354" s="28">
        <f>SUMIFS('STOCK IN  TRANSFER'!G:G, 'STOCK IN  TRANSFER'!E:E, B354, 'STOCK IN  TRANSFER'!F:F, "STOCK IN") + SUMIFS('STOCK IN  TRANSFER'!G:G, 'STOCK IN  TRANSFER'!E:E, B354, 'STOCK IN  TRANSFER'!F:F, "ADJUSTMENT (+)") - SUMIFS('STOCK IN  TRANSFER'!G:G, 'STOCK IN  TRANSFER'!E:E, B354, 'STOCK IN  TRANSFER'!F:F, "ADJUSTMENT (-)") - SUMIFS('STOCK IN  TRANSFER'!G:G, 'STOCK IN  TRANSFER'!E:E, B354, 'STOCK IN  TRANSFER'!F:F, "STOCK TRANSFER") - SUMIFS(SALES!H:H, SALES!E:E, B354)</f>
        <v>4</v>
      </c>
      <c r="F354" s="28"/>
    </row>
    <row r="355" ht="22.5" customHeight="1">
      <c r="A355" s="13" t="s">
        <v>756</v>
      </c>
      <c r="B355" s="13" t="s">
        <v>937</v>
      </c>
      <c r="C355" s="16">
        <v>661.0</v>
      </c>
      <c r="D355" s="13" t="s">
        <v>39</v>
      </c>
      <c r="E355" s="28">
        <f>SUMIFS('STOCK IN  TRANSFER'!G:G, 'STOCK IN  TRANSFER'!E:E, B355, 'STOCK IN  TRANSFER'!F:F, "STOCK IN") + SUMIFS('STOCK IN  TRANSFER'!G:G, 'STOCK IN  TRANSFER'!E:E, B355, 'STOCK IN  TRANSFER'!F:F, "ADJUSTMENT (+)") - SUMIFS('STOCK IN  TRANSFER'!G:G, 'STOCK IN  TRANSFER'!E:E, B355, 'STOCK IN  TRANSFER'!F:F, "ADJUSTMENT (-)") - SUMIFS('STOCK IN  TRANSFER'!G:G, 'STOCK IN  TRANSFER'!E:E, B355, 'STOCK IN  TRANSFER'!F:F, "STOCK TRANSFER") - SUMIFS(SALES!H:H, SALES!E:E, B355)</f>
        <v>2</v>
      </c>
      <c r="F355" s="28"/>
    </row>
    <row r="356" ht="22.5" customHeight="1">
      <c r="A356" s="13" t="s">
        <v>759</v>
      </c>
      <c r="B356" s="13" t="s">
        <v>939</v>
      </c>
      <c r="C356" s="16">
        <v>2400.0</v>
      </c>
      <c r="D356" s="13" t="s">
        <v>75</v>
      </c>
      <c r="E356" s="28">
        <f>SUMIFS('STOCK IN  TRANSFER'!G:G, 'STOCK IN  TRANSFER'!E:E, B356, 'STOCK IN  TRANSFER'!F:F, "STOCK IN") + SUMIFS('STOCK IN  TRANSFER'!G:G, 'STOCK IN  TRANSFER'!E:E, B356, 'STOCK IN  TRANSFER'!F:F, "ADJUSTMENT (+)") - SUMIFS('STOCK IN  TRANSFER'!G:G, 'STOCK IN  TRANSFER'!E:E, B356, 'STOCK IN  TRANSFER'!F:F, "ADJUSTMENT (-)") - SUMIFS('STOCK IN  TRANSFER'!G:G, 'STOCK IN  TRANSFER'!E:E, B356, 'STOCK IN  TRANSFER'!F:F, "STOCK TRANSFER") - SUMIFS(SALES!H:H, SALES!E:E, B356)</f>
        <v>2</v>
      </c>
      <c r="F356" s="28"/>
    </row>
    <row r="357" ht="22.5" customHeight="1">
      <c r="A357" s="13" t="s">
        <v>762</v>
      </c>
      <c r="B357" s="13" t="s">
        <v>941</v>
      </c>
      <c r="C357" s="16">
        <v>635.0</v>
      </c>
      <c r="D357" s="13" t="s">
        <v>39</v>
      </c>
      <c r="E357" s="28">
        <f>SUMIFS('STOCK IN  TRANSFER'!G:G, 'STOCK IN  TRANSFER'!E:E, B357, 'STOCK IN  TRANSFER'!F:F, "STOCK IN") + SUMIFS('STOCK IN  TRANSFER'!G:G, 'STOCK IN  TRANSFER'!E:E, B357, 'STOCK IN  TRANSFER'!F:F, "ADJUSTMENT (+)") - SUMIFS('STOCK IN  TRANSFER'!G:G, 'STOCK IN  TRANSFER'!E:E, B357, 'STOCK IN  TRANSFER'!F:F, "ADJUSTMENT (-)") - SUMIFS('STOCK IN  TRANSFER'!G:G, 'STOCK IN  TRANSFER'!E:E, B357, 'STOCK IN  TRANSFER'!F:F, "STOCK TRANSFER") - SUMIFS(SALES!H:H, SALES!E:E, B357)</f>
        <v>6</v>
      </c>
      <c r="F357" s="28"/>
    </row>
    <row r="358" ht="22.5" customHeight="1">
      <c r="A358" s="13" t="s">
        <v>764</v>
      </c>
      <c r="B358" s="13" t="s">
        <v>943</v>
      </c>
      <c r="C358" s="16">
        <v>779.0</v>
      </c>
      <c r="D358" s="13" t="s">
        <v>39</v>
      </c>
      <c r="E358" s="28">
        <f>SUMIFS('STOCK IN  TRANSFER'!G:G, 'STOCK IN  TRANSFER'!E:E, B358, 'STOCK IN  TRANSFER'!F:F, "STOCK IN") + SUMIFS('STOCK IN  TRANSFER'!G:G, 'STOCK IN  TRANSFER'!E:E, B358, 'STOCK IN  TRANSFER'!F:F, "ADJUSTMENT (+)") - SUMIFS('STOCK IN  TRANSFER'!G:G, 'STOCK IN  TRANSFER'!E:E, B358, 'STOCK IN  TRANSFER'!F:F, "ADJUSTMENT (-)") - SUMIFS('STOCK IN  TRANSFER'!G:G, 'STOCK IN  TRANSFER'!E:E, B358, 'STOCK IN  TRANSFER'!F:F, "STOCK TRANSFER") - SUMIFS(SALES!H:H, SALES!E:E, B358)</f>
        <v>6</v>
      </c>
      <c r="F358" s="13"/>
    </row>
    <row r="359" ht="22.5" customHeight="1">
      <c r="A359" s="13" t="s">
        <v>767</v>
      </c>
      <c r="B359" s="13" t="s">
        <v>944</v>
      </c>
      <c r="C359" s="16">
        <v>863.0</v>
      </c>
      <c r="D359" s="13" t="s">
        <v>39</v>
      </c>
      <c r="E359" s="28">
        <f>SUMIFS('STOCK IN  TRANSFER'!G:G, 'STOCK IN  TRANSFER'!E:E, B359, 'STOCK IN  TRANSFER'!F:F, "STOCK IN") + SUMIFS('STOCK IN  TRANSFER'!G:G, 'STOCK IN  TRANSFER'!E:E, B359, 'STOCK IN  TRANSFER'!F:F, "ADJUSTMENT (+)") - SUMIFS('STOCK IN  TRANSFER'!G:G, 'STOCK IN  TRANSFER'!E:E, B359, 'STOCK IN  TRANSFER'!F:F, "ADJUSTMENT (-)") - SUMIFS('STOCK IN  TRANSFER'!G:G, 'STOCK IN  TRANSFER'!E:E, B359, 'STOCK IN  TRANSFER'!F:F, "STOCK TRANSFER") - SUMIFS(SALES!H:H, SALES!E:E, B359)</f>
        <v>2</v>
      </c>
      <c r="F359" s="13"/>
    </row>
    <row r="360" ht="22.5" customHeight="1">
      <c r="A360" s="13" t="s">
        <v>481</v>
      </c>
      <c r="B360" s="13" t="s">
        <v>945</v>
      </c>
      <c r="C360" s="16">
        <v>442.0</v>
      </c>
      <c r="D360" s="13" t="s">
        <v>39</v>
      </c>
      <c r="E360" s="28">
        <f>SUMIFS('STOCK IN  TRANSFER'!G:G, 'STOCK IN  TRANSFER'!E:E, B360, 'STOCK IN  TRANSFER'!F:F, "STOCK IN") + SUMIFS('STOCK IN  TRANSFER'!G:G, 'STOCK IN  TRANSFER'!E:E, B360, 'STOCK IN  TRANSFER'!F:F, "ADJUSTMENT (+)") - SUMIFS('STOCK IN  TRANSFER'!G:G, 'STOCK IN  TRANSFER'!E:E, B360, 'STOCK IN  TRANSFER'!F:F, "ADJUSTMENT (-)") - SUMIFS('STOCK IN  TRANSFER'!G:G, 'STOCK IN  TRANSFER'!E:E, B360, 'STOCK IN  TRANSFER'!F:F, "STOCK TRANSFER") - SUMIFS(SALES!H:H, SALES!E:E, B360)</f>
        <v>2</v>
      </c>
      <c r="F360" s="13"/>
    </row>
    <row r="361" ht="22.5" customHeight="1">
      <c r="A361" s="13" t="s">
        <v>771</v>
      </c>
      <c r="B361" s="13" t="s">
        <v>946</v>
      </c>
      <c r="C361" s="16">
        <v>1215.0</v>
      </c>
      <c r="D361" s="13" t="s">
        <v>39</v>
      </c>
      <c r="E361" s="28">
        <f>SUMIFS('STOCK IN  TRANSFER'!G:G, 'STOCK IN  TRANSFER'!E:E, B361, 'STOCK IN  TRANSFER'!F:F, "STOCK IN") + SUMIFS('STOCK IN  TRANSFER'!G:G, 'STOCK IN  TRANSFER'!E:E, B361, 'STOCK IN  TRANSFER'!F:F, "ADJUSTMENT (+)") - SUMIFS('STOCK IN  TRANSFER'!G:G, 'STOCK IN  TRANSFER'!E:E, B361, 'STOCK IN  TRANSFER'!F:F, "ADJUSTMENT (-)") - SUMIFS('STOCK IN  TRANSFER'!G:G, 'STOCK IN  TRANSFER'!E:E, B361, 'STOCK IN  TRANSFER'!F:F, "STOCK TRANSFER") - SUMIFS(SALES!H:H, SALES!E:E, B361)</f>
        <v>6</v>
      </c>
      <c r="F361" s="13"/>
    </row>
    <row r="362" ht="22.5" customHeight="1">
      <c r="A362" s="13" t="s">
        <v>487</v>
      </c>
      <c r="B362" s="13" t="s">
        <v>947</v>
      </c>
      <c r="C362" s="16">
        <v>675.0</v>
      </c>
      <c r="D362" s="13" t="s">
        <v>39</v>
      </c>
      <c r="E362" s="28">
        <f>SUMIFS('STOCK IN  TRANSFER'!G:G, 'STOCK IN  TRANSFER'!E:E, B362, 'STOCK IN  TRANSFER'!F:F, "STOCK IN") + SUMIFS('STOCK IN  TRANSFER'!G:G, 'STOCK IN  TRANSFER'!E:E, B362, 'STOCK IN  TRANSFER'!F:F, "ADJUSTMENT (+)") - SUMIFS('STOCK IN  TRANSFER'!G:G, 'STOCK IN  TRANSFER'!E:E, B362, 'STOCK IN  TRANSFER'!F:F, "ADJUSTMENT (-)") - SUMIFS('STOCK IN  TRANSFER'!G:G, 'STOCK IN  TRANSFER'!E:E, B362, 'STOCK IN  TRANSFER'!F:F, "STOCK TRANSFER") - SUMIFS(SALES!H:H, SALES!E:E, B362)</f>
        <v>-2</v>
      </c>
      <c r="F362" s="13"/>
    </row>
    <row r="363" ht="22.5" customHeight="1">
      <c r="A363" s="13" t="s">
        <v>304</v>
      </c>
      <c r="B363" s="13" t="s">
        <v>948</v>
      </c>
      <c r="C363" s="16">
        <v>1905.0</v>
      </c>
      <c r="D363" s="13" t="s">
        <v>75</v>
      </c>
      <c r="E363" s="28">
        <f>SUMIFS('STOCK IN  TRANSFER'!G:G, 'STOCK IN  TRANSFER'!E:E, B363, 'STOCK IN  TRANSFER'!F:F, "STOCK IN") + SUMIFS('STOCK IN  TRANSFER'!G:G, 'STOCK IN  TRANSFER'!E:E, B363, 'STOCK IN  TRANSFER'!F:F, "ADJUSTMENT (+)") - SUMIFS('STOCK IN  TRANSFER'!G:G, 'STOCK IN  TRANSFER'!E:E, B363, 'STOCK IN  TRANSFER'!F:F, "ADJUSTMENT (-)") - SUMIFS('STOCK IN  TRANSFER'!G:G, 'STOCK IN  TRANSFER'!E:E, B363, 'STOCK IN  TRANSFER'!F:F, "STOCK TRANSFER") - SUMIFS(SALES!H:H, SALES!E:E, B363)</f>
        <v>-1</v>
      </c>
      <c r="F363" s="13"/>
    </row>
    <row r="364" ht="22.5" customHeight="1">
      <c r="A364" s="13" t="s">
        <v>949</v>
      </c>
      <c r="B364" s="13" t="s">
        <v>951</v>
      </c>
      <c r="C364" s="16">
        <v>591.0</v>
      </c>
      <c r="D364" s="13" t="s">
        <v>75</v>
      </c>
      <c r="E364" s="28">
        <f>SUMIFS('STOCK IN  TRANSFER'!G:G, 'STOCK IN  TRANSFER'!E:E, B364, 'STOCK IN  TRANSFER'!F:F, "STOCK IN") + SUMIFS('STOCK IN  TRANSFER'!G:G, 'STOCK IN  TRANSFER'!E:E, B364, 'STOCK IN  TRANSFER'!F:F, "ADJUSTMENT (+)") - SUMIFS('STOCK IN  TRANSFER'!G:G, 'STOCK IN  TRANSFER'!E:E, B364, 'STOCK IN  TRANSFER'!F:F, "ADJUSTMENT (-)") - SUMIFS('STOCK IN  TRANSFER'!G:G, 'STOCK IN  TRANSFER'!E:E, B364, 'STOCK IN  TRANSFER'!F:F, "STOCK TRANSFER") - SUMIFS(SALES!H:H, SALES!E:E, B364)</f>
        <v>0</v>
      </c>
      <c r="F364" s="13"/>
    </row>
    <row r="365" ht="22.5" customHeight="1">
      <c r="A365" s="13" t="s">
        <v>835</v>
      </c>
      <c r="B365" s="13" t="s">
        <v>952</v>
      </c>
      <c r="C365" s="16">
        <v>1320.0</v>
      </c>
      <c r="D365" s="13" t="s">
        <v>75</v>
      </c>
      <c r="E365" s="28">
        <f>SUMIFS('STOCK IN  TRANSFER'!G:G, 'STOCK IN  TRANSFER'!E:E, B365, 'STOCK IN  TRANSFER'!F:F, "STOCK IN") + SUMIFS('STOCK IN  TRANSFER'!G:G, 'STOCK IN  TRANSFER'!E:E, B365, 'STOCK IN  TRANSFER'!F:F, "ADJUSTMENT (+)") - SUMIFS('STOCK IN  TRANSFER'!G:G, 'STOCK IN  TRANSFER'!E:E, B365, 'STOCK IN  TRANSFER'!F:F, "ADJUSTMENT (-)") - SUMIFS('STOCK IN  TRANSFER'!G:G, 'STOCK IN  TRANSFER'!E:E, B365, 'STOCK IN  TRANSFER'!F:F, "STOCK TRANSFER") - SUMIFS(SALES!H:H, SALES!E:E, B365)</f>
        <v>7</v>
      </c>
      <c r="F365" s="13"/>
    </row>
    <row r="366" ht="22.5" customHeight="1">
      <c r="A366" s="13" t="s">
        <v>953</v>
      </c>
      <c r="B366" s="13" t="s">
        <v>954</v>
      </c>
      <c r="C366" s="16">
        <v>1320.0</v>
      </c>
      <c r="D366" s="13" t="s">
        <v>28</v>
      </c>
      <c r="E366" s="28">
        <f>SUMIFS('STOCK IN  TRANSFER'!G:G, 'STOCK IN  TRANSFER'!E:E, B366, 'STOCK IN  TRANSFER'!F:F, "STOCK IN") + SUMIFS('STOCK IN  TRANSFER'!G:G, 'STOCK IN  TRANSFER'!E:E, B366, 'STOCK IN  TRANSFER'!F:F, "ADJUSTMENT (+)") - SUMIFS('STOCK IN  TRANSFER'!G:G, 'STOCK IN  TRANSFER'!E:E, B366, 'STOCK IN  TRANSFER'!F:F, "ADJUSTMENT (-)") - SUMIFS('STOCK IN  TRANSFER'!G:G, 'STOCK IN  TRANSFER'!E:E, B366, 'STOCK IN  TRANSFER'!F:F, "STOCK TRANSFER") - SUMIFS(SALES!H:H, SALES!E:E, B366)</f>
        <v>0</v>
      </c>
      <c r="F366" s="13"/>
    </row>
    <row r="367" ht="22.5" customHeight="1">
      <c r="A367" s="13" t="s">
        <v>838</v>
      </c>
      <c r="B367" s="13" t="s">
        <v>955</v>
      </c>
      <c r="C367" s="16">
        <v>1050.0</v>
      </c>
      <c r="D367" s="13" t="s">
        <v>75</v>
      </c>
      <c r="E367" s="28">
        <f>SUMIFS('STOCK IN  TRANSFER'!G:G, 'STOCK IN  TRANSFER'!E:E, B367, 'STOCK IN  TRANSFER'!F:F, "STOCK IN") + SUMIFS('STOCK IN  TRANSFER'!G:G, 'STOCK IN  TRANSFER'!E:E, B367, 'STOCK IN  TRANSFER'!F:F, "ADJUSTMENT (+)") - SUMIFS('STOCK IN  TRANSFER'!G:G, 'STOCK IN  TRANSFER'!E:E, B367, 'STOCK IN  TRANSFER'!F:F, "ADJUSTMENT (-)") - SUMIFS('STOCK IN  TRANSFER'!G:G, 'STOCK IN  TRANSFER'!E:E, B367, 'STOCK IN  TRANSFER'!F:F, "STOCK TRANSFER") - SUMIFS(SALES!H:H, SALES!E:E, B367)</f>
        <v>3.75</v>
      </c>
      <c r="F367" s="13"/>
    </row>
    <row r="368" ht="22.5" customHeight="1">
      <c r="A368" s="13" t="s">
        <v>233</v>
      </c>
      <c r="B368" s="13" t="s">
        <v>956</v>
      </c>
      <c r="C368" s="16">
        <v>363.0</v>
      </c>
      <c r="D368" s="13" t="s">
        <v>39</v>
      </c>
      <c r="E368" s="28">
        <f>SUMIFS('STOCK IN  TRANSFER'!G:G, 'STOCK IN  TRANSFER'!E:E, B368, 'STOCK IN  TRANSFER'!F:F, "STOCK IN") + SUMIFS('STOCK IN  TRANSFER'!G:G, 'STOCK IN  TRANSFER'!E:E, B368, 'STOCK IN  TRANSFER'!F:F, "ADJUSTMENT (+)") - SUMIFS('STOCK IN  TRANSFER'!G:G, 'STOCK IN  TRANSFER'!E:E, B368, 'STOCK IN  TRANSFER'!F:F, "ADJUSTMENT (-)") - SUMIFS('STOCK IN  TRANSFER'!G:G, 'STOCK IN  TRANSFER'!E:E, B368, 'STOCK IN  TRANSFER'!F:F, "STOCK TRANSFER") - SUMIFS(SALES!H:H, SALES!E:E, B368)</f>
        <v>5.63</v>
      </c>
      <c r="F368" s="13"/>
    </row>
    <row r="369" ht="22.5" customHeight="1">
      <c r="A369" s="13" t="s">
        <v>957</v>
      </c>
      <c r="B369" s="13" t="s">
        <v>958</v>
      </c>
      <c r="C369" s="16">
        <v>784.0</v>
      </c>
      <c r="D369" s="13" t="s">
        <v>39</v>
      </c>
      <c r="E369" s="28">
        <f>SUMIFS('STOCK IN  TRANSFER'!G:G, 'STOCK IN  TRANSFER'!E:E, B369, 'STOCK IN  TRANSFER'!F:F, "STOCK IN") + SUMIFS('STOCK IN  TRANSFER'!G:G, 'STOCK IN  TRANSFER'!E:E, B369, 'STOCK IN  TRANSFER'!F:F, "ADJUSTMENT (+)") - SUMIFS('STOCK IN  TRANSFER'!G:G, 'STOCK IN  TRANSFER'!E:E, B369, 'STOCK IN  TRANSFER'!F:F, "ADJUSTMENT (-)") - SUMIFS('STOCK IN  TRANSFER'!G:G, 'STOCK IN  TRANSFER'!E:E, B369, 'STOCK IN  TRANSFER'!F:F, "STOCK TRANSFER") - SUMIFS(SALES!H:H, SALES!E:E, B369)</f>
        <v>0.25</v>
      </c>
      <c r="F369" s="13"/>
    </row>
    <row r="370" ht="22.5" customHeight="1">
      <c r="A370" s="13" t="s">
        <v>160</v>
      </c>
      <c r="B370" s="13" t="s">
        <v>959</v>
      </c>
      <c r="C370" s="16">
        <v>344.0</v>
      </c>
      <c r="D370" s="13" t="s">
        <v>39</v>
      </c>
      <c r="E370" s="28">
        <f>SUMIFS('STOCK IN  TRANSFER'!G:G, 'STOCK IN  TRANSFER'!E:E, B370, 'STOCK IN  TRANSFER'!F:F, "STOCK IN") + SUMIFS('STOCK IN  TRANSFER'!G:G, 'STOCK IN  TRANSFER'!E:E, B370, 'STOCK IN  TRANSFER'!F:F, "ADJUSTMENT (+)") - SUMIFS('STOCK IN  TRANSFER'!G:G, 'STOCK IN  TRANSFER'!E:E, B370, 'STOCK IN  TRANSFER'!F:F, "ADJUSTMENT (-)") - SUMIFS('STOCK IN  TRANSFER'!G:G, 'STOCK IN  TRANSFER'!E:E, B370, 'STOCK IN  TRANSFER'!F:F, "STOCK TRANSFER") - SUMIFS(SALES!H:H, SALES!E:E, B370)</f>
        <v>27</v>
      </c>
      <c r="F370" s="28"/>
    </row>
    <row r="371" ht="22.5" customHeight="1">
      <c r="A371" s="13" t="s">
        <v>53</v>
      </c>
      <c r="B371" s="13" t="s">
        <v>960</v>
      </c>
      <c r="C371" s="16">
        <v>460.0</v>
      </c>
      <c r="D371" s="13" t="s">
        <v>39</v>
      </c>
      <c r="E371" s="28">
        <f>SUMIFS('STOCK IN  TRANSFER'!G:G, 'STOCK IN  TRANSFER'!E:E, B371, 'STOCK IN  TRANSFER'!F:F, "STOCK IN") + SUMIFS('STOCK IN  TRANSFER'!G:G, 'STOCK IN  TRANSFER'!E:E, B371, 'STOCK IN  TRANSFER'!F:F, "ADJUSTMENT (+)") - SUMIFS('STOCK IN  TRANSFER'!G:G, 'STOCK IN  TRANSFER'!E:E, B371, 'STOCK IN  TRANSFER'!F:F, "ADJUSTMENT (-)") - SUMIFS('STOCK IN  TRANSFER'!G:G, 'STOCK IN  TRANSFER'!E:E, B371, 'STOCK IN  TRANSFER'!F:F, "STOCK TRANSFER") - SUMIFS(SALES!H:H, SALES!E:E, B371)</f>
        <v>-707.2</v>
      </c>
      <c r="F371" s="28"/>
    </row>
    <row r="372" ht="22.5" customHeight="1">
      <c r="A372" s="13" t="s">
        <v>604</v>
      </c>
      <c r="B372" s="13" t="s">
        <v>961</v>
      </c>
      <c r="C372" s="16">
        <v>710.0</v>
      </c>
      <c r="D372" s="13" t="s">
        <v>75</v>
      </c>
      <c r="E372" s="28">
        <f>SUMIFS('STOCK IN  TRANSFER'!G:G, 'STOCK IN  TRANSFER'!E:E, B372, 'STOCK IN  TRANSFER'!F:F, "STOCK IN") + SUMIFS('STOCK IN  TRANSFER'!G:G, 'STOCK IN  TRANSFER'!E:E, B372, 'STOCK IN  TRANSFER'!F:F, "ADJUSTMENT (+)") - SUMIFS('STOCK IN  TRANSFER'!G:G, 'STOCK IN  TRANSFER'!E:E, B372, 'STOCK IN  TRANSFER'!F:F, "ADJUSTMENT (-)") - SUMIFS('STOCK IN  TRANSFER'!G:G, 'STOCK IN  TRANSFER'!E:E, B372, 'STOCK IN  TRANSFER'!F:F, "STOCK TRANSFER") - SUMIFS(SALES!H:H, SALES!E:E, B372)</f>
        <v>0</v>
      </c>
      <c r="F372" s="28"/>
    </row>
    <row r="373" ht="22.5" customHeight="1">
      <c r="A373" s="13" t="s">
        <v>963</v>
      </c>
      <c r="B373" s="13" t="s">
        <v>964</v>
      </c>
      <c r="C373" s="16">
        <v>193.0</v>
      </c>
      <c r="D373" s="13" t="s">
        <v>39</v>
      </c>
      <c r="E373" s="28">
        <f>SUMIFS('STOCK IN  TRANSFER'!G:G, 'STOCK IN  TRANSFER'!E:E, B373, 'STOCK IN  TRANSFER'!F:F, "STOCK IN") + SUMIFS('STOCK IN  TRANSFER'!G:G, 'STOCK IN  TRANSFER'!E:E, B373, 'STOCK IN  TRANSFER'!F:F, "ADJUSTMENT (+)") - SUMIFS('STOCK IN  TRANSFER'!G:G, 'STOCK IN  TRANSFER'!E:E, B373, 'STOCK IN  TRANSFER'!F:F, "ADJUSTMENT (-)") - SUMIFS('STOCK IN  TRANSFER'!G:G, 'STOCK IN  TRANSFER'!E:E, B373, 'STOCK IN  TRANSFER'!F:F, "STOCK TRANSFER") - SUMIFS(SALES!H:H, SALES!E:E, B373)</f>
        <v>0</v>
      </c>
      <c r="F373" s="28"/>
    </row>
    <row r="374" ht="22.5" customHeight="1">
      <c r="A374" s="13" t="s">
        <v>965</v>
      </c>
      <c r="B374" s="13" t="s">
        <v>966</v>
      </c>
      <c r="C374" s="16">
        <v>260.0</v>
      </c>
      <c r="D374" s="13" t="s">
        <v>39</v>
      </c>
      <c r="E374" s="28">
        <f>SUMIFS('STOCK IN  TRANSFER'!G:G, 'STOCK IN  TRANSFER'!E:E, B374, 'STOCK IN  TRANSFER'!F:F, "STOCK IN") + SUMIFS('STOCK IN  TRANSFER'!G:G, 'STOCK IN  TRANSFER'!E:E, B374, 'STOCK IN  TRANSFER'!F:F, "ADJUSTMENT (+)") - SUMIFS('STOCK IN  TRANSFER'!G:G, 'STOCK IN  TRANSFER'!E:E, B374, 'STOCK IN  TRANSFER'!F:F, "ADJUSTMENT (-)") - SUMIFS('STOCK IN  TRANSFER'!G:G, 'STOCK IN  TRANSFER'!E:E, B374, 'STOCK IN  TRANSFER'!F:F, "STOCK TRANSFER") - SUMIFS(SALES!H:H, SALES!E:E, B374)</f>
        <v>-1</v>
      </c>
      <c r="F374" s="28"/>
    </row>
    <row r="375" ht="22.5" customHeight="1">
      <c r="A375" s="13" t="s">
        <v>967</v>
      </c>
      <c r="B375" s="13" t="s">
        <v>968</v>
      </c>
      <c r="C375" s="55"/>
      <c r="D375" s="13" t="s">
        <v>75</v>
      </c>
      <c r="E375" s="28">
        <f>SUMIFS('STOCK IN  TRANSFER'!G:G, 'STOCK IN  TRANSFER'!E:E, B375, 'STOCK IN  TRANSFER'!F:F, "STOCK IN") + SUMIFS('STOCK IN  TRANSFER'!G:G, 'STOCK IN  TRANSFER'!E:E, B375, 'STOCK IN  TRANSFER'!F:F, "ADJUSTMENT (+)") - SUMIFS('STOCK IN  TRANSFER'!G:G, 'STOCK IN  TRANSFER'!E:E, B375, 'STOCK IN  TRANSFER'!F:F, "ADJUSTMENT (-)") - SUMIFS('STOCK IN  TRANSFER'!G:G, 'STOCK IN  TRANSFER'!E:E, B375, 'STOCK IN  TRANSFER'!F:F, "STOCK TRANSFER") - SUMIFS(SALES!H:H, SALES!E:E, B375)</f>
        <v>0</v>
      </c>
      <c r="F375" s="28"/>
    </row>
    <row r="376" ht="22.5" customHeight="1">
      <c r="A376" s="13" t="s">
        <v>782</v>
      </c>
      <c r="B376" s="13" t="s">
        <v>970</v>
      </c>
      <c r="C376" s="16">
        <v>193.0</v>
      </c>
      <c r="D376" s="13" t="s">
        <v>39</v>
      </c>
      <c r="E376" s="28">
        <f>SUMIFS('STOCK IN  TRANSFER'!G:G, 'STOCK IN  TRANSFER'!E:E, B376, 'STOCK IN  TRANSFER'!F:F, "STOCK IN") + SUMIFS('STOCK IN  TRANSFER'!G:G, 'STOCK IN  TRANSFER'!E:E, B376, 'STOCK IN  TRANSFER'!F:F, "ADJUSTMENT (+)") - SUMIFS('STOCK IN  TRANSFER'!G:G, 'STOCK IN  TRANSFER'!E:E, B376, 'STOCK IN  TRANSFER'!F:F, "ADJUSTMENT (-)") - SUMIFS('STOCK IN  TRANSFER'!G:G, 'STOCK IN  TRANSFER'!E:E, B376, 'STOCK IN  TRANSFER'!F:F, "STOCK TRANSFER") - SUMIFS(SALES!H:H, SALES!E:E, B376)</f>
        <v>23</v>
      </c>
      <c r="F376" s="28"/>
    </row>
    <row r="377" ht="22.5" customHeight="1">
      <c r="A377" s="13" t="s">
        <v>779</v>
      </c>
      <c r="B377" s="13" t="s">
        <v>971</v>
      </c>
      <c r="C377" s="16">
        <v>685.0</v>
      </c>
      <c r="D377" s="13" t="s">
        <v>75</v>
      </c>
      <c r="E377" s="28">
        <f>SUMIFS('STOCK IN  TRANSFER'!G:G, 'STOCK IN  TRANSFER'!E:E, B377, 'STOCK IN  TRANSFER'!F:F, "STOCK IN") + SUMIFS('STOCK IN  TRANSFER'!G:G, 'STOCK IN  TRANSFER'!E:E, B377, 'STOCK IN  TRANSFER'!F:F, "ADJUSTMENT (+)") - SUMIFS('STOCK IN  TRANSFER'!G:G, 'STOCK IN  TRANSFER'!E:E, B377, 'STOCK IN  TRANSFER'!F:F, "ADJUSTMENT (-)") - SUMIFS('STOCK IN  TRANSFER'!G:G, 'STOCK IN  TRANSFER'!E:E, B377, 'STOCK IN  TRANSFER'!F:F, "STOCK TRANSFER") - SUMIFS(SALES!H:H, SALES!E:E, B377)</f>
        <v>0</v>
      </c>
      <c r="F377" s="28"/>
    </row>
    <row r="378" ht="22.5" customHeight="1">
      <c r="A378" s="13" t="s">
        <v>972</v>
      </c>
      <c r="B378" s="13" t="s">
        <v>973</v>
      </c>
      <c r="C378" s="16">
        <v>193.0</v>
      </c>
      <c r="D378" s="13" t="s">
        <v>39</v>
      </c>
      <c r="E378" s="28">
        <f>SUMIFS('STOCK IN  TRANSFER'!G:G, 'STOCK IN  TRANSFER'!E:E, B378, 'STOCK IN  TRANSFER'!F:F, "STOCK IN") + SUMIFS('STOCK IN  TRANSFER'!G:G, 'STOCK IN  TRANSFER'!E:E, B378, 'STOCK IN  TRANSFER'!F:F, "ADJUSTMENT (+)") - SUMIFS('STOCK IN  TRANSFER'!G:G, 'STOCK IN  TRANSFER'!E:E, B378, 'STOCK IN  TRANSFER'!F:F, "ADJUSTMENT (-)") - SUMIFS('STOCK IN  TRANSFER'!G:G, 'STOCK IN  TRANSFER'!E:E, B378, 'STOCK IN  TRANSFER'!F:F, "STOCK TRANSFER") - SUMIFS(SALES!H:H, SALES!E:E, B378)</f>
        <v>0</v>
      </c>
      <c r="F378" s="28"/>
    </row>
    <row r="379" ht="22.5" customHeight="1">
      <c r="A379" s="13" t="s">
        <v>776</v>
      </c>
      <c r="B379" s="13" t="s">
        <v>975</v>
      </c>
      <c r="C379" s="16">
        <v>710.0</v>
      </c>
      <c r="D379" s="13" t="s">
        <v>75</v>
      </c>
      <c r="E379" s="28">
        <f>SUMIFS('STOCK IN  TRANSFER'!G:G, 'STOCK IN  TRANSFER'!E:E, B379, 'STOCK IN  TRANSFER'!F:F, "STOCK IN") + SUMIFS('STOCK IN  TRANSFER'!G:G, 'STOCK IN  TRANSFER'!E:E, B379, 'STOCK IN  TRANSFER'!F:F, "ADJUSTMENT (+)") - SUMIFS('STOCK IN  TRANSFER'!G:G, 'STOCK IN  TRANSFER'!E:E, B379, 'STOCK IN  TRANSFER'!F:F, "ADJUSTMENT (-)") - SUMIFS('STOCK IN  TRANSFER'!G:G, 'STOCK IN  TRANSFER'!E:E, B379, 'STOCK IN  TRANSFER'!F:F, "STOCK TRANSFER") - SUMIFS(SALES!H:H, SALES!E:E, B379)</f>
        <v>2</v>
      </c>
      <c r="F379" s="28"/>
    </row>
    <row r="380" ht="22.5" customHeight="1">
      <c r="A380" s="13" t="s">
        <v>977</v>
      </c>
      <c r="B380" s="13" t="s">
        <v>978</v>
      </c>
      <c r="C380" s="16">
        <v>193.0</v>
      </c>
      <c r="D380" s="13" t="s">
        <v>39</v>
      </c>
      <c r="E380" s="28">
        <f>SUMIFS('STOCK IN  TRANSFER'!G:G, 'STOCK IN  TRANSFER'!E:E, B380, 'STOCK IN  TRANSFER'!F:F, "STOCK IN") + SUMIFS('STOCK IN  TRANSFER'!G:G, 'STOCK IN  TRANSFER'!E:E, B380, 'STOCK IN  TRANSFER'!F:F, "ADJUSTMENT (+)") - SUMIFS('STOCK IN  TRANSFER'!G:G, 'STOCK IN  TRANSFER'!E:E, B380, 'STOCK IN  TRANSFER'!F:F, "ADJUSTMENT (-)") - SUMIFS('STOCK IN  TRANSFER'!G:G, 'STOCK IN  TRANSFER'!E:E, B380, 'STOCK IN  TRANSFER'!F:F, "STOCK TRANSFER") - SUMIFS(SALES!H:H, SALES!E:E, B380)</f>
        <v>0</v>
      </c>
      <c r="F380" s="28"/>
    </row>
    <row r="381" ht="22.5" customHeight="1">
      <c r="A381" s="13" t="s">
        <v>980</v>
      </c>
      <c r="B381" s="13" t="s">
        <v>981</v>
      </c>
      <c r="C381" s="16">
        <v>250.0</v>
      </c>
      <c r="D381" s="13" t="s">
        <v>39</v>
      </c>
      <c r="E381" s="28">
        <f>SUMIFS('STOCK IN  TRANSFER'!G:G, 'STOCK IN  TRANSFER'!E:E, B381, 'STOCK IN  TRANSFER'!F:F, "STOCK IN") + SUMIFS('STOCK IN  TRANSFER'!G:G, 'STOCK IN  TRANSFER'!E:E, B381, 'STOCK IN  TRANSFER'!F:F, "ADJUSTMENT (+)") - SUMIFS('STOCK IN  TRANSFER'!G:G, 'STOCK IN  TRANSFER'!E:E, B381, 'STOCK IN  TRANSFER'!F:F, "ADJUSTMENT (-)") - SUMIFS('STOCK IN  TRANSFER'!G:G, 'STOCK IN  TRANSFER'!E:E, B381, 'STOCK IN  TRANSFER'!F:F, "STOCK TRANSFER") - SUMIFS(SALES!H:H, SALES!E:E, B381)</f>
        <v>-0.25</v>
      </c>
      <c r="F381" s="28"/>
    </row>
    <row r="382" ht="22.5" customHeight="1">
      <c r="A382" s="13" t="s">
        <v>982</v>
      </c>
      <c r="B382" s="13" t="s">
        <v>983</v>
      </c>
      <c r="C382" s="16">
        <v>0.0</v>
      </c>
      <c r="D382" s="13" t="s">
        <v>83</v>
      </c>
      <c r="E382" s="28">
        <f>SUMIFS('STOCK IN  TRANSFER'!G:G, 'STOCK IN  TRANSFER'!E:E, B382, 'STOCK IN  TRANSFER'!F:F, "STOCK IN") + SUMIFS('STOCK IN  TRANSFER'!G:G, 'STOCK IN  TRANSFER'!E:E, B382, 'STOCK IN  TRANSFER'!F:F, "ADJUSTMENT (+)") - SUMIFS('STOCK IN  TRANSFER'!G:G, 'STOCK IN  TRANSFER'!E:E, B382, 'STOCK IN  TRANSFER'!F:F, "ADJUSTMENT (-)") - SUMIFS('STOCK IN  TRANSFER'!G:G, 'STOCK IN  TRANSFER'!E:E, B382, 'STOCK IN  TRANSFER'!F:F, "STOCK TRANSFER") - SUMIFS(SALES!H:H, SALES!E:E, B382)</f>
        <v>0</v>
      </c>
      <c r="F382" s="28"/>
    </row>
    <row r="383" ht="22.5" customHeight="1">
      <c r="A383" s="13" t="s">
        <v>979</v>
      </c>
      <c r="B383" s="13" t="s">
        <v>985</v>
      </c>
      <c r="C383" s="16">
        <v>538.2</v>
      </c>
      <c r="D383" s="13" t="s">
        <v>986</v>
      </c>
      <c r="E383" s="28">
        <f>SUMIFS('STOCK IN  TRANSFER'!G:G, 'STOCK IN  TRANSFER'!E:E, B383, 'STOCK IN  TRANSFER'!F:F, "STOCK IN") + SUMIFS('STOCK IN  TRANSFER'!G:G, 'STOCK IN  TRANSFER'!E:E, B383, 'STOCK IN  TRANSFER'!F:F, "ADJUSTMENT (+)") - SUMIFS('STOCK IN  TRANSFER'!G:G, 'STOCK IN  TRANSFER'!E:E, B383, 'STOCK IN  TRANSFER'!F:F, "ADJUSTMENT (-)") - SUMIFS('STOCK IN  TRANSFER'!G:G, 'STOCK IN  TRANSFER'!E:E, B383, 'STOCK IN  TRANSFER'!F:F, "STOCK TRANSFER") - SUMIFS(SALES!H:H, SALES!E:E, B383)</f>
        <v>8</v>
      </c>
      <c r="F383" s="28"/>
    </row>
    <row r="384" ht="22.5" customHeight="1">
      <c r="A384" s="13" t="s">
        <v>987</v>
      </c>
      <c r="B384" s="13" t="s">
        <v>988</v>
      </c>
      <c r="C384" s="16">
        <v>661.1</v>
      </c>
      <c r="D384" s="13" t="s">
        <v>124</v>
      </c>
      <c r="E384" s="28">
        <f>SUMIFS('STOCK IN  TRANSFER'!G:G, 'STOCK IN  TRANSFER'!E:E, B384, 'STOCK IN  TRANSFER'!F:F, "STOCK IN") + SUMIFS('STOCK IN  TRANSFER'!G:G, 'STOCK IN  TRANSFER'!E:E, B384, 'STOCK IN  TRANSFER'!F:F, "ADJUSTMENT (+)") - SUMIFS('STOCK IN  TRANSFER'!G:G, 'STOCK IN  TRANSFER'!E:E, B384, 'STOCK IN  TRANSFER'!F:F, "ADJUSTMENT (-)") - SUMIFS('STOCK IN  TRANSFER'!G:G, 'STOCK IN  TRANSFER'!E:E, B384, 'STOCK IN  TRANSFER'!F:F, "STOCK TRANSFER") - SUMIFS(SALES!H:H, SALES!E:E, B384)</f>
        <v>0</v>
      </c>
      <c r="F384" s="28"/>
    </row>
    <row r="385" ht="22.5" customHeight="1">
      <c r="A385" s="13" t="s">
        <v>989</v>
      </c>
      <c r="B385" s="13" t="s">
        <v>990</v>
      </c>
      <c r="C385" s="16">
        <v>661.1</v>
      </c>
      <c r="D385" s="13" t="s">
        <v>124</v>
      </c>
      <c r="E385" s="28">
        <f>SUMIFS('STOCK IN  TRANSFER'!G:G, 'STOCK IN  TRANSFER'!E:E, B385, 'STOCK IN  TRANSFER'!F:F, "STOCK IN") + SUMIFS('STOCK IN  TRANSFER'!G:G, 'STOCK IN  TRANSFER'!E:E, B385, 'STOCK IN  TRANSFER'!F:F, "ADJUSTMENT (+)") - SUMIFS('STOCK IN  TRANSFER'!G:G, 'STOCK IN  TRANSFER'!E:E, B385, 'STOCK IN  TRANSFER'!F:F, "ADJUSTMENT (-)") - SUMIFS('STOCK IN  TRANSFER'!G:G, 'STOCK IN  TRANSFER'!E:E, B385, 'STOCK IN  TRANSFER'!F:F, "STOCK TRANSFER") - SUMIFS(SALES!H:H, SALES!E:E, B385)</f>
        <v>5</v>
      </c>
      <c r="F385" s="28"/>
    </row>
    <row r="386" ht="22.5" customHeight="1">
      <c r="A386" s="13" t="s">
        <v>992</v>
      </c>
      <c r="B386" s="13" t="s">
        <v>993</v>
      </c>
      <c r="C386" s="16">
        <v>60.8736</v>
      </c>
      <c r="D386" s="13" t="s">
        <v>267</v>
      </c>
      <c r="E386" s="28">
        <f>SUMIFS('STOCK IN  TRANSFER'!G:G, 'STOCK IN  TRANSFER'!E:E, B386, 'STOCK IN  TRANSFER'!F:F, "STOCK IN") + SUMIFS('STOCK IN  TRANSFER'!G:G, 'STOCK IN  TRANSFER'!E:E, B386, 'STOCK IN  TRANSFER'!F:F, "ADJUSTMENT (+)") - SUMIFS('STOCK IN  TRANSFER'!G:G, 'STOCK IN  TRANSFER'!E:E, B386, 'STOCK IN  TRANSFER'!F:F, "ADJUSTMENT (-)") - SUMIFS('STOCK IN  TRANSFER'!G:G, 'STOCK IN  TRANSFER'!E:E, B386, 'STOCK IN  TRANSFER'!F:F, "STOCK TRANSFER") - SUMIFS(SALES!H:H, SALES!E:E, B386)</f>
        <v>0</v>
      </c>
      <c r="F386" s="28"/>
    </row>
    <row r="387" ht="22.5" customHeight="1">
      <c r="A387" s="13" t="s">
        <v>909</v>
      </c>
      <c r="B387" s="13" t="s">
        <v>995</v>
      </c>
      <c r="C387" s="16">
        <v>15.0</v>
      </c>
      <c r="D387" s="13" t="s">
        <v>89</v>
      </c>
      <c r="E387" s="28">
        <f>SUMIFS('STOCK IN  TRANSFER'!G:G, 'STOCK IN  TRANSFER'!E:E, B387, 'STOCK IN  TRANSFER'!F:F, "STOCK IN") + SUMIFS('STOCK IN  TRANSFER'!G:G, 'STOCK IN  TRANSFER'!E:E, B387, 'STOCK IN  TRANSFER'!F:F, "ADJUSTMENT (+)") - SUMIFS('STOCK IN  TRANSFER'!G:G, 'STOCK IN  TRANSFER'!E:E, B387, 'STOCK IN  TRANSFER'!F:F, "ADJUSTMENT (-)") - SUMIFS('STOCK IN  TRANSFER'!G:G, 'STOCK IN  TRANSFER'!E:E, B387, 'STOCK IN  TRANSFER'!F:F, "STOCK TRANSFER") - SUMIFS(SALES!H:H, SALES!E:E, B387)</f>
        <v>14</v>
      </c>
      <c r="F387" s="28"/>
    </row>
    <row r="388" ht="22.5" customHeight="1">
      <c r="A388" s="13" t="s">
        <v>127</v>
      </c>
      <c r="B388" s="13" t="s">
        <v>996</v>
      </c>
      <c r="C388" s="16">
        <v>12.0</v>
      </c>
      <c r="D388" s="13" t="s">
        <v>89</v>
      </c>
      <c r="E388" s="28">
        <f>SUMIFS('STOCK IN  TRANSFER'!G:G, 'STOCK IN  TRANSFER'!E:E, B388, 'STOCK IN  TRANSFER'!F:F, "STOCK IN") + SUMIFS('STOCK IN  TRANSFER'!G:G, 'STOCK IN  TRANSFER'!E:E, B388, 'STOCK IN  TRANSFER'!F:F, "ADJUSTMENT (+)") - SUMIFS('STOCK IN  TRANSFER'!G:G, 'STOCK IN  TRANSFER'!E:E, B388, 'STOCK IN  TRANSFER'!F:F, "ADJUSTMENT (-)") - SUMIFS('STOCK IN  TRANSFER'!G:G, 'STOCK IN  TRANSFER'!E:E, B388, 'STOCK IN  TRANSFER'!F:F, "STOCK TRANSFER") - SUMIFS(SALES!H:H, SALES!E:E, B388)</f>
        <v>0</v>
      </c>
      <c r="F388" s="28"/>
    </row>
    <row r="389" ht="22.5" customHeight="1">
      <c r="A389" s="13" t="s">
        <v>976</v>
      </c>
      <c r="B389" s="13" t="s">
        <v>998</v>
      </c>
      <c r="C389" s="16">
        <v>90.8818</v>
      </c>
      <c r="D389" s="13" t="s">
        <v>267</v>
      </c>
      <c r="E389" s="28">
        <f>SUMIFS('STOCK IN  TRANSFER'!G:G, 'STOCK IN  TRANSFER'!E:E, B389, 'STOCK IN  TRANSFER'!F:F, "STOCK IN") + SUMIFS('STOCK IN  TRANSFER'!G:G, 'STOCK IN  TRANSFER'!E:E, B389, 'STOCK IN  TRANSFER'!F:F, "ADJUSTMENT (+)") - SUMIFS('STOCK IN  TRANSFER'!G:G, 'STOCK IN  TRANSFER'!E:E, B389, 'STOCK IN  TRANSFER'!F:F, "ADJUSTMENT (-)") - SUMIFS('STOCK IN  TRANSFER'!G:G, 'STOCK IN  TRANSFER'!E:E, B389, 'STOCK IN  TRANSFER'!F:F, "STOCK TRANSFER") - SUMIFS(SALES!H:H, SALES!E:E, B389)</f>
        <v>0</v>
      </c>
      <c r="F389" s="28"/>
    </row>
    <row r="390" ht="22.5" customHeight="1">
      <c r="A390" s="13" t="s">
        <v>984</v>
      </c>
      <c r="B390" s="13" t="s">
        <v>999</v>
      </c>
      <c r="C390" s="16">
        <v>141.0</v>
      </c>
      <c r="D390" s="13" t="s">
        <v>172</v>
      </c>
      <c r="E390" s="28">
        <f>SUMIFS('STOCK IN  TRANSFER'!G:G, 'STOCK IN  TRANSFER'!E:E, B390, 'STOCK IN  TRANSFER'!F:F, "STOCK IN") + SUMIFS('STOCK IN  TRANSFER'!G:G, 'STOCK IN  TRANSFER'!E:E, B390, 'STOCK IN  TRANSFER'!F:F, "ADJUSTMENT (+)") - SUMIFS('STOCK IN  TRANSFER'!G:G, 'STOCK IN  TRANSFER'!E:E, B390, 'STOCK IN  TRANSFER'!F:F, "ADJUSTMENT (-)") - SUMIFS('STOCK IN  TRANSFER'!G:G, 'STOCK IN  TRANSFER'!E:E, B390, 'STOCK IN  TRANSFER'!F:F, "STOCK TRANSFER") - SUMIFS(SALES!H:H, SALES!E:E, B390)</f>
        <v>3</v>
      </c>
      <c r="F390" s="28"/>
    </row>
    <row r="391" ht="22.5" customHeight="1">
      <c r="A391" s="13" t="s">
        <v>1000</v>
      </c>
      <c r="B391" s="13" t="s">
        <v>1002</v>
      </c>
      <c r="C391" s="16">
        <v>577.6</v>
      </c>
      <c r="D391" s="13" t="s">
        <v>124</v>
      </c>
      <c r="E391" s="28">
        <f>SUMIFS('STOCK IN  TRANSFER'!G:G, 'STOCK IN  TRANSFER'!E:E, B391, 'STOCK IN  TRANSFER'!F:F, "STOCK IN") + SUMIFS('STOCK IN  TRANSFER'!G:G, 'STOCK IN  TRANSFER'!E:E, B391, 'STOCK IN  TRANSFER'!F:F, "ADJUSTMENT (+)") - SUMIFS('STOCK IN  TRANSFER'!G:G, 'STOCK IN  TRANSFER'!E:E, B391, 'STOCK IN  TRANSFER'!F:F, "ADJUSTMENT (-)") - SUMIFS('STOCK IN  TRANSFER'!G:G, 'STOCK IN  TRANSFER'!E:E, B391, 'STOCK IN  TRANSFER'!F:F, "STOCK TRANSFER") - SUMIFS(SALES!H:H, SALES!E:E, B391)</f>
        <v>0</v>
      </c>
      <c r="F391" s="28"/>
    </row>
    <row r="392" ht="22.5" customHeight="1">
      <c r="A392" s="13" t="s">
        <v>1003</v>
      </c>
      <c r="B392" s="13" t="s">
        <v>1004</v>
      </c>
      <c r="C392" s="16">
        <v>645.3</v>
      </c>
      <c r="D392" s="13" t="s">
        <v>124</v>
      </c>
      <c r="E392" s="28">
        <f>SUMIFS('STOCK IN  TRANSFER'!G:G, 'STOCK IN  TRANSFER'!E:E, B392, 'STOCK IN  TRANSFER'!F:F, "STOCK IN") + SUMIFS('STOCK IN  TRANSFER'!G:G, 'STOCK IN  TRANSFER'!E:E, B392, 'STOCK IN  TRANSFER'!F:F, "ADJUSTMENT (+)") - SUMIFS('STOCK IN  TRANSFER'!G:G, 'STOCK IN  TRANSFER'!E:E, B392, 'STOCK IN  TRANSFER'!F:F, "ADJUSTMENT (-)") - SUMIFS('STOCK IN  TRANSFER'!G:G, 'STOCK IN  TRANSFER'!E:E, B392, 'STOCK IN  TRANSFER'!F:F, "STOCK TRANSFER") - SUMIFS(SALES!H:H, SALES!E:E, B392)</f>
        <v>5</v>
      </c>
      <c r="F392" s="28"/>
    </row>
    <row r="393" ht="22.5" customHeight="1">
      <c r="A393" s="13" t="s">
        <v>1005</v>
      </c>
      <c r="B393" s="13" t="s">
        <v>1006</v>
      </c>
      <c r="C393" s="16">
        <v>767.1</v>
      </c>
      <c r="D393" s="13" t="s">
        <v>124</v>
      </c>
      <c r="E393" s="28">
        <f>SUMIFS('STOCK IN  TRANSFER'!G:G, 'STOCK IN  TRANSFER'!E:E, B393, 'STOCK IN  TRANSFER'!F:F, "STOCK IN") + SUMIFS('STOCK IN  TRANSFER'!G:G, 'STOCK IN  TRANSFER'!E:E, B393, 'STOCK IN  TRANSFER'!F:F, "ADJUSTMENT (+)") - SUMIFS('STOCK IN  TRANSFER'!G:G, 'STOCK IN  TRANSFER'!E:E, B393, 'STOCK IN  TRANSFER'!F:F, "ADJUSTMENT (-)") - SUMIFS('STOCK IN  TRANSFER'!G:G, 'STOCK IN  TRANSFER'!E:E, B393, 'STOCK IN  TRANSFER'!F:F, "STOCK TRANSFER") - SUMIFS(SALES!H:H, SALES!E:E, B393)</f>
        <v>2</v>
      </c>
      <c r="F393" s="28"/>
    </row>
    <row r="394" ht="22.5" customHeight="1">
      <c r="A394" s="13" t="s">
        <v>1007</v>
      </c>
      <c r="B394" s="13" t="s">
        <v>1008</v>
      </c>
      <c r="C394" s="16">
        <v>350.0</v>
      </c>
      <c r="D394" s="13" t="s">
        <v>39</v>
      </c>
      <c r="E394" s="28">
        <f>SUMIFS('STOCK IN  TRANSFER'!G:G, 'STOCK IN  TRANSFER'!E:E, B394, 'STOCK IN  TRANSFER'!F:F, "STOCK IN") + SUMIFS('STOCK IN  TRANSFER'!G:G, 'STOCK IN  TRANSFER'!E:E, B394, 'STOCK IN  TRANSFER'!F:F, "ADJUSTMENT (+)") - SUMIFS('STOCK IN  TRANSFER'!G:G, 'STOCK IN  TRANSFER'!E:E, B394, 'STOCK IN  TRANSFER'!F:F, "ADJUSTMENT (-)") - SUMIFS('STOCK IN  TRANSFER'!G:G, 'STOCK IN  TRANSFER'!E:E, B394, 'STOCK IN  TRANSFER'!F:F, "STOCK TRANSFER") - SUMIFS(SALES!H:H, SALES!E:E, B394)</f>
        <v>0</v>
      </c>
      <c r="F394" s="28"/>
    </row>
    <row r="395" ht="22.5" customHeight="1">
      <c r="A395" s="13" t="s">
        <v>1010</v>
      </c>
      <c r="B395" s="13" t="s">
        <v>1011</v>
      </c>
      <c r="C395" s="16">
        <v>855.0</v>
      </c>
      <c r="D395" s="13" t="s">
        <v>28</v>
      </c>
      <c r="E395" s="28">
        <f>SUMIFS('STOCK IN  TRANSFER'!G:G, 'STOCK IN  TRANSFER'!E:E, B395, 'STOCK IN  TRANSFER'!F:F, "STOCK IN") + SUMIFS('STOCK IN  TRANSFER'!G:G, 'STOCK IN  TRANSFER'!E:E, B395, 'STOCK IN  TRANSFER'!F:F, "ADJUSTMENT (+)") - SUMIFS('STOCK IN  TRANSFER'!G:G, 'STOCK IN  TRANSFER'!E:E, B395, 'STOCK IN  TRANSFER'!F:F, "ADJUSTMENT (-)") - SUMIFS('STOCK IN  TRANSFER'!G:G, 'STOCK IN  TRANSFER'!E:E, B395, 'STOCK IN  TRANSFER'!F:F, "STOCK TRANSFER") - SUMIFS(SALES!H:H, SALES!E:E, B395)</f>
        <v>0</v>
      </c>
      <c r="F395" s="28"/>
    </row>
    <row r="396" ht="22.5" customHeight="1">
      <c r="A396" s="13" t="s">
        <v>1012</v>
      </c>
      <c r="B396" s="13" t="s">
        <v>1013</v>
      </c>
      <c r="C396" s="16">
        <v>0.0</v>
      </c>
      <c r="D396" s="13" t="s">
        <v>39</v>
      </c>
      <c r="E396" s="28">
        <f>SUMIFS('STOCK IN  TRANSFER'!G:G, 'STOCK IN  TRANSFER'!E:E, B396, 'STOCK IN  TRANSFER'!F:F, "STOCK IN") + SUMIFS('STOCK IN  TRANSFER'!G:G, 'STOCK IN  TRANSFER'!E:E, B396, 'STOCK IN  TRANSFER'!F:F, "ADJUSTMENT (+)") - SUMIFS('STOCK IN  TRANSFER'!G:G, 'STOCK IN  TRANSFER'!E:E, B396, 'STOCK IN  TRANSFER'!F:F, "ADJUSTMENT (-)") - SUMIFS('STOCK IN  TRANSFER'!G:G, 'STOCK IN  TRANSFER'!E:E, B396, 'STOCK IN  TRANSFER'!F:F, "STOCK TRANSFER") - SUMIFS(SALES!H:H, SALES!E:E, B396)</f>
        <v>0</v>
      </c>
      <c r="F396" s="28"/>
    </row>
    <row r="397" ht="22.5" customHeight="1">
      <c r="A397" s="13" t="s">
        <v>1014</v>
      </c>
      <c r="B397" s="13" t="s">
        <v>1015</v>
      </c>
      <c r="C397" s="16">
        <v>855.0</v>
      </c>
      <c r="D397" s="13" t="s">
        <v>28</v>
      </c>
      <c r="E397" s="28">
        <f>SUMIFS('STOCK IN  TRANSFER'!G:G, 'STOCK IN  TRANSFER'!E:E, B397, 'STOCK IN  TRANSFER'!F:F, "STOCK IN") + SUMIFS('STOCK IN  TRANSFER'!G:G, 'STOCK IN  TRANSFER'!E:E, B397, 'STOCK IN  TRANSFER'!F:F, "ADJUSTMENT (+)") - SUMIFS('STOCK IN  TRANSFER'!G:G, 'STOCK IN  TRANSFER'!E:E, B397, 'STOCK IN  TRANSFER'!F:F, "ADJUSTMENT (-)") - SUMIFS('STOCK IN  TRANSFER'!G:G, 'STOCK IN  TRANSFER'!E:E, B397, 'STOCK IN  TRANSFER'!F:F, "STOCK TRANSFER") - SUMIFS(SALES!H:H, SALES!E:E, B397)</f>
        <v>0</v>
      </c>
      <c r="F397" s="28"/>
    </row>
    <row r="398" ht="22.5" customHeight="1">
      <c r="A398" s="13" t="s">
        <v>1017</v>
      </c>
      <c r="B398" s="13" t="s">
        <v>1018</v>
      </c>
      <c r="C398" s="16">
        <v>761.0</v>
      </c>
      <c r="D398" s="13" t="s">
        <v>28</v>
      </c>
      <c r="E398" s="28">
        <f>SUMIFS('STOCK IN  TRANSFER'!G:G, 'STOCK IN  TRANSFER'!E:E, B398, 'STOCK IN  TRANSFER'!F:F, "STOCK IN") + SUMIFS('STOCK IN  TRANSFER'!G:G, 'STOCK IN  TRANSFER'!E:E, B398, 'STOCK IN  TRANSFER'!F:F, "ADJUSTMENT (+)") - SUMIFS('STOCK IN  TRANSFER'!G:G, 'STOCK IN  TRANSFER'!E:E, B398, 'STOCK IN  TRANSFER'!F:F, "ADJUSTMENT (-)") - SUMIFS('STOCK IN  TRANSFER'!G:G, 'STOCK IN  TRANSFER'!E:E, B398, 'STOCK IN  TRANSFER'!F:F, "STOCK TRANSFER") - SUMIFS(SALES!H:H, SALES!E:E, B398)</f>
        <v>0</v>
      </c>
      <c r="F398" s="28"/>
    </row>
    <row r="399" ht="22.5" customHeight="1">
      <c r="A399" s="13" t="s">
        <v>1019</v>
      </c>
      <c r="B399" s="13" t="s">
        <v>1020</v>
      </c>
      <c r="C399" s="16">
        <v>68.0</v>
      </c>
      <c r="D399" s="13" t="s">
        <v>179</v>
      </c>
      <c r="E399" s="28">
        <f>SUMIFS('STOCK IN  TRANSFER'!G:G, 'STOCK IN  TRANSFER'!E:E, B399, 'STOCK IN  TRANSFER'!F:F, "STOCK IN") + SUMIFS('STOCK IN  TRANSFER'!G:G, 'STOCK IN  TRANSFER'!E:E, B399, 'STOCK IN  TRANSFER'!F:F, "ADJUSTMENT (+)") - SUMIFS('STOCK IN  TRANSFER'!G:G, 'STOCK IN  TRANSFER'!E:E, B399, 'STOCK IN  TRANSFER'!F:F, "ADJUSTMENT (-)") - SUMIFS('STOCK IN  TRANSFER'!G:G, 'STOCK IN  TRANSFER'!E:E, B399, 'STOCK IN  TRANSFER'!F:F, "STOCK TRANSFER") - SUMIFS(SALES!H:H, SALES!E:E, B399)</f>
        <v>16</v>
      </c>
      <c r="F399" s="28"/>
    </row>
    <row r="400" ht="22.5" customHeight="1">
      <c r="A400" s="13" t="s">
        <v>535</v>
      </c>
      <c r="B400" s="13" t="s">
        <v>1021</v>
      </c>
      <c r="C400" s="16">
        <v>68.0</v>
      </c>
      <c r="D400" s="13" t="s">
        <v>1022</v>
      </c>
      <c r="E400" s="28">
        <f>SUMIFS('STOCK IN  TRANSFER'!G:G, 'STOCK IN  TRANSFER'!E:E, B400, 'STOCK IN  TRANSFER'!F:F, "STOCK IN") + SUMIFS('STOCK IN  TRANSFER'!G:G, 'STOCK IN  TRANSFER'!E:E, B400, 'STOCK IN  TRANSFER'!F:F, "ADJUSTMENT (+)") - SUMIFS('STOCK IN  TRANSFER'!G:G, 'STOCK IN  TRANSFER'!E:E, B400, 'STOCK IN  TRANSFER'!F:F, "ADJUSTMENT (-)") - SUMIFS('STOCK IN  TRANSFER'!G:G, 'STOCK IN  TRANSFER'!E:E, B400, 'STOCK IN  TRANSFER'!F:F, "STOCK TRANSFER") - SUMIFS(SALES!H:H, SALES!E:E, B400)</f>
        <v>70</v>
      </c>
      <c r="F400" s="28"/>
    </row>
    <row r="401" ht="22.5" customHeight="1">
      <c r="A401" s="13" t="s">
        <v>1024</v>
      </c>
      <c r="B401" s="13" t="s">
        <v>1025</v>
      </c>
      <c r="C401" s="16">
        <v>640.0</v>
      </c>
      <c r="D401" s="13" t="s">
        <v>124</v>
      </c>
      <c r="E401" s="28">
        <f>SUMIFS('STOCK IN  TRANSFER'!G:G, 'STOCK IN  TRANSFER'!E:E, B401, 'STOCK IN  TRANSFER'!F:F, "STOCK IN") + SUMIFS('STOCK IN  TRANSFER'!G:G, 'STOCK IN  TRANSFER'!E:E, B401, 'STOCK IN  TRANSFER'!F:F, "ADJUSTMENT (+)") - SUMIFS('STOCK IN  TRANSFER'!G:G, 'STOCK IN  TRANSFER'!E:E, B401, 'STOCK IN  TRANSFER'!F:F, "ADJUSTMENT (-)") - SUMIFS('STOCK IN  TRANSFER'!G:G, 'STOCK IN  TRANSFER'!E:E, B401, 'STOCK IN  TRANSFER'!F:F, "STOCK TRANSFER") - SUMIFS(SALES!H:H, SALES!E:E, B401)</f>
        <v>3</v>
      </c>
      <c r="F401" s="28"/>
    </row>
    <row r="402" ht="22.5" customHeight="1">
      <c r="A402" s="13" t="s">
        <v>1026</v>
      </c>
      <c r="B402" s="13" t="s">
        <v>1027</v>
      </c>
      <c r="C402" s="16">
        <v>880.0</v>
      </c>
      <c r="D402" s="13" t="s">
        <v>89</v>
      </c>
      <c r="E402" s="28">
        <f>SUMIFS('STOCK IN  TRANSFER'!G:G, 'STOCK IN  TRANSFER'!E:E, B402, 'STOCK IN  TRANSFER'!F:F, "STOCK IN") + SUMIFS('STOCK IN  TRANSFER'!G:G, 'STOCK IN  TRANSFER'!E:E, B402, 'STOCK IN  TRANSFER'!F:F, "ADJUSTMENT (+)") - SUMIFS('STOCK IN  TRANSFER'!G:G, 'STOCK IN  TRANSFER'!E:E, B402, 'STOCK IN  TRANSFER'!F:F, "ADJUSTMENT (-)") - SUMIFS('STOCK IN  TRANSFER'!G:G, 'STOCK IN  TRANSFER'!E:E, B402, 'STOCK IN  TRANSFER'!F:F, "STOCK TRANSFER") - SUMIFS(SALES!H:H, SALES!E:E, B402)</f>
        <v>0</v>
      </c>
      <c r="F402" s="28"/>
    </row>
    <row r="403" ht="22.5" customHeight="1">
      <c r="A403" s="13" t="s">
        <v>1028</v>
      </c>
      <c r="B403" s="13" t="s">
        <v>1029</v>
      </c>
      <c r="C403" s="16">
        <v>400.0</v>
      </c>
      <c r="D403" s="13" t="s">
        <v>39</v>
      </c>
      <c r="E403" s="28">
        <f>SUMIFS('STOCK IN  TRANSFER'!G:G, 'STOCK IN  TRANSFER'!E:E, B403, 'STOCK IN  TRANSFER'!F:F, "STOCK IN") + SUMIFS('STOCK IN  TRANSFER'!G:G, 'STOCK IN  TRANSFER'!E:E, B403, 'STOCK IN  TRANSFER'!F:F, "ADJUSTMENT (+)") - SUMIFS('STOCK IN  TRANSFER'!G:G, 'STOCK IN  TRANSFER'!E:E, B403, 'STOCK IN  TRANSFER'!F:F, "ADJUSTMENT (-)") - SUMIFS('STOCK IN  TRANSFER'!G:G, 'STOCK IN  TRANSFER'!E:E, B403, 'STOCK IN  TRANSFER'!F:F, "STOCK TRANSFER") - SUMIFS(SALES!H:H, SALES!E:E, B403)</f>
        <v>0</v>
      </c>
      <c r="F403" s="28"/>
    </row>
    <row r="404" ht="22.5" customHeight="1">
      <c r="A404" s="13" t="s">
        <v>1030</v>
      </c>
      <c r="B404" s="13" t="s">
        <v>1031</v>
      </c>
      <c r="C404" s="16">
        <v>3.0</v>
      </c>
      <c r="D404" s="13" t="s">
        <v>267</v>
      </c>
      <c r="E404" s="28">
        <f>SUMIFS('STOCK IN  TRANSFER'!G:G, 'STOCK IN  TRANSFER'!E:E, B404, 'STOCK IN  TRANSFER'!F:F, "STOCK IN") + SUMIFS('STOCK IN  TRANSFER'!G:G, 'STOCK IN  TRANSFER'!E:E, B404, 'STOCK IN  TRANSFER'!F:F, "ADJUSTMENT (+)") - SUMIFS('STOCK IN  TRANSFER'!G:G, 'STOCK IN  TRANSFER'!E:E, B404, 'STOCK IN  TRANSFER'!F:F, "ADJUSTMENT (-)") - SUMIFS('STOCK IN  TRANSFER'!G:G, 'STOCK IN  TRANSFER'!E:E, B404, 'STOCK IN  TRANSFER'!F:F, "STOCK TRANSFER") - SUMIFS(SALES!H:H, SALES!E:E, B404)</f>
        <v>0</v>
      </c>
      <c r="F404" s="28"/>
    </row>
    <row r="405" ht="22.5" customHeight="1">
      <c r="A405" s="13" t="s">
        <v>1032</v>
      </c>
      <c r="B405" s="13" t="s">
        <v>1034</v>
      </c>
      <c r="C405" s="16">
        <v>3.0</v>
      </c>
      <c r="D405" s="13" t="s">
        <v>146</v>
      </c>
      <c r="E405" s="28">
        <f>SUMIFS('STOCK IN  TRANSFER'!G:G, 'STOCK IN  TRANSFER'!E:E, B405, 'STOCK IN  TRANSFER'!F:F, "STOCK IN") + SUMIFS('STOCK IN  TRANSFER'!G:G, 'STOCK IN  TRANSFER'!E:E, B405, 'STOCK IN  TRANSFER'!F:F, "ADJUSTMENT (+)") - SUMIFS('STOCK IN  TRANSFER'!G:G, 'STOCK IN  TRANSFER'!E:E, B405, 'STOCK IN  TRANSFER'!F:F, "ADJUSTMENT (-)") - SUMIFS('STOCK IN  TRANSFER'!G:G, 'STOCK IN  TRANSFER'!E:E, B405, 'STOCK IN  TRANSFER'!F:F, "STOCK TRANSFER") - SUMIFS(SALES!H:H, SALES!E:E, B405)</f>
        <v>0</v>
      </c>
      <c r="F405" s="28"/>
    </row>
    <row r="406" ht="22.5" customHeight="1">
      <c r="A406" s="13" t="s">
        <v>1035</v>
      </c>
      <c r="B406" s="13" t="s">
        <v>1036</v>
      </c>
      <c r="C406" s="16">
        <v>2098.0</v>
      </c>
      <c r="D406" s="13" t="s">
        <v>231</v>
      </c>
      <c r="E406" s="28">
        <f>SUMIFS('STOCK IN  TRANSFER'!G:G, 'STOCK IN  TRANSFER'!E:E, B406, 'STOCK IN  TRANSFER'!F:F, "STOCK IN") + SUMIFS('STOCK IN  TRANSFER'!G:G, 'STOCK IN  TRANSFER'!E:E, B406, 'STOCK IN  TRANSFER'!F:F, "ADJUSTMENT (+)") - SUMIFS('STOCK IN  TRANSFER'!G:G, 'STOCK IN  TRANSFER'!E:E, B406, 'STOCK IN  TRANSFER'!F:F, "ADJUSTMENT (-)") - SUMIFS('STOCK IN  TRANSFER'!G:G, 'STOCK IN  TRANSFER'!E:E, B406, 'STOCK IN  TRANSFER'!F:F, "STOCK TRANSFER") - SUMIFS(SALES!H:H, SALES!E:E, B406)</f>
        <v>3</v>
      </c>
      <c r="F406" s="28"/>
    </row>
    <row r="407" ht="22.5" customHeight="1">
      <c r="A407" s="13" t="s">
        <v>1037</v>
      </c>
      <c r="B407" s="13" t="s">
        <v>1038</v>
      </c>
      <c r="C407" s="16">
        <v>5.0</v>
      </c>
      <c r="D407" s="13" t="s">
        <v>163</v>
      </c>
      <c r="E407" s="28">
        <f>SUMIFS('STOCK IN  TRANSFER'!G:G, 'STOCK IN  TRANSFER'!E:E, B407, 'STOCK IN  TRANSFER'!F:F, "STOCK IN") + SUMIFS('STOCK IN  TRANSFER'!G:G, 'STOCK IN  TRANSFER'!E:E, B407, 'STOCK IN  TRANSFER'!F:F, "ADJUSTMENT (+)") - SUMIFS('STOCK IN  TRANSFER'!G:G, 'STOCK IN  TRANSFER'!E:E, B407, 'STOCK IN  TRANSFER'!F:F, "ADJUSTMENT (-)") - SUMIFS('STOCK IN  TRANSFER'!G:G, 'STOCK IN  TRANSFER'!E:E, B407, 'STOCK IN  TRANSFER'!F:F, "STOCK TRANSFER") - SUMIFS(SALES!H:H, SALES!E:E, B407)</f>
        <v>0</v>
      </c>
      <c r="F407" s="28"/>
    </row>
    <row r="408" ht="22.5" customHeight="1">
      <c r="A408" s="13" t="s">
        <v>516</v>
      </c>
      <c r="B408" s="13" t="s">
        <v>1039</v>
      </c>
      <c r="C408" s="16">
        <v>28.0</v>
      </c>
      <c r="D408" s="13" t="s">
        <v>89</v>
      </c>
      <c r="E408" s="28">
        <f>SUMIFS('STOCK IN  TRANSFER'!G:G, 'STOCK IN  TRANSFER'!E:E, B408, 'STOCK IN  TRANSFER'!F:F, "STOCK IN") + SUMIFS('STOCK IN  TRANSFER'!G:G, 'STOCK IN  TRANSFER'!E:E, B408, 'STOCK IN  TRANSFER'!F:F, "ADJUSTMENT (+)") - SUMIFS('STOCK IN  TRANSFER'!G:G, 'STOCK IN  TRANSFER'!E:E, B408, 'STOCK IN  TRANSFER'!F:F, "ADJUSTMENT (-)") - SUMIFS('STOCK IN  TRANSFER'!G:G, 'STOCK IN  TRANSFER'!E:E, B408, 'STOCK IN  TRANSFER'!F:F, "STOCK TRANSFER") - SUMIFS(SALES!H:H, SALES!E:E, B408)</f>
        <v>101</v>
      </c>
      <c r="F408" s="28"/>
    </row>
    <row r="409" ht="22.5" customHeight="1">
      <c r="A409" s="13" t="s">
        <v>567</v>
      </c>
      <c r="B409" s="13" t="s">
        <v>1040</v>
      </c>
      <c r="C409" s="16">
        <v>18.5</v>
      </c>
      <c r="D409" s="13" t="s">
        <v>89</v>
      </c>
      <c r="E409" s="28">
        <f>SUMIFS('STOCK IN  TRANSFER'!G:G, 'STOCK IN  TRANSFER'!E:E, B409, 'STOCK IN  TRANSFER'!F:F, "STOCK IN") + SUMIFS('STOCK IN  TRANSFER'!G:G, 'STOCK IN  TRANSFER'!E:E, B409, 'STOCK IN  TRANSFER'!F:F, "ADJUSTMENT (+)") - SUMIFS('STOCK IN  TRANSFER'!G:G, 'STOCK IN  TRANSFER'!E:E, B409, 'STOCK IN  TRANSFER'!F:F, "ADJUSTMENT (-)") - SUMIFS('STOCK IN  TRANSFER'!G:G, 'STOCK IN  TRANSFER'!E:E, B409, 'STOCK IN  TRANSFER'!F:F, "STOCK TRANSFER") - SUMIFS(SALES!H:H, SALES!E:E, B409)</f>
        <v>75</v>
      </c>
      <c r="F409" s="28"/>
    </row>
    <row r="410" ht="22.5" customHeight="1">
      <c r="A410" s="13" t="s">
        <v>432</v>
      </c>
      <c r="B410" s="13" t="s">
        <v>1041</v>
      </c>
      <c r="C410" s="16">
        <v>18.5</v>
      </c>
      <c r="D410" s="13" t="s">
        <v>163</v>
      </c>
      <c r="E410" s="28">
        <f>SUMIFS('STOCK IN  TRANSFER'!G:G, 'STOCK IN  TRANSFER'!E:E, B410, 'STOCK IN  TRANSFER'!F:F, "STOCK IN") + SUMIFS('STOCK IN  TRANSFER'!G:G, 'STOCK IN  TRANSFER'!E:E, B410, 'STOCK IN  TRANSFER'!F:F, "ADJUSTMENT (+)") - SUMIFS('STOCK IN  TRANSFER'!G:G, 'STOCK IN  TRANSFER'!E:E, B410, 'STOCK IN  TRANSFER'!F:F, "ADJUSTMENT (-)") - SUMIFS('STOCK IN  TRANSFER'!G:G, 'STOCK IN  TRANSFER'!E:E, B410, 'STOCK IN  TRANSFER'!F:F, "STOCK TRANSFER") - SUMIFS(SALES!H:H, SALES!E:E, B410)</f>
        <v>-15</v>
      </c>
      <c r="F410" s="28"/>
    </row>
    <row r="411" ht="22.5" customHeight="1">
      <c r="A411" s="13" t="s">
        <v>931</v>
      </c>
      <c r="B411" s="13" t="s">
        <v>1042</v>
      </c>
      <c r="C411" s="16">
        <v>28.0</v>
      </c>
      <c r="D411" s="13" t="s">
        <v>89</v>
      </c>
      <c r="E411" s="28">
        <f>SUMIFS('STOCK IN  TRANSFER'!G:G, 'STOCK IN  TRANSFER'!E:E, B411, 'STOCK IN  TRANSFER'!F:F, "STOCK IN") + SUMIFS('STOCK IN  TRANSFER'!G:G, 'STOCK IN  TRANSFER'!E:E, B411, 'STOCK IN  TRANSFER'!F:F, "ADJUSTMENT (+)") - SUMIFS('STOCK IN  TRANSFER'!G:G, 'STOCK IN  TRANSFER'!E:E, B411, 'STOCK IN  TRANSFER'!F:F, "ADJUSTMENT (-)") - SUMIFS('STOCK IN  TRANSFER'!G:G, 'STOCK IN  TRANSFER'!E:E, B411, 'STOCK IN  TRANSFER'!F:F, "STOCK TRANSFER") - SUMIFS(SALES!H:H, SALES!E:E, B411)</f>
        <v>197</v>
      </c>
      <c r="F411" s="28"/>
    </row>
    <row r="412" ht="22.5" customHeight="1">
      <c r="A412" s="13" t="s">
        <v>554</v>
      </c>
      <c r="B412" s="13" t="s">
        <v>1043</v>
      </c>
      <c r="C412" s="16">
        <v>18.5</v>
      </c>
      <c r="D412" s="13" t="s">
        <v>89</v>
      </c>
      <c r="E412" s="28">
        <f>SUMIFS('STOCK IN  TRANSFER'!G:G, 'STOCK IN  TRANSFER'!E:E, B412, 'STOCK IN  TRANSFER'!F:F, "STOCK IN") + SUMIFS('STOCK IN  TRANSFER'!G:G, 'STOCK IN  TRANSFER'!E:E, B412, 'STOCK IN  TRANSFER'!F:F, "ADJUSTMENT (+)") - SUMIFS('STOCK IN  TRANSFER'!G:G, 'STOCK IN  TRANSFER'!E:E, B412, 'STOCK IN  TRANSFER'!F:F, "ADJUSTMENT (-)") - SUMIFS('STOCK IN  TRANSFER'!G:G, 'STOCK IN  TRANSFER'!E:E, B412, 'STOCK IN  TRANSFER'!F:F, "STOCK TRANSFER") - SUMIFS(SALES!H:H, SALES!E:E, B412)</f>
        <v>63</v>
      </c>
      <c r="F412" s="28"/>
    </row>
    <row r="413" ht="22.5" customHeight="1">
      <c r="A413" s="13" t="s">
        <v>548</v>
      </c>
      <c r="B413" s="13" t="s">
        <v>1044</v>
      </c>
      <c r="C413" s="16">
        <v>18.5</v>
      </c>
      <c r="D413" s="13" t="s">
        <v>89</v>
      </c>
      <c r="E413" s="28">
        <f>SUMIFS('STOCK IN  TRANSFER'!G:G, 'STOCK IN  TRANSFER'!E:E, B413, 'STOCK IN  TRANSFER'!F:F, "STOCK IN") + SUMIFS('STOCK IN  TRANSFER'!G:G, 'STOCK IN  TRANSFER'!E:E, B413, 'STOCK IN  TRANSFER'!F:F, "ADJUSTMENT (+)") - SUMIFS('STOCK IN  TRANSFER'!G:G, 'STOCK IN  TRANSFER'!E:E, B413, 'STOCK IN  TRANSFER'!F:F, "ADJUSTMENT (-)") - SUMIFS('STOCK IN  TRANSFER'!G:G, 'STOCK IN  TRANSFER'!E:E, B413, 'STOCK IN  TRANSFER'!F:F, "STOCK TRANSFER") - SUMIFS(SALES!H:H, SALES!E:E, B413)</f>
        <v>102</v>
      </c>
      <c r="F413" s="28"/>
    </row>
    <row r="414" ht="22.5" customHeight="1">
      <c r="A414" s="13" t="s">
        <v>198</v>
      </c>
      <c r="B414" s="13" t="s">
        <v>1045</v>
      </c>
      <c r="C414" s="16">
        <v>28.0</v>
      </c>
      <c r="D414" s="13" t="s">
        <v>89</v>
      </c>
      <c r="E414" s="28">
        <f>SUMIFS('STOCK IN  TRANSFER'!G:G, 'STOCK IN  TRANSFER'!E:E, B414, 'STOCK IN  TRANSFER'!F:F, "STOCK IN") + SUMIFS('STOCK IN  TRANSFER'!G:G, 'STOCK IN  TRANSFER'!E:E, B414, 'STOCK IN  TRANSFER'!F:F, "ADJUSTMENT (+)") - SUMIFS('STOCK IN  TRANSFER'!G:G, 'STOCK IN  TRANSFER'!E:E, B414, 'STOCK IN  TRANSFER'!F:F, "ADJUSTMENT (-)") - SUMIFS('STOCK IN  TRANSFER'!G:G, 'STOCK IN  TRANSFER'!E:E, B414, 'STOCK IN  TRANSFER'!F:F, "STOCK TRANSFER") - SUMIFS(SALES!H:H, SALES!E:E, B414)</f>
        <v>69</v>
      </c>
      <c r="F414" s="28"/>
    </row>
    <row r="415" ht="22.5" customHeight="1">
      <c r="A415" s="13" t="s">
        <v>326</v>
      </c>
      <c r="B415" s="13" t="s">
        <v>1047</v>
      </c>
      <c r="C415" s="16">
        <v>18.5</v>
      </c>
      <c r="D415" s="13" t="s">
        <v>89</v>
      </c>
      <c r="E415" s="28">
        <f>SUMIFS('STOCK IN  TRANSFER'!G:G, 'STOCK IN  TRANSFER'!E:E, B415, 'STOCK IN  TRANSFER'!F:F, "STOCK IN") + SUMIFS('STOCK IN  TRANSFER'!G:G, 'STOCK IN  TRANSFER'!E:E, B415, 'STOCK IN  TRANSFER'!F:F, "ADJUSTMENT (+)") - SUMIFS('STOCK IN  TRANSFER'!G:G, 'STOCK IN  TRANSFER'!E:E, B415, 'STOCK IN  TRANSFER'!F:F, "ADJUSTMENT (-)") - SUMIFS('STOCK IN  TRANSFER'!G:G, 'STOCK IN  TRANSFER'!E:E, B415, 'STOCK IN  TRANSFER'!F:F, "STOCK TRANSFER") - SUMIFS(SALES!H:H, SALES!E:E, B415)</f>
        <v>25</v>
      </c>
      <c r="F415" s="28"/>
    </row>
    <row r="416" ht="22.5" customHeight="1">
      <c r="A416" s="13" t="s">
        <v>117</v>
      </c>
      <c r="B416" s="13" t="s">
        <v>1048</v>
      </c>
      <c r="C416" s="16">
        <v>18.5</v>
      </c>
      <c r="D416" s="13" t="s">
        <v>89</v>
      </c>
      <c r="E416" s="28">
        <f>SUMIFS('STOCK IN  TRANSFER'!G:G, 'STOCK IN  TRANSFER'!E:E, B416, 'STOCK IN  TRANSFER'!F:F, "STOCK IN") + SUMIFS('STOCK IN  TRANSFER'!G:G, 'STOCK IN  TRANSFER'!E:E, B416, 'STOCK IN  TRANSFER'!F:F, "ADJUSTMENT (+)") - SUMIFS('STOCK IN  TRANSFER'!G:G, 'STOCK IN  TRANSFER'!E:E, B416, 'STOCK IN  TRANSFER'!F:F, "ADJUSTMENT (-)") - SUMIFS('STOCK IN  TRANSFER'!G:G, 'STOCK IN  TRANSFER'!E:E, B416, 'STOCK IN  TRANSFER'!F:F, "STOCK TRANSFER") - SUMIFS(SALES!H:H, SALES!E:E, B416)</f>
        <v>101</v>
      </c>
      <c r="F416" s="28"/>
    </row>
    <row r="417" ht="22.5" customHeight="1">
      <c r="A417" s="13" t="s">
        <v>942</v>
      </c>
      <c r="B417" s="13" t="s">
        <v>1049</v>
      </c>
      <c r="C417" s="16">
        <v>18.5</v>
      </c>
      <c r="D417" s="13" t="s">
        <v>89</v>
      </c>
      <c r="E417" s="28">
        <f>SUMIFS('STOCK IN  TRANSFER'!G:G, 'STOCK IN  TRANSFER'!E:E, B417, 'STOCK IN  TRANSFER'!F:F, "STOCK IN") + SUMIFS('STOCK IN  TRANSFER'!G:G, 'STOCK IN  TRANSFER'!E:E, B417, 'STOCK IN  TRANSFER'!F:F, "ADJUSTMENT (+)") - SUMIFS('STOCK IN  TRANSFER'!G:G, 'STOCK IN  TRANSFER'!E:E, B417, 'STOCK IN  TRANSFER'!F:F, "ADJUSTMENT (-)") - SUMIFS('STOCK IN  TRANSFER'!G:G, 'STOCK IN  TRANSFER'!E:E, B417, 'STOCK IN  TRANSFER'!F:F, "STOCK TRANSFER") - SUMIFS(SALES!H:H, SALES!E:E, B417)</f>
        <v>291</v>
      </c>
      <c r="F417" s="28"/>
    </row>
    <row r="418" ht="22.5" customHeight="1">
      <c r="A418" s="13" t="s">
        <v>426</v>
      </c>
      <c r="B418" s="13" t="s">
        <v>1050</v>
      </c>
      <c r="C418" s="16">
        <v>18.5</v>
      </c>
      <c r="D418" s="13" t="s">
        <v>163</v>
      </c>
      <c r="E418" s="28">
        <f>SUMIFS('STOCK IN  TRANSFER'!G:G, 'STOCK IN  TRANSFER'!E:E, B418, 'STOCK IN  TRANSFER'!F:F, "STOCK IN") + SUMIFS('STOCK IN  TRANSFER'!G:G, 'STOCK IN  TRANSFER'!E:E, B418, 'STOCK IN  TRANSFER'!F:F, "ADJUSTMENT (+)") - SUMIFS('STOCK IN  TRANSFER'!G:G, 'STOCK IN  TRANSFER'!E:E, B418, 'STOCK IN  TRANSFER'!F:F, "ADJUSTMENT (-)") - SUMIFS('STOCK IN  TRANSFER'!G:G, 'STOCK IN  TRANSFER'!E:E, B418, 'STOCK IN  TRANSFER'!F:F, "STOCK TRANSFER") - SUMIFS(SALES!H:H, SALES!E:E, B418)</f>
        <v>359</v>
      </c>
      <c r="F418" s="28"/>
    </row>
    <row r="419" ht="22.5" customHeight="1">
      <c r="A419" s="13" t="s">
        <v>1052</v>
      </c>
      <c r="B419" s="13" t="s">
        <v>1053</v>
      </c>
      <c r="C419" s="16">
        <v>65.0</v>
      </c>
      <c r="D419" s="13" t="s">
        <v>89</v>
      </c>
      <c r="E419" s="28">
        <f>SUMIFS('STOCK IN  TRANSFER'!G:G, 'STOCK IN  TRANSFER'!E:E, B419, 'STOCK IN  TRANSFER'!F:F, "STOCK IN") + SUMIFS('STOCK IN  TRANSFER'!G:G, 'STOCK IN  TRANSFER'!E:E, B419, 'STOCK IN  TRANSFER'!F:F, "ADJUSTMENT (+)") - SUMIFS('STOCK IN  TRANSFER'!G:G, 'STOCK IN  TRANSFER'!E:E, B419, 'STOCK IN  TRANSFER'!F:F, "ADJUSTMENT (-)") - SUMIFS('STOCK IN  TRANSFER'!G:G, 'STOCK IN  TRANSFER'!E:E, B419, 'STOCK IN  TRANSFER'!F:F, "STOCK TRANSFER") - SUMIFS(SALES!H:H, SALES!E:E, B419)</f>
        <v>0</v>
      </c>
      <c r="F419" s="28"/>
    </row>
    <row r="420" ht="22.5" customHeight="1">
      <c r="A420" s="13" t="s">
        <v>259</v>
      </c>
      <c r="B420" s="13" t="s">
        <v>1054</v>
      </c>
      <c r="C420" s="16">
        <v>99.0</v>
      </c>
      <c r="D420" s="13" t="s">
        <v>89</v>
      </c>
      <c r="E420" s="28">
        <f>SUMIFS('STOCK IN  TRANSFER'!G:G, 'STOCK IN  TRANSFER'!E:E, B420, 'STOCK IN  TRANSFER'!F:F, "STOCK IN") + SUMIFS('STOCK IN  TRANSFER'!G:G, 'STOCK IN  TRANSFER'!E:E, B420, 'STOCK IN  TRANSFER'!F:F, "ADJUSTMENT (+)") - SUMIFS('STOCK IN  TRANSFER'!G:G, 'STOCK IN  TRANSFER'!E:E, B420, 'STOCK IN  TRANSFER'!F:F, "ADJUSTMENT (-)") - SUMIFS('STOCK IN  TRANSFER'!G:G, 'STOCK IN  TRANSFER'!E:E, B420, 'STOCK IN  TRANSFER'!F:F, "STOCK TRANSFER") - SUMIFS(SALES!H:H, SALES!E:E, B420)</f>
        <v>2</v>
      </c>
      <c r="F420" s="28"/>
    </row>
    <row r="421" ht="22.5" customHeight="1">
      <c r="A421" s="13" t="s">
        <v>1055</v>
      </c>
      <c r="B421" s="13" t="s">
        <v>1056</v>
      </c>
      <c r="C421" s="16">
        <v>65.0</v>
      </c>
      <c r="D421" s="13" t="s">
        <v>89</v>
      </c>
      <c r="E421" s="28">
        <f>SUMIFS('STOCK IN  TRANSFER'!G:G, 'STOCK IN  TRANSFER'!E:E, B421, 'STOCK IN  TRANSFER'!F:F, "STOCK IN") + SUMIFS('STOCK IN  TRANSFER'!G:G, 'STOCK IN  TRANSFER'!E:E, B421, 'STOCK IN  TRANSFER'!F:F, "ADJUSTMENT (+)") - SUMIFS('STOCK IN  TRANSFER'!G:G, 'STOCK IN  TRANSFER'!E:E, B421, 'STOCK IN  TRANSFER'!F:F, "ADJUSTMENT (-)") - SUMIFS('STOCK IN  TRANSFER'!G:G, 'STOCK IN  TRANSFER'!E:E, B421, 'STOCK IN  TRANSFER'!F:F, "STOCK TRANSFER") - SUMIFS(SALES!H:H, SALES!E:E, B421)</f>
        <v>0</v>
      </c>
      <c r="F421" s="28"/>
    </row>
    <row r="422" ht="22.5" customHeight="1">
      <c r="A422" s="13" t="s">
        <v>1057</v>
      </c>
      <c r="B422" s="13" t="s">
        <v>1058</v>
      </c>
      <c r="C422" s="16">
        <v>35.0</v>
      </c>
      <c r="D422" s="13" t="s">
        <v>89</v>
      </c>
      <c r="E422" s="28">
        <f>SUMIFS('STOCK IN  TRANSFER'!G:G, 'STOCK IN  TRANSFER'!E:E, B422, 'STOCK IN  TRANSFER'!F:F, "STOCK IN") + SUMIFS('STOCK IN  TRANSFER'!G:G, 'STOCK IN  TRANSFER'!E:E, B422, 'STOCK IN  TRANSFER'!F:F, "ADJUSTMENT (+)") - SUMIFS('STOCK IN  TRANSFER'!G:G, 'STOCK IN  TRANSFER'!E:E, B422, 'STOCK IN  TRANSFER'!F:F, "ADJUSTMENT (-)") - SUMIFS('STOCK IN  TRANSFER'!G:G, 'STOCK IN  TRANSFER'!E:E, B422, 'STOCK IN  TRANSFER'!F:F, "STOCK TRANSFER") - SUMIFS(SALES!H:H, SALES!E:E, B422)</f>
        <v>0</v>
      </c>
      <c r="F422" s="28"/>
    </row>
    <row r="423" ht="22.5" customHeight="1">
      <c r="A423" s="13" t="s">
        <v>121</v>
      </c>
      <c r="B423" s="13" t="s">
        <v>1059</v>
      </c>
      <c r="C423" s="16">
        <v>25.0</v>
      </c>
      <c r="D423" s="13" t="s">
        <v>89</v>
      </c>
      <c r="E423" s="28">
        <f>SUMIFS('STOCK IN  TRANSFER'!G:G, 'STOCK IN  TRANSFER'!E:E, B423, 'STOCK IN  TRANSFER'!F:F, "STOCK IN") + SUMIFS('STOCK IN  TRANSFER'!G:G, 'STOCK IN  TRANSFER'!E:E, B423, 'STOCK IN  TRANSFER'!F:F, "ADJUSTMENT (+)") - SUMIFS('STOCK IN  TRANSFER'!G:G, 'STOCK IN  TRANSFER'!E:E, B423, 'STOCK IN  TRANSFER'!F:F, "ADJUSTMENT (-)") - SUMIFS('STOCK IN  TRANSFER'!G:G, 'STOCK IN  TRANSFER'!E:E, B423, 'STOCK IN  TRANSFER'!F:F, "STOCK TRANSFER") - SUMIFS(SALES!H:H, SALES!E:E, B423)</f>
        <v>-1</v>
      </c>
      <c r="F423" s="28"/>
    </row>
    <row r="424" ht="22.5" customHeight="1">
      <c r="A424" s="13" t="s">
        <v>1060</v>
      </c>
      <c r="B424" s="13" t="s">
        <v>1061</v>
      </c>
      <c r="C424" s="16">
        <v>18.0</v>
      </c>
      <c r="D424" s="13" t="s">
        <v>89</v>
      </c>
      <c r="E424" s="28">
        <f>SUMIFS('STOCK IN  TRANSFER'!G:G, 'STOCK IN  TRANSFER'!E:E, B424, 'STOCK IN  TRANSFER'!F:F, "STOCK IN") + SUMIFS('STOCK IN  TRANSFER'!G:G, 'STOCK IN  TRANSFER'!E:E, B424, 'STOCK IN  TRANSFER'!F:F, "ADJUSTMENT (+)") - SUMIFS('STOCK IN  TRANSFER'!G:G, 'STOCK IN  TRANSFER'!E:E, B424, 'STOCK IN  TRANSFER'!F:F, "ADJUSTMENT (-)") - SUMIFS('STOCK IN  TRANSFER'!G:G, 'STOCK IN  TRANSFER'!E:E, B424, 'STOCK IN  TRANSFER'!F:F, "STOCK TRANSFER") - SUMIFS(SALES!H:H, SALES!E:E, B424)</f>
        <v>0</v>
      </c>
      <c r="F424" s="28"/>
    </row>
    <row r="425" ht="22.5" customHeight="1">
      <c r="A425" s="13" t="s">
        <v>1062</v>
      </c>
      <c r="B425" s="13" t="s">
        <v>1063</v>
      </c>
      <c r="C425" s="16">
        <v>35.0</v>
      </c>
      <c r="D425" s="13" t="s">
        <v>89</v>
      </c>
      <c r="E425" s="28">
        <f>SUMIFS('STOCK IN  TRANSFER'!G:G, 'STOCK IN  TRANSFER'!E:E, B425, 'STOCK IN  TRANSFER'!F:F, "STOCK IN") + SUMIFS('STOCK IN  TRANSFER'!G:G, 'STOCK IN  TRANSFER'!E:E, B425, 'STOCK IN  TRANSFER'!F:F, "ADJUSTMENT (+)") - SUMIFS('STOCK IN  TRANSFER'!G:G, 'STOCK IN  TRANSFER'!E:E, B425, 'STOCK IN  TRANSFER'!F:F, "ADJUSTMENT (-)") - SUMIFS('STOCK IN  TRANSFER'!G:G, 'STOCK IN  TRANSFER'!E:E, B425, 'STOCK IN  TRANSFER'!F:F, "STOCK TRANSFER") - SUMIFS(SALES!H:H, SALES!E:E, B425)</f>
        <v>0</v>
      </c>
      <c r="F425" s="28"/>
    </row>
    <row r="426" ht="22.5" customHeight="1">
      <c r="A426" s="13" t="s">
        <v>246</v>
      </c>
      <c r="B426" s="13" t="s">
        <v>1064</v>
      </c>
      <c r="C426" s="16">
        <v>495.0</v>
      </c>
      <c r="D426" s="13" t="s">
        <v>75</v>
      </c>
      <c r="E426" s="28">
        <f>SUMIFS('STOCK IN  TRANSFER'!G:G, 'STOCK IN  TRANSFER'!E:E, B426, 'STOCK IN  TRANSFER'!F:F, "STOCK IN") + SUMIFS('STOCK IN  TRANSFER'!G:G, 'STOCK IN  TRANSFER'!E:E, B426, 'STOCK IN  TRANSFER'!F:F, "ADJUSTMENT (+)") - SUMIFS('STOCK IN  TRANSFER'!G:G, 'STOCK IN  TRANSFER'!E:E, B426, 'STOCK IN  TRANSFER'!F:F, "ADJUSTMENT (-)") - SUMIFS('STOCK IN  TRANSFER'!G:G, 'STOCK IN  TRANSFER'!E:E, B426, 'STOCK IN  TRANSFER'!F:F, "STOCK TRANSFER") - SUMIFS(SALES!H:H, SALES!E:E, B426)</f>
        <v>4</v>
      </c>
      <c r="F426" s="28"/>
    </row>
    <row r="427" ht="22.5" customHeight="1">
      <c r="A427" s="13" t="s">
        <v>674</v>
      </c>
      <c r="B427" s="13" t="s">
        <v>1065</v>
      </c>
      <c r="C427" s="16">
        <v>150.0</v>
      </c>
      <c r="D427" s="13" t="s">
        <v>39</v>
      </c>
      <c r="E427" s="28">
        <f>SUMIFS('STOCK IN  TRANSFER'!G:G, 'STOCK IN  TRANSFER'!E:E, B427, 'STOCK IN  TRANSFER'!F:F, "STOCK IN") + SUMIFS('STOCK IN  TRANSFER'!G:G, 'STOCK IN  TRANSFER'!E:E, B427, 'STOCK IN  TRANSFER'!F:F, "ADJUSTMENT (+)") - SUMIFS('STOCK IN  TRANSFER'!G:G, 'STOCK IN  TRANSFER'!E:E, B427, 'STOCK IN  TRANSFER'!F:F, "ADJUSTMENT (-)") - SUMIFS('STOCK IN  TRANSFER'!G:G, 'STOCK IN  TRANSFER'!E:E, B427, 'STOCK IN  TRANSFER'!F:F, "STOCK TRANSFER") - SUMIFS(SALES!H:H, SALES!E:E, B427)</f>
        <v>3</v>
      </c>
      <c r="F427" s="28"/>
    </row>
    <row r="428" ht="22.5" customHeight="1">
      <c r="A428" s="13" t="s">
        <v>950</v>
      </c>
      <c r="B428" s="13" t="s">
        <v>1066</v>
      </c>
      <c r="C428" s="16">
        <v>1780.0</v>
      </c>
      <c r="D428" s="13" t="s">
        <v>83</v>
      </c>
      <c r="E428" s="28">
        <f>SUMIFS('STOCK IN  TRANSFER'!G:G, 'STOCK IN  TRANSFER'!E:E, B428, 'STOCK IN  TRANSFER'!F:F, "STOCK IN") + SUMIFS('STOCK IN  TRANSFER'!G:G, 'STOCK IN  TRANSFER'!E:E, B428, 'STOCK IN  TRANSFER'!F:F, "ADJUSTMENT (+)") - SUMIFS('STOCK IN  TRANSFER'!G:G, 'STOCK IN  TRANSFER'!E:E, B428, 'STOCK IN  TRANSFER'!F:F, "ADJUSTMENT (-)") - SUMIFS('STOCK IN  TRANSFER'!G:G, 'STOCK IN  TRANSFER'!E:E, B428, 'STOCK IN  TRANSFER'!F:F, "STOCK TRANSFER") - SUMIFS(SALES!H:H, SALES!E:E, B428)</f>
        <v>3</v>
      </c>
      <c r="F428" s="28"/>
    </row>
    <row r="429" ht="22.5" customHeight="1">
      <c r="A429" s="13" t="s">
        <v>798</v>
      </c>
      <c r="B429" s="13" t="s">
        <v>1067</v>
      </c>
      <c r="C429" s="16">
        <v>1400.0</v>
      </c>
      <c r="D429" s="13" t="s">
        <v>75</v>
      </c>
      <c r="E429" s="28">
        <f>SUMIFS('STOCK IN  TRANSFER'!G:G, 'STOCK IN  TRANSFER'!E:E, B429, 'STOCK IN  TRANSFER'!F:F, "STOCK IN") + SUMIFS('STOCK IN  TRANSFER'!G:G, 'STOCK IN  TRANSFER'!E:E, B429, 'STOCK IN  TRANSFER'!F:F, "ADJUSTMENT (+)") - SUMIFS('STOCK IN  TRANSFER'!G:G, 'STOCK IN  TRANSFER'!E:E, B429, 'STOCK IN  TRANSFER'!F:F, "ADJUSTMENT (-)") - SUMIFS('STOCK IN  TRANSFER'!G:G, 'STOCK IN  TRANSFER'!E:E, B429, 'STOCK IN  TRANSFER'!F:F, "STOCK TRANSFER") - SUMIFS(SALES!H:H, SALES!E:E, B429)</f>
        <v>-2</v>
      </c>
      <c r="F429" s="28"/>
    </row>
    <row r="430" ht="22.5" customHeight="1">
      <c r="A430" s="13" t="s">
        <v>57</v>
      </c>
      <c r="B430" s="13" t="s">
        <v>1069</v>
      </c>
      <c r="C430" s="16">
        <v>590.0</v>
      </c>
      <c r="D430" s="13" t="s">
        <v>83</v>
      </c>
      <c r="E430" s="28">
        <f>SUMIFS('STOCK IN  TRANSFER'!G:G, 'STOCK IN  TRANSFER'!E:E, B430, 'STOCK IN  TRANSFER'!F:F, "STOCK IN") + SUMIFS('STOCK IN  TRANSFER'!G:G, 'STOCK IN  TRANSFER'!E:E, B430, 'STOCK IN  TRANSFER'!F:F, "ADJUSTMENT (+)") - SUMIFS('STOCK IN  TRANSFER'!G:G, 'STOCK IN  TRANSFER'!E:E, B430, 'STOCK IN  TRANSFER'!F:F, "ADJUSTMENT (-)") - SUMIFS('STOCK IN  TRANSFER'!G:G, 'STOCK IN  TRANSFER'!E:E, B430, 'STOCK IN  TRANSFER'!F:F, "STOCK TRANSFER") - SUMIFS(SALES!H:H, SALES!E:E, B430)</f>
        <v>1</v>
      </c>
      <c r="F430" s="28"/>
    </row>
    <row r="431" ht="22.5" customHeight="1">
      <c r="A431" s="13" t="s">
        <v>1070</v>
      </c>
      <c r="B431" s="13" t="s">
        <v>1071</v>
      </c>
      <c r="C431" s="16">
        <v>2205.0</v>
      </c>
      <c r="D431" s="13" t="s">
        <v>83</v>
      </c>
      <c r="E431" s="28">
        <f>SUMIFS('STOCK IN  TRANSFER'!G:G, 'STOCK IN  TRANSFER'!E:E, B431, 'STOCK IN  TRANSFER'!F:F, "STOCK IN") + SUMIFS('STOCK IN  TRANSFER'!G:G, 'STOCK IN  TRANSFER'!E:E, B431, 'STOCK IN  TRANSFER'!F:F, "ADJUSTMENT (+)") - SUMIFS('STOCK IN  TRANSFER'!G:G, 'STOCK IN  TRANSFER'!E:E, B431, 'STOCK IN  TRANSFER'!F:F, "ADJUSTMENT (-)") - SUMIFS('STOCK IN  TRANSFER'!G:G, 'STOCK IN  TRANSFER'!E:E, B431, 'STOCK IN  TRANSFER'!F:F, "STOCK TRANSFER") - SUMIFS(SALES!H:H, SALES!E:E, B431)</f>
        <v>0</v>
      </c>
      <c r="F431" s="28"/>
    </row>
    <row r="432" ht="22.5" customHeight="1">
      <c r="A432" s="13" t="s">
        <v>922</v>
      </c>
      <c r="B432" s="13" t="s">
        <v>1072</v>
      </c>
      <c r="C432" s="16">
        <v>160.0</v>
      </c>
      <c r="D432" s="13" t="s">
        <v>179</v>
      </c>
      <c r="E432" s="28">
        <f>SUMIFS('STOCK IN  TRANSFER'!G:G, 'STOCK IN  TRANSFER'!E:E, B432, 'STOCK IN  TRANSFER'!F:F, "STOCK IN") + SUMIFS('STOCK IN  TRANSFER'!G:G, 'STOCK IN  TRANSFER'!E:E, B432, 'STOCK IN  TRANSFER'!F:F, "ADJUSTMENT (+)") - SUMIFS('STOCK IN  TRANSFER'!G:G, 'STOCK IN  TRANSFER'!E:E, B432, 'STOCK IN  TRANSFER'!F:F, "ADJUSTMENT (-)") - SUMIFS('STOCK IN  TRANSFER'!G:G, 'STOCK IN  TRANSFER'!E:E, B432, 'STOCK IN  TRANSFER'!F:F, "STOCK TRANSFER") - SUMIFS(SALES!H:H, SALES!E:E, B432)</f>
        <v>9</v>
      </c>
      <c r="F432" s="28"/>
    </row>
    <row r="433" ht="22.5" customHeight="1">
      <c r="A433" s="13" t="s">
        <v>1074</v>
      </c>
      <c r="B433" s="13" t="s">
        <v>1075</v>
      </c>
      <c r="C433" s="16">
        <v>240.0</v>
      </c>
      <c r="D433" s="13" t="s">
        <v>146</v>
      </c>
      <c r="E433" s="28">
        <f>SUMIFS('STOCK IN  TRANSFER'!G:G, 'STOCK IN  TRANSFER'!E:E, B433, 'STOCK IN  TRANSFER'!F:F, "STOCK IN") + SUMIFS('STOCK IN  TRANSFER'!G:G, 'STOCK IN  TRANSFER'!E:E, B433, 'STOCK IN  TRANSFER'!F:F, "ADJUSTMENT (+)") - SUMIFS('STOCK IN  TRANSFER'!G:G, 'STOCK IN  TRANSFER'!E:E, B433, 'STOCK IN  TRANSFER'!F:F, "ADJUSTMENT (-)") - SUMIFS('STOCK IN  TRANSFER'!G:G, 'STOCK IN  TRANSFER'!E:E, B433, 'STOCK IN  TRANSFER'!F:F, "STOCK TRANSFER") - SUMIFS(SALES!H:H, SALES!E:E, B433)</f>
        <v>0</v>
      </c>
      <c r="F433" s="28"/>
    </row>
    <row r="434" ht="22.5" customHeight="1">
      <c r="A434" s="13" t="s">
        <v>1077</v>
      </c>
      <c r="B434" s="13" t="s">
        <v>1078</v>
      </c>
      <c r="C434" s="16">
        <v>0.0</v>
      </c>
      <c r="D434" s="13" t="s">
        <v>39</v>
      </c>
      <c r="E434" s="28">
        <f>SUMIFS('STOCK IN  TRANSFER'!G:G, 'STOCK IN  TRANSFER'!E:E, B434, 'STOCK IN  TRANSFER'!F:F, "STOCK IN") + SUMIFS('STOCK IN  TRANSFER'!G:G, 'STOCK IN  TRANSFER'!E:E, B434, 'STOCK IN  TRANSFER'!F:F, "ADJUSTMENT (+)") - SUMIFS('STOCK IN  TRANSFER'!G:G, 'STOCK IN  TRANSFER'!E:E, B434, 'STOCK IN  TRANSFER'!F:F, "ADJUSTMENT (-)") - SUMIFS('STOCK IN  TRANSFER'!G:G, 'STOCK IN  TRANSFER'!E:E, B434, 'STOCK IN  TRANSFER'!F:F, "STOCK TRANSFER") - SUMIFS(SALES!H:H, SALES!E:E, B434)</f>
        <v>0</v>
      </c>
      <c r="F434" s="28"/>
    </row>
    <row r="435" ht="22.5" customHeight="1">
      <c r="A435" s="13" t="s">
        <v>1079</v>
      </c>
      <c r="B435" s="13" t="s">
        <v>1080</v>
      </c>
      <c r="C435" s="16">
        <v>0.0</v>
      </c>
      <c r="D435" s="13" t="s">
        <v>343</v>
      </c>
      <c r="E435" s="28">
        <f>SUMIFS('STOCK IN  TRANSFER'!G:G, 'STOCK IN  TRANSFER'!E:E, B435, 'STOCK IN  TRANSFER'!F:F, "STOCK IN") + SUMIFS('STOCK IN  TRANSFER'!G:G, 'STOCK IN  TRANSFER'!E:E, B435, 'STOCK IN  TRANSFER'!F:F, "ADJUSTMENT (+)") - SUMIFS('STOCK IN  TRANSFER'!G:G, 'STOCK IN  TRANSFER'!E:E, B435, 'STOCK IN  TRANSFER'!F:F, "ADJUSTMENT (-)") - SUMIFS('STOCK IN  TRANSFER'!G:G, 'STOCK IN  TRANSFER'!E:E, B435, 'STOCK IN  TRANSFER'!F:F, "STOCK TRANSFER") - SUMIFS(SALES!H:H, SALES!E:E, B435)</f>
        <v>0</v>
      </c>
      <c r="F435" s="28"/>
    </row>
    <row r="436" ht="22.5" customHeight="1">
      <c r="A436" s="13" t="s">
        <v>1023</v>
      </c>
      <c r="B436" s="13" t="s">
        <v>1081</v>
      </c>
      <c r="C436" s="16">
        <v>820.0</v>
      </c>
      <c r="D436" s="13" t="s">
        <v>28</v>
      </c>
      <c r="E436" s="28">
        <f>SUMIFS('STOCK IN  TRANSFER'!G:G, 'STOCK IN  TRANSFER'!E:E, B436, 'STOCK IN  TRANSFER'!F:F, "STOCK IN") + SUMIFS('STOCK IN  TRANSFER'!G:G, 'STOCK IN  TRANSFER'!E:E, B436, 'STOCK IN  TRANSFER'!F:F, "ADJUSTMENT (+)") - SUMIFS('STOCK IN  TRANSFER'!G:G, 'STOCK IN  TRANSFER'!E:E, B436, 'STOCK IN  TRANSFER'!F:F, "ADJUSTMENT (-)") - SUMIFS('STOCK IN  TRANSFER'!G:G, 'STOCK IN  TRANSFER'!E:E, B436, 'STOCK IN  TRANSFER'!F:F, "STOCK TRANSFER") - SUMIFS(SALES!H:H, SALES!E:E, B436)</f>
        <v>0</v>
      </c>
      <c r="F436" s="28"/>
    </row>
    <row r="437" ht="22.5" customHeight="1">
      <c r="A437" s="13" t="s">
        <v>1083</v>
      </c>
      <c r="B437" s="13" t="s">
        <v>1084</v>
      </c>
      <c r="C437" s="16">
        <v>95.0</v>
      </c>
      <c r="D437" s="13" t="s">
        <v>267</v>
      </c>
      <c r="E437" s="28">
        <f>SUMIFS('STOCK IN  TRANSFER'!G:G, 'STOCK IN  TRANSFER'!E:E, B437, 'STOCK IN  TRANSFER'!F:F, "STOCK IN") + SUMIFS('STOCK IN  TRANSFER'!G:G, 'STOCK IN  TRANSFER'!E:E, B437, 'STOCK IN  TRANSFER'!F:F, "ADJUSTMENT (+)") - SUMIFS('STOCK IN  TRANSFER'!G:G, 'STOCK IN  TRANSFER'!E:E, B437, 'STOCK IN  TRANSFER'!F:F, "ADJUSTMENT (-)") - SUMIFS('STOCK IN  TRANSFER'!G:G, 'STOCK IN  TRANSFER'!E:E, B437, 'STOCK IN  TRANSFER'!F:F, "STOCK TRANSFER") - SUMIFS(SALES!H:H, SALES!E:E, B437)</f>
        <v>1</v>
      </c>
      <c r="F437" s="28"/>
    </row>
    <row r="438" ht="22.5" customHeight="1">
      <c r="A438" s="13" t="s">
        <v>1085</v>
      </c>
      <c r="B438" s="13" t="s">
        <v>1086</v>
      </c>
      <c r="C438" s="16">
        <v>95.0</v>
      </c>
      <c r="D438" s="13" t="s">
        <v>267</v>
      </c>
      <c r="E438" s="28">
        <f>SUMIFS('STOCK IN  TRANSFER'!G:G, 'STOCK IN  TRANSFER'!E:E, B438, 'STOCK IN  TRANSFER'!F:F, "STOCK IN") + SUMIFS('STOCK IN  TRANSFER'!G:G, 'STOCK IN  TRANSFER'!E:E, B438, 'STOCK IN  TRANSFER'!F:F, "ADJUSTMENT (+)") - SUMIFS('STOCK IN  TRANSFER'!G:G, 'STOCK IN  TRANSFER'!E:E, B438, 'STOCK IN  TRANSFER'!F:F, "ADJUSTMENT (-)") - SUMIFS('STOCK IN  TRANSFER'!G:G, 'STOCK IN  TRANSFER'!E:E, B438, 'STOCK IN  TRANSFER'!F:F, "STOCK TRANSFER") - SUMIFS(SALES!H:H, SALES!E:E, B438)</f>
        <v>0</v>
      </c>
      <c r="F438" s="28"/>
    </row>
    <row r="439" ht="22.5" customHeight="1">
      <c r="A439" s="13" t="s">
        <v>1087</v>
      </c>
      <c r="B439" s="13" t="s">
        <v>1088</v>
      </c>
      <c r="C439" s="16">
        <v>95.0</v>
      </c>
      <c r="D439" s="13" t="s">
        <v>267</v>
      </c>
      <c r="E439" s="28">
        <f>SUMIFS('STOCK IN  TRANSFER'!G:G, 'STOCK IN  TRANSFER'!E:E, B439, 'STOCK IN  TRANSFER'!F:F, "STOCK IN") + SUMIFS('STOCK IN  TRANSFER'!G:G, 'STOCK IN  TRANSFER'!E:E, B439, 'STOCK IN  TRANSFER'!F:F, "ADJUSTMENT (+)") - SUMIFS('STOCK IN  TRANSFER'!G:G, 'STOCK IN  TRANSFER'!E:E, B439, 'STOCK IN  TRANSFER'!F:F, "ADJUSTMENT (-)") - SUMIFS('STOCK IN  TRANSFER'!G:G, 'STOCK IN  TRANSFER'!E:E, B439, 'STOCK IN  TRANSFER'!F:F, "STOCK TRANSFER") - SUMIFS(SALES!H:H, SALES!E:E, B439)</f>
        <v>4</v>
      </c>
      <c r="F439" s="28"/>
    </row>
    <row r="440" ht="22.5" customHeight="1">
      <c r="A440" s="13" t="s">
        <v>1090</v>
      </c>
      <c r="B440" s="13" t="s">
        <v>1091</v>
      </c>
      <c r="C440" s="16">
        <v>399.0</v>
      </c>
      <c r="D440" s="13" t="s">
        <v>39</v>
      </c>
      <c r="E440" s="28">
        <f>SUMIFS('STOCK IN  TRANSFER'!G:G, 'STOCK IN  TRANSFER'!E:E, B440, 'STOCK IN  TRANSFER'!F:F, "STOCK IN") + SUMIFS('STOCK IN  TRANSFER'!G:G, 'STOCK IN  TRANSFER'!E:E, B440, 'STOCK IN  TRANSFER'!F:F, "ADJUSTMENT (+)") - SUMIFS('STOCK IN  TRANSFER'!G:G, 'STOCK IN  TRANSFER'!E:E, B440, 'STOCK IN  TRANSFER'!F:F, "ADJUSTMENT (-)") - SUMIFS('STOCK IN  TRANSFER'!G:G, 'STOCK IN  TRANSFER'!E:E, B440, 'STOCK IN  TRANSFER'!F:F, "STOCK TRANSFER") - SUMIFS(SALES!H:H, SALES!E:E, B440)</f>
        <v>4</v>
      </c>
      <c r="F440" s="28"/>
    </row>
    <row r="441" ht="22.5" customHeight="1">
      <c r="A441" s="13" t="s">
        <v>1092</v>
      </c>
      <c r="B441" s="13" t="s">
        <v>1093</v>
      </c>
      <c r="C441" s="16">
        <v>399.0</v>
      </c>
      <c r="D441" s="13" t="s">
        <v>39</v>
      </c>
      <c r="E441" s="28">
        <f>SUMIFS('STOCK IN  TRANSFER'!G:G, 'STOCK IN  TRANSFER'!E:E, B441, 'STOCK IN  TRANSFER'!F:F, "STOCK IN") + SUMIFS('STOCK IN  TRANSFER'!G:G, 'STOCK IN  TRANSFER'!E:E, B441, 'STOCK IN  TRANSFER'!F:F, "ADJUSTMENT (+)") - SUMIFS('STOCK IN  TRANSFER'!G:G, 'STOCK IN  TRANSFER'!E:E, B441, 'STOCK IN  TRANSFER'!F:F, "ADJUSTMENT (-)") - SUMIFS('STOCK IN  TRANSFER'!G:G, 'STOCK IN  TRANSFER'!E:E, B441, 'STOCK IN  TRANSFER'!F:F, "STOCK TRANSFER") - SUMIFS(SALES!H:H, SALES!E:E, B441)</f>
        <v>3</v>
      </c>
      <c r="F441" s="28"/>
    </row>
    <row r="442" ht="22.5" customHeight="1">
      <c r="A442" s="13" t="s">
        <v>1095</v>
      </c>
      <c r="B442" s="13" t="s">
        <v>1096</v>
      </c>
      <c r="C442" s="16">
        <v>1095.0</v>
      </c>
      <c r="D442" s="13" t="s">
        <v>28</v>
      </c>
      <c r="E442" s="28">
        <f>SUMIFS('STOCK IN  TRANSFER'!G:G, 'STOCK IN  TRANSFER'!E:E, B442, 'STOCK IN  TRANSFER'!F:F, "STOCK IN") + SUMIFS('STOCK IN  TRANSFER'!G:G, 'STOCK IN  TRANSFER'!E:E, B442, 'STOCK IN  TRANSFER'!F:F, "ADJUSTMENT (+)") - SUMIFS('STOCK IN  TRANSFER'!G:G, 'STOCK IN  TRANSFER'!E:E, B442, 'STOCK IN  TRANSFER'!F:F, "ADJUSTMENT (-)") - SUMIFS('STOCK IN  TRANSFER'!G:G, 'STOCK IN  TRANSFER'!E:E, B442, 'STOCK IN  TRANSFER'!F:F, "STOCK TRANSFER") - SUMIFS(SALES!H:H, SALES!E:E, B442)</f>
        <v>12</v>
      </c>
      <c r="F442" s="28"/>
    </row>
    <row r="443" ht="22.5" customHeight="1">
      <c r="A443" s="13" t="s">
        <v>1033</v>
      </c>
      <c r="B443" s="13" t="s">
        <v>1098</v>
      </c>
      <c r="C443" s="16">
        <v>42.4</v>
      </c>
      <c r="D443" s="13" t="s">
        <v>1099</v>
      </c>
      <c r="E443" s="28">
        <f>SUMIFS('STOCK IN  TRANSFER'!G:G, 'STOCK IN  TRANSFER'!E:E, B443, 'STOCK IN  TRANSFER'!F:F, "STOCK IN") + SUMIFS('STOCK IN  TRANSFER'!G:G, 'STOCK IN  TRANSFER'!E:E, B443, 'STOCK IN  TRANSFER'!F:F, "ADJUSTMENT (+)") - SUMIFS('STOCK IN  TRANSFER'!G:G, 'STOCK IN  TRANSFER'!E:E, B443, 'STOCK IN  TRANSFER'!F:F, "ADJUSTMENT (-)") - SUMIFS('STOCK IN  TRANSFER'!G:G, 'STOCK IN  TRANSFER'!E:E, B443, 'STOCK IN  TRANSFER'!F:F, "STOCK TRANSFER") - SUMIFS(SALES!H:H, SALES!E:E, B443)</f>
        <v>56</v>
      </c>
      <c r="F443" s="28"/>
    </row>
    <row r="444" ht="22.5" customHeight="1">
      <c r="A444" s="13" t="s">
        <v>315</v>
      </c>
      <c r="B444" s="13" t="s">
        <v>1100</v>
      </c>
      <c r="C444" s="16">
        <v>44.73</v>
      </c>
      <c r="D444" s="13" t="s">
        <v>1099</v>
      </c>
      <c r="E444" s="28">
        <f>SUMIFS('STOCK IN  TRANSFER'!G:G, 'STOCK IN  TRANSFER'!E:E, B444, 'STOCK IN  TRANSFER'!F:F, "STOCK IN") + SUMIFS('STOCK IN  TRANSFER'!G:G, 'STOCK IN  TRANSFER'!E:E, B444, 'STOCK IN  TRANSFER'!F:F, "ADJUSTMENT (+)") - SUMIFS('STOCK IN  TRANSFER'!G:G, 'STOCK IN  TRANSFER'!E:E, B444, 'STOCK IN  TRANSFER'!F:F, "ADJUSTMENT (-)") - SUMIFS('STOCK IN  TRANSFER'!G:G, 'STOCK IN  TRANSFER'!E:E, B444, 'STOCK IN  TRANSFER'!F:F, "STOCK TRANSFER") - SUMIFS(SALES!H:H, SALES!E:E, B444)</f>
        <v>18</v>
      </c>
      <c r="F444" s="28"/>
    </row>
    <row r="445" ht="22.5" customHeight="1">
      <c r="A445" s="13" t="s">
        <v>1046</v>
      </c>
      <c r="B445" s="13" t="s">
        <v>1101</v>
      </c>
      <c r="C445" s="16">
        <v>55.36</v>
      </c>
      <c r="D445" s="13" t="s">
        <v>1099</v>
      </c>
      <c r="E445" s="28">
        <f>SUMIFS('STOCK IN  TRANSFER'!G:G, 'STOCK IN  TRANSFER'!E:E, B445, 'STOCK IN  TRANSFER'!F:F, "STOCK IN") + SUMIFS('STOCK IN  TRANSFER'!G:G, 'STOCK IN  TRANSFER'!E:E, B445, 'STOCK IN  TRANSFER'!F:F, "ADJUSTMENT (+)") - SUMIFS('STOCK IN  TRANSFER'!G:G, 'STOCK IN  TRANSFER'!E:E, B445, 'STOCK IN  TRANSFER'!F:F, "ADJUSTMENT (-)") - SUMIFS('STOCK IN  TRANSFER'!G:G, 'STOCK IN  TRANSFER'!E:E, B445, 'STOCK IN  TRANSFER'!F:F, "STOCK TRANSFER") - SUMIFS(SALES!H:H, SALES!E:E, B445)</f>
        <v>130</v>
      </c>
      <c r="F445" s="28"/>
    </row>
    <row r="446" ht="22.5" customHeight="1">
      <c r="A446" s="13" t="s">
        <v>1051</v>
      </c>
      <c r="B446" s="13" t="s">
        <v>1102</v>
      </c>
      <c r="C446" s="16">
        <v>39.03</v>
      </c>
      <c r="D446" s="13" t="s">
        <v>1099</v>
      </c>
      <c r="E446" s="28">
        <f>SUMIFS('STOCK IN  TRANSFER'!G:G, 'STOCK IN  TRANSFER'!E:E, B446, 'STOCK IN  TRANSFER'!F:F, "STOCK IN") + SUMIFS('STOCK IN  TRANSFER'!G:G, 'STOCK IN  TRANSFER'!E:E, B446, 'STOCK IN  TRANSFER'!F:F, "ADJUSTMENT (+)") - SUMIFS('STOCK IN  TRANSFER'!G:G, 'STOCK IN  TRANSFER'!E:E, B446, 'STOCK IN  TRANSFER'!F:F, "ADJUSTMENT (-)") - SUMIFS('STOCK IN  TRANSFER'!G:G, 'STOCK IN  TRANSFER'!E:E, B446, 'STOCK IN  TRANSFER'!F:F, "STOCK TRANSFER") - SUMIFS(SALES!H:H, SALES!E:E, B446)</f>
        <v>94</v>
      </c>
      <c r="F446" s="28"/>
    </row>
    <row r="447" ht="22.5" customHeight="1">
      <c r="A447" s="13" t="s">
        <v>136</v>
      </c>
      <c r="B447" s="13" t="s">
        <v>1103</v>
      </c>
      <c r="C447" s="16">
        <v>23.59</v>
      </c>
      <c r="D447" s="13" t="s">
        <v>89</v>
      </c>
      <c r="E447" s="28">
        <f>SUMIFS('STOCK IN  TRANSFER'!G:G, 'STOCK IN  TRANSFER'!E:E, B447, 'STOCK IN  TRANSFER'!F:F, "STOCK IN") + SUMIFS('STOCK IN  TRANSFER'!G:G, 'STOCK IN  TRANSFER'!E:E, B447, 'STOCK IN  TRANSFER'!F:F, "ADJUSTMENT (+)") - SUMIFS('STOCK IN  TRANSFER'!G:G, 'STOCK IN  TRANSFER'!E:E, B447, 'STOCK IN  TRANSFER'!F:F, "ADJUSTMENT (-)") - SUMIFS('STOCK IN  TRANSFER'!G:G, 'STOCK IN  TRANSFER'!E:E, B447, 'STOCK IN  TRANSFER'!F:F, "STOCK TRANSFER") - SUMIFS(SALES!H:H, SALES!E:E, B447)</f>
        <v>-13</v>
      </c>
      <c r="F447" s="28"/>
    </row>
    <row r="448" ht="22.5" customHeight="1">
      <c r="A448" s="13" t="s">
        <v>79</v>
      </c>
      <c r="B448" s="13" t="s">
        <v>1105</v>
      </c>
      <c r="C448" s="16">
        <v>15.73</v>
      </c>
      <c r="D448" s="13" t="s">
        <v>89</v>
      </c>
      <c r="E448" s="28">
        <f>SUMIFS('STOCK IN  TRANSFER'!G:G, 'STOCK IN  TRANSFER'!E:E, B448, 'STOCK IN  TRANSFER'!F:F, "STOCK IN") + SUMIFS('STOCK IN  TRANSFER'!G:G, 'STOCK IN  TRANSFER'!E:E, B448, 'STOCK IN  TRANSFER'!F:F, "ADJUSTMENT (+)") - SUMIFS('STOCK IN  TRANSFER'!G:G, 'STOCK IN  TRANSFER'!E:E, B448, 'STOCK IN  TRANSFER'!F:F, "ADJUSTMENT (-)") - SUMIFS('STOCK IN  TRANSFER'!G:G, 'STOCK IN  TRANSFER'!E:E, B448, 'STOCK IN  TRANSFER'!F:F, "STOCK TRANSFER") - SUMIFS(SALES!H:H, SALES!E:E, B448)</f>
        <v>39</v>
      </c>
      <c r="F448" s="28"/>
    </row>
    <row r="449" ht="22.5" customHeight="1">
      <c r="A449" s="13" t="s">
        <v>935</v>
      </c>
      <c r="B449" s="13" t="s">
        <v>1106</v>
      </c>
      <c r="C449" s="16">
        <v>63.0</v>
      </c>
      <c r="D449" s="13" t="s">
        <v>163</v>
      </c>
      <c r="E449" s="28">
        <f>SUMIFS('STOCK IN  TRANSFER'!G:G, 'STOCK IN  TRANSFER'!E:E, B449, 'STOCK IN  TRANSFER'!F:F, "STOCK IN") + SUMIFS('STOCK IN  TRANSFER'!G:G, 'STOCK IN  TRANSFER'!E:E, B449, 'STOCK IN  TRANSFER'!F:F, "ADJUSTMENT (+)") - SUMIFS('STOCK IN  TRANSFER'!G:G, 'STOCK IN  TRANSFER'!E:E, B449, 'STOCK IN  TRANSFER'!F:F, "ADJUSTMENT (-)") - SUMIFS('STOCK IN  TRANSFER'!G:G, 'STOCK IN  TRANSFER'!E:E, B449, 'STOCK IN  TRANSFER'!F:F, "STOCK TRANSFER") - SUMIFS(SALES!H:H, SALES!E:E, B449)</f>
        <v>13</v>
      </c>
      <c r="F449" s="28"/>
    </row>
    <row r="450" ht="22.5" customHeight="1">
      <c r="A450" s="13" t="s">
        <v>717</v>
      </c>
      <c r="B450" s="13" t="s">
        <v>1107</v>
      </c>
      <c r="C450" s="16">
        <v>32.0</v>
      </c>
      <c r="D450" s="13" t="s">
        <v>163</v>
      </c>
      <c r="E450" s="28">
        <f>SUMIFS('STOCK IN  TRANSFER'!G:G, 'STOCK IN  TRANSFER'!E:E, B450, 'STOCK IN  TRANSFER'!F:F, "STOCK IN") + SUMIFS('STOCK IN  TRANSFER'!G:G, 'STOCK IN  TRANSFER'!E:E, B450, 'STOCK IN  TRANSFER'!F:F, "ADJUSTMENT (+)") - SUMIFS('STOCK IN  TRANSFER'!G:G, 'STOCK IN  TRANSFER'!E:E, B450, 'STOCK IN  TRANSFER'!F:F, "ADJUSTMENT (-)") - SUMIFS('STOCK IN  TRANSFER'!G:G, 'STOCK IN  TRANSFER'!E:E, B450, 'STOCK IN  TRANSFER'!F:F, "STOCK TRANSFER") - SUMIFS(SALES!H:H, SALES!E:E, B450)</f>
        <v>14</v>
      </c>
      <c r="F450" s="28"/>
    </row>
    <row r="451" ht="22.5" customHeight="1">
      <c r="A451" s="13" t="s">
        <v>1089</v>
      </c>
      <c r="B451" s="13" t="s">
        <v>1108</v>
      </c>
      <c r="C451" s="16">
        <v>523.5</v>
      </c>
      <c r="D451" s="13" t="s">
        <v>124</v>
      </c>
      <c r="E451" s="28">
        <f>SUMIFS('STOCK IN  TRANSFER'!G:G, 'STOCK IN  TRANSFER'!E:E, B451, 'STOCK IN  TRANSFER'!F:F, "STOCK IN") + SUMIFS('STOCK IN  TRANSFER'!G:G, 'STOCK IN  TRANSFER'!E:E, B451, 'STOCK IN  TRANSFER'!F:F, "ADJUSTMENT (+)") - SUMIFS('STOCK IN  TRANSFER'!G:G, 'STOCK IN  TRANSFER'!E:E, B451, 'STOCK IN  TRANSFER'!F:F, "ADJUSTMENT (-)") - SUMIFS('STOCK IN  TRANSFER'!G:G, 'STOCK IN  TRANSFER'!E:E, B451, 'STOCK IN  TRANSFER'!F:F, "STOCK TRANSFER") - SUMIFS(SALES!H:H, SALES!E:E, B451)</f>
        <v>2</v>
      </c>
      <c r="F451" s="28"/>
    </row>
    <row r="452" ht="22.5" customHeight="1">
      <c r="A452" s="13" t="s">
        <v>777</v>
      </c>
      <c r="B452" s="13" t="s">
        <v>1109</v>
      </c>
      <c r="C452" s="16">
        <v>661.1</v>
      </c>
      <c r="D452" s="13" t="s">
        <v>124</v>
      </c>
      <c r="E452" s="28">
        <f>SUMIFS('STOCK IN  TRANSFER'!G:G, 'STOCK IN  TRANSFER'!E:E, B452, 'STOCK IN  TRANSFER'!F:F, "STOCK IN") + SUMIFS('STOCK IN  TRANSFER'!G:G, 'STOCK IN  TRANSFER'!E:E, B452, 'STOCK IN  TRANSFER'!F:F, "ADJUSTMENT (+)") - SUMIFS('STOCK IN  TRANSFER'!G:G, 'STOCK IN  TRANSFER'!E:E, B452, 'STOCK IN  TRANSFER'!F:F, "ADJUSTMENT (-)") - SUMIFS('STOCK IN  TRANSFER'!G:G, 'STOCK IN  TRANSFER'!E:E, B452, 'STOCK IN  TRANSFER'!F:F, "STOCK TRANSFER") - SUMIFS(SALES!H:H, SALES!E:E, B452)</f>
        <v>0</v>
      </c>
      <c r="F452" s="28"/>
    </row>
    <row r="453" ht="22.5" customHeight="1">
      <c r="A453" s="13" t="s">
        <v>1110</v>
      </c>
      <c r="B453" s="13" t="s">
        <v>1111</v>
      </c>
      <c r="C453" s="16">
        <v>661.1</v>
      </c>
      <c r="D453" s="13" t="s">
        <v>124</v>
      </c>
      <c r="E453" s="28">
        <f>SUMIFS('STOCK IN  TRANSFER'!G:G, 'STOCK IN  TRANSFER'!E:E, B453, 'STOCK IN  TRANSFER'!F:F, "STOCK IN") + SUMIFS('STOCK IN  TRANSFER'!G:G, 'STOCK IN  TRANSFER'!E:E, B453, 'STOCK IN  TRANSFER'!F:F, "ADJUSTMENT (+)") - SUMIFS('STOCK IN  TRANSFER'!G:G, 'STOCK IN  TRANSFER'!E:E, B453, 'STOCK IN  TRANSFER'!F:F, "ADJUSTMENT (-)") - SUMIFS('STOCK IN  TRANSFER'!G:G, 'STOCK IN  TRANSFER'!E:E, B453, 'STOCK IN  TRANSFER'!F:F, "STOCK TRANSFER") - SUMIFS(SALES!H:H, SALES!E:E, B453)</f>
        <v>0</v>
      </c>
      <c r="F453" s="28"/>
    </row>
    <row r="454" ht="22.5" customHeight="1">
      <c r="A454" s="13" t="s">
        <v>1009</v>
      </c>
      <c r="B454" s="13" t="s">
        <v>1112</v>
      </c>
      <c r="C454" s="16">
        <v>104.6</v>
      </c>
      <c r="D454" s="13" t="s">
        <v>172</v>
      </c>
      <c r="E454" s="28">
        <f>SUMIFS('STOCK IN  TRANSFER'!G:G, 'STOCK IN  TRANSFER'!E:E, B454, 'STOCK IN  TRANSFER'!F:F, "STOCK IN") + SUMIFS('STOCK IN  TRANSFER'!G:G, 'STOCK IN  TRANSFER'!E:E, B454, 'STOCK IN  TRANSFER'!F:F, "ADJUSTMENT (+)") - SUMIFS('STOCK IN  TRANSFER'!G:G, 'STOCK IN  TRANSFER'!E:E, B454, 'STOCK IN  TRANSFER'!F:F, "ADJUSTMENT (-)") - SUMIFS('STOCK IN  TRANSFER'!G:G, 'STOCK IN  TRANSFER'!E:E, B454, 'STOCK IN  TRANSFER'!F:F, "STOCK TRANSFER") - SUMIFS(SALES!H:H, SALES!E:E, B454)</f>
        <v>6</v>
      </c>
      <c r="F454" s="13"/>
    </row>
    <row r="455" ht="22.5" customHeight="1">
      <c r="A455" s="13" t="s">
        <v>1113</v>
      </c>
      <c r="B455" s="13" t="s">
        <v>1114</v>
      </c>
      <c r="C455" s="16">
        <v>53.0</v>
      </c>
      <c r="D455" s="13" t="s">
        <v>267</v>
      </c>
      <c r="E455" s="28">
        <f>SUMIFS('STOCK IN  TRANSFER'!G:G, 'STOCK IN  TRANSFER'!E:E, B455, 'STOCK IN  TRANSFER'!F:F, "STOCK IN") + SUMIFS('STOCK IN  TRANSFER'!G:G, 'STOCK IN  TRANSFER'!E:E, B455, 'STOCK IN  TRANSFER'!F:F, "ADJUSTMENT (+)") - SUMIFS('STOCK IN  TRANSFER'!G:G, 'STOCK IN  TRANSFER'!E:E, B455, 'STOCK IN  TRANSFER'!F:F, "ADJUSTMENT (-)") - SUMIFS('STOCK IN  TRANSFER'!G:G, 'STOCK IN  TRANSFER'!E:E, B455, 'STOCK IN  TRANSFER'!F:F, "STOCK TRANSFER") - SUMIFS(SALES!H:H, SALES!E:E, B455)</f>
        <v>0</v>
      </c>
      <c r="F455" s="28"/>
    </row>
    <row r="456" ht="22.5" customHeight="1">
      <c r="A456" s="13" t="s">
        <v>969</v>
      </c>
      <c r="B456" s="13" t="s">
        <v>1115</v>
      </c>
      <c r="C456" s="16">
        <v>80.59</v>
      </c>
      <c r="D456" s="13" t="s">
        <v>267</v>
      </c>
      <c r="E456" s="28">
        <f>SUMIFS('STOCK IN  TRANSFER'!G:G, 'STOCK IN  TRANSFER'!E:E, B456, 'STOCK IN  TRANSFER'!F:F, "STOCK IN") + SUMIFS('STOCK IN  TRANSFER'!G:G, 'STOCK IN  TRANSFER'!E:E, B456, 'STOCK IN  TRANSFER'!F:F, "ADJUSTMENT (+)") - SUMIFS('STOCK IN  TRANSFER'!G:G, 'STOCK IN  TRANSFER'!E:E, B456, 'STOCK IN  TRANSFER'!F:F, "ADJUSTMENT (-)") - SUMIFS('STOCK IN  TRANSFER'!G:G, 'STOCK IN  TRANSFER'!E:E, B456, 'STOCK IN  TRANSFER'!F:F, "STOCK TRANSFER") - SUMIFS(SALES!H:H, SALES!E:E, B456)</f>
        <v>1</v>
      </c>
      <c r="F456" s="28"/>
    </row>
    <row r="457" ht="22.5" customHeight="1">
      <c r="A457" s="13" t="s">
        <v>1001</v>
      </c>
      <c r="B457" s="13" t="s">
        <v>1117</v>
      </c>
      <c r="C457" s="16">
        <v>104.6</v>
      </c>
      <c r="D457" s="13" t="s">
        <v>172</v>
      </c>
      <c r="E457" s="28">
        <f>SUMIFS('STOCK IN  TRANSFER'!G:G, 'STOCK IN  TRANSFER'!E:E, B457, 'STOCK IN  TRANSFER'!F:F, "STOCK IN") + SUMIFS('STOCK IN  TRANSFER'!G:G, 'STOCK IN  TRANSFER'!E:E, B457, 'STOCK IN  TRANSFER'!F:F, "ADJUSTMENT (+)") - SUMIFS('STOCK IN  TRANSFER'!G:G, 'STOCK IN  TRANSFER'!E:E, B457, 'STOCK IN  TRANSFER'!F:F, "ADJUSTMENT (-)") - SUMIFS('STOCK IN  TRANSFER'!G:G, 'STOCK IN  TRANSFER'!E:E, B457, 'STOCK IN  TRANSFER'!F:F, "STOCK TRANSFER") - SUMIFS(SALES!H:H, SALES!E:E, B457)</f>
        <v>6</v>
      </c>
      <c r="F457" s="28"/>
    </row>
    <row r="458" ht="22.5" customHeight="1">
      <c r="A458" s="13" t="s">
        <v>1118</v>
      </c>
      <c r="B458" s="13" t="s">
        <v>1120</v>
      </c>
      <c r="C458" s="16">
        <v>87.4523</v>
      </c>
      <c r="D458" s="13" t="s">
        <v>267</v>
      </c>
      <c r="E458" s="28">
        <f>SUMIFS('STOCK IN  TRANSFER'!G:G, 'STOCK IN  TRANSFER'!E:E, B458, 'STOCK IN  TRANSFER'!F:F, "STOCK IN") + SUMIFS('STOCK IN  TRANSFER'!G:G, 'STOCK IN  TRANSFER'!E:E, B458, 'STOCK IN  TRANSFER'!F:F, "ADJUSTMENT (+)") - SUMIFS('STOCK IN  TRANSFER'!G:G, 'STOCK IN  TRANSFER'!E:E, B458, 'STOCK IN  TRANSFER'!F:F, "ADJUSTMENT (-)") - SUMIFS('STOCK IN  TRANSFER'!G:G, 'STOCK IN  TRANSFER'!E:E, B458, 'STOCK IN  TRANSFER'!F:F, "STOCK TRANSFER") - SUMIFS(SALES!H:H, SALES!E:E, B458)</f>
        <v>0</v>
      </c>
      <c r="F458" s="28"/>
    </row>
    <row r="459" ht="22.5" customHeight="1">
      <c r="A459" s="13" t="s">
        <v>1121</v>
      </c>
      <c r="B459" s="13" t="s">
        <v>1122</v>
      </c>
      <c r="C459" s="16">
        <v>650.0</v>
      </c>
      <c r="D459" s="13" t="s">
        <v>89</v>
      </c>
      <c r="E459" s="28">
        <f>SUMIFS('STOCK IN  TRANSFER'!G:G, 'STOCK IN  TRANSFER'!E:E, B459, 'STOCK IN  TRANSFER'!F:F, "STOCK IN") + SUMIFS('STOCK IN  TRANSFER'!G:G, 'STOCK IN  TRANSFER'!E:E, B459, 'STOCK IN  TRANSFER'!F:F, "ADJUSTMENT (+)") - SUMIFS('STOCK IN  TRANSFER'!G:G, 'STOCK IN  TRANSFER'!E:E, B459, 'STOCK IN  TRANSFER'!F:F, "ADJUSTMENT (-)") - SUMIFS('STOCK IN  TRANSFER'!G:G, 'STOCK IN  TRANSFER'!E:E, B459, 'STOCK IN  TRANSFER'!F:F, "STOCK TRANSFER") - SUMIFS(SALES!H:H, SALES!E:E, B459)</f>
        <v>2</v>
      </c>
      <c r="F459" s="28"/>
    </row>
    <row r="460" ht="22.5" customHeight="1">
      <c r="A460" s="13" t="s">
        <v>1073</v>
      </c>
      <c r="B460" s="13" t="s">
        <v>1123</v>
      </c>
      <c r="C460" s="16">
        <v>834.0</v>
      </c>
      <c r="D460" s="13" t="s">
        <v>75</v>
      </c>
      <c r="E460" s="28">
        <f>SUMIFS('STOCK IN  TRANSFER'!G:G, 'STOCK IN  TRANSFER'!E:E, B460, 'STOCK IN  TRANSFER'!F:F, "STOCK IN") + SUMIFS('STOCK IN  TRANSFER'!G:G, 'STOCK IN  TRANSFER'!E:E, B460, 'STOCK IN  TRANSFER'!F:F, "ADJUSTMENT (+)") - SUMIFS('STOCK IN  TRANSFER'!G:G, 'STOCK IN  TRANSFER'!E:E, B460, 'STOCK IN  TRANSFER'!F:F, "ADJUSTMENT (-)") - SUMIFS('STOCK IN  TRANSFER'!G:G, 'STOCK IN  TRANSFER'!E:E, B460, 'STOCK IN  TRANSFER'!F:F, "STOCK TRANSFER") - SUMIFS(SALES!H:H, SALES!E:E, B460)</f>
        <v>0</v>
      </c>
      <c r="F460" s="28"/>
    </row>
    <row r="461" ht="22.5" customHeight="1">
      <c r="A461" s="13" t="s">
        <v>1124</v>
      </c>
      <c r="B461" s="13" t="s">
        <v>1125</v>
      </c>
      <c r="C461" s="16">
        <v>765.0</v>
      </c>
      <c r="D461" s="13" t="s">
        <v>28</v>
      </c>
      <c r="E461" s="28">
        <f>SUMIFS('STOCK IN  TRANSFER'!G:G, 'STOCK IN  TRANSFER'!E:E, B461, 'STOCK IN  TRANSFER'!F:F, "STOCK IN") + SUMIFS('STOCK IN  TRANSFER'!G:G, 'STOCK IN  TRANSFER'!E:E, B461, 'STOCK IN  TRANSFER'!F:F, "ADJUSTMENT (+)") - SUMIFS('STOCK IN  TRANSFER'!G:G, 'STOCK IN  TRANSFER'!E:E, B461, 'STOCK IN  TRANSFER'!F:F, "ADJUSTMENT (-)") - SUMIFS('STOCK IN  TRANSFER'!G:G, 'STOCK IN  TRANSFER'!E:E, B461, 'STOCK IN  TRANSFER'!F:F, "STOCK TRANSFER") - SUMIFS(SALES!H:H, SALES!E:E, B461)</f>
        <v>3</v>
      </c>
      <c r="F461" s="13"/>
    </row>
    <row r="462" ht="22.5" customHeight="1">
      <c r="A462" s="13" t="s">
        <v>1126</v>
      </c>
      <c r="B462" s="13" t="s">
        <v>1127</v>
      </c>
      <c r="C462" s="16">
        <v>615.0</v>
      </c>
      <c r="D462" s="13" t="s">
        <v>28</v>
      </c>
      <c r="E462" s="28">
        <f>SUMIFS('STOCK IN  TRANSFER'!G:G, 'STOCK IN  TRANSFER'!E:E, B462, 'STOCK IN  TRANSFER'!F:F, "STOCK IN") + SUMIFS('STOCK IN  TRANSFER'!G:G, 'STOCK IN  TRANSFER'!E:E, B462, 'STOCK IN  TRANSFER'!F:F, "ADJUSTMENT (+)") - SUMIFS('STOCK IN  TRANSFER'!G:G, 'STOCK IN  TRANSFER'!E:E, B462, 'STOCK IN  TRANSFER'!F:F, "ADJUSTMENT (-)") - SUMIFS('STOCK IN  TRANSFER'!G:G, 'STOCK IN  TRANSFER'!E:E, B462, 'STOCK IN  TRANSFER'!F:F, "STOCK TRANSFER") - SUMIFS(SALES!H:H, SALES!E:E, B462)</f>
        <v>1</v>
      </c>
      <c r="F462" s="13"/>
    </row>
    <row r="463" ht="22.5" customHeight="1">
      <c r="A463" s="13" t="s">
        <v>99</v>
      </c>
      <c r="B463" s="13" t="s">
        <v>1128</v>
      </c>
      <c r="C463" s="16">
        <v>92.0</v>
      </c>
      <c r="D463" s="13" t="s">
        <v>39</v>
      </c>
      <c r="E463" s="28">
        <f>SUMIFS('STOCK IN  TRANSFER'!G:G, 'STOCK IN  TRANSFER'!E:E, B463, 'STOCK IN  TRANSFER'!F:F, "STOCK IN") + SUMIFS('STOCK IN  TRANSFER'!G:G, 'STOCK IN  TRANSFER'!E:E, B463, 'STOCK IN  TRANSFER'!F:F, "ADJUSTMENT (+)") - SUMIFS('STOCK IN  TRANSFER'!G:G, 'STOCK IN  TRANSFER'!E:E, B463, 'STOCK IN  TRANSFER'!F:F, "ADJUSTMENT (-)") - SUMIFS('STOCK IN  TRANSFER'!G:G, 'STOCK IN  TRANSFER'!E:E, B463, 'STOCK IN  TRANSFER'!F:F, "STOCK TRANSFER") - SUMIFS(SALES!H:H, SALES!E:E, B463)</f>
        <v>8</v>
      </c>
      <c r="F463" s="28"/>
    </row>
    <row r="464" ht="22.5" customHeight="1">
      <c r="A464" s="13" t="s">
        <v>1076</v>
      </c>
      <c r="B464" s="13" t="s">
        <v>1129</v>
      </c>
      <c r="C464" s="16">
        <v>777.0</v>
      </c>
      <c r="D464" s="13" t="s">
        <v>75</v>
      </c>
      <c r="E464" s="28">
        <f>SUMIFS('STOCK IN  TRANSFER'!G:G, 'STOCK IN  TRANSFER'!E:E, B464, 'STOCK IN  TRANSFER'!F:F, "STOCK IN") + SUMIFS('STOCK IN  TRANSFER'!G:G, 'STOCK IN  TRANSFER'!E:E, B464, 'STOCK IN  TRANSFER'!F:F, "ADJUSTMENT (+)") - SUMIFS('STOCK IN  TRANSFER'!G:G, 'STOCK IN  TRANSFER'!E:E, B464, 'STOCK IN  TRANSFER'!F:F, "ADJUSTMENT (-)") - SUMIFS('STOCK IN  TRANSFER'!G:G, 'STOCK IN  TRANSFER'!E:E, B464, 'STOCK IN  TRANSFER'!F:F, "STOCK TRANSFER") - SUMIFS(SALES!H:H, SALES!E:E, B464)</f>
        <v>7</v>
      </c>
      <c r="F464" s="28"/>
    </row>
    <row r="465" ht="22.5" customHeight="1">
      <c r="A465" s="13" t="s">
        <v>1130</v>
      </c>
      <c r="B465" s="13" t="s">
        <v>1131</v>
      </c>
      <c r="C465" s="16">
        <v>545.0</v>
      </c>
      <c r="D465" s="13" t="s">
        <v>28</v>
      </c>
      <c r="E465" s="28">
        <f>SUMIFS('STOCK IN  TRANSFER'!G:G, 'STOCK IN  TRANSFER'!E:E, B465, 'STOCK IN  TRANSFER'!F:F, "STOCK IN") + SUMIFS('STOCK IN  TRANSFER'!G:G, 'STOCK IN  TRANSFER'!E:E, B465, 'STOCK IN  TRANSFER'!F:F, "ADJUSTMENT (+)") - SUMIFS('STOCK IN  TRANSFER'!G:G, 'STOCK IN  TRANSFER'!E:E, B465, 'STOCK IN  TRANSFER'!F:F, "ADJUSTMENT (-)") - SUMIFS('STOCK IN  TRANSFER'!G:G, 'STOCK IN  TRANSFER'!E:E, B465, 'STOCK IN  TRANSFER'!F:F, "STOCK TRANSFER") - SUMIFS(SALES!H:H, SALES!E:E, B465)</f>
        <v>2</v>
      </c>
      <c r="F465" s="28"/>
    </row>
    <row r="466" ht="22.5" customHeight="1">
      <c r="A466" s="13" t="s">
        <v>869</v>
      </c>
      <c r="B466" s="13" t="s">
        <v>1132</v>
      </c>
      <c r="C466" s="16">
        <v>495.0</v>
      </c>
      <c r="D466" s="13" t="s">
        <v>1133</v>
      </c>
      <c r="E466" s="28">
        <f>SUMIFS('STOCK IN  TRANSFER'!G:G, 'STOCK IN  TRANSFER'!E:E, B466, 'STOCK IN  TRANSFER'!F:F, "STOCK IN") + SUMIFS('STOCK IN  TRANSFER'!G:G, 'STOCK IN  TRANSFER'!E:E, B466, 'STOCK IN  TRANSFER'!F:F, "ADJUSTMENT (+)") - SUMIFS('STOCK IN  TRANSFER'!G:G, 'STOCK IN  TRANSFER'!E:E, B466, 'STOCK IN  TRANSFER'!F:F, "ADJUSTMENT (-)") - SUMIFS('STOCK IN  TRANSFER'!G:G, 'STOCK IN  TRANSFER'!E:E, B466, 'STOCK IN  TRANSFER'!F:F, "STOCK TRANSFER") - SUMIFS(SALES!H:H, SALES!E:E, B466)</f>
        <v>16</v>
      </c>
      <c r="F466" s="28"/>
    </row>
    <row r="467" ht="22.5" customHeight="1">
      <c r="A467" s="13" t="s">
        <v>1097</v>
      </c>
      <c r="B467" s="13" t="s">
        <v>1134</v>
      </c>
      <c r="C467" s="16">
        <v>925.5</v>
      </c>
      <c r="D467" s="13" t="s">
        <v>124</v>
      </c>
      <c r="E467" s="28">
        <f>SUMIFS('STOCK IN  TRANSFER'!G:G, 'STOCK IN  TRANSFER'!E:E, B467, 'STOCK IN  TRANSFER'!F:F, "STOCK IN") + SUMIFS('STOCK IN  TRANSFER'!G:G, 'STOCK IN  TRANSFER'!E:E, B467, 'STOCK IN  TRANSFER'!F:F, "ADJUSTMENT (+)") - SUMIFS('STOCK IN  TRANSFER'!G:G, 'STOCK IN  TRANSFER'!E:E, B467, 'STOCK IN  TRANSFER'!F:F, "ADJUSTMENT (-)") - SUMIFS('STOCK IN  TRANSFER'!G:G, 'STOCK IN  TRANSFER'!E:E, B467, 'STOCK IN  TRANSFER'!F:F, "STOCK TRANSFER") - SUMIFS(SALES!H:H, SALES!E:E, B467)</f>
        <v>3</v>
      </c>
      <c r="F467" s="28"/>
    </row>
    <row r="468" ht="22.5" customHeight="1">
      <c r="A468" s="13" t="s">
        <v>1135</v>
      </c>
      <c r="B468" s="13" t="s">
        <v>1136</v>
      </c>
      <c r="C468" s="16">
        <v>85.0</v>
      </c>
      <c r="D468" s="13" t="s">
        <v>172</v>
      </c>
      <c r="E468" s="28">
        <f>SUMIFS('STOCK IN  TRANSFER'!G:G, 'STOCK IN  TRANSFER'!E:E, B468, 'STOCK IN  TRANSFER'!F:F, "STOCK IN") + SUMIFS('STOCK IN  TRANSFER'!G:G, 'STOCK IN  TRANSFER'!E:E, B468, 'STOCK IN  TRANSFER'!F:F, "ADJUSTMENT (+)") - SUMIFS('STOCK IN  TRANSFER'!G:G, 'STOCK IN  TRANSFER'!E:E, B468, 'STOCK IN  TRANSFER'!F:F, "ADJUSTMENT (-)") - SUMIFS('STOCK IN  TRANSFER'!G:G, 'STOCK IN  TRANSFER'!E:E, B468, 'STOCK IN  TRANSFER'!F:F, "STOCK TRANSFER") - SUMIFS(SALES!H:H, SALES!E:E, B468)</f>
        <v>0</v>
      </c>
      <c r="F468" s="28"/>
    </row>
    <row r="469" ht="22.5" customHeight="1">
      <c r="A469" s="13" t="s">
        <v>1104</v>
      </c>
      <c r="B469" s="13" t="s">
        <v>1137</v>
      </c>
      <c r="C469" s="16">
        <v>595.7</v>
      </c>
      <c r="D469" s="13" t="s">
        <v>124</v>
      </c>
      <c r="E469" s="28">
        <f>SUMIFS('STOCK IN  TRANSFER'!G:G, 'STOCK IN  TRANSFER'!E:E, B469, 'STOCK IN  TRANSFER'!F:F, "STOCK IN") + SUMIFS('STOCK IN  TRANSFER'!G:G, 'STOCK IN  TRANSFER'!E:E, B469, 'STOCK IN  TRANSFER'!F:F, "ADJUSTMENT (+)") - SUMIFS('STOCK IN  TRANSFER'!G:G, 'STOCK IN  TRANSFER'!E:E, B469, 'STOCK IN  TRANSFER'!F:F, "ADJUSTMENT (-)") - SUMIFS('STOCK IN  TRANSFER'!G:G, 'STOCK IN  TRANSFER'!E:E, B469, 'STOCK IN  TRANSFER'!F:F, "STOCK TRANSFER") - SUMIFS(SALES!H:H, SALES!E:E, B469)</f>
        <v>1</v>
      </c>
      <c r="F469" s="28"/>
    </row>
    <row r="470" ht="22.5" customHeight="1">
      <c r="A470" s="13" t="s">
        <v>1094</v>
      </c>
      <c r="B470" s="13" t="s">
        <v>1138</v>
      </c>
      <c r="C470" s="16">
        <v>577.6</v>
      </c>
      <c r="D470" s="13" t="s">
        <v>124</v>
      </c>
      <c r="E470" s="28">
        <f>SUMIFS('STOCK IN  TRANSFER'!G:G, 'STOCK IN  TRANSFER'!E:E, B470, 'STOCK IN  TRANSFER'!F:F, "STOCK IN") + SUMIFS('STOCK IN  TRANSFER'!G:G, 'STOCK IN  TRANSFER'!E:E, B470, 'STOCK IN  TRANSFER'!F:F, "ADJUSTMENT (+)") - SUMIFS('STOCK IN  TRANSFER'!G:G, 'STOCK IN  TRANSFER'!E:E, B470, 'STOCK IN  TRANSFER'!F:F, "ADJUSTMENT (-)") - SUMIFS('STOCK IN  TRANSFER'!G:G, 'STOCK IN  TRANSFER'!E:E, B470, 'STOCK IN  TRANSFER'!F:F, "STOCK TRANSFER") - SUMIFS(SALES!H:H, SALES!E:E, B470)</f>
        <v>2</v>
      </c>
      <c r="F470" s="28"/>
    </row>
    <row r="471" ht="22.5" customHeight="1">
      <c r="A471" s="13" t="s">
        <v>1139</v>
      </c>
      <c r="B471" s="13" t="s">
        <v>1140</v>
      </c>
      <c r="C471" s="16">
        <v>661.1</v>
      </c>
      <c r="D471" s="13" t="s">
        <v>124</v>
      </c>
      <c r="E471" s="28">
        <f>SUMIFS('STOCK IN  TRANSFER'!G:G, 'STOCK IN  TRANSFER'!E:E, B471, 'STOCK IN  TRANSFER'!F:F, "STOCK IN") + SUMIFS('STOCK IN  TRANSFER'!G:G, 'STOCK IN  TRANSFER'!E:E, B471, 'STOCK IN  TRANSFER'!F:F, "ADJUSTMENT (+)") - SUMIFS('STOCK IN  TRANSFER'!G:G, 'STOCK IN  TRANSFER'!E:E, B471, 'STOCK IN  TRANSFER'!F:F, "ADJUSTMENT (-)") - SUMIFS('STOCK IN  TRANSFER'!G:G, 'STOCK IN  TRANSFER'!E:E, B471, 'STOCK IN  TRANSFER'!F:F, "STOCK TRANSFER") - SUMIFS(SALES!H:H, SALES!E:E, B471)</f>
        <v>0</v>
      </c>
      <c r="F471" s="28"/>
    </row>
    <row r="472" ht="22.5" customHeight="1">
      <c r="A472" s="13" t="s">
        <v>1116</v>
      </c>
      <c r="B472" s="13" t="s">
        <v>1141</v>
      </c>
      <c r="C472" s="16">
        <v>661.1</v>
      </c>
      <c r="D472" s="13" t="s">
        <v>124</v>
      </c>
      <c r="E472" s="28">
        <f>SUMIFS('STOCK IN  TRANSFER'!G:G, 'STOCK IN  TRANSFER'!E:E, B472, 'STOCK IN  TRANSFER'!F:F, "STOCK IN") + SUMIFS('STOCK IN  TRANSFER'!G:G, 'STOCK IN  TRANSFER'!E:E, B472, 'STOCK IN  TRANSFER'!F:F, "ADJUSTMENT (+)") - SUMIFS('STOCK IN  TRANSFER'!G:G, 'STOCK IN  TRANSFER'!E:E, B472, 'STOCK IN  TRANSFER'!F:F, "ADJUSTMENT (-)") - SUMIFS('STOCK IN  TRANSFER'!G:G, 'STOCK IN  TRANSFER'!E:E, B472, 'STOCK IN  TRANSFER'!F:F, "STOCK TRANSFER") - SUMIFS(SALES!H:H, SALES!E:E, B472)</f>
        <v>3</v>
      </c>
      <c r="F472" s="28"/>
    </row>
    <row r="473" ht="22.5" customHeight="1">
      <c r="A473" s="13" t="s">
        <v>1142</v>
      </c>
      <c r="B473" s="13" t="s">
        <v>1143</v>
      </c>
      <c r="C473" s="16">
        <v>0.0</v>
      </c>
      <c r="D473" s="13" t="s">
        <v>28</v>
      </c>
      <c r="E473" s="28">
        <f>SUMIFS('STOCK IN  TRANSFER'!G:G, 'STOCK IN  TRANSFER'!E:E, B473, 'STOCK IN  TRANSFER'!F:F, "STOCK IN") + SUMIFS('STOCK IN  TRANSFER'!G:G, 'STOCK IN  TRANSFER'!E:E, B473, 'STOCK IN  TRANSFER'!F:F, "ADJUSTMENT (+)") - SUMIFS('STOCK IN  TRANSFER'!G:G, 'STOCK IN  TRANSFER'!E:E, B473, 'STOCK IN  TRANSFER'!F:F, "ADJUSTMENT (-)") - SUMIFS('STOCK IN  TRANSFER'!G:G, 'STOCK IN  TRANSFER'!E:E, B473, 'STOCK IN  TRANSFER'!F:F, "STOCK TRANSFER") - SUMIFS(SALES!H:H, SALES!E:E, B473)</f>
        <v>0</v>
      </c>
      <c r="F473" s="28"/>
    </row>
    <row r="474" ht="22.5" customHeight="1">
      <c r="A474" s="13" t="s">
        <v>1082</v>
      </c>
      <c r="B474" s="13" t="s">
        <v>1144</v>
      </c>
      <c r="C474" s="16">
        <v>979.0</v>
      </c>
      <c r="D474" s="13" t="s">
        <v>124</v>
      </c>
      <c r="E474" s="28">
        <f>SUMIFS('STOCK IN  TRANSFER'!G:G, 'STOCK IN  TRANSFER'!E:E, B474, 'STOCK IN  TRANSFER'!F:F, "STOCK IN") + SUMIFS('STOCK IN  TRANSFER'!G:G, 'STOCK IN  TRANSFER'!E:E, B474, 'STOCK IN  TRANSFER'!F:F, "ADJUSTMENT (+)") - SUMIFS('STOCK IN  TRANSFER'!G:G, 'STOCK IN  TRANSFER'!E:E, B474, 'STOCK IN  TRANSFER'!F:F, "ADJUSTMENT (-)") - SUMIFS('STOCK IN  TRANSFER'!G:G, 'STOCK IN  TRANSFER'!E:E, B474, 'STOCK IN  TRANSFER'!F:F, "STOCK TRANSFER") - SUMIFS(SALES!H:H, SALES!E:E, B474)</f>
        <v>0</v>
      </c>
      <c r="F474" s="28"/>
    </row>
    <row r="475" ht="22.5" customHeight="1">
      <c r="A475" s="13" t="s">
        <v>112</v>
      </c>
      <c r="B475" s="13" t="s">
        <v>1145</v>
      </c>
      <c r="C475" s="16">
        <v>62.0</v>
      </c>
      <c r="D475" s="13" t="s">
        <v>89</v>
      </c>
      <c r="E475" s="28">
        <f>SUMIFS('STOCK IN  TRANSFER'!G:G, 'STOCK IN  TRANSFER'!E:E, B475, 'STOCK IN  TRANSFER'!F:F, "STOCK IN") + SUMIFS('STOCK IN  TRANSFER'!G:G, 'STOCK IN  TRANSFER'!E:E, B475, 'STOCK IN  TRANSFER'!F:F, "ADJUSTMENT (+)") - SUMIFS('STOCK IN  TRANSFER'!G:G, 'STOCK IN  TRANSFER'!E:E, B475, 'STOCK IN  TRANSFER'!F:F, "ADJUSTMENT (-)") - SUMIFS('STOCK IN  TRANSFER'!G:G, 'STOCK IN  TRANSFER'!E:E, B475, 'STOCK IN  TRANSFER'!F:F, "STOCK TRANSFER") - SUMIFS(SALES!H:H, SALES!E:E, B475)</f>
        <v>0</v>
      </c>
      <c r="F475" s="28"/>
    </row>
    <row r="476" ht="22.5" customHeight="1">
      <c r="A476" s="13" t="s">
        <v>107</v>
      </c>
      <c r="B476" s="13" t="s">
        <v>1146</v>
      </c>
      <c r="C476" s="16">
        <v>35.0</v>
      </c>
      <c r="D476" s="13" t="s">
        <v>89</v>
      </c>
      <c r="E476" s="28">
        <f>SUMIFS('STOCK IN  TRANSFER'!G:G, 'STOCK IN  TRANSFER'!E:E, B476, 'STOCK IN  TRANSFER'!F:F, "STOCK IN") + SUMIFS('STOCK IN  TRANSFER'!G:G, 'STOCK IN  TRANSFER'!E:E, B476, 'STOCK IN  TRANSFER'!F:F, "ADJUSTMENT (+)") - SUMIFS('STOCK IN  TRANSFER'!G:G, 'STOCK IN  TRANSFER'!E:E, B476, 'STOCK IN  TRANSFER'!F:F, "ADJUSTMENT (-)") - SUMIFS('STOCK IN  TRANSFER'!G:G, 'STOCK IN  TRANSFER'!E:E, B476, 'STOCK IN  TRANSFER'!F:F, "STOCK TRANSFER") - SUMIFS(SALES!H:H, SALES!E:E, B476)</f>
        <v>10</v>
      </c>
      <c r="F476" s="28"/>
    </row>
    <row r="477" ht="22.5" customHeight="1">
      <c r="A477" s="13" t="s">
        <v>1147</v>
      </c>
      <c r="B477" s="13" t="s">
        <v>1148</v>
      </c>
      <c r="C477" s="16">
        <v>65.0</v>
      </c>
      <c r="D477" s="13" t="s">
        <v>89</v>
      </c>
      <c r="E477" s="28">
        <f>SUMIFS('STOCK IN  TRANSFER'!G:G, 'STOCK IN  TRANSFER'!E:E, B477, 'STOCK IN  TRANSFER'!F:F, "STOCK IN") + SUMIFS('STOCK IN  TRANSFER'!G:G, 'STOCK IN  TRANSFER'!E:E, B477, 'STOCK IN  TRANSFER'!F:F, "ADJUSTMENT (+)") - SUMIFS('STOCK IN  TRANSFER'!G:G, 'STOCK IN  TRANSFER'!E:E, B477, 'STOCK IN  TRANSFER'!F:F, "ADJUSTMENT (-)") - SUMIFS('STOCK IN  TRANSFER'!G:G, 'STOCK IN  TRANSFER'!E:E, B477, 'STOCK IN  TRANSFER'!F:F, "STOCK TRANSFER") - SUMIFS(SALES!H:H, SALES!E:E, B477)</f>
        <v>4</v>
      </c>
      <c r="F477" s="28"/>
    </row>
    <row r="478" ht="22.5" customHeight="1">
      <c r="A478" s="13" t="s">
        <v>40</v>
      </c>
      <c r="B478" s="13" t="s">
        <v>1149</v>
      </c>
      <c r="C478" s="16">
        <v>31.0</v>
      </c>
      <c r="D478" s="13" t="s">
        <v>89</v>
      </c>
      <c r="E478" s="28">
        <f>SUMIFS('STOCK IN  TRANSFER'!G:G, 'STOCK IN  TRANSFER'!E:E, B478, 'STOCK IN  TRANSFER'!F:F, "STOCK IN") + SUMIFS('STOCK IN  TRANSFER'!G:G, 'STOCK IN  TRANSFER'!E:E, B478, 'STOCK IN  TRANSFER'!F:F, "ADJUSTMENT (+)") - SUMIFS('STOCK IN  TRANSFER'!G:G, 'STOCK IN  TRANSFER'!E:E, B478, 'STOCK IN  TRANSFER'!F:F, "ADJUSTMENT (-)") - SUMIFS('STOCK IN  TRANSFER'!G:G, 'STOCK IN  TRANSFER'!E:E, B478, 'STOCK IN  TRANSFER'!F:F, "STOCK TRANSFER") - SUMIFS(SALES!H:H, SALES!E:E, B478)</f>
        <v>-1</v>
      </c>
      <c r="F478" s="28"/>
    </row>
    <row r="479" ht="22.5" customHeight="1">
      <c r="A479" s="13" t="s">
        <v>864</v>
      </c>
      <c r="B479" s="13" t="s">
        <v>1150</v>
      </c>
      <c r="C479" s="16">
        <v>1342.0</v>
      </c>
      <c r="D479" s="13" t="s">
        <v>550</v>
      </c>
      <c r="E479" s="28">
        <f>SUMIFS('STOCK IN  TRANSFER'!G:G, 'STOCK IN  TRANSFER'!E:E, B479, 'STOCK IN  TRANSFER'!F:F, "STOCK IN") + SUMIFS('STOCK IN  TRANSFER'!G:G, 'STOCK IN  TRANSFER'!E:E, B479, 'STOCK IN  TRANSFER'!F:F, "ADJUSTMENT (+)") - SUMIFS('STOCK IN  TRANSFER'!G:G, 'STOCK IN  TRANSFER'!E:E, B479, 'STOCK IN  TRANSFER'!F:F, "ADJUSTMENT (-)") - SUMIFS('STOCK IN  TRANSFER'!G:G, 'STOCK IN  TRANSFER'!E:E, B479, 'STOCK IN  TRANSFER'!F:F, "STOCK TRANSFER") - SUMIFS(SALES!H:H, SALES!E:E, B479)</f>
        <v>0</v>
      </c>
      <c r="F479" s="28"/>
    </row>
    <row r="480" ht="22.5" customHeight="1">
      <c r="A480" s="19" t="s">
        <v>220</v>
      </c>
      <c r="B480" s="19" t="s">
        <v>1151</v>
      </c>
      <c r="C480" s="19">
        <v>2440.0</v>
      </c>
      <c r="D480" s="19" t="s">
        <v>39</v>
      </c>
      <c r="E480" s="28">
        <f>SUMIFS('STOCK IN  TRANSFER'!G:G, 'STOCK IN  TRANSFER'!E:E, B480, 'STOCK IN  TRANSFER'!F:F, "STOCK IN") + SUMIFS('STOCK IN  TRANSFER'!G:G, 'STOCK IN  TRANSFER'!E:E, B480, 'STOCK IN  TRANSFER'!F:F, "ADJUSTMENT (+)") - SUMIFS('STOCK IN  TRANSFER'!G:G, 'STOCK IN  TRANSFER'!E:E, B480, 'STOCK IN  TRANSFER'!F:F, "ADJUSTMENT (-)") - SUMIFS('STOCK IN  TRANSFER'!G:G, 'STOCK IN  TRANSFER'!E:E, B480, 'STOCK IN  TRANSFER'!F:F, "STOCK TRANSFER") - SUMIFS(SALES!H:H, SALES!E:E, B480)</f>
        <v>43</v>
      </c>
      <c r="F480" s="28"/>
    </row>
    <row r="481" ht="22.5" customHeight="1">
      <c r="A481" s="19" t="s">
        <v>828</v>
      </c>
      <c r="B481" s="19" t="s">
        <v>1152</v>
      </c>
      <c r="C481" s="19">
        <v>496.0</v>
      </c>
      <c r="D481" s="19" t="s">
        <v>39</v>
      </c>
      <c r="E481" s="28">
        <f>SUMIFS('STOCK IN  TRANSFER'!G:G, 'STOCK IN  TRANSFER'!E:E, B481, 'STOCK IN  TRANSFER'!F:F, "STOCK IN") + SUMIFS('STOCK IN  TRANSFER'!G:G, 'STOCK IN  TRANSFER'!E:E, B481, 'STOCK IN  TRANSFER'!F:F, "ADJUSTMENT (+)") - SUMIFS('STOCK IN  TRANSFER'!G:G, 'STOCK IN  TRANSFER'!E:E, B481, 'STOCK IN  TRANSFER'!F:F, "ADJUSTMENT (-)") - SUMIFS('STOCK IN  TRANSFER'!G:G, 'STOCK IN  TRANSFER'!E:E, B481, 'STOCK IN  TRANSFER'!F:F, "STOCK TRANSFER") - SUMIFS(SALES!H:H, SALES!E:E, B481)</f>
        <v>3.125</v>
      </c>
      <c r="F481" s="28"/>
    </row>
    <row r="482" ht="22.5" customHeight="1">
      <c r="A482" s="19" t="s">
        <v>701</v>
      </c>
      <c r="B482" s="19" t="s">
        <v>1153</v>
      </c>
      <c r="C482" s="19">
        <v>800.0</v>
      </c>
      <c r="D482" s="19" t="s">
        <v>28</v>
      </c>
      <c r="E482" s="28">
        <f>SUMIFS('STOCK IN  TRANSFER'!G:G, 'STOCK IN  TRANSFER'!E:E, B482, 'STOCK IN  TRANSFER'!F:F, "STOCK IN") + SUMIFS('STOCK IN  TRANSFER'!G:G, 'STOCK IN  TRANSFER'!E:E, B482, 'STOCK IN  TRANSFER'!F:F, "ADJUSTMENT (+)") - SUMIFS('STOCK IN  TRANSFER'!G:G, 'STOCK IN  TRANSFER'!E:E, B482, 'STOCK IN  TRANSFER'!F:F, "ADJUSTMENT (-)") - SUMIFS('STOCK IN  TRANSFER'!G:G, 'STOCK IN  TRANSFER'!E:E, B482, 'STOCK IN  TRANSFER'!F:F, "STOCK TRANSFER") - SUMIFS(SALES!H:H, SALES!E:E, B482)</f>
        <v>0</v>
      </c>
      <c r="F482" s="28"/>
    </row>
    <row r="483" ht="22.5" customHeight="1">
      <c r="A483" s="19" t="s">
        <v>599</v>
      </c>
      <c r="B483" s="19" t="s">
        <v>1154</v>
      </c>
      <c r="C483" s="19">
        <v>310.0</v>
      </c>
      <c r="D483" s="19" t="s">
        <v>39</v>
      </c>
      <c r="E483" s="28">
        <f>SUMIFS('STOCK IN  TRANSFER'!G:G, 'STOCK IN  TRANSFER'!E:E, B483, 'STOCK IN  TRANSFER'!F:F, "STOCK IN") + SUMIFS('STOCK IN  TRANSFER'!G:G, 'STOCK IN  TRANSFER'!E:E, B483, 'STOCK IN  TRANSFER'!F:F, "ADJUSTMENT (+)") - SUMIFS('STOCK IN  TRANSFER'!G:G, 'STOCK IN  TRANSFER'!E:E, B483, 'STOCK IN  TRANSFER'!F:F, "ADJUSTMENT (-)") - SUMIFS('STOCK IN  TRANSFER'!G:G, 'STOCK IN  TRANSFER'!E:E, B483, 'STOCK IN  TRANSFER'!F:F, "STOCK TRANSFER") - SUMIFS(SALES!H:H, SALES!E:E, B483)</f>
        <v>9.5</v>
      </c>
      <c r="F483" s="28"/>
    </row>
    <row r="484" ht="22.5" customHeight="1">
      <c r="A484" s="19" t="s">
        <v>1155</v>
      </c>
      <c r="B484" s="19" t="s">
        <v>1156</v>
      </c>
      <c r="C484" s="19">
        <v>900.0</v>
      </c>
      <c r="D484" s="19" t="s">
        <v>28</v>
      </c>
      <c r="E484" s="28">
        <f>SUMIFS('STOCK IN  TRANSFER'!G:G, 'STOCK IN  TRANSFER'!E:E, B484, 'STOCK IN  TRANSFER'!F:F, "STOCK IN") + SUMIFS('STOCK IN  TRANSFER'!G:G, 'STOCK IN  TRANSFER'!E:E, B484, 'STOCK IN  TRANSFER'!F:F, "ADJUSTMENT (+)") - SUMIFS('STOCK IN  TRANSFER'!G:G, 'STOCK IN  TRANSFER'!E:E, B484, 'STOCK IN  TRANSFER'!F:F, "ADJUSTMENT (-)") - SUMIFS('STOCK IN  TRANSFER'!G:G, 'STOCK IN  TRANSFER'!E:E, B484, 'STOCK IN  TRANSFER'!F:F, "STOCK TRANSFER") - SUMIFS(SALES!H:H, SALES!E:E, B484)</f>
        <v>-5</v>
      </c>
      <c r="F484" s="28"/>
    </row>
    <row r="485" ht="22.5" customHeight="1">
      <c r="A485" s="19" t="s">
        <v>371</v>
      </c>
      <c r="B485" s="19" t="s">
        <v>1157</v>
      </c>
      <c r="C485" s="19">
        <v>240.0</v>
      </c>
      <c r="D485" s="19" t="s">
        <v>39</v>
      </c>
      <c r="E485" s="28">
        <f>SUMIFS('STOCK IN  TRANSFER'!G:G, 'STOCK IN  TRANSFER'!E:E, B485, 'STOCK IN  TRANSFER'!F:F, "STOCK IN") + SUMIFS('STOCK IN  TRANSFER'!G:G, 'STOCK IN  TRANSFER'!E:E, B485, 'STOCK IN  TRANSFER'!F:F, "ADJUSTMENT (+)") - SUMIFS('STOCK IN  TRANSFER'!G:G, 'STOCK IN  TRANSFER'!E:E, B485, 'STOCK IN  TRANSFER'!F:F, "ADJUSTMENT (-)") - SUMIFS('STOCK IN  TRANSFER'!G:G, 'STOCK IN  TRANSFER'!E:E, B485, 'STOCK IN  TRANSFER'!F:F, "STOCK TRANSFER") - SUMIFS(SALES!H:H, SALES!E:E, B485)</f>
        <v>14</v>
      </c>
      <c r="F485" s="28"/>
    </row>
    <row r="486" ht="22.5" customHeight="1">
      <c r="A486" s="19" t="s">
        <v>1158</v>
      </c>
      <c r="B486" s="19" t="s">
        <v>1159</v>
      </c>
      <c r="C486" s="19">
        <v>3600.0</v>
      </c>
      <c r="D486" s="19" t="s">
        <v>28</v>
      </c>
      <c r="E486" s="28">
        <f>SUMIFS('STOCK IN  TRANSFER'!G:G, 'STOCK IN  TRANSFER'!E:E, B486, 'STOCK IN  TRANSFER'!F:F, "STOCK IN") + SUMIFS('STOCK IN  TRANSFER'!G:G, 'STOCK IN  TRANSFER'!E:E, B486, 'STOCK IN  TRANSFER'!F:F, "ADJUSTMENT (+)") - SUMIFS('STOCK IN  TRANSFER'!G:G, 'STOCK IN  TRANSFER'!E:E, B486, 'STOCK IN  TRANSFER'!F:F, "ADJUSTMENT (-)") - SUMIFS('STOCK IN  TRANSFER'!G:G, 'STOCK IN  TRANSFER'!E:E, B486, 'STOCK IN  TRANSFER'!F:F, "STOCK TRANSFER") - SUMIFS(SALES!H:H, SALES!E:E, B486)</f>
        <v>0</v>
      </c>
      <c r="F486" s="28"/>
    </row>
    <row r="487" ht="22.5" customHeight="1">
      <c r="A487" s="13" t="s">
        <v>167</v>
      </c>
      <c r="B487" s="19" t="s">
        <v>1161</v>
      </c>
      <c r="C487" s="19">
        <v>900.0</v>
      </c>
      <c r="D487" s="19" t="s">
        <v>39</v>
      </c>
      <c r="E487" s="28">
        <f>SUMIFS('STOCK IN  TRANSFER'!G:G, 'STOCK IN  TRANSFER'!E:E, B487, 'STOCK IN  TRANSFER'!F:F, "STOCK IN") + SUMIFS('STOCK IN  TRANSFER'!G:G, 'STOCK IN  TRANSFER'!E:E, B487, 'STOCK IN  TRANSFER'!F:F, "ADJUSTMENT (+)") - SUMIFS('STOCK IN  TRANSFER'!G:G, 'STOCK IN  TRANSFER'!E:E, B487, 'STOCK IN  TRANSFER'!F:F, "ADJUSTMENT (-)") - SUMIFS('STOCK IN  TRANSFER'!G:G, 'STOCK IN  TRANSFER'!E:E, B487, 'STOCK IN  TRANSFER'!F:F, "STOCK TRANSFER") - SUMIFS(SALES!H:H, SALES!E:E, B487)</f>
        <v>-14.1</v>
      </c>
      <c r="F487" s="28"/>
    </row>
    <row r="488" ht="22.5" customHeight="1">
      <c r="A488" s="19" t="s">
        <v>1162</v>
      </c>
      <c r="B488" s="19" t="s">
        <v>1163</v>
      </c>
      <c r="C488" s="19">
        <v>2000.0</v>
      </c>
      <c r="D488" s="19" t="s">
        <v>28</v>
      </c>
      <c r="E488" s="28">
        <f>SUMIFS('STOCK IN  TRANSFER'!G:G, 'STOCK IN  TRANSFER'!E:E, B488, 'STOCK IN  TRANSFER'!F:F, "STOCK IN") + SUMIFS('STOCK IN  TRANSFER'!G:G, 'STOCK IN  TRANSFER'!E:E, B488, 'STOCK IN  TRANSFER'!F:F, "ADJUSTMENT (+)") - SUMIFS('STOCK IN  TRANSFER'!G:G, 'STOCK IN  TRANSFER'!E:E, B488, 'STOCK IN  TRANSFER'!F:F, "ADJUSTMENT (-)") - SUMIFS('STOCK IN  TRANSFER'!G:G, 'STOCK IN  TRANSFER'!E:E, B488, 'STOCK IN  TRANSFER'!F:F, "STOCK TRANSFER") - SUMIFS(SALES!H:H, SALES!E:E, B488)</f>
        <v>0</v>
      </c>
      <c r="F488" s="28"/>
    </row>
    <row r="489" ht="22.5" customHeight="1">
      <c r="A489" s="19" t="s">
        <v>31</v>
      </c>
      <c r="B489" s="19" t="s">
        <v>1164</v>
      </c>
      <c r="C489" s="19">
        <v>500.0</v>
      </c>
      <c r="D489" s="19" t="s">
        <v>39</v>
      </c>
      <c r="E489" s="28">
        <f>SUMIFS('STOCK IN  TRANSFER'!G:G, 'STOCK IN  TRANSFER'!E:E, B489, 'STOCK IN  TRANSFER'!F:F, "STOCK IN") + SUMIFS('STOCK IN  TRANSFER'!G:G, 'STOCK IN  TRANSFER'!E:E, B489, 'STOCK IN  TRANSFER'!F:F, "ADJUSTMENT (+)") - SUMIFS('STOCK IN  TRANSFER'!G:G, 'STOCK IN  TRANSFER'!E:E, B489, 'STOCK IN  TRANSFER'!F:F, "ADJUSTMENT (-)") - SUMIFS('STOCK IN  TRANSFER'!G:G, 'STOCK IN  TRANSFER'!E:E, B489, 'STOCK IN  TRANSFER'!F:F, "STOCK TRANSFER") - SUMIFS(SALES!H:H, SALES!E:E, B489)</f>
        <v>3.75</v>
      </c>
      <c r="F489" s="28"/>
    </row>
    <row r="490" ht="22.5" customHeight="1">
      <c r="A490" s="13" t="s">
        <v>103</v>
      </c>
      <c r="B490" s="13" t="s">
        <v>1165</v>
      </c>
      <c r="C490" s="16">
        <v>735.0</v>
      </c>
      <c r="D490" s="13" t="s">
        <v>28</v>
      </c>
      <c r="E490" s="28">
        <f>SUMIFS('STOCK IN  TRANSFER'!G:G, 'STOCK IN  TRANSFER'!E:E, B490, 'STOCK IN  TRANSFER'!F:F, "STOCK IN") + SUMIFS('STOCK IN  TRANSFER'!G:G, 'STOCK IN  TRANSFER'!E:E, B490, 'STOCK IN  TRANSFER'!F:F, "ADJUSTMENT (+)") - SUMIFS('STOCK IN  TRANSFER'!G:G, 'STOCK IN  TRANSFER'!E:E, B490, 'STOCK IN  TRANSFER'!F:F, "ADJUSTMENT (-)") - SUMIFS('STOCK IN  TRANSFER'!G:G, 'STOCK IN  TRANSFER'!E:E, B490, 'STOCK IN  TRANSFER'!F:F, "STOCK TRANSFER") - SUMIFS(SALES!H:H, SALES!E:E, B490)</f>
        <v>2</v>
      </c>
      <c r="F490" s="28"/>
    </row>
    <row r="491" ht="22.5" customHeight="1">
      <c r="A491" s="13" t="s">
        <v>1166</v>
      </c>
      <c r="B491" s="13" t="s">
        <v>1167</v>
      </c>
      <c r="C491" s="16">
        <v>25.0</v>
      </c>
      <c r="D491" s="13" t="s">
        <v>89</v>
      </c>
      <c r="E491" s="28">
        <f>SUMIFS('STOCK IN  TRANSFER'!G:G, 'STOCK IN  TRANSFER'!E:E, B491, 'STOCK IN  TRANSFER'!F:F, "STOCK IN") + SUMIFS('STOCK IN  TRANSFER'!G:G, 'STOCK IN  TRANSFER'!E:E, B491, 'STOCK IN  TRANSFER'!F:F, "ADJUSTMENT (+)") - SUMIFS('STOCK IN  TRANSFER'!G:G, 'STOCK IN  TRANSFER'!E:E, B491, 'STOCK IN  TRANSFER'!F:F, "ADJUSTMENT (-)") - SUMIFS('STOCK IN  TRANSFER'!G:G, 'STOCK IN  TRANSFER'!E:E, B491, 'STOCK IN  TRANSFER'!F:F, "STOCK TRANSFER") - SUMIFS(SALES!H:H, SALES!E:E, B491)</f>
        <v>-2</v>
      </c>
      <c r="F491" s="28"/>
    </row>
    <row r="492" ht="22.5" customHeight="1">
      <c r="A492" s="13" t="s">
        <v>1168</v>
      </c>
      <c r="B492" s="13" t="s">
        <v>1169</v>
      </c>
      <c r="C492" s="16">
        <v>3200.0</v>
      </c>
      <c r="D492" s="13" t="s">
        <v>28</v>
      </c>
      <c r="E492" s="28">
        <f>SUMIFS('STOCK IN  TRANSFER'!G:G, 'STOCK IN  TRANSFER'!E:E, B492, 'STOCK IN  TRANSFER'!F:F, "STOCK IN") + SUMIFS('STOCK IN  TRANSFER'!G:G, 'STOCK IN  TRANSFER'!E:E, B492, 'STOCK IN  TRANSFER'!F:F, "ADJUSTMENT (+)") - SUMIFS('STOCK IN  TRANSFER'!G:G, 'STOCK IN  TRANSFER'!E:E, B492, 'STOCK IN  TRANSFER'!F:F, "ADJUSTMENT (-)") - SUMIFS('STOCK IN  TRANSFER'!G:G, 'STOCK IN  TRANSFER'!E:E, B492, 'STOCK IN  TRANSFER'!F:F, "STOCK TRANSFER") - SUMIFS(SALES!H:H, SALES!E:E, B492)</f>
        <v>-1.09375</v>
      </c>
      <c r="F492" s="28"/>
    </row>
    <row r="493" ht="22.5" customHeight="1">
      <c r="A493" s="13" t="s">
        <v>1170</v>
      </c>
      <c r="B493" s="13" t="s">
        <v>1171</v>
      </c>
      <c r="C493" s="16">
        <v>650.0</v>
      </c>
      <c r="D493" s="13" t="s">
        <v>28</v>
      </c>
      <c r="E493" s="28">
        <f>SUMIFS('STOCK IN  TRANSFER'!G:G, 'STOCK IN  TRANSFER'!E:E, B493, 'STOCK IN  TRANSFER'!F:F, "STOCK IN") + SUMIFS('STOCK IN  TRANSFER'!G:G, 'STOCK IN  TRANSFER'!E:E, B493, 'STOCK IN  TRANSFER'!F:F, "ADJUSTMENT (+)") - SUMIFS('STOCK IN  TRANSFER'!G:G, 'STOCK IN  TRANSFER'!E:E, B493, 'STOCK IN  TRANSFER'!F:F, "ADJUSTMENT (-)") - SUMIFS('STOCK IN  TRANSFER'!G:G, 'STOCK IN  TRANSFER'!E:E, B493, 'STOCK IN  TRANSFER'!F:F, "STOCK TRANSFER") - SUMIFS(SALES!H:H, SALES!E:E, B493)</f>
        <v>0</v>
      </c>
      <c r="F493" s="28"/>
    </row>
    <row r="494" ht="22.5" customHeight="1">
      <c r="A494" s="13" t="s">
        <v>1172</v>
      </c>
      <c r="B494" s="13" t="s">
        <v>1173</v>
      </c>
      <c r="C494" s="16">
        <v>650.0</v>
      </c>
      <c r="D494" s="13" t="s">
        <v>28</v>
      </c>
      <c r="E494" s="28">
        <f>SUMIFS('STOCK IN  TRANSFER'!G:G, 'STOCK IN  TRANSFER'!E:E, B494, 'STOCK IN  TRANSFER'!F:F, "STOCK IN") + SUMIFS('STOCK IN  TRANSFER'!G:G, 'STOCK IN  TRANSFER'!E:E, B494, 'STOCK IN  TRANSFER'!F:F, "ADJUSTMENT (+)") - SUMIFS('STOCK IN  TRANSFER'!G:G, 'STOCK IN  TRANSFER'!E:E, B494, 'STOCK IN  TRANSFER'!F:F, "ADJUSTMENT (-)") - SUMIFS('STOCK IN  TRANSFER'!G:G, 'STOCK IN  TRANSFER'!E:E, B494, 'STOCK IN  TRANSFER'!F:F, "STOCK TRANSFER") - SUMIFS(SALES!H:H, SALES!E:E, B494)</f>
        <v>0</v>
      </c>
      <c r="F494" s="28"/>
    </row>
    <row r="495" ht="22.5" customHeight="1">
      <c r="A495" s="13" t="s">
        <v>1174</v>
      </c>
      <c r="B495" s="13" t="s">
        <v>1175</v>
      </c>
      <c r="C495" s="16">
        <v>650.0</v>
      </c>
      <c r="D495" s="13" t="s">
        <v>28</v>
      </c>
      <c r="E495" s="28">
        <f>SUMIFS('STOCK IN  TRANSFER'!G:G, 'STOCK IN  TRANSFER'!E:E, B495, 'STOCK IN  TRANSFER'!F:F, "STOCK IN") + SUMIFS('STOCK IN  TRANSFER'!G:G, 'STOCK IN  TRANSFER'!E:E, B495, 'STOCK IN  TRANSFER'!F:F, "ADJUSTMENT (+)") - SUMIFS('STOCK IN  TRANSFER'!G:G, 'STOCK IN  TRANSFER'!E:E, B495, 'STOCK IN  TRANSFER'!F:F, "ADJUSTMENT (-)") - SUMIFS('STOCK IN  TRANSFER'!G:G, 'STOCK IN  TRANSFER'!E:E, B495, 'STOCK IN  TRANSFER'!F:F, "STOCK TRANSFER") - SUMIFS(SALES!H:H, SALES!E:E, B495)</f>
        <v>0</v>
      </c>
      <c r="F495" s="28"/>
    </row>
    <row r="496" ht="22.5" customHeight="1">
      <c r="A496" s="13" t="s">
        <v>1177</v>
      </c>
      <c r="B496" s="13" t="s">
        <v>1178</v>
      </c>
      <c r="C496" s="16">
        <v>730.0</v>
      </c>
      <c r="D496" s="13" t="s">
        <v>28</v>
      </c>
      <c r="E496" s="28">
        <f>SUMIFS('STOCK IN  TRANSFER'!G:G, 'STOCK IN  TRANSFER'!E:E, B496, 'STOCK IN  TRANSFER'!F:F, "STOCK IN") + SUMIFS('STOCK IN  TRANSFER'!G:G, 'STOCK IN  TRANSFER'!E:E, B496, 'STOCK IN  TRANSFER'!F:F, "ADJUSTMENT (+)") - SUMIFS('STOCK IN  TRANSFER'!G:G, 'STOCK IN  TRANSFER'!E:E, B496, 'STOCK IN  TRANSFER'!F:F, "ADJUSTMENT (-)") - SUMIFS('STOCK IN  TRANSFER'!G:G, 'STOCK IN  TRANSFER'!E:E, B496, 'STOCK IN  TRANSFER'!F:F, "STOCK TRANSFER") - SUMIFS(SALES!H:H, SALES!E:E, B496)</f>
        <v>0</v>
      </c>
      <c r="F496" s="28"/>
    </row>
    <row r="497" ht="22.5" customHeight="1">
      <c r="A497" s="13" t="s">
        <v>1179</v>
      </c>
      <c r="B497" s="13" t="s">
        <v>1180</v>
      </c>
      <c r="C497" s="16">
        <v>850.0</v>
      </c>
      <c r="D497" s="13" t="s">
        <v>28</v>
      </c>
      <c r="E497" s="28">
        <f>SUMIFS('STOCK IN  TRANSFER'!G:G, 'STOCK IN  TRANSFER'!E:E, B497, 'STOCK IN  TRANSFER'!F:F, "STOCK IN") + SUMIFS('STOCK IN  TRANSFER'!G:G, 'STOCK IN  TRANSFER'!E:E, B497, 'STOCK IN  TRANSFER'!F:F, "ADJUSTMENT (+)") - SUMIFS('STOCK IN  TRANSFER'!G:G, 'STOCK IN  TRANSFER'!E:E, B497, 'STOCK IN  TRANSFER'!F:F, "ADJUSTMENT (-)") - SUMIFS('STOCK IN  TRANSFER'!G:G, 'STOCK IN  TRANSFER'!E:E, B497, 'STOCK IN  TRANSFER'!F:F, "STOCK TRANSFER") - SUMIFS(SALES!H:H, SALES!E:E, B497)</f>
        <v>0</v>
      </c>
      <c r="F497" s="28"/>
    </row>
    <row r="498" ht="22.5" customHeight="1">
      <c r="A498" s="13" t="s">
        <v>1181</v>
      </c>
      <c r="B498" s="13" t="s">
        <v>1182</v>
      </c>
      <c r="C498" s="16">
        <v>520.0</v>
      </c>
      <c r="D498" s="13" t="s">
        <v>39</v>
      </c>
      <c r="E498" s="28">
        <f>SUMIFS('STOCK IN  TRANSFER'!G:G, 'STOCK IN  TRANSFER'!E:E, B498, 'STOCK IN  TRANSFER'!F:F, "STOCK IN") + SUMIFS('STOCK IN  TRANSFER'!G:G, 'STOCK IN  TRANSFER'!E:E, B498, 'STOCK IN  TRANSFER'!F:F, "ADJUSTMENT (+)") - SUMIFS('STOCK IN  TRANSFER'!G:G, 'STOCK IN  TRANSFER'!E:E, B498, 'STOCK IN  TRANSFER'!F:F, "ADJUSTMENT (-)") - SUMIFS('STOCK IN  TRANSFER'!G:G, 'STOCK IN  TRANSFER'!E:E, B498, 'STOCK IN  TRANSFER'!F:F, "STOCK TRANSFER") - SUMIFS(SALES!H:H, SALES!E:E, B498)</f>
        <v>3</v>
      </c>
      <c r="F498" s="28"/>
    </row>
    <row r="499" ht="22.5" customHeight="1">
      <c r="A499" s="13" t="s">
        <v>1183</v>
      </c>
      <c r="B499" s="13" t="s">
        <v>1184</v>
      </c>
      <c r="C499" s="16">
        <v>855.0</v>
      </c>
      <c r="D499" s="13" t="s">
        <v>28</v>
      </c>
      <c r="E499" s="28">
        <f>SUMIFS('STOCK IN  TRANSFER'!G:G, 'STOCK IN  TRANSFER'!E:E, B499, 'STOCK IN  TRANSFER'!F:F, "STOCK IN") + SUMIFS('STOCK IN  TRANSFER'!G:G, 'STOCK IN  TRANSFER'!E:E, B499, 'STOCK IN  TRANSFER'!F:F, "ADJUSTMENT (+)") - SUMIFS('STOCK IN  TRANSFER'!G:G, 'STOCK IN  TRANSFER'!E:E, B499, 'STOCK IN  TRANSFER'!F:F, "ADJUSTMENT (-)") - SUMIFS('STOCK IN  TRANSFER'!G:G, 'STOCK IN  TRANSFER'!E:E, B499, 'STOCK IN  TRANSFER'!F:F, "STOCK TRANSFER") - SUMIFS(SALES!H:H, SALES!E:E, B499)</f>
        <v>0</v>
      </c>
      <c r="F499" s="28"/>
    </row>
    <row r="500" ht="22.5" customHeight="1">
      <c r="A500" s="13" t="s">
        <v>1185</v>
      </c>
      <c r="B500" s="13" t="s">
        <v>1186</v>
      </c>
      <c r="C500" s="16">
        <v>240.0</v>
      </c>
      <c r="D500" s="13" t="s">
        <v>146</v>
      </c>
      <c r="E500" s="28">
        <f>SUMIFS('STOCK IN  TRANSFER'!G:G, 'STOCK IN  TRANSFER'!E:E, B500, 'STOCK IN  TRANSFER'!F:F, "STOCK IN") + SUMIFS('STOCK IN  TRANSFER'!G:G, 'STOCK IN  TRANSFER'!E:E, B500, 'STOCK IN  TRANSFER'!F:F, "ADJUSTMENT (+)") - SUMIFS('STOCK IN  TRANSFER'!G:G, 'STOCK IN  TRANSFER'!E:E, B500, 'STOCK IN  TRANSFER'!F:F, "ADJUSTMENT (-)") - SUMIFS('STOCK IN  TRANSFER'!G:G, 'STOCK IN  TRANSFER'!E:E, B500, 'STOCK IN  TRANSFER'!F:F, "STOCK TRANSFER") - SUMIFS(SALES!H:H, SALES!E:E, B500)</f>
        <v>0</v>
      </c>
      <c r="F500" s="28"/>
    </row>
    <row r="501" ht="22.5" customHeight="1">
      <c r="A501" s="13" t="s">
        <v>1187</v>
      </c>
      <c r="B501" s="13" t="s">
        <v>1188</v>
      </c>
      <c r="C501" s="16">
        <v>3200.0</v>
      </c>
      <c r="D501" s="13" t="s">
        <v>343</v>
      </c>
      <c r="E501" s="28">
        <f>SUMIFS('STOCK IN  TRANSFER'!G:G, 'STOCK IN  TRANSFER'!E:E, B501, 'STOCK IN  TRANSFER'!F:F, "STOCK IN") + SUMIFS('STOCK IN  TRANSFER'!G:G, 'STOCK IN  TRANSFER'!E:E, B501, 'STOCK IN  TRANSFER'!F:F, "ADJUSTMENT (+)") - SUMIFS('STOCK IN  TRANSFER'!G:G, 'STOCK IN  TRANSFER'!E:E, B501, 'STOCK IN  TRANSFER'!F:F, "ADJUSTMENT (-)") - SUMIFS('STOCK IN  TRANSFER'!G:G, 'STOCK IN  TRANSFER'!E:E, B501, 'STOCK IN  TRANSFER'!F:F, "STOCK TRANSFER") - SUMIFS(SALES!H:H, SALES!E:E, B501)</f>
        <v>0</v>
      </c>
      <c r="F501" s="28"/>
    </row>
    <row r="502" ht="22.5" customHeight="1">
      <c r="A502" s="13" t="s">
        <v>1189</v>
      </c>
      <c r="B502" s="13" t="s">
        <v>1190</v>
      </c>
      <c r="C502" s="16">
        <v>130.0</v>
      </c>
      <c r="D502" s="13" t="s">
        <v>39</v>
      </c>
      <c r="E502" s="28">
        <f>SUMIFS('STOCK IN  TRANSFER'!G:G, 'STOCK IN  TRANSFER'!E:E, B502, 'STOCK IN  TRANSFER'!F:F, "STOCK IN") + SUMIFS('STOCK IN  TRANSFER'!G:G, 'STOCK IN  TRANSFER'!E:E, B502, 'STOCK IN  TRANSFER'!F:F, "ADJUSTMENT (+)") - SUMIFS('STOCK IN  TRANSFER'!G:G, 'STOCK IN  TRANSFER'!E:E, B502, 'STOCK IN  TRANSFER'!F:F, "ADJUSTMENT (-)") - SUMIFS('STOCK IN  TRANSFER'!G:G, 'STOCK IN  TRANSFER'!E:E, B502, 'STOCK IN  TRANSFER'!F:F, "STOCK TRANSFER") - SUMIFS(SALES!H:H, SALES!E:E, B502)</f>
        <v>0</v>
      </c>
      <c r="F502" s="28"/>
    </row>
    <row r="503" ht="22.5" customHeight="1">
      <c r="A503" s="13" t="s">
        <v>1191</v>
      </c>
      <c r="B503" s="13" t="s">
        <v>1192</v>
      </c>
      <c r="C503" s="16"/>
      <c r="D503" s="13" t="s">
        <v>28</v>
      </c>
      <c r="E503" s="28">
        <f>SUMIFS('STOCK IN  TRANSFER'!G:G, 'STOCK IN  TRANSFER'!E:E, B503, 'STOCK IN  TRANSFER'!F:F, "STOCK IN") + SUMIFS('STOCK IN  TRANSFER'!G:G, 'STOCK IN  TRANSFER'!E:E, B503, 'STOCK IN  TRANSFER'!F:F, "ADJUSTMENT (+)") - SUMIFS('STOCK IN  TRANSFER'!G:G, 'STOCK IN  TRANSFER'!E:E, B503, 'STOCK IN  TRANSFER'!F:F, "ADJUSTMENT (-)") - SUMIFS('STOCK IN  TRANSFER'!G:G, 'STOCK IN  TRANSFER'!E:E, B503, 'STOCK IN  TRANSFER'!F:F, "STOCK TRANSFER") - SUMIFS(SALES!H:H, SALES!E:E, B503)</f>
        <v>0</v>
      </c>
      <c r="F503" s="28"/>
    </row>
    <row r="504" ht="22.5" customHeight="1">
      <c r="A504" s="13" t="s">
        <v>1193</v>
      </c>
      <c r="B504" s="13" t="s">
        <v>1194</v>
      </c>
      <c r="C504" s="16">
        <v>950.0</v>
      </c>
      <c r="D504" s="13" t="s">
        <v>28</v>
      </c>
      <c r="E504" s="28">
        <f>SUMIFS('STOCK IN  TRANSFER'!G:G, 'STOCK IN  TRANSFER'!E:E, B504, 'STOCK IN  TRANSFER'!F:F, "STOCK IN") + SUMIFS('STOCK IN  TRANSFER'!G:G, 'STOCK IN  TRANSFER'!E:E, B504, 'STOCK IN  TRANSFER'!F:F, "ADJUSTMENT (+)") - SUMIFS('STOCK IN  TRANSFER'!G:G, 'STOCK IN  TRANSFER'!E:E, B504, 'STOCK IN  TRANSFER'!F:F, "ADJUSTMENT (-)") - SUMIFS('STOCK IN  TRANSFER'!G:G, 'STOCK IN  TRANSFER'!E:E, B504, 'STOCK IN  TRANSFER'!F:F, "STOCK TRANSFER") - SUMIFS(SALES!H:H, SALES!E:E, B504)</f>
        <v>0</v>
      </c>
      <c r="F504" s="28"/>
    </row>
    <row r="505" ht="22.5" customHeight="1">
      <c r="A505" s="13" t="s">
        <v>1195</v>
      </c>
      <c r="B505" s="13" t="s">
        <v>1196</v>
      </c>
      <c r="C505" s="16"/>
      <c r="D505" s="13" t="s">
        <v>39</v>
      </c>
      <c r="E505" s="28">
        <f>SUMIFS('STOCK IN  TRANSFER'!G:G, 'STOCK IN  TRANSFER'!E:E, B505, 'STOCK IN  TRANSFER'!F:F, "STOCK IN") + SUMIFS('STOCK IN  TRANSFER'!G:G, 'STOCK IN  TRANSFER'!E:E, B505, 'STOCK IN  TRANSFER'!F:F, "ADJUSTMENT (+)") - SUMIFS('STOCK IN  TRANSFER'!G:G, 'STOCK IN  TRANSFER'!E:E, B505, 'STOCK IN  TRANSFER'!F:F, "ADJUSTMENT (-)") - SUMIFS('STOCK IN  TRANSFER'!G:G, 'STOCK IN  TRANSFER'!E:E, B505, 'STOCK IN  TRANSFER'!F:F, "STOCK TRANSFER") - SUMIFS(SALES!H:H, SALES!E:E, B505)</f>
        <v>-2</v>
      </c>
      <c r="F505" s="28"/>
    </row>
    <row r="506" ht="22.5" customHeight="1">
      <c r="A506" s="13" t="s">
        <v>1197</v>
      </c>
      <c r="B506" s="13" t="s">
        <v>1198</v>
      </c>
      <c r="C506" s="16">
        <v>90.0</v>
      </c>
      <c r="D506" s="13" t="s">
        <v>146</v>
      </c>
      <c r="E506" s="28">
        <f>SUMIFS('STOCK IN  TRANSFER'!G:G, 'STOCK IN  TRANSFER'!E:E, B506, 'STOCK IN  TRANSFER'!F:F, "STOCK IN") + SUMIFS('STOCK IN  TRANSFER'!G:G, 'STOCK IN  TRANSFER'!E:E, B506, 'STOCK IN  TRANSFER'!F:F, "ADJUSTMENT (+)") - SUMIFS('STOCK IN  TRANSFER'!G:G, 'STOCK IN  TRANSFER'!E:E, B506, 'STOCK IN  TRANSFER'!F:F, "ADJUSTMENT (-)") - SUMIFS('STOCK IN  TRANSFER'!G:G, 'STOCK IN  TRANSFER'!E:E, B506, 'STOCK IN  TRANSFER'!F:F, "STOCK TRANSFER") - SUMIFS(SALES!H:H, SALES!E:E, B506)</f>
        <v>6</v>
      </c>
      <c r="F506" s="28"/>
    </row>
    <row r="507" ht="22.5" customHeight="1">
      <c r="A507" s="31" t="s">
        <v>1199</v>
      </c>
      <c r="B507" s="13" t="s">
        <v>1200</v>
      </c>
      <c r="C507" s="16">
        <v>80.0</v>
      </c>
      <c r="D507" s="13" t="s">
        <v>146</v>
      </c>
      <c r="E507" s="28">
        <f>SUMIFS('STOCK IN  TRANSFER'!G:G, 'STOCK IN  TRANSFER'!E:E, B507, 'STOCK IN  TRANSFER'!F:F, "STOCK IN") + SUMIFS('STOCK IN  TRANSFER'!G:G, 'STOCK IN  TRANSFER'!E:E, B507, 'STOCK IN  TRANSFER'!F:F, "ADJUSTMENT (+)") - SUMIFS('STOCK IN  TRANSFER'!G:G, 'STOCK IN  TRANSFER'!E:E, B507, 'STOCK IN  TRANSFER'!F:F, "ADJUSTMENT (-)") - SUMIFS('STOCK IN  TRANSFER'!G:G, 'STOCK IN  TRANSFER'!E:E, B507, 'STOCK IN  TRANSFER'!F:F, "STOCK TRANSFER") - SUMIFS(SALES!H:H, SALES!E:E, B507)</f>
        <v>0</v>
      </c>
      <c r="F507" s="28"/>
    </row>
    <row r="508" ht="22.5" customHeight="1">
      <c r="A508" s="13"/>
      <c r="B508" s="13"/>
      <c r="C508" s="16"/>
      <c r="D508" s="13"/>
      <c r="E508" s="28">
        <f>SUMIFS('STOCK IN  TRANSFER'!G:G, 'STOCK IN  TRANSFER'!E:E, B508, 'STOCK IN  TRANSFER'!F:F, "STOCK IN") + SUMIFS('STOCK IN  TRANSFER'!G:G, 'STOCK IN  TRANSFER'!E:E, B508, 'STOCK IN  TRANSFER'!F:F, "ADJUSTMENT (+)") - SUMIFS('STOCK IN  TRANSFER'!G:G, 'STOCK IN  TRANSFER'!E:E, B508, 'STOCK IN  TRANSFER'!F:F, "ADJUSTMENT (-)") - SUMIFS('STOCK IN  TRANSFER'!G:G, 'STOCK IN  TRANSFER'!E:E, B508, 'STOCK IN  TRANSFER'!F:F, "STOCK TRANSFER") - SUMIFS(SALES!H:H, SALES!E:E, B508)</f>
        <v>0</v>
      </c>
      <c r="F508" s="28"/>
    </row>
    <row r="509" ht="22.5" customHeight="1">
      <c r="A509" s="13"/>
      <c r="B509" s="13"/>
      <c r="C509" s="16"/>
      <c r="D509" s="13"/>
      <c r="E509" s="28">
        <f>SUMIFS('STOCK IN  TRANSFER'!G:G, 'STOCK IN  TRANSFER'!E:E, B509, 'STOCK IN  TRANSFER'!F:F, "STOCK IN") + SUMIFS('STOCK IN  TRANSFER'!G:G, 'STOCK IN  TRANSFER'!E:E, B509, 'STOCK IN  TRANSFER'!F:F, "ADJUSTMENT (+)") - SUMIFS('STOCK IN  TRANSFER'!G:G, 'STOCK IN  TRANSFER'!E:E, B509, 'STOCK IN  TRANSFER'!F:F, "ADJUSTMENT (-)") - SUMIFS('STOCK IN  TRANSFER'!G:G, 'STOCK IN  TRANSFER'!E:E, B509, 'STOCK IN  TRANSFER'!F:F, "STOCK TRANSFER") - SUMIFS(SALES!H:H, SALES!E:E, B509)</f>
        <v>0</v>
      </c>
      <c r="F509" s="28"/>
    </row>
    <row r="510" ht="22.5" customHeight="1">
      <c r="A510" s="13"/>
      <c r="B510" s="13"/>
      <c r="C510" s="16"/>
      <c r="D510" s="13"/>
      <c r="E510" s="28">
        <f>SUMIFS('STOCK IN  TRANSFER'!G:G, 'STOCK IN  TRANSFER'!E:E, B510, 'STOCK IN  TRANSFER'!F:F, "STOCK IN") + SUMIFS('STOCK IN  TRANSFER'!G:G, 'STOCK IN  TRANSFER'!E:E, B510, 'STOCK IN  TRANSFER'!F:F, "ADJUSTMENT (+)") - SUMIFS('STOCK IN  TRANSFER'!G:G, 'STOCK IN  TRANSFER'!E:E, B510, 'STOCK IN  TRANSFER'!F:F, "ADJUSTMENT (-)") - SUMIFS('STOCK IN  TRANSFER'!G:G, 'STOCK IN  TRANSFER'!E:E, B510, 'STOCK IN  TRANSFER'!F:F, "STOCK TRANSFER") - SUMIFS(SALES!H:H, SALES!E:E, B510)</f>
        <v>0</v>
      </c>
      <c r="F510" s="28"/>
    </row>
    <row r="511" ht="22.5" customHeight="1">
      <c r="A511" s="13"/>
      <c r="B511" s="13"/>
      <c r="C511" s="16"/>
      <c r="D511" s="13"/>
      <c r="E511" s="28">
        <f>SUMIFS('STOCK IN  TRANSFER'!G:G, 'STOCK IN  TRANSFER'!E:E, B511, 'STOCK IN  TRANSFER'!F:F, "STOCK IN") + SUMIFS('STOCK IN  TRANSFER'!G:G, 'STOCK IN  TRANSFER'!E:E, B511, 'STOCK IN  TRANSFER'!F:F, "ADJUSTMENT (+)") - SUMIFS('STOCK IN  TRANSFER'!G:G, 'STOCK IN  TRANSFER'!E:E, B511, 'STOCK IN  TRANSFER'!F:F, "ADJUSTMENT (-)") - SUMIFS('STOCK IN  TRANSFER'!G:G, 'STOCK IN  TRANSFER'!E:E, B511, 'STOCK IN  TRANSFER'!F:F, "STOCK TRANSFER") - SUMIFS(SALES!H:H, SALES!E:E, B511)</f>
        <v>0</v>
      </c>
      <c r="F511" s="28"/>
    </row>
    <row r="512" ht="22.5" customHeight="1">
      <c r="A512" s="13"/>
      <c r="B512" s="13"/>
      <c r="C512" s="16"/>
      <c r="D512" s="13"/>
      <c r="E512" s="28">
        <f>SUMIFS('STOCK IN  TRANSFER'!G:G, 'STOCK IN  TRANSFER'!E:E, B512, 'STOCK IN  TRANSFER'!F:F, "STOCK IN") + SUMIFS('STOCK IN  TRANSFER'!G:G, 'STOCK IN  TRANSFER'!E:E, B512, 'STOCK IN  TRANSFER'!F:F, "ADJUSTMENT (+)") - SUMIFS('STOCK IN  TRANSFER'!G:G, 'STOCK IN  TRANSFER'!E:E, B512, 'STOCK IN  TRANSFER'!F:F, "ADJUSTMENT (-)") - SUMIFS('STOCK IN  TRANSFER'!G:G, 'STOCK IN  TRANSFER'!E:E, B512, 'STOCK IN  TRANSFER'!F:F, "STOCK TRANSFER") - SUMIFS(SALES!H:H, SALES!E:E, B512)</f>
        <v>0</v>
      </c>
      <c r="F512" s="28"/>
    </row>
    <row r="513" ht="22.5" customHeight="1">
      <c r="A513" s="13"/>
      <c r="B513" s="13"/>
      <c r="C513" s="16"/>
      <c r="D513" s="13"/>
      <c r="E513" s="28">
        <f>SUMIFS('STOCK IN  TRANSFER'!G:G, 'STOCK IN  TRANSFER'!E:E, B513, 'STOCK IN  TRANSFER'!F:F, "STOCK IN") + SUMIFS('STOCK IN  TRANSFER'!G:G, 'STOCK IN  TRANSFER'!E:E, B513, 'STOCK IN  TRANSFER'!F:F, "ADJUSTMENT (+)") - SUMIFS('STOCK IN  TRANSFER'!G:G, 'STOCK IN  TRANSFER'!E:E, B513, 'STOCK IN  TRANSFER'!F:F, "ADJUSTMENT (-)") - SUMIFS('STOCK IN  TRANSFER'!G:G, 'STOCK IN  TRANSFER'!E:E, B513, 'STOCK IN  TRANSFER'!F:F, "STOCK TRANSFER") - SUMIFS(SALES!H:H, SALES!E:E, B513)</f>
        <v>0</v>
      </c>
      <c r="F513" s="28"/>
    </row>
    <row r="514" ht="22.5" customHeight="1">
      <c r="A514" s="13"/>
      <c r="B514" s="13"/>
      <c r="C514" s="16"/>
      <c r="D514" s="13"/>
      <c r="E514" s="28">
        <f>SUMIFS('STOCK IN  TRANSFER'!G:G, 'STOCK IN  TRANSFER'!E:E, B514, 'STOCK IN  TRANSFER'!F:F, "STOCK IN") + SUMIFS('STOCK IN  TRANSFER'!G:G, 'STOCK IN  TRANSFER'!E:E, B514, 'STOCK IN  TRANSFER'!F:F, "ADJUSTMENT (+)") - SUMIFS('STOCK IN  TRANSFER'!G:G, 'STOCK IN  TRANSFER'!E:E, B514, 'STOCK IN  TRANSFER'!F:F, "ADJUSTMENT (-)") - SUMIFS('STOCK IN  TRANSFER'!G:G, 'STOCK IN  TRANSFER'!E:E, B514, 'STOCK IN  TRANSFER'!F:F, "STOCK TRANSFER") - SUMIFS(SALES!H:H, SALES!E:E, B514)</f>
        <v>0</v>
      </c>
      <c r="F514" s="28"/>
    </row>
    <row r="515" ht="22.5" customHeight="1">
      <c r="A515" s="13"/>
      <c r="B515" s="13"/>
      <c r="C515" s="16"/>
      <c r="D515" s="13"/>
      <c r="E515" s="28">
        <f>SUMIFS('STOCK IN  TRANSFER'!G:G, 'STOCK IN  TRANSFER'!E:E, B515, 'STOCK IN  TRANSFER'!F:F, "STOCK IN") + SUMIFS('STOCK IN  TRANSFER'!G:G, 'STOCK IN  TRANSFER'!E:E, B515, 'STOCK IN  TRANSFER'!F:F, "ADJUSTMENT (+)") - SUMIFS('STOCK IN  TRANSFER'!G:G, 'STOCK IN  TRANSFER'!E:E, B515, 'STOCK IN  TRANSFER'!F:F, "ADJUSTMENT (-)") - SUMIFS('STOCK IN  TRANSFER'!G:G, 'STOCK IN  TRANSFER'!E:E, B515, 'STOCK IN  TRANSFER'!F:F, "STOCK TRANSFER") - SUMIFS(SALES!H:H, SALES!E:E, B515)</f>
        <v>0</v>
      </c>
      <c r="F515" s="28"/>
    </row>
    <row r="516" ht="22.5" customHeight="1">
      <c r="A516" s="13"/>
      <c r="B516" s="13"/>
      <c r="C516" s="16"/>
      <c r="D516" s="13"/>
      <c r="E516" s="28">
        <f>SUMIFS('STOCK IN  TRANSFER'!G:G, 'STOCK IN  TRANSFER'!E:E, B516, 'STOCK IN  TRANSFER'!F:F, "STOCK IN") + SUMIFS('STOCK IN  TRANSFER'!G:G, 'STOCK IN  TRANSFER'!E:E, B516, 'STOCK IN  TRANSFER'!F:F, "ADJUSTMENT (+)") - SUMIFS('STOCK IN  TRANSFER'!G:G, 'STOCK IN  TRANSFER'!E:E, B516, 'STOCK IN  TRANSFER'!F:F, "ADJUSTMENT (-)") - SUMIFS('STOCK IN  TRANSFER'!G:G, 'STOCK IN  TRANSFER'!E:E, B516, 'STOCK IN  TRANSFER'!F:F, "STOCK TRANSFER") - SUMIFS(SALES!H:H, SALES!E:E, B516)</f>
        <v>0</v>
      </c>
      <c r="F516" s="28"/>
    </row>
    <row r="517" ht="22.5" customHeight="1">
      <c r="A517" s="13"/>
      <c r="B517" s="13"/>
      <c r="C517" s="16"/>
      <c r="D517" s="13"/>
      <c r="E517" s="28">
        <f>SUMIFS('STOCK IN  TRANSFER'!G:G, 'STOCK IN  TRANSFER'!E:E, B517, 'STOCK IN  TRANSFER'!F:F, "STOCK IN") + SUMIFS('STOCK IN  TRANSFER'!G:G, 'STOCK IN  TRANSFER'!E:E, B517, 'STOCK IN  TRANSFER'!F:F, "ADJUSTMENT (+)") - SUMIFS('STOCK IN  TRANSFER'!G:G, 'STOCK IN  TRANSFER'!E:E, B517, 'STOCK IN  TRANSFER'!F:F, "ADJUSTMENT (-)") - SUMIFS('STOCK IN  TRANSFER'!G:G, 'STOCK IN  TRANSFER'!E:E, B517, 'STOCK IN  TRANSFER'!F:F, "STOCK TRANSFER") - SUMIFS(SALES!H:H, SALES!E:E, B517)</f>
        <v>0</v>
      </c>
      <c r="F517" s="28"/>
    </row>
    <row r="518" ht="22.5" customHeight="1">
      <c r="A518" s="13"/>
      <c r="B518" s="13"/>
      <c r="C518" s="16"/>
      <c r="D518" s="13"/>
      <c r="E518" s="28">
        <f>SUMIFS('STOCK IN  TRANSFER'!G:G, 'STOCK IN  TRANSFER'!E:E, B518, 'STOCK IN  TRANSFER'!F:F, "STOCK IN") + SUMIFS('STOCK IN  TRANSFER'!G:G, 'STOCK IN  TRANSFER'!E:E, B518, 'STOCK IN  TRANSFER'!F:F, "ADJUSTMENT (+)") - SUMIFS('STOCK IN  TRANSFER'!G:G, 'STOCK IN  TRANSFER'!E:E, B518, 'STOCK IN  TRANSFER'!F:F, "ADJUSTMENT (-)") - SUMIFS('STOCK IN  TRANSFER'!G:G, 'STOCK IN  TRANSFER'!E:E, B518, 'STOCK IN  TRANSFER'!F:F, "STOCK TRANSFER") - SUMIFS(SALES!H:H, SALES!E:E, B518)</f>
        <v>0</v>
      </c>
      <c r="F518" s="28"/>
    </row>
    <row r="519" ht="22.5" customHeight="1">
      <c r="A519" s="13"/>
      <c r="B519" s="13"/>
      <c r="C519" s="16"/>
      <c r="D519" s="13"/>
      <c r="E519" s="28">
        <f>SUMIFS('STOCK IN  TRANSFER'!G:G, 'STOCK IN  TRANSFER'!E:E, B519, 'STOCK IN  TRANSFER'!F:F, "STOCK IN") + SUMIFS('STOCK IN  TRANSFER'!G:G, 'STOCK IN  TRANSFER'!E:E, B519, 'STOCK IN  TRANSFER'!F:F, "ADJUSTMENT (+)") - SUMIFS('STOCK IN  TRANSFER'!G:G, 'STOCK IN  TRANSFER'!E:E, B519, 'STOCK IN  TRANSFER'!F:F, "ADJUSTMENT (-)") - SUMIFS('STOCK IN  TRANSFER'!G:G, 'STOCK IN  TRANSFER'!E:E, B519, 'STOCK IN  TRANSFER'!F:F, "STOCK TRANSFER") - SUMIFS(SALES!H:H, SALES!E:E, B519)</f>
        <v>0</v>
      </c>
      <c r="F519" s="13"/>
    </row>
    <row r="520" ht="22.5" customHeight="1">
      <c r="A520" s="13"/>
      <c r="B520" s="13"/>
      <c r="C520" s="16"/>
      <c r="D520" s="13"/>
      <c r="E520" s="28">
        <f>SUMIFS('STOCK IN  TRANSFER'!G:G, 'STOCK IN  TRANSFER'!E:E, B520, 'STOCK IN  TRANSFER'!F:F, "STOCK IN") + SUMIFS('STOCK IN  TRANSFER'!G:G, 'STOCK IN  TRANSFER'!E:E, B520, 'STOCK IN  TRANSFER'!F:F, "ADJUSTMENT (+)") - SUMIFS('STOCK IN  TRANSFER'!G:G, 'STOCK IN  TRANSFER'!E:E, B520, 'STOCK IN  TRANSFER'!F:F, "ADJUSTMENT (-)") - SUMIFS('STOCK IN  TRANSFER'!G:G, 'STOCK IN  TRANSFER'!E:E, B520, 'STOCK IN  TRANSFER'!F:F, "STOCK TRANSFER") - SUMIFS(SALES!H:H, SALES!E:E, B520)</f>
        <v>0</v>
      </c>
      <c r="F520" s="13"/>
    </row>
    <row r="521" ht="22.5" customHeight="1">
      <c r="A521" s="13"/>
      <c r="B521" s="13"/>
      <c r="C521" s="16"/>
      <c r="D521" s="13"/>
      <c r="E521" s="28">
        <f>SUMIFS('STOCK IN  TRANSFER'!G:G, 'STOCK IN  TRANSFER'!E:E, B521, 'STOCK IN  TRANSFER'!F:F, "STOCK IN") + SUMIFS('STOCK IN  TRANSFER'!G:G, 'STOCK IN  TRANSFER'!E:E, B521, 'STOCK IN  TRANSFER'!F:F, "ADJUSTMENT (+)") - SUMIFS('STOCK IN  TRANSFER'!G:G, 'STOCK IN  TRANSFER'!E:E, B521, 'STOCK IN  TRANSFER'!F:F, "ADJUSTMENT (-)") - SUMIFS('STOCK IN  TRANSFER'!G:G, 'STOCK IN  TRANSFER'!E:E, B521, 'STOCK IN  TRANSFER'!F:F, "STOCK TRANSFER") - SUMIFS(SALES!H:H, SALES!E:E, B521)</f>
        <v>0</v>
      </c>
      <c r="F521" s="28"/>
    </row>
    <row r="522" ht="22.5" customHeight="1">
      <c r="A522" s="13"/>
      <c r="B522" s="13"/>
      <c r="C522" s="16"/>
      <c r="D522" s="13"/>
      <c r="E522" s="28">
        <f>SUMIFS('STOCK IN  TRANSFER'!G:G, 'STOCK IN  TRANSFER'!E:E, B522, 'STOCK IN  TRANSFER'!F:F, "STOCK IN") + SUMIFS('STOCK IN  TRANSFER'!G:G, 'STOCK IN  TRANSFER'!E:E, B522, 'STOCK IN  TRANSFER'!F:F, "ADJUSTMENT (+)") - SUMIFS('STOCK IN  TRANSFER'!G:G, 'STOCK IN  TRANSFER'!E:E, B522, 'STOCK IN  TRANSFER'!F:F, "ADJUSTMENT (-)") - SUMIFS('STOCK IN  TRANSFER'!G:G, 'STOCK IN  TRANSFER'!E:E, B522, 'STOCK IN  TRANSFER'!F:F, "STOCK TRANSFER") - SUMIFS(SALES!H:H, SALES!E:E, B522)</f>
        <v>0</v>
      </c>
      <c r="F522" s="28"/>
    </row>
    <row r="523" ht="22.5" customHeight="1">
      <c r="A523" s="13"/>
      <c r="B523" s="13"/>
      <c r="C523" s="16"/>
      <c r="D523" s="13"/>
      <c r="E523" s="28">
        <f>SUMIFS('STOCK IN  TRANSFER'!G:G, 'STOCK IN  TRANSFER'!E:E, B523, 'STOCK IN  TRANSFER'!F:F, "STOCK IN") + SUMIFS('STOCK IN  TRANSFER'!G:G, 'STOCK IN  TRANSFER'!E:E, B523, 'STOCK IN  TRANSFER'!F:F, "ADJUSTMENT (+)") - SUMIFS('STOCK IN  TRANSFER'!G:G, 'STOCK IN  TRANSFER'!E:E, B523, 'STOCK IN  TRANSFER'!F:F, "ADJUSTMENT (-)") - SUMIFS('STOCK IN  TRANSFER'!G:G, 'STOCK IN  TRANSFER'!E:E, B523, 'STOCK IN  TRANSFER'!F:F, "STOCK TRANSFER") - SUMIFS(SALES!H:H, SALES!E:E, B523)</f>
        <v>0</v>
      </c>
      <c r="F523" s="28"/>
    </row>
    <row r="524" ht="22.5" customHeight="1">
      <c r="A524" s="13"/>
      <c r="B524" s="13"/>
      <c r="C524" s="16"/>
      <c r="D524" s="13"/>
      <c r="E524" s="28">
        <f>SUMIFS('STOCK IN  TRANSFER'!G:G, 'STOCK IN  TRANSFER'!E:E, B524, 'STOCK IN  TRANSFER'!F:F, "STOCK IN") + SUMIFS('STOCK IN  TRANSFER'!G:G, 'STOCK IN  TRANSFER'!E:E, B524, 'STOCK IN  TRANSFER'!F:F, "ADJUSTMENT (+)") - SUMIFS('STOCK IN  TRANSFER'!G:G, 'STOCK IN  TRANSFER'!E:E, B524, 'STOCK IN  TRANSFER'!F:F, "ADJUSTMENT (-)") - SUMIFS('STOCK IN  TRANSFER'!G:G, 'STOCK IN  TRANSFER'!E:E, B524, 'STOCK IN  TRANSFER'!F:F, "STOCK TRANSFER") - SUMIFS(SALES!H:H, SALES!E:E, B524)</f>
        <v>0</v>
      </c>
      <c r="F524" s="28"/>
    </row>
    <row r="525" ht="22.5" customHeight="1">
      <c r="A525" s="13"/>
      <c r="B525" s="13"/>
      <c r="C525" s="16"/>
      <c r="D525" s="13"/>
      <c r="E525" s="28">
        <f>SUMIFS('STOCK IN  TRANSFER'!G:G, 'STOCK IN  TRANSFER'!E:E, B525, 'STOCK IN  TRANSFER'!F:F, "STOCK IN") + SUMIFS('STOCK IN  TRANSFER'!G:G, 'STOCK IN  TRANSFER'!E:E, B525, 'STOCK IN  TRANSFER'!F:F, "ADJUSTMENT (+)") - SUMIFS('STOCK IN  TRANSFER'!G:G, 'STOCK IN  TRANSFER'!E:E, B525, 'STOCK IN  TRANSFER'!F:F, "ADJUSTMENT (-)") - SUMIFS('STOCK IN  TRANSFER'!G:G, 'STOCK IN  TRANSFER'!E:E, B525, 'STOCK IN  TRANSFER'!F:F, "STOCK TRANSFER") - SUMIFS(SALES!H:H, SALES!E:E, B525)</f>
        <v>0</v>
      </c>
      <c r="F525" s="28"/>
    </row>
    <row r="526" ht="22.5" customHeight="1">
      <c r="A526" s="13"/>
      <c r="B526" s="13"/>
      <c r="C526" s="16"/>
      <c r="D526" s="13"/>
      <c r="E526" s="28">
        <f>SUMIFS('STOCK IN  TRANSFER'!G:G, 'STOCK IN  TRANSFER'!E:E, B526, 'STOCK IN  TRANSFER'!F:F, "STOCK IN") + SUMIFS('STOCK IN  TRANSFER'!G:G, 'STOCK IN  TRANSFER'!E:E, B526, 'STOCK IN  TRANSFER'!F:F, "ADJUSTMENT (+)") - SUMIFS('STOCK IN  TRANSFER'!G:G, 'STOCK IN  TRANSFER'!E:E, B526, 'STOCK IN  TRANSFER'!F:F, "ADJUSTMENT (-)") - SUMIFS('STOCK IN  TRANSFER'!G:G, 'STOCK IN  TRANSFER'!E:E, B526, 'STOCK IN  TRANSFER'!F:F, "STOCK TRANSFER") - SUMIFS(SALES!H:H, SALES!E:E, B526)</f>
        <v>0</v>
      </c>
      <c r="F526" s="28"/>
    </row>
    <row r="527" ht="22.5" customHeight="1">
      <c r="A527" s="13"/>
      <c r="B527" s="13"/>
      <c r="C527" s="16"/>
      <c r="D527" s="13"/>
      <c r="E527" s="28">
        <f>SUMIFS('STOCK IN  TRANSFER'!G:G, 'STOCK IN  TRANSFER'!E:E, B527, 'STOCK IN  TRANSFER'!F:F, "STOCK IN") + SUMIFS('STOCK IN  TRANSFER'!G:G, 'STOCK IN  TRANSFER'!E:E, B527, 'STOCK IN  TRANSFER'!F:F, "ADJUSTMENT (+)") - SUMIFS('STOCK IN  TRANSFER'!G:G, 'STOCK IN  TRANSFER'!E:E, B527, 'STOCK IN  TRANSFER'!F:F, "ADJUSTMENT (-)") - SUMIFS('STOCK IN  TRANSFER'!G:G, 'STOCK IN  TRANSFER'!E:E, B527, 'STOCK IN  TRANSFER'!F:F, "STOCK TRANSFER") - SUMIFS(SALES!H:H, SALES!E:E, B527)</f>
        <v>0</v>
      </c>
      <c r="F527" s="28"/>
    </row>
    <row r="528" ht="22.5" customHeight="1">
      <c r="A528" s="13"/>
      <c r="B528" s="13"/>
      <c r="C528" s="16"/>
      <c r="D528" s="13"/>
      <c r="E528" s="28">
        <f>SUMIFS('STOCK IN  TRANSFER'!G:G, 'STOCK IN  TRANSFER'!E:E, B528, 'STOCK IN  TRANSFER'!F:F, "STOCK IN") + SUMIFS('STOCK IN  TRANSFER'!G:G, 'STOCK IN  TRANSFER'!E:E, B528, 'STOCK IN  TRANSFER'!F:F, "ADJUSTMENT (+)") - SUMIFS('STOCK IN  TRANSFER'!G:G, 'STOCK IN  TRANSFER'!E:E, B528, 'STOCK IN  TRANSFER'!F:F, "ADJUSTMENT (-)") - SUMIFS('STOCK IN  TRANSFER'!G:G, 'STOCK IN  TRANSFER'!E:E, B528, 'STOCK IN  TRANSFER'!F:F, "STOCK TRANSFER") - SUMIFS(SALES!H:H, SALES!E:E, B528)</f>
        <v>0</v>
      </c>
      <c r="F528" s="28"/>
    </row>
    <row r="529" ht="22.5" customHeight="1">
      <c r="A529" s="13"/>
      <c r="B529" s="13"/>
      <c r="C529" s="16"/>
      <c r="D529" s="13"/>
      <c r="E529" s="28">
        <f>SUMIFS('STOCK IN  TRANSFER'!G:G, 'STOCK IN  TRANSFER'!E:E, B529, 'STOCK IN  TRANSFER'!F:F, "STOCK IN") + SUMIFS('STOCK IN  TRANSFER'!G:G, 'STOCK IN  TRANSFER'!E:E, B529, 'STOCK IN  TRANSFER'!F:F, "ADJUSTMENT (+)") - SUMIFS('STOCK IN  TRANSFER'!G:G, 'STOCK IN  TRANSFER'!E:E, B529, 'STOCK IN  TRANSFER'!F:F, "ADJUSTMENT (-)") - SUMIFS('STOCK IN  TRANSFER'!G:G, 'STOCK IN  TRANSFER'!E:E, B529, 'STOCK IN  TRANSFER'!F:F, "STOCK TRANSFER") - SUMIFS(SALES!H:H, SALES!E:E, B529)</f>
        <v>0</v>
      </c>
      <c r="F529" s="28"/>
    </row>
    <row r="530" ht="22.5" customHeight="1">
      <c r="A530" s="13"/>
      <c r="B530" s="13"/>
      <c r="C530" s="16"/>
      <c r="D530" s="13"/>
      <c r="E530" s="28">
        <f>SUMIFS('STOCK IN  TRANSFER'!G:G, 'STOCK IN  TRANSFER'!E:E, B530, 'STOCK IN  TRANSFER'!F:F, "STOCK IN") + SUMIFS('STOCK IN  TRANSFER'!G:G, 'STOCK IN  TRANSFER'!E:E, B530, 'STOCK IN  TRANSFER'!F:F, "ADJUSTMENT (+)") - SUMIFS('STOCK IN  TRANSFER'!G:G, 'STOCK IN  TRANSFER'!E:E, B530, 'STOCK IN  TRANSFER'!F:F, "ADJUSTMENT (-)") - SUMIFS('STOCK IN  TRANSFER'!G:G, 'STOCK IN  TRANSFER'!E:E, B530, 'STOCK IN  TRANSFER'!F:F, "STOCK TRANSFER") - SUMIFS(SALES!H:H, SALES!E:E, B530)</f>
        <v>0</v>
      </c>
      <c r="F530" s="28"/>
    </row>
    <row r="531" ht="22.5" customHeight="1">
      <c r="A531" s="13"/>
      <c r="B531" s="13"/>
      <c r="C531" s="16"/>
      <c r="D531" s="13"/>
      <c r="E531" s="28">
        <f>SUMIFS('STOCK IN  TRANSFER'!G:G, 'STOCK IN  TRANSFER'!E:E, B531, 'STOCK IN  TRANSFER'!F:F, "STOCK IN") + SUMIFS('STOCK IN  TRANSFER'!G:G, 'STOCK IN  TRANSFER'!E:E, B531, 'STOCK IN  TRANSFER'!F:F, "ADJUSTMENT (+)") - SUMIFS('STOCK IN  TRANSFER'!G:G, 'STOCK IN  TRANSFER'!E:E, B531, 'STOCK IN  TRANSFER'!F:F, "ADJUSTMENT (-)") - SUMIFS('STOCK IN  TRANSFER'!G:G, 'STOCK IN  TRANSFER'!E:E, B531, 'STOCK IN  TRANSFER'!F:F, "STOCK TRANSFER") - SUMIFS(SALES!H:H, SALES!E:E, B531)</f>
        <v>0</v>
      </c>
      <c r="F531" s="28"/>
    </row>
    <row r="532" ht="22.5" customHeight="1">
      <c r="A532" s="13"/>
      <c r="B532" s="13"/>
      <c r="C532" s="16"/>
      <c r="D532" s="13"/>
      <c r="E532" s="28">
        <f>SUMIFS('STOCK IN  TRANSFER'!G:G, 'STOCK IN  TRANSFER'!E:E, B532, 'STOCK IN  TRANSFER'!F:F, "STOCK IN") + SUMIFS('STOCK IN  TRANSFER'!G:G, 'STOCK IN  TRANSFER'!E:E, B532, 'STOCK IN  TRANSFER'!F:F, "ADJUSTMENT (+)") - SUMIFS('STOCK IN  TRANSFER'!G:G, 'STOCK IN  TRANSFER'!E:E, B532, 'STOCK IN  TRANSFER'!F:F, "ADJUSTMENT (-)") - SUMIFS('STOCK IN  TRANSFER'!G:G, 'STOCK IN  TRANSFER'!E:E, B532, 'STOCK IN  TRANSFER'!F:F, "STOCK TRANSFER") - SUMIFS(SALES!H:H, SALES!E:E, B532)</f>
        <v>0</v>
      </c>
      <c r="F532" s="28"/>
    </row>
    <row r="533" ht="22.5" customHeight="1">
      <c r="A533" s="13"/>
      <c r="B533" s="13"/>
      <c r="C533" s="16"/>
      <c r="D533" s="13"/>
      <c r="E533" s="28">
        <f>SUMIFS('STOCK IN  TRANSFER'!G:G, 'STOCK IN  TRANSFER'!E:E, B533, 'STOCK IN  TRANSFER'!F:F, "STOCK IN") + SUMIFS('STOCK IN  TRANSFER'!G:G, 'STOCK IN  TRANSFER'!E:E, B533, 'STOCK IN  TRANSFER'!F:F, "ADJUSTMENT (+)") - SUMIFS('STOCK IN  TRANSFER'!G:G, 'STOCK IN  TRANSFER'!E:E, B533, 'STOCK IN  TRANSFER'!F:F, "ADJUSTMENT (-)") - SUMIFS('STOCK IN  TRANSFER'!G:G, 'STOCK IN  TRANSFER'!E:E, B533, 'STOCK IN  TRANSFER'!F:F, "STOCK TRANSFER") - SUMIFS(SALES!H:H, SALES!E:E, B533)</f>
        <v>0</v>
      </c>
      <c r="F533" s="28"/>
    </row>
    <row r="534" ht="22.5" customHeight="1">
      <c r="A534" s="13"/>
      <c r="B534" s="13"/>
      <c r="C534" s="16"/>
      <c r="D534" s="13"/>
      <c r="E534" s="28">
        <f>SUMIFS('STOCK IN  TRANSFER'!G:G, 'STOCK IN  TRANSFER'!E:E, B534, 'STOCK IN  TRANSFER'!F:F, "STOCK IN") + SUMIFS('STOCK IN  TRANSFER'!G:G, 'STOCK IN  TRANSFER'!E:E, B534, 'STOCK IN  TRANSFER'!F:F, "ADJUSTMENT (+)") - SUMIFS('STOCK IN  TRANSFER'!G:G, 'STOCK IN  TRANSFER'!E:E, B534, 'STOCK IN  TRANSFER'!F:F, "ADJUSTMENT (-)") - SUMIFS('STOCK IN  TRANSFER'!G:G, 'STOCK IN  TRANSFER'!E:E, B534, 'STOCK IN  TRANSFER'!F:F, "STOCK TRANSFER") - SUMIFS(SALES!H:H, SALES!E:E, B534)</f>
        <v>0</v>
      </c>
      <c r="F534" s="28"/>
    </row>
    <row r="535" ht="22.5" customHeight="1">
      <c r="A535" s="13"/>
      <c r="B535" s="13"/>
      <c r="C535" s="16"/>
      <c r="D535" s="13"/>
      <c r="E535" s="28">
        <f>SUMIFS('STOCK IN  TRANSFER'!G:G, 'STOCK IN  TRANSFER'!E:E, B535, 'STOCK IN  TRANSFER'!F:F, "STOCK IN") + SUMIFS('STOCK IN  TRANSFER'!G:G, 'STOCK IN  TRANSFER'!E:E, B535, 'STOCK IN  TRANSFER'!F:F, "ADJUSTMENT (+)") - SUMIFS('STOCK IN  TRANSFER'!G:G, 'STOCK IN  TRANSFER'!E:E, B535, 'STOCK IN  TRANSFER'!F:F, "ADJUSTMENT (-)") - SUMIFS('STOCK IN  TRANSFER'!G:G, 'STOCK IN  TRANSFER'!E:E, B535, 'STOCK IN  TRANSFER'!F:F, "STOCK TRANSFER") - SUMIFS(SALES!H:H, SALES!E:E, B535)</f>
        <v>0</v>
      </c>
      <c r="F535" s="28"/>
    </row>
    <row r="536" ht="22.5" customHeight="1">
      <c r="A536" s="13"/>
      <c r="B536" s="13"/>
      <c r="C536" s="16"/>
      <c r="D536" s="13"/>
      <c r="E536" s="28">
        <f>SUMIFS('STOCK IN  TRANSFER'!G:G, 'STOCK IN  TRANSFER'!E:E, B536, 'STOCK IN  TRANSFER'!F:F, "STOCK IN") + SUMIFS('STOCK IN  TRANSFER'!G:G, 'STOCK IN  TRANSFER'!E:E, B536, 'STOCK IN  TRANSFER'!F:F, "ADJUSTMENT (+)") - SUMIFS('STOCK IN  TRANSFER'!G:G, 'STOCK IN  TRANSFER'!E:E, B536, 'STOCK IN  TRANSFER'!F:F, "ADJUSTMENT (-)") - SUMIFS('STOCK IN  TRANSFER'!G:G, 'STOCK IN  TRANSFER'!E:E, B536, 'STOCK IN  TRANSFER'!F:F, "STOCK TRANSFER") - SUMIFS(SALES!H:H, SALES!E:E, B536)</f>
        <v>0</v>
      </c>
      <c r="F536" s="28"/>
    </row>
    <row r="537" ht="22.5" customHeight="1">
      <c r="A537" s="13"/>
      <c r="B537" s="13"/>
      <c r="C537" s="16"/>
      <c r="D537" s="13"/>
      <c r="E537" s="28">
        <f>SUMIFS('STOCK IN  TRANSFER'!G:G, 'STOCK IN  TRANSFER'!E:E, B537, 'STOCK IN  TRANSFER'!F:F, "STOCK IN") + SUMIFS('STOCK IN  TRANSFER'!G:G, 'STOCK IN  TRANSFER'!E:E, B537, 'STOCK IN  TRANSFER'!F:F, "ADJUSTMENT (+)") - SUMIFS('STOCK IN  TRANSFER'!G:G, 'STOCK IN  TRANSFER'!E:E, B537, 'STOCK IN  TRANSFER'!F:F, "ADJUSTMENT (-)") - SUMIFS('STOCK IN  TRANSFER'!G:G, 'STOCK IN  TRANSFER'!E:E, B537, 'STOCK IN  TRANSFER'!F:F, "STOCK TRANSFER") - SUMIFS(SALES!H:H, SALES!E:E, B537)</f>
        <v>0</v>
      </c>
      <c r="F537" s="28"/>
    </row>
    <row r="538" ht="22.5" customHeight="1">
      <c r="A538" s="13"/>
      <c r="B538" s="13"/>
      <c r="C538" s="16"/>
      <c r="D538" s="13"/>
      <c r="E538" s="28">
        <f>SUMIFS('STOCK IN  TRANSFER'!G:G, 'STOCK IN  TRANSFER'!E:E, B538, 'STOCK IN  TRANSFER'!F:F, "STOCK IN") + SUMIFS('STOCK IN  TRANSFER'!G:G, 'STOCK IN  TRANSFER'!E:E, B538, 'STOCK IN  TRANSFER'!F:F, "ADJUSTMENT (+)") - SUMIFS('STOCK IN  TRANSFER'!G:G, 'STOCK IN  TRANSFER'!E:E, B538, 'STOCK IN  TRANSFER'!F:F, "ADJUSTMENT (-)") - SUMIFS('STOCK IN  TRANSFER'!G:G, 'STOCK IN  TRANSFER'!E:E, B538, 'STOCK IN  TRANSFER'!F:F, "STOCK TRANSFER") - SUMIFS(SALES!H:H, SALES!E:E, B538)</f>
        <v>0</v>
      </c>
      <c r="F538" s="28"/>
    </row>
    <row r="539" ht="22.5" customHeight="1">
      <c r="A539" s="13"/>
      <c r="B539" s="13"/>
      <c r="C539" s="16"/>
      <c r="D539" s="13"/>
      <c r="E539" s="28">
        <f>SUMIFS('STOCK IN  TRANSFER'!G:G, 'STOCK IN  TRANSFER'!E:E, B539, 'STOCK IN  TRANSFER'!F:F, "STOCK IN") + SUMIFS('STOCK IN  TRANSFER'!G:G, 'STOCK IN  TRANSFER'!E:E, B539, 'STOCK IN  TRANSFER'!F:F, "ADJUSTMENT (+)") - SUMIFS('STOCK IN  TRANSFER'!G:G, 'STOCK IN  TRANSFER'!E:E, B539, 'STOCK IN  TRANSFER'!F:F, "ADJUSTMENT (-)") - SUMIFS('STOCK IN  TRANSFER'!G:G, 'STOCK IN  TRANSFER'!E:E, B539, 'STOCK IN  TRANSFER'!F:F, "STOCK TRANSFER") - SUMIFS(SALES!H:H, SALES!E:E, B539)</f>
        <v>0</v>
      </c>
      <c r="F539" s="28"/>
    </row>
    <row r="540" ht="22.5" customHeight="1">
      <c r="A540" s="13"/>
      <c r="B540" s="13"/>
      <c r="C540" s="16"/>
      <c r="D540" s="13"/>
      <c r="E540" s="28">
        <f>SUMIFS('STOCK IN  TRANSFER'!G:G, 'STOCK IN  TRANSFER'!E:E, B540, 'STOCK IN  TRANSFER'!F:F, "STOCK IN") + SUMIFS('STOCK IN  TRANSFER'!G:G, 'STOCK IN  TRANSFER'!E:E, B540, 'STOCK IN  TRANSFER'!F:F, "ADJUSTMENT (+)") - SUMIFS('STOCK IN  TRANSFER'!G:G, 'STOCK IN  TRANSFER'!E:E, B540, 'STOCK IN  TRANSFER'!F:F, "ADJUSTMENT (-)") - SUMIFS('STOCK IN  TRANSFER'!G:G, 'STOCK IN  TRANSFER'!E:E, B540, 'STOCK IN  TRANSFER'!F:F, "STOCK TRANSFER") - SUMIFS(SALES!H:H, SALES!E:E, B540)</f>
        <v>0</v>
      </c>
      <c r="F540" s="28"/>
    </row>
    <row r="541" ht="22.5" customHeight="1">
      <c r="A541" s="13"/>
      <c r="B541" s="13"/>
      <c r="C541" s="16"/>
      <c r="D541" s="13"/>
      <c r="E541" s="28">
        <f>SUMIFS('STOCK IN  TRANSFER'!G:G, 'STOCK IN  TRANSFER'!E:E, B541, 'STOCK IN  TRANSFER'!F:F, "STOCK IN") + SUMIFS('STOCK IN  TRANSFER'!G:G, 'STOCK IN  TRANSFER'!E:E, B541, 'STOCK IN  TRANSFER'!F:F, "ADJUSTMENT (+)") - SUMIFS('STOCK IN  TRANSFER'!G:G, 'STOCK IN  TRANSFER'!E:E, B541, 'STOCK IN  TRANSFER'!F:F, "ADJUSTMENT (-)") - SUMIFS('STOCK IN  TRANSFER'!G:G, 'STOCK IN  TRANSFER'!E:E, B541, 'STOCK IN  TRANSFER'!F:F, "STOCK TRANSFER") - SUMIFS(SALES!H:H, SALES!E:E, B541)</f>
        <v>0</v>
      </c>
      <c r="F541" s="28"/>
    </row>
    <row r="542" ht="22.5" customHeight="1">
      <c r="A542" s="13"/>
      <c r="B542" s="13"/>
      <c r="C542" s="16"/>
      <c r="D542" s="13"/>
      <c r="E542" s="28">
        <f>SUMIFS('STOCK IN  TRANSFER'!G:G, 'STOCK IN  TRANSFER'!E:E, B542, 'STOCK IN  TRANSFER'!F:F, "STOCK IN") + SUMIFS('STOCK IN  TRANSFER'!G:G, 'STOCK IN  TRANSFER'!E:E, B542, 'STOCK IN  TRANSFER'!F:F, "ADJUSTMENT (+)") - SUMIFS('STOCK IN  TRANSFER'!G:G, 'STOCK IN  TRANSFER'!E:E, B542, 'STOCK IN  TRANSFER'!F:F, "ADJUSTMENT (-)") - SUMIFS('STOCK IN  TRANSFER'!G:G, 'STOCK IN  TRANSFER'!E:E, B542, 'STOCK IN  TRANSFER'!F:F, "STOCK TRANSFER") - SUMIFS(SALES!H:H, SALES!E:E, B542)</f>
        <v>0</v>
      </c>
      <c r="F542" s="28"/>
    </row>
    <row r="543" ht="22.5" customHeight="1">
      <c r="A543" s="13"/>
      <c r="B543" s="13"/>
      <c r="C543" s="16"/>
      <c r="D543" s="13"/>
      <c r="E543" s="28">
        <f>SUMIFS('STOCK IN  TRANSFER'!G:G, 'STOCK IN  TRANSFER'!E:E, B543, 'STOCK IN  TRANSFER'!F:F, "STOCK IN") + SUMIFS('STOCK IN  TRANSFER'!G:G, 'STOCK IN  TRANSFER'!E:E, B543, 'STOCK IN  TRANSFER'!F:F, "ADJUSTMENT (+)") - SUMIFS('STOCK IN  TRANSFER'!G:G, 'STOCK IN  TRANSFER'!E:E, B543, 'STOCK IN  TRANSFER'!F:F, "ADJUSTMENT (-)") - SUMIFS('STOCK IN  TRANSFER'!G:G, 'STOCK IN  TRANSFER'!E:E, B543, 'STOCK IN  TRANSFER'!F:F, "STOCK TRANSFER") - SUMIFS(SALES!H:H, SALES!E:E, B543)</f>
        <v>0</v>
      </c>
      <c r="F543" s="28"/>
    </row>
    <row r="544" ht="22.5" customHeight="1">
      <c r="A544" s="13"/>
      <c r="B544" s="13"/>
      <c r="C544" s="16"/>
      <c r="D544" s="13"/>
      <c r="E544" s="28">
        <f>SUMIFS('STOCK IN  TRANSFER'!G:G, 'STOCK IN  TRANSFER'!E:E, B544, 'STOCK IN  TRANSFER'!F:F, "STOCK IN") + SUMIFS('STOCK IN  TRANSFER'!G:G, 'STOCK IN  TRANSFER'!E:E, B544, 'STOCK IN  TRANSFER'!F:F, "ADJUSTMENT (+)") - SUMIFS('STOCK IN  TRANSFER'!G:G, 'STOCK IN  TRANSFER'!E:E, B544, 'STOCK IN  TRANSFER'!F:F, "ADJUSTMENT (-)") - SUMIFS('STOCK IN  TRANSFER'!G:G, 'STOCK IN  TRANSFER'!E:E, B544, 'STOCK IN  TRANSFER'!F:F, "STOCK TRANSFER") - SUMIFS(SALES!H:H, SALES!E:E, B544)</f>
        <v>0</v>
      </c>
      <c r="F544" s="28"/>
    </row>
    <row r="545" ht="22.5" customHeight="1">
      <c r="A545" s="13"/>
      <c r="B545" s="13"/>
      <c r="C545" s="16"/>
      <c r="D545" s="13"/>
      <c r="E545" s="28">
        <f>SUMIFS('STOCK IN  TRANSFER'!G:G, 'STOCK IN  TRANSFER'!E:E, B545, 'STOCK IN  TRANSFER'!F:F, "STOCK IN") + SUMIFS('STOCK IN  TRANSFER'!G:G, 'STOCK IN  TRANSFER'!E:E, B545, 'STOCK IN  TRANSFER'!F:F, "ADJUSTMENT (+)") - SUMIFS('STOCK IN  TRANSFER'!G:G, 'STOCK IN  TRANSFER'!E:E, B545, 'STOCK IN  TRANSFER'!F:F, "ADJUSTMENT (-)") - SUMIFS('STOCK IN  TRANSFER'!G:G, 'STOCK IN  TRANSFER'!E:E, B545, 'STOCK IN  TRANSFER'!F:F, "STOCK TRANSFER") - SUMIFS(SALES!H:H, SALES!E:E, B545)</f>
        <v>0</v>
      </c>
      <c r="F545" s="28"/>
    </row>
    <row r="546" ht="22.5" customHeight="1">
      <c r="A546" s="13"/>
      <c r="B546" s="13"/>
      <c r="C546" s="16"/>
      <c r="D546" s="13"/>
      <c r="E546" s="28">
        <f>SUMIFS('STOCK IN  TRANSFER'!G:G, 'STOCK IN  TRANSFER'!E:E, B546, 'STOCK IN  TRANSFER'!F:F, "STOCK IN") + SUMIFS('STOCK IN  TRANSFER'!G:G, 'STOCK IN  TRANSFER'!E:E, B546, 'STOCK IN  TRANSFER'!F:F, "ADJUSTMENT (+)") - SUMIFS('STOCK IN  TRANSFER'!G:G, 'STOCK IN  TRANSFER'!E:E, B546, 'STOCK IN  TRANSFER'!F:F, "ADJUSTMENT (-)") - SUMIFS('STOCK IN  TRANSFER'!G:G, 'STOCK IN  TRANSFER'!E:E, B546, 'STOCK IN  TRANSFER'!F:F, "STOCK TRANSFER") - SUMIFS(SALES!H:H, SALES!E:E, B546)</f>
        <v>0</v>
      </c>
      <c r="F546" s="28"/>
    </row>
    <row r="547" ht="22.5" customHeight="1">
      <c r="A547" s="13"/>
      <c r="B547" s="13"/>
      <c r="C547" s="16"/>
      <c r="D547" s="13"/>
      <c r="E547" s="28">
        <f>SUMIFS('STOCK IN  TRANSFER'!G:G, 'STOCK IN  TRANSFER'!E:E, B547, 'STOCK IN  TRANSFER'!F:F, "STOCK IN") + SUMIFS('STOCK IN  TRANSFER'!G:G, 'STOCK IN  TRANSFER'!E:E, B547, 'STOCK IN  TRANSFER'!F:F, "ADJUSTMENT (+)") - SUMIFS('STOCK IN  TRANSFER'!G:G, 'STOCK IN  TRANSFER'!E:E, B547, 'STOCK IN  TRANSFER'!F:F, "ADJUSTMENT (-)") - SUMIFS('STOCK IN  TRANSFER'!G:G, 'STOCK IN  TRANSFER'!E:E, B547, 'STOCK IN  TRANSFER'!F:F, "STOCK TRANSFER") - SUMIFS(SALES!H:H, SALES!E:E, B547)</f>
        <v>0</v>
      </c>
      <c r="F547" s="28"/>
    </row>
    <row r="548" ht="22.5" customHeight="1">
      <c r="A548" s="13"/>
      <c r="B548" s="13"/>
      <c r="C548" s="16"/>
      <c r="D548" s="13"/>
      <c r="E548" s="28">
        <f>SUMIFS('STOCK IN  TRANSFER'!G:G, 'STOCK IN  TRANSFER'!E:E, B548, 'STOCK IN  TRANSFER'!F:F, "STOCK IN") + SUMIFS('STOCK IN  TRANSFER'!G:G, 'STOCK IN  TRANSFER'!E:E, B548, 'STOCK IN  TRANSFER'!F:F, "ADJUSTMENT (+)") - SUMIFS('STOCK IN  TRANSFER'!G:G, 'STOCK IN  TRANSFER'!E:E, B548, 'STOCK IN  TRANSFER'!F:F, "ADJUSTMENT (-)") - SUMIFS('STOCK IN  TRANSFER'!G:G, 'STOCK IN  TRANSFER'!E:E, B548, 'STOCK IN  TRANSFER'!F:F, "STOCK TRANSFER") - SUMIFS(SALES!H:H, SALES!E:E, B548)</f>
        <v>0</v>
      </c>
      <c r="F548" s="28"/>
    </row>
    <row r="549" ht="22.5" customHeight="1">
      <c r="A549" s="13"/>
      <c r="B549" s="13"/>
      <c r="C549" s="16"/>
      <c r="D549" s="13"/>
      <c r="E549" s="28">
        <f>SUMIFS('STOCK IN  TRANSFER'!G:G, 'STOCK IN  TRANSFER'!E:E, B549, 'STOCK IN  TRANSFER'!F:F, "STOCK IN") + SUMIFS('STOCK IN  TRANSFER'!G:G, 'STOCK IN  TRANSFER'!E:E, B549, 'STOCK IN  TRANSFER'!F:F, "ADJUSTMENT (+)") - SUMIFS('STOCK IN  TRANSFER'!G:G, 'STOCK IN  TRANSFER'!E:E, B549, 'STOCK IN  TRANSFER'!F:F, "ADJUSTMENT (-)") - SUMIFS('STOCK IN  TRANSFER'!G:G, 'STOCK IN  TRANSFER'!E:E, B549, 'STOCK IN  TRANSFER'!F:F, "STOCK TRANSFER") - SUMIFS(SALES!H:H, SALES!E:E, B549)</f>
        <v>0</v>
      </c>
      <c r="F549" s="28"/>
    </row>
    <row r="550" ht="22.5" customHeight="1">
      <c r="A550" s="13"/>
      <c r="B550" s="13"/>
      <c r="C550" s="16"/>
      <c r="D550" s="13"/>
      <c r="E550" s="28">
        <f>SUMIFS('STOCK IN  TRANSFER'!G:G, 'STOCK IN  TRANSFER'!E:E, B550, 'STOCK IN  TRANSFER'!F:F, "STOCK IN") + SUMIFS('STOCK IN  TRANSFER'!G:G, 'STOCK IN  TRANSFER'!E:E, B550, 'STOCK IN  TRANSFER'!F:F, "ADJUSTMENT (+)") - SUMIFS('STOCK IN  TRANSFER'!G:G, 'STOCK IN  TRANSFER'!E:E, B550, 'STOCK IN  TRANSFER'!F:F, "ADJUSTMENT (-)") - SUMIFS('STOCK IN  TRANSFER'!G:G, 'STOCK IN  TRANSFER'!E:E, B550, 'STOCK IN  TRANSFER'!F:F, "STOCK TRANSFER") - SUMIFS(SALES!H:H, SALES!E:E, B550)</f>
        <v>0</v>
      </c>
      <c r="F550" s="28"/>
    </row>
    <row r="551" ht="22.5" customHeight="1">
      <c r="A551" s="13"/>
      <c r="B551" s="13"/>
      <c r="C551" s="16"/>
      <c r="D551" s="13"/>
      <c r="E551" s="28">
        <f>SUMIFS('STOCK IN  TRANSFER'!G:G, 'STOCK IN  TRANSFER'!E:E, B551, 'STOCK IN  TRANSFER'!F:F, "STOCK IN") + SUMIFS('STOCK IN  TRANSFER'!G:G, 'STOCK IN  TRANSFER'!E:E, B551, 'STOCK IN  TRANSFER'!F:F, "ADJUSTMENT (+)") - SUMIFS('STOCK IN  TRANSFER'!G:G, 'STOCK IN  TRANSFER'!E:E, B551, 'STOCK IN  TRANSFER'!F:F, "ADJUSTMENT (-)") - SUMIFS('STOCK IN  TRANSFER'!G:G, 'STOCK IN  TRANSFER'!E:E, B551, 'STOCK IN  TRANSFER'!F:F, "STOCK TRANSFER") - SUMIFS(SALES!H:H, SALES!E:E, B551)</f>
        <v>0</v>
      </c>
      <c r="F551" s="28"/>
    </row>
    <row r="552" ht="22.5" customHeight="1">
      <c r="A552" s="13"/>
      <c r="B552" s="13"/>
      <c r="C552" s="16"/>
      <c r="D552" s="13"/>
      <c r="E552" s="28">
        <f>SUMIFS('STOCK IN  TRANSFER'!G:G, 'STOCK IN  TRANSFER'!E:E, B552, 'STOCK IN  TRANSFER'!F:F, "STOCK IN") + SUMIFS('STOCK IN  TRANSFER'!G:G, 'STOCK IN  TRANSFER'!E:E, B552, 'STOCK IN  TRANSFER'!F:F, "ADJUSTMENT (+)") - SUMIFS('STOCK IN  TRANSFER'!G:G, 'STOCK IN  TRANSFER'!E:E, B552, 'STOCK IN  TRANSFER'!F:F, "ADJUSTMENT (-)") - SUMIFS('STOCK IN  TRANSFER'!G:G, 'STOCK IN  TRANSFER'!E:E, B552, 'STOCK IN  TRANSFER'!F:F, "STOCK TRANSFER") - SUMIFS(SALES!H:H, SALES!E:E, B552)</f>
        <v>0</v>
      </c>
      <c r="F552" s="28"/>
    </row>
    <row r="553" ht="22.5" customHeight="1">
      <c r="A553" s="13"/>
      <c r="B553" s="13"/>
      <c r="C553" s="16"/>
      <c r="D553" s="13"/>
      <c r="E553" s="28">
        <f>SUMIFS('STOCK IN  TRANSFER'!G:G, 'STOCK IN  TRANSFER'!E:E, B553, 'STOCK IN  TRANSFER'!F:F, "STOCK IN") + SUMIFS('STOCK IN  TRANSFER'!G:G, 'STOCK IN  TRANSFER'!E:E, B553, 'STOCK IN  TRANSFER'!F:F, "ADJUSTMENT (+)") - SUMIFS('STOCK IN  TRANSFER'!G:G, 'STOCK IN  TRANSFER'!E:E, B553, 'STOCK IN  TRANSFER'!F:F, "ADJUSTMENT (-)") - SUMIFS('STOCK IN  TRANSFER'!G:G, 'STOCK IN  TRANSFER'!E:E, B553, 'STOCK IN  TRANSFER'!F:F, "STOCK TRANSFER") - SUMIFS(SALES!H:H, SALES!E:E, B553)</f>
        <v>0</v>
      </c>
      <c r="F553" s="28"/>
    </row>
    <row r="554" ht="22.5" customHeight="1">
      <c r="A554" s="13"/>
      <c r="B554" s="13"/>
      <c r="C554" s="16"/>
      <c r="D554" s="13"/>
      <c r="E554" s="28">
        <f>SUMIFS('STOCK IN  TRANSFER'!G:G, 'STOCK IN  TRANSFER'!E:E, B554, 'STOCK IN  TRANSFER'!F:F, "STOCK IN") + SUMIFS('STOCK IN  TRANSFER'!G:G, 'STOCK IN  TRANSFER'!E:E, B554, 'STOCK IN  TRANSFER'!F:F, "ADJUSTMENT (+)") - SUMIFS('STOCK IN  TRANSFER'!G:G, 'STOCK IN  TRANSFER'!E:E, B554, 'STOCK IN  TRANSFER'!F:F, "ADJUSTMENT (-)") - SUMIFS('STOCK IN  TRANSFER'!G:G, 'STOCK IN  TRANSFER'!E:E, B554, 'STOCK IN  TRANSFER'!F:F, "STOCK TRANSFER") - SUMIFS(SALES!H:H, SALES!E:E, B554)</f>
        <v>0</v>
      </c>
      <c r="F554" s="28"/>
    </row>
    <row r="555" ht="22.5" customHeight="1">
      <c r="A555" s="13"/>
      <c r="B555" s="13"/>
      <c r="C555" s="16"/>
      <c r="D555" s="13"/>
      <c r="E555" s="28">
        <f>SUMIFS('STOCK IN  TRANSFER'!G:G, 'STOCK IN  TRANSFER'!E:E, B555, 'STOCK IN  TRANSFER'!F:F, "STOCK IN") + SUMIFS('STOCK IN  TRANSFER'!G:G, 'STOCK IN  TRANSFER'!E:E, B555, 'STOCK IN  TRANSFER'!F:F, "ADJUSTMENT (+)") - SUMIFS('STOCK IN  TRANSFER'!G:G, 'STOCK IN  TRANSFER'!E:E, B555, 'STOCK IN  TRANSFER'!F:F, "ADJUSTMENT (-)") - SUMIFS('STOCK IN  TRANSFER'!G:G, 'STOCK IN  TRANSFER'!E:E, B555, 'STOCK IN  TRANSFER'!F:F, "STOCK TRANSFER") - SUMIFS(SALES!H:H, SALES!E:E, B555)</f>
        <v>0</v>
      </c>
      <c r="F555" s="28"/>
    </row>
    <row r="556" ht="22.5" customHeight="1">
      <c r="A556" s="13"/>
      <c r="B556" s="13"/>
      <c r="C556" s="16"/>
      <c r="D556" s="13"/>
      <c r="E556" s="28">
        <f>SUMIFS('STOCK IN  TRANSFER'!G:G, 'STOCK IN  TRANSFER'!E:E, B556, 'STOCK IN  TRANSFER'!F:F, "STOCK IN") + SUMIFS('STOCK IN  TRANSFER'!G:G, 'STOCK IN  TRANSFER'!E:E, B556, 'STOCK IN  TRANSFER'!F:F, "ADJUSTMENT (+)") - SUMIFS('STOCK IN  TRANSFER'!G:G, 'STOCK IN  TRANSFER'!E:E, B556, 'STOCK IN  TRANSFER'!F:F, "ADJUSTMENT (-)") - SUMIFS('STOCK IN  TRANSFER'!G:G, 'STOCK IN  TRANSFER'!E:E, B556, 'STOCK IN  TRANSFER'!F:F, "STOCK TRANSFER") - SUMIFS(SALES!H:H, SALES!E:E, B556)</f>
        <v>0</v>
      </c>
      <c r="F556" s="28"/>
    </row>
    <row r="557" ht="22.5" customHeight="1">
      <c r="A557" s="13"/>
      <c r="B557" s="13"/>
      <c r="C557" s="16"/>
      <c r="D557" s="13"/>
      <c r="E557" s="28">
        <f>SUMIFS('STOCK IN  TRANSFER'!G:G, 'STOCK IN  TRANSFER'!E:E, B557, 'STOCK IN  TRANSFER'!F:F, "STOCK IN") + SUMIFS('STOCK IN  TRANSFER'!G:G, 'STOCK IN  TRANSFER'!E:E, B557, 'STOCK IN  TRANSFER'!F:F, "ADJUSTMENT (+)") - SUMIFS('STOCK IN  TRANSFER'!G:G, 'STOCK IN  TRANSFER'!E:E, B557, 'STOCK IN  TRANSFER'!F:F, "ADJUSTMENT (-)") - SUMIFS('STOCK IN  TRANSFER'!G:G, 'STOCK IN  TRANSFER'!E:E, B557, 'STOCK IN  TRANSFER'!F:F, "STOCK TRANSFER") - SUMIFS(SALES!H:H, SALES!E:E, B557)</f>
        <v>0</v>
      </c>
      <c r="F557" s="28"/>
    </row>
    <row r="558" ht="22.5" customHeight="1">
      <c r="A558" s="13"/>
      <c r="B558" s="13"/>
      <c r="C558" s="16"/>
      <c r="D558" s="13"/>
      <c r="E558" s="28">
        <f>SUMIFS('STOCK IN  TRANSFER'!G:G, 'STOCK IN  TRANSFER'!E:E, B558, 'STOCK IN  TRANSFER'!F:F, "STOCK IN") + SUMIFS('STOCK IN  TRANSFER'!G:G, 'STOCK IN  TRANSFER'!E:E, B558, 'STOCK IN  TRANSFER'!F:F, "ADJUSTMENT (+)") - SUMIFS('STOCK IN  TRANSFER'!G:G, 'STOCK IN  TRANSFER'!E:E, B558, 'STOCK IN  TRANSFER'!F:F, "ADJUSTMENT (-)") - SUMIFS('STOCK IN  TRANSFER'!G:G, 'STOCK IN  TRANSFER'!E:E, B558, 'STOCK IN  TRANSFER'!F:F, "STOCK TRANSFER") - SUMIFS(SALES!H:H, SALES!E:E, B558)</f>
        <v>0</v>
      </c>
      <c r="F558" s="28"/>
    </row>
    <row r="559" ht="22.5" customHeight="1">
      <c r="A559" s="13"/>
      <c r="B559" s="13"/>
      <c r="C559" s="16"/>
      <c r="D559" s="13"/>
      <c r="E559" s="28">
        <f>SUMIFS('STOCK IN  TRANSFER'!G:G, 'STOCK IN  TRANSFER'!E:E, B559, 'STOCK IN  TRANSFER'!F:F, "STOCK IN") + SUMIFS('STOCK IN  TRANSFER'!G:G, 'STOCK IN  TRANSFER'!E:E, B559, 'STOCK IN  TRANSFER'!F:F, "ADJUSTMENT (+)") - SUMIFS('STOCK IN  TRANSFER'!G:G, 'STOCK IN  TRANSFER'!E:E, B559, 'STOCK IN  TRANSFER'!F:F, "ADJUSTMENT (-)") - SUMIFS('STOCK IN  TRANSFER'!G:G, 'STOCK IN  TRANSFER'!E:E, B559, 'STOCK IN  TRANSFER'!F:F, "STOCK TRANSFER") - SUMIFS(SALES!H:H, SALES!E:E, B559)</f>
        <v>0</v>
      </c>
      <c r="F559" s="28"/>
    </row>
    <row r="560" ht="22.5" customHeight="1">
      <c r="A560" s="13"/>
      <c r="B560" s="13"/>
      <c r="C560" s="16"/>
      <c r="D560" s="13"/>
      <c r="E560" s="28">
        <f>SUMIFS('STOCK IN  TRANSFER'!G:G, 'STOCK IN  TRANSFER'!E:E, B560, 'STOCK IN  TRANSFER'!F:F, "STOCK IN") + SUMIFS('STOCK IN  TRANSFER'!G:G, 'STOCK IN  TRANSFER'!E:E, B560, 'STOCK IN  TRANSFER'!F:F, "ADJUSTMENT (+)") - SUMIFS('STOCK IN  TRANSFER'!G:G, 'STOCK IN  TRANSFER'!E:E, B560, 'STOCK IN  TRANSFER'!F:F, "ADJUSTMENT (-)") - SUMIFS('STOCK IN  TRANSFER'!G:G, 'STOCK IN  TRANSFER'!E:E, B560, 'STOCK IN  TRANSFER'!F:F, "STOCK TRANSFER") - SUMIFS(SALES!H:H, SALES!E:E, B560)</f>
        <v>0</v>
      </c>
      <c r="F560" s="28"/>
    </row>
    <row r="561" ht="22.5" customHeight="1">
      <c r="A561" s="13"/>
      <c r="B561" s="13"/>
      <c r="C561" s="55"/>
      <c r="D561" s="13"/>
      <c r="E561" s="28">
        <f>SUMIFS('STOCK IN  TRANSFER'!G:G, 'STOCK IN  TRANSFER'!E:E, B561, 'STOCK IN  TRANSFER'!F:F, "STOCK IN") + SUMIFS('STOCK IN  TRANSFER'!G:G, 'STOCK IN  TRANSFER'!E:E, B561, 'STOCK IN  TRANSFER'!F:F, "ADJUSTMENT (+)") - SUMIFS('STOCK IN  TRANSFER'!G:G, 'STOCK IN  TRANSFER'!E:E, B561, 'STOCK IN  TRANSFER'!F:F, "ADJUSTMENT (-)") - SUMIFS('STOCK IN  TRANSFER'!G:G, 'STOCK IN  TRANSFER'!E:E, B561, 'STOCK IN  TRANSFER'!F:F, "STOCK TRANSFER") - SUMIFS(SALES!H:H, SALES!E:E, B561)</f>
        <v>0</v>
      </c>
      <c r="F561" s="28"/>
    </row>
    <row r="562" ht="22.5" customHeight="1">
      <c r="A562" s="13"/>
      <c r="B562" s="13"/>
      <c r="C562" s="16"/>
      <c r="D562" s="13"/>
      <c r="E562" s="28">
        <f>SUMIFS('STOCK IN  TRANSFER'!G:G, 'STOCK IN  TRANSFER'!E:E, B562, 'STOCK IN  TRANSFER'!F:F, "STOCK IN") + SUMIFS('STOCK IN  TRANSFER'!G:G, 'STOCK IN  TRANSFER'!E:E, B562, 'STOCK IN  TRANSFER'!F:F, "ADJUSTMENT (+)") - SUMIFS('STOCK IN  TRANSFER'!G:G, 'STOCK IN  TRANSFER'!E:E, B562, 'STOCK IN  TRANSFER'!F:F, "ADJUSTMENT (-)") - SUMIFS('STOCK IN  TRANSFER'!G:G, 'STOCK IN  TRANSFER'!E:E, B562, 'STOCK IN  TRANSFER'!F:F, "STOCK TRANSFER") - SUMIFS(SALES!H:H, SALES!E:E, B562)</f>
        <v>0</v>
      </c>
      <c r="F562" s="28"/>
    </row>
    <row r="563" ht="22.5" customHeight="1">
      <c r="A563" s="13"/>
      <c r="B563" s="13"/>
      <c r="C563" s="16"/>
      <c r="D563" s="13"/>
      <c r="E563" s="28">
        <f>SUMIFS('STOCK IN  TRANSFER'!G:G, 'STOCK IN  TRANSFER'!E:E, B563, 'STOCK IN  TRANSFER'!F:F, "STOCK IN") + SUMIFS('STOCK IN  TRANSFER'!G:G, 'STOCK IN  TRANSFER'!E:E, B563, 'STOCK IN  TRANSFER'!F:F, "ADJUSTMENT (+)") - SUMIFS('STOCK IN  TRANSFER'!G:G, 'STOCK IN  TRANSFER'!E:E, B563, 'STOCK IN  TRANSFER'!F:F, "ADJUSTMENT (-)") - SUMIFS('STOCK IN  TRANSFER'!G:G, 'STOCK IN  TRANSFER'!E:E, B563, 'STOCK IN  TRANSFER'!F:F, "STOCK TRANSFER") - SUMIFS(SALES!H:H, SALES!E:E, B563)</f>
        <v>0</v>
      </c>
      <c r="F563" s="28"/>
    </row>
    <row r="564" ht="22.5" customHeight="1">
      <c r="A564" s="13"/>
      <c r="B564" s="13"/>
      <c r="C564" s="16"/>
      <c r="D564" s="13"/>
      <c r="E564" s="28">
        <f>SUMIFS('STOCK IN  TRANSFER'!G:G, 'STOCK IN  TRANSFER'!E:E, B564, 'STOCK IN  TRANSFER'!F:F, "STOCK IN") + SUMIFS('STOCK IN  TRANSFER'!G:G, 'STOCK IN  TRANSFER'!E:E, B564, 'STOCK IN  TRANSFER'!F:F, "ADJUSTMENT (+)") - SUMIFS('STOCK IN  TRANSFER'!G:G, 'STOCK IN  TRANSFER'!E:E, B564, 'STOCK IN  TRANSFER'!F:F, "ADJUSTMENT (-)") - SUMIFS('STOCK IN  TRANSFER'!G:G, 'STOCK IN  TRANSFER'!E:E, B564, 'STOCK IN  TRANSFER'!F:F, "STOCK TRANSFER") - SUMIFS(SALES!H:H, SALES!E:E, B564)</f>
        <v>0</v>
      </c>
      <c r="F564" s="28"/>
    </row>
    <row r="565" ht="22.5" customHeight="1">
      <c r="A565" s="13"/>
      <c r="B565" s="13"/>
      <c r="C565" s="16"/>
      <c r="D565" s="13"/>
      <c r="E565" s="28">
        <f>SUMIFS('STOCK IN  TRANSFER'!G:G, 'STOCK IN  TRANSFER'!E:E, B565, 'STOCK IN  TRANSFER'!F:F, "STOCK IN") + SUMIFS('STOCK IN  TRANSFER'!G:G, 'STOCK IN  TRANSFER'!E:E, B565, 'STOCK IN  TRANSFER'!F:F, "ADJUSTMENT (+)") - SUMIFS('STOCK IN  TRANSFER'!G:G, 'STOCK IN  TRANSFER'!E:E, B565, 'STOCK IN  TRANSFER'!F:F, "ADJUSTMENT (-)") - SUMIFS('STOCK IN  TRANSFER'!G:G, 'STOCK IN  TRANSFER'!E:E, B565, 'STOCK IN  TRANSFER'!F:F, "STOCK TRANSFER") - SUMIFS(SALES!H:H, SALES!E:E, B565)</f>
        <v>0</v>
      </c>
      <c r="F565" s="28"/>
    </row>
    <row r="566" ht="22.5" customHeight="1">
      <c r="A566" s="13"/>
      <c r="B566" s="13"/>
      <c r="C566" s="16"/>
      <c r="D566" s="13"/>
      <c r="E566" s="28">
        <f>SUMIFS('STOCK IN  TRANSFER'!G:G, 'STOCK IN  TRANSFER'!E:E, B566, 'STOCK IN  TRANSFER'!F:F, "STOCK IN") + SUMIFS('STOCK IN  TRANSFER'!G:G, 'STOCK IN  TRANSFER'!E:E, B566, 'STOCK IN  TRANSFER'!F:F, "ADJUSTMENT (+)") - SUMIFS('STOCK IN  TRANSFER'!G:G, 'STOCK IN  TRANSFER'!E:E, B566, 'STOCK IN  TRANSFER'!F:F, "ADJUSTMENT (-)") - SUMIFS('STOCK IN  TRANSFER'!G:G, 'STOCK IN  TRANSFER'!E:E, B566, 'STOCK IN  TRANSFER'!F:F, "STOCK TRANSFER") - SUMIFS(SALES!H:H, SALES!E:E, B566)</f>
        <v>0</v>
      </c>
      <c r="F566" s="28"/>
    </row>
    <row r="567" ht="22.5" customHeight="1">
      <c r="A567" s="13"/>
      <c r="B567" s="13"/>
      <c r="C567" s="16"/>
      <c r="D567" s="13"/>
      <c r="E567" s="28">
        <f>SUMIFS('STOCK IN  TRANSFER'!G:G, 'STOCK IN  TRANSFER'!E:E, B567, 'STOCK IN  TRANSFER'!F:F, "STOCK IN") + SUMIFS('STOCK IN  TRANSFER'!G:G, 'STOCK IN  TRANSFER'!E:E, B567, 'STOCK IN  TRANSFER'!F:F, "ADJUSTMENT (+)") - SUMIFS('STOCK IN  TRANSFER'!G:G, 'STOCK IN  TRANSFER'!E:E, B567, 'STOCK IN  TRANSFER'!F:F, "ADJUSTMENT (-)") - SUMIFS('STOCK IN  TRANSFER'!G:G, 'STOCK IN  TRANSFER'!E:E, B567, 'STOCK IN  TRANSFER'!F:F, "STOCK TRANSFER") - SUMIFS(SALES!H:H, SALES!E:E, B567)</f>
        <v>0</v>
      </c>
      <c r="F567" s="28"/>
    </row>
    <row r="568" ht="22.5" customHeight="1">
      <c r="A568" s="13"/>
      <c r="B568" s="13"/>
      <c r="C568" s="16"/>
      <c r="D568" s="13"/>
      <c r="E568" s="28">
        <f>SUMIFS('STOCK IN  TRANSFER'!G:G, 'STOCK IN  TRANSFER'!E:E, B568, 'STOCK IN  TRANSFER'!F:F, "STOCK IN") + SUMIFS('STOCK IN  TRANSFER'!G:G, 'STOCK IN  TRANSFER'!E:E, B568, 'STOCK IN  TRANSFER'!F:F, "ADJUSTMENT (+)") - SUMIFS('STOCK IN  TRANSFER'!G:G, 'STOCK IN  TRANSFER'!E:E, B568, 'STOCK IN  TRANSFER'!F:F, "ADJUSTMENT (-)") - SUMIFS('STOCK IN  TRANSFER'!G:G, 'STOCK IN  TRANSFER'!E:E, B568, 'STOCK IN  TRANSFER'!F:F, "STOCK TRANSFER") - SUMIFS(SALES!H:H, SALES!E:E, B568)</f>
        <v>0</v>
      </c>
      <c r="F568" s="28"/>
    </row>
    <row r="569" ht="22.5" customHeight="1">
      <c r="A569" s="13"/>
      <c r="B569" s="13"/>
      <c r="C569" s="16"/>
      <c r="D569" s="13"/>
      <c r="E569" s="28">
        <f>SUMIFS('STOCK IN  TRANSFER'!G:G, 'STOCK IN  TRANSFER'!E:E, B569, 'STOCK IN  TRANSFER'!F:F, "STOCK IN") + SUMIFS('STOCK IN  TRANSFER'!G:G, 'STOCK IN  TRANSFER'!E:E, B569, 'STOCK IN  TRANSFER'!F:F, "ADJUSTMENT (+)") - SUMIFS('STOCK IN  TRANSFER'!G:G, 'STOCK IN  TRANSFER'!E:E, B569, 'STOCK IN  TRANSFER'!F:F, "ADJUSTMENT (-)") - SUMIFS('STOCK IN  TRANSFER'!G:G, 'STOCK IN  TRANSFER'!E:E, B569, 'STOCK IN  TRANSFER'!F:F, "STOCK TRANSFER") - SUMIFS(SALES!H:H, SALES!E:E, B569)</f>
        <v>0</v>
      </c>
      <c r="F569" s="28"/>
    </row>
    <row r="570" ht="22.5" customHeight="1">
      <c r="A570" s="13"/>
      <c r="B570" s="13"/>
      <c r="C570" s="16"/>
      <c r="D570" s="13"/>
      <c r="E570" s="28">
        <f>SUMIFS('STOCK IN  TRANSFER'!G:G, 'STOCK IN  TRANSFER'!E:E, B570, 'STOCK IN  TRANSFER'!F:F, "STOCK IN") + SUMIFS('STOCK IN  TRANSFER'!G:G, 'STOCK IN  TRANSFER'!E:E, B570, 'STOCK IN  TRANSFER'!F:F, "ADJUSTMENT (+)") - SUMIFS('STOCK IN  TRANSFER'!G:G, 'STOCK IN  TRANSFER'!E:E, B570, 'STOCK IN  TRANSFER'!F:F, "ADJUSTMENT (-)") - SUMIFS('STOCK IN  TRANSFER'!G:G, 'STOCK IN  TRANSFER'!E:E, B570, 'STOCK IN  TRANSFER'!F:F, "STOCK TRANSFER") - SUMIFS(SALES!H:H, SALES!E:E, B570)</f>
        <v>0</v>
      </c>
      <c r="F570" s="28"/>
    </row>
    <row r="571" ht="22.5" customHeight="1">
      <c r="A571" s="13"/>
      <c r="B571" s="13"/>
      <c r="C571" s="16"/>
      <c r="D571" s="13"/>
      <c r="E571" s="28">
        <f>SUMIFS('STOCK IN  TRANSFER'!G:G, 'STOCK IN  TRANSFER'!E:E, B571, 'STOCK IN  TRANSFER'!F:F, "STOCK IN") + SUMIFS('STOCK IN  TRANSFER'!G:G, 'STOCK IN  TRANSFER'!E:E, B571, 'STOCK IN  TRANSFER'!F:F, "ADJUSTMENT (+)") - SUMIFS('STOCK IN  TRANSFER'!G:G, 'STOCK IN  TRANSFER'!E:E, B571, 'STOCK IN  TRANSFER'!F:F, "ADJUSTMENT (-)") - SUMIFS('STOCK IN  TRANSFER'!G:G, 'STOCK IN  TRANSFER'!E:E, B571, 'STOCK IN  TRANSFER'!F:F, "STOCK TRANSFER") - SUMIFS(SALES!H:H, SALES!E:E, B571)</f>
        <v>0</v>
      </c>
      <c r="F571" s="28"/>
    </row>
    <row r="572" ht="22.5" customHeight="1">
      <c r="A572" s="13"/>
      <c r="B572" s="13"/>
      <c r="C572" s="16"/>
      <c r="D572" s="13"/>
      <c r="E572" s="28">
        <f>SUMIFS('STOCK IN  TRANSFER'!G:G, 'STOCK IN  TRANSFER'!E:E, B572, 'STOCK IN  TRANSFER'!F:F, "STOCK IN") + SUMIFS('STOCK IN  TRANSFER'!G:G, 'STOCK IN  TRANSFER'!E:E, B572, 'STOCK IN  TRANSFER'!F:F, "ADJUSTMENT (+)") - SUMIFS('STOCK IN  TRANSFER'!G:G, 'STOCK IN  TRANSFER'!E:E, B572, 'STOCK IN  TRANSFER'!F:F, "ADJUSTMENT (-)") - SUMIFS('STOCK IN  TRANSFER'!G:G, 'STOCK IN  TRANSFER'!E:E, B572, 'STOCK IN  TRANSFER'!F:F, "STOCK TRANSFER") - SUMIFS(SALES!H:H, SALES!E:E, B572)</f>
        <v>0</v>
      </c>
      <c r="F572" s="28"/>
    </row>
    <row r="573" ht="22.5" customHeight="1">
      <c r="A573" s="13"/>
      <c r="B573" s="13"/>
      <c r="C573" s="16"/>
      <c r="D573" s="13"/>
      <c r="E573" s="28">
        <f>SUMIFS('STOCK IN  TRANSFER'!G:G, 'STOCK IN  TRANSFER'!E:E, B573, 'STOCK IN  TRANSFER'!F:F, "STOCK IN") + SUMIFS('STOCK IN  TRANSFER'!G:G, 'STOCK IN  TRANSFER'!E:E, B573, 'STOCK IN  TRANSFER'!F:F, "ADJUSTMENT (+)") - SUMIFS('STOCK IN  TRANSFER'!G:G, 'STOCK IN  TRANSFER'!E:E, B573, 'STOCK IN  TRANSFER'!F:F, "ADJUSTMENT (-)") - SUMIFS('STOCK IN  TRANSFER'!G:G, 'STOCK IN  TRANSFER'!E:E, B573, 'STOCK IN  TRANSFER'!F:F, "STOCK TRANSFER") - SUMIFS(SALES!H:H, SALES!E:E, B573)</f>
        <v>0</v>
      </c>
      <c r="F573" s="28"/>
    </row>
    <row r="574" ht="22.5" customHeight="1">
      <c r="A574" s="13"/>
      <c r="B574" s="13"/>
      <c r="C574" s="16"/>
      <c r="D574" s="13"/>
      <c r="E574" s="28">
        <f>SUMIFS('STOCK IN  TRANSFER'!G:G, 'STOCK IN  TRANSFER'!E:E, B574, 'STOCK IN  TRANSFER'!F:F, "STOCK IN") + SUMIFS('STOCK IN  TRANSFER'!G:G, 'STOCK IN  TRANSFER'!E:E, B574, 'STOCK IN  TRANSFER'!F:F, "ADJUSTMENT (+)") - SUMIFS('STOCK IN  TRANSFER'!G:G, 'STOCK IN  TRANSFER'!E:E, B574, 'STOCK IN  TRANSFER'!F:F, "ADJUSTMENT (-)") - SUMIFS('STOCK IN  TRANSFER'!G:G, 'STOCK IN  TRANSFER'!E:E, B574, 'STOCK IN  TRANSFER'!F:F, "STOCK TRANSFER") - SUMIFS(SALES!H:H, SALES!E:E, B574)</f>
        <v>0</v>
      </c>
      <c r="F574" s="28"/>
    </row>
    <row r="575" ht="22.5" customHeight="1">
      <c r="A575" s="13"/>
      <c r="B575" s="13"/>
      <c r="C575" s="16"/>
      <c r="D575" s="13"/>
      <c r="E575" s="28">
        <f>SUMIFS('STOCK IN  TRANSFER'!G:G, 'STOCK IN  TRANSFER'!E:E, B575, 'STOCK IN  TRANSFER'!F:F, "STOCK IN") + SUMIFS('STOCK IN  TRANSFER'!G:G, 'STOCK IN  TRANSFER'!E:E, B575, 'STOCK IN  TRANSFER'!F:F, "ADJUSTMENT (+)") - SUMIFS('STOCK IN  TRANSFER'!G:G, 'STOCK IN  TRANSFER'!E:E, B575, 'STOCK IN  TRANSFER'!F:F, "ADJUSTMENT (-)") - SUMIFS('STOCK IN  TRANSFER'!G:G, 'STOCK IN  TRANSFER'!E:E, B575, 'STOCK IN  TRANSFER'!F:F, "STOCK TRANSFER") - SUMIFS(SALES!H:H, SALES!E:E, B575)</f>
        <v>0</v>
      </c>
      <c r="F575" s="28"/>
    </row>
    <row r="576" ht="22.5" customHeight="1">
      <c r="A576" s="13"/>
      <c r="B576" s="13"/>
      <c r="C576" s="16"/>
      <c r="D576" s="13"/>
      <c r="E576" s="28">
        <f>SUMIFS('STOCK IN  TRANSFER'!G:G, 'STOCK IN  TRANSFER'!E:E, B576, 'STOCK IN  TRANSFER'!F:F, "STOCK IN") + SUMIFS('STOCK IN  TRANSFER'!G:G, 'STOCK IN  TRANSFER'!E:E, B576, 'STOCK IN  TRANSFER'!F:F, "ADJUSTMENT (+)") - SUMIFS('STOCK IN  TRANSFER'!G:G, 'STOCK IN  TRANSFER'!E:E, B576, 'STOCK IN  TRANSFER'!F:F, "ADJUSTMENT (-)") - SUMIFS('STOCK IN  TRANSFER'!G:G, 'STOCK IN  TRANSFER'!E:E, B576, 'STOCK IN  TRANSFER'!F:F, "STOCK TRANSFER") - SUMIFS(SALES!H:H, SALES!E:E, B576)</f>
        <v>0</v>
      </c>
      <c r="F576" s="28"/>
    </row>
    <row r="577" ht="22.5" customHeight="1">
      <c r="A577" s="13"/>
      <c r="B577" s="13"/>
      <c r="C577" s="16"/>
      <c r="D577" s="13"/>
      <c r="E577" s="28">
        <f>SUMIFS('STOCK IN  TRANSFER'!G:G, 'STOCK IN  TRANSFER'!E:E, B577, 'STOCK IN  TRANSFER'!F:F, "STOCK IN") + SUMIFS('STOCK IN  TRANSFER'!G:G, 'STOCK IN  TRANSFER'!E:E, B577, 'STOCK IN  TRANSFER'!F:F, "ADJUSTMENT (+)") - SUMIFS('STOCK IN  TRANSFER'!G:G, 'STOCK IN  TRANSFER'!E:E, B577, 'STOCK IN  TRANSFER'!F:F, "ADJUSTMENT (-)") - SUMIFS('STOCK IN  TRANSFER'!G:G, 'STOCK IN  TRANSFER'!E:E, B577, 'STOCK IN  TRANSFER'!F:F, "STOCK TRANSFER") - SUMIFS(SALES!H:H, SALES!E:E, B577)</f>
        <v>0</v>
      </c>
      <c r="F577" s="28"/>
    </row>
    <row r="578" ht="22.5" customHeight="1">
      <c r="A578" s="13"/>
      <c r="B578" s="13"/>
      <c r="C578" s="16"/>
      <c r="D578" s="13"/>
      <c r="E578" s="28">
        <f>SUMIFS('STOCK IN  TRANSFER'!G:G, 'STOCK IN  TRANSFER'!E:E, B578, 'STOCK IN  TRANSFER'!F:F, "STOCK IN") + SUMIFS('STOCK IN  TRANSFER'!G:G, 'STOCK IN  TRANSFER'!E:E, B578, 'STOCK IN  TRANSFER'!F:F, "ADJUSTMENT (+)") - SUMIFS('STOCK IN  TRANSFER'!G:G, 'STOCK IN  TRANSFER'!E:E, B578, 'STOCK IN  TRANSFER'!F:F, "ADJUSTMENT (-)") - SUMIFS('STOCK IN  TRANSFER'!G:G, 'STOCK IN  TRANSFER'!E:E, B578, 'STOCK IN  TRANSFER'!F:F, "STOCK TRANSFER") - SUMIFS(SALES!H:H, SALES!E:E, B578)</f>
        <v>0</v>
      </c>
      <c r="F578" s="28"/>
    </row>
    <row r="579" ht="22.5" customHeight="1">
      <c r="A579" s="13"/>
      <c r="B579" s="13"/>
      <c r="C579" s="16"/>
      <c r="D579" s="13"/>
      <c r="E579" s="28">
        <f>SUMIFS('STOCK IN  TRANSFER'!G:G, 'STOCK IN  TRANSFER'!E:E, B579, 'STOCK IN  TRANSFER'!F:F, "STOCK IN") + SUMIFS('STOCK IN  TRANSFER'!G:G, 'STOCK IN  TRANSFER'!E:E, B579, 'STOCK IN  TRANSFER'!F:F, "ADJUSTMENT (+)") - SUMIFS('STOCK IN  TRANSFER'!G:G, 'STOCK IN  TRANSFER'!E:E, B579, 'STOCK IN  TRANSFER'!F:F, "ADJUSTMENT (-)") - SUMIFS('STOCK IN  TRANSFER'!G:G, 'STOCK IN  TRANSFER'!E:E, B579, 'STOCK IN  TRANSFER'!F:F, "STOCK TRANSFER") - SUMIFS(SALES!H:H, SALES!E:E, B579)</f>
        <v>0</v>
      </c>
      <c r="F579" s="28"/>
    </row>
    <row r="580" ht="22.5" customHeight="1">
      <c r="A580" s="13"/>
      <c r="B580" s="13"/>
      <c r="C580" s="16"/>
      <c r="D580" s="13"/>
      <c r="E580" s="28">
        <f>SUMIFS('STOCK IN  TRANSFER'!G:G, 'STOCK IN  TRANSFER'!E:E, B580, 'STOCK IN  TRANSFER'!F:F, "STOCK IN") + SUMIFS('STOCK IN  TRANSFER'!G:G, 'STOCK IN  TRANSFER'!E:E, B580, 'STOCK IN  TRANSFER'!F:F, "ADJUSTMENT (+)") - SUMIFS('STOCK IN  TRANSFER'!G:G, 'STOCK IN  TRANSFER'!E:E, B580, 'STOCK IN  TRANSFER'!F:F, "ADJUSTMENT (-)") - SUMIFS('STOCK IN  TRANSFER'!G:G, 'STOCK IN  TRANSFER'!E:E, B580, 'STOCK IN  TRANSFER'!F:F, "STOCK TRANSFER") - SUMIFS(SALES!H:H, SALES!E:E, B580)</f>
        <v>0</v>
      </c>
      <c r="F580" s="28"/>
    </row>
    <row r="581" ht="22.5" customHeight="1">
      <c r="A581" s="13"/>
      <c r="B581" s="13"/>
      <c r="C581" s="16"/>
      <c r="D581" s="13"/>
      <c r="E581" s="28">
        <f>SUMIFS('STOCK IN  TRANSFER'!G:G, 'STOCK IN  TRANSFER'!E:E, B581, 'STOCK IN  TRANSFER'!F:F, "STOCK IN") + SUMIFS('STOCK IN  TRANSFER'!G:G, 'STOCK IN  TRANSFER'!E:E, B581, 'STOCK IN  TRANSFER'!F:F, "ADJUSTMENT (+)") - SUMIFS('STOCK IN  TRANSFER'!G:G, 'STOCK IN  TRANSFER'!E:E, B581, 'STOCK IN  TRANSFER'!F:F, "ADJUSTMENT (-)") - SUMIFS('STOCK IN  TRANSFER'!G:G, 'STOCK IN  TRANSFER'!E:E, B581, 'STOCK IN  TRANSFER'!F:F, "STOCK TRANSFER") - SUMIFS(SALES!H:H, SALES!E:E, B581)</f>
        <v>0</v>
      </c>
      <c r="F581" s="28"/>
    </row>
    <row r="582" ht="22.5" customHeight="1">
      <c r="A582" s="13"/>
      <c r="B582" s="13"/>
      <c r="C582" s="16"/>
      <c r="D582" s="13"/>
      <c r="E582" s="28">
        <f>SUMIFS('STOCK IN  TRANSFER'!G:G, 'STOCK IN  TRANSFER'!E:E, B582, 'STOCK IN  TRANSFER'!F:F, "STOCK IN") + SUMIFS('STOCK IN  TRANSFER'!G:G, 'STOCK IN  TRANSFER'!E:E, B582, 'STOCK IN  TRANSFER'!F:F, "ADJUSTMENT (+)") - SUMIFS('STOCK IN  TRANSFER'!G:G, 'STOCK IN  TRANSFER'!E:E, B582, 'STOCK IN  TRANSFER'!F:F, "ADJUSTMENT (-)") - SUMIFS('STOCK IN  TRANSFER'!G:G, 'STOCK IN  TRANSFER'!E:E, B582, 'STOCK IN  TRANSFER'!F:F, "STOCK TRANSFER") - SUMIFS(SALES!H:H, SALES!E:E, B582)</f>
        <v>0</v>
      </c>
      <c r="F582" s="28"/>
    </row>
    <row r="583" ht="22.5" customHeight="1">
      <c r="A583" s="13"/>
      <c r="B583" s="13"/>
      <c r="C583" s="16"/>
      <c r="D583" s="13"/>
      <c r="E583" s="28">
        <f>SUMIFS('STOCK IN  TRANSFER'!G:G, 'STOCK IN  TRANSFER'!E:E, B583, 'STOCK IN  TRANSFER'!F:F, "STOCK IN") + SUMIFS('STOCK IN  TRANSFER'!G:G, 'STOCK IN  TRANSFER'!E:E, B583, 'STOCK IN  TRANSFER'!F:F, "ADJUSTMENT (+)") - SUMIFS('STOCK IN  TRANSFER'!G:G, 'STOCK IN  TRANSFER'!E:E, B583, 'STOCK IN  TRANSFER'!F:F, "ADJUSTMENT (-)") - SUMIFS('STOCK IN  TRANSFER'!G:G, 'STOCK IN  TRANSFER'!E:E, B583, 'STOCK IN  TRANSFER'!F:F, "STOCK TRANSFER") - SUMIFS(SALES!H:H, SALES!E:E, B583)</f>
        <v>0</v>
      </c>
      <c r="F583" s="28"/>
    </row>
    <row r="584" ht="22.5" customHeight="1">
      <c r="A584" s="13"/>
      <c r="B584" s="13"/>
      <c r="C584" s="16"/>
      <c r="D584" s="13"/>
      <c r="E584" s="28">
        <f>SUMIFS('STOCK IN  TRANSFER'!G:G, 'STOCK IN  TRANSFER'!E:E, B584, 'STOCK IN  TRANSFER'!F:F, "STOCK IN") + SUMIFS('STOCK IN  TRANSFER'!G:G, 'STOCK IN  TRANSFER'!E:E, B584, 'STOCK IN  TRANSFER'!F:F, "ADJUSTMENT (+)") - SUMIFS('STOCK IN  TRANSFER'!G:G, 'STOCK IN  TRANSFER'!E:E, B584, 'STOCK IN  TRANSFER'!F:F, "ADJUSTMENT (-)") - SUMIFS('STOCK IN  TRANSFER'!G:G, 'STOCK IN  TRANSFER'!E:E, B584, 'STOCK IN  TRANSFER'!F:F, "STOCK TRANSFER") - SUMIFS(SALES!H:H, SALES!E:E, B584)</f>
        <v>0</v>
      </c>
      <c r="F584" s="28"/>
    </row>
    <row r="585" ht="22.5" customHeight="1">
      <c r="A585" s="13"/>
      <c r="B585" s="13"/>
      <c r="C585" s="16"/>
      <c r="D585" s="13"/>
      <c r="E585" s="28">
        <f>SUMIFS('STOCK IN  TRANSFER'!G:G, 'STOCK IN  TRANSFER'!E:E, B585, 'STOCK IN  TRANSFER'!F:F, "STOCK IN") + SUMIFS('STOCK IN  TRANSFER'!G:G, 'STOCK IN  TRANSFER'!E:E, B585, 'STOCK IN  TRANSFER'!F:F, "ADJUSTMENT (+)") - SUMIFS('STOCK IN  TRANSFER'!G:G, 'STOCK IN  TRANSFER'!E:E, B585, 'STOCK IN  TRANSFER'!F:F, "ADJUSTMENT (-)") - SUMIFS('STOCK IN  TRANSFER'!G:G, 'STOCK IN  TRANSFER'!E:E, B585, 'STOCK IN  TRANSFER'!F:F, "STOCK TRANSFER") - SUMIFS(SALES!H:H, SALES!E:E, B585)</f>
        <v>0</v>
      </c>
      <c r="F585" s="28"/>
    </row>
    <row r="586" ht="22.5" customHeight="1">
      <c r="A586" s="13"/>
      <c r="B586" s="13"/>
      <c r="C586" s="16"/>
      <c r="D586" s="13"/>
      <c r="E586" s="28">
        <f>SUMIFS('STOCK IN  TRANSFER'!G:G, 'STOCK IN  TRANSFER'!E:E, B586, 'STOCK IN  TRANSFER'!F:F, "STOCK IN") + SUMIFS('STOCK IN  TRANSFER'!G:G, 'STOCK IN  TRANSFER'!E:E, B586, 'STOCK IN  TRANSFER'!F:F, "ADJUSTMENT (+)") - SUMIFS('STOCK IN  TRANSFER'!G:G, 'STOCK IN  TRANSFER'!E:E, B586, 'STOCK IN  TRANSFER'!F:F, "ADJUSTMENT (-)") - SUMIFS('STOCK IN  TRANSFER'!G:G, 'STOCK IN  TRANSFER'!E:E, B586, 'STOCK IN  TRANSFER'!F:F, "STOCK TRANSFER") - SUMIFS(SALES!H:H, SALES!E:E, B586)</f>
        <v>0</v>
      </c>
      <c r="F586" s="28"/>
    </row>
    <row r="587" ht="22.5" customHeight="1">
      <c r="A587" s="13"/>
      <c r="B587" s="13"/>
      <c r="C587" s="16"/>
      <c r="D587" s="13"/>
      <c r="E587" s="28">
        <f>SUMIFS('STOCK IN  TRANSFER'!G:G, 'STOCK IN  TRANSFER'!E:E, B587, 'STOCK IN  TRANSFER'!F:F, "STOCK IN") + SUMIFS('STOCK IN  TRANSFER'!G:G, 'STOCK IN  TRANSFER'!E:E, B587, 'STOCK IN  TRANSFER'!F:F, "ADJUSTMENT (+)") - SUMIFS('STOCK IN  TRANSFER'!G:G, 'STOCK IN  TRANSFER'!E:E, B587, 'STOCK IN  TRANSFER'!F:F, "ADJUSTMENT (-)") - SUMIFS('STOCK IN  TRANSFER'!G:G, 'STOCK IN  TRANSFER'!E:E, B587, 'STOCK IN  TRANSFER'!F:F, "STOCK TRANSFER") - SUMIFS(SALES!H:H, SALES!E:E, B587)</f>
        <v>0</v>
      </c>
      <c r="F587" s="28"/>
    </row>
    <row r="588" ht="22.5" customHeight="1">
      <c r="A588" s="13"/>
      <c r="B588" s="13"/>
      <c r="C588" s="16"/>
      <c r="D588" s="13"/>
      <c r="E588" s="28">
        <f>SUMIFS('STOCK IN  TRANSFER'!G:G, 'STOCK IN  TRANSFER'!E:E, B588, 'STOCK IN  TRANSFER'!F:F, "STOCK IN") + SUMIFS('STOCK IN  TRANSFER'!G:G, 'STOCK IN  TRANSFER'!E:E, B588, 'STOCK IN  TRANSFER'!F:F, "ADJUSTMENT (+)") - SUMIFS('STOCK IN  TRANSFER'!G:G, 'STOCK IN  TRANSFER'!E:E, B588, 'STOCK IN  TRANSFER'!F:F, "ADJUSTMENT (-)") - SUMIFS('STOCK IN  TRANSFER'!G:G, 'STOCK IN  TRANSFER'!E:E, B588, 'STOCK IN  TRANSFER'!F:F, "STOCK TRANSFER") - SUMIFS(SALES!H:H, SALES!E:E, B588)</f>
        <v>0</v>
      </c>
      <c r="F588" s="28"/>
    </row>
    <row r="589" ht="22.5" customHeight="1">
      <c r="A589" s="13"/>
      <c r="B589" s="13"/>
      <c r="C589" s="16"/>
      <c r="D589" s="13"/>
      <c r="E589" s="28">
        <f>SUMIFS('STOCK IN  TRANSFER'!G:G, 'STOCK IN  TRANSFER'!E:E, B589, 'STOCK IN  TRANSFER'!F:F, "STOCK IN") + SUMIFS('STOCK IN  TRANSFER'!G:G, 'STOCK IN  TRANSFER'!E:E, B589, 'STOCK IN  TRANSFER'!F:F, "ADJUSTMENT (+)") - SUMIFS('STOCK IN  TRANSFER'!G:G, 'STOCK IN  TRANSFER'!E:E, B589, 'STOCK IN  TRANSFER'!F:F, "ADJUSTMENT (-)") - SUMIFS('STOCK IN  TRANSFER'!G:G, 'STOCK IN  TRANSFER'!E:E, B589, 'STOCK IN  TRANSFER'!F:F, "STOCK TRANSFER") - SUMIFS(SALES!H:H, SALES!E:E, B589)</f>
        <v>0</v>
      </c>
      <c r="F589" s="28"/>
    </row>
    <row r="590" ht="22.5" customHeight="1">
      <c r="A590" s="13"/>
      <c r="B590" s="13"/>
      <c r="C590" s="16"/>
      <c r="D590" s="13"/>
      <c r="E590" s="28">
        <f>SUMIFS('STOCK IN  TRANSFER'!G:G, 'STOCK IN  TRANSFER'!E:E, B590, 'STOCK IN  TRANSFER'!F:F, "STOCK IN") + SUMIFS('STOCK IN  TRANSFER'!G:G, 'STOCK IN  TRANSFER'!E:E, B590, 'STOCK IN  TRANSFER'!F:F, "ADJUSTMENT (+)") - SUMIFS('STOCK IN  TRANSFER'!G:G, 'STOCK IN  TRANSFER'!E:E, B590, 'STOCK IN  TRANSFER'!F:F, "ADJUSTMENT (-)") - SUMIFS('STOCK IN  TRANSFER'!G:G, 'STOCK IN  TRANSFER'!E:E, B590, 'STOCK IN  TRANSFER'!F:F, "STOCK TRANSFER") - SUMIFS(SALES!H:H, SALES!E:E, B590)</f>
        <v>0</v>
      </c>
      <c r="F590" s="28"/>
    </row>
    <row r="591" ht="22.5" customHeight="1">
      <c r="A591" s="13"/>
      <c r="B591" s="13"/>
      <c r="C591" s="16"/>
      <c r="D591" s="13"/>
      <c r="E591" s="28">
        <f>SUMIFS('STOCK IN  TRANSFER'!G:G, 'STOCK IN  TRANSFER'!E:E, B591, 'STOCK IN  TRANSFER'!F:F, "STOCK IN") + SUMIFS('STOCK IN  TRANSFER'!G:G, 'STOCK IN  TRANSFER'!E:E, B591, 'STOCK IN  TRANSFER'!F:F, "ADJUSTMENT (+)") - SUMIFS('STOCK IN  TRANSFER'!G:G, 'STOCK IN  TRANSFER'!E:E, B591, 'STOCK IN  TRANSFER'!F:F, "ADJUSTMENT (-)") - SUMIFS('STOCK IN  TRANSFER'!G:G, 'STOCK IN  TRANSFER'!E:E, B591, 'STOCK IN  TRANSFER'!F:F, "STOCK TRANSFER") - SUMIFS(SALES!H:H, SALES!E:E, B591)</f>
        <v>0</v>
      </c>
      <c r="F591" s="28"/>
    </row>
    <row r="592" ht="22.5" customHeight="1">
      <c r="A592" s="13"/>
      <c r="B592" s="13"/>
      <c r="C592" s="16"/>
      <c r="D592" s="13"/>
      <c r="E592" s="28">
        <f>SUMIFS('STOCK IN  TRANSFER'!G:G, 'STOCK IN  TRANSFER'!E:E, B592, 'STOCK IN  TRANSFER'!F:F, "STOCK IN") + SUMIFS('STOCK IN  TRANSFER'!G:G, 'STOCK IN  TRANSFER'!E:E, B592, 'STOCK IN  TRANSFER'!F:F, "ADJUSTMENT (+)") - SUMIFS('STOCK IN  TRANSFER'!G:G, 'STOCK IN  TRANSFER'!E:E, B592, 'STOCK IN  TRANSFER'!F:F, "ADJUSTMENT (-)") - SUMIFS('STOCK IN  TRANSFER'!G:G, 'STOCK IN  TRANSFER'!E:E, B592, 'STOCK IN  TRANSFER'!F:F, "STOCK TRANSFER") - SUMIFS(SALES!H:H, SALES!E:E, B592)</f>
        <v>0</v>
      </c>
      <c r="F592" s="28"/>
    </row>
    <row r="593" ht="22.5" customHeight="1">
      <c r="A593" s="13"/>
      <c r="B593" s="13"/>
      <c r="C593" s="16"/>
      <c r="D593" s="13"/>
      <c r="E593" s="28">
        <f>SUMIFS('STOCK IN  TRANSFER'!G:G, 'STOCK IN  TRANSFER'!E:E, B593, 'STOCK IN  TRANSFER'!F:F, "STOCK IN") + SUMIFS('STOCK IN  TRANSFER'!G:G, 'STOCK IN  TRANSFER'!E:E, B593, 'STOCK IN  TRANSFER'!F:F, "ADJUSTMENT (+)") - SUMIFS('STOCK IN  TRANSFER'!G:G, 'STOCK IN  TRANSFER'!E:E, B593, 'STOCK IN  TRANSFER'!F:F, "ADJUSTMENT (-)") - SUMIFS('STOCK IN  TRANSFER'!G:G, 'STOCK IN  TRANSFER'!E:E, B593, 'STOCK IN  TRANSFER'!F:F, "STOCK TRANSFER") - SUMIFS(SALES!H:H, SALES!E:E, B593)</f>
        <v>0</v>
      </c>
      <c r="F593" s="28"/>
    </row>
    <row r="594" ht="22.5" customHeight="1">
      <c r="A594" s="13"/>
      <c r="B594" s="13"/>
      <c r="C594" s="16"/>
      <c r="D594" s="13"/>
      <c r="E594" s="28">
        <f>SUMIFS('STOCK IN  TRANSFER'!G:G, 'STOCK IN  TRANSFER'!E:E, B594, 'STOCK IN  TRANSFER'!F:F, "STOCK IN") + SUMIFS('STOCK IN  TRANSFER'!G:G, 'STOCK IN  TRANSFER'!E:E, B594, 'STOCK IN  TRANSFER'!F:F, "ADJUSTMENT (+)") - SUMIFS('STOCK IN  TRANSFER'!G:G, 'STOCK IN  TRANSFER'!E:E, B594, 'STOCK IN  TRANSFER'!F:F, "ADJUSTMENT (-)") - SUMIFS('STOCK IN  TRANSFER'!G:G, 'STOCK IN  TRANSFER'!E:E, B594, 'STOCK IN  TRANSFER'!F:F, "STOCK TRANSFER") - SUMIFS(SALES!H:H, SALES!E:E, B594)</f>
        <v>0</v>
      </c>
      <c r="F594" s="28"/>
    </row>
    <row r="595" ht="22.5" customHeight="1">
      <c r="A595" s="13"/>
      <c r="B595" s="13"/>
      <c r="C595" s="16"/>
      <c r="D595" s="13"/>
      <c r="E595" s="28">
        <f>SUMIFS('STOCK IN  TRANSFER'!G:G, 'STOCK IN  TRANSFER'!E:E, B595, 'STOCK IN  TRANSFER'!F:F, "STOCK IN") + SUMIFS('STOCK IN  TRANSFER'!G:G, 'STOCK IN  TRANSFER'!E:E, B595, 'STOCK IN  TRANSFER'!F:F, "ADJUSTMENT (+)") - SUMIFS('STOCK IN  TRANSFER'!G:G, 'STOCK IN  TRANSFER'!E:E, B595, 'STOCK IN  TRANSFER'!F:F, "ADJUSTMENT (-)") - SUMIFS('STOCK IN  TRANSFER'!G:G, 'STOCK IN  TRANSFER'!E:E, B595, 'STOCK IN  TRANSFER'!F:F, "STOCK TRANSFER") - SUMIFS(SALES!H:H, SALES!E:E, B595)</f>
        <v>0</v>
      </c>
      <c r="F595" s="28"/>
    </row>
    <row r="596" ht="22.5" customHeight="1">
      <c r="A596" s="13"/>
      <c r="B596" s="13"/>
      <c r="C596" s="16"/>
      <c r="D596" s="13"/>
      <c r="E596" s="28">
        <f>SUMIFS('STOCK IN  TRANSFER'!G:G, 'STOCK IN  TRANSFER'!E:E, B596, 'STOCK IN  TRANSFER'!F:F, "STOCK IN") + SUMIFS('STOCK IN  TRANSFER'!G:G, 'STOCK IN  TRANSFER'!E:E, B596, 'STOCK IN  TRANSFER'!F:F, "ADJUSTMENT (+)") - SUMIFS('STOCK IN  TRANSFER'!G:G, 'STOCK IN  TRANSFER'!E:E, B596, 'STOCK IN  TRANSFER'!F:F, "ADJUSTMENT (-)") - SUMIFS('STOCK IN  TRANSFER'!G:G, 'STOCK IN  TRANSFER'!E:E, B596, 'STOCK IN  TRANSFER'!F:F, "STOCK TRANSFER") - SUMIFS(SALES!H:H, SALES!E:E, B596)</f>
        <v>0</v>
      </c>
      <c r="F596" s="28"/>
    </row>
    <row r="597" ht="22.5" customHeight="1">
      <c r="A597" s="13"/>
      <c r="B597" s="13"/>
      <c r="C597" s="16"/>
      <c r="D597" s="13"/>
      <c r="E597" s="28">
        <f>SUMIFS('STOCK IN  TRANSFER'!G:G, 'STOCK IN  TRANSFER'!E:E, B597, 'STOCK IN  TRANSFER'!F:F, "STOCK IN") + SUMIFS('STOCK IN  TRANSFER'!G:G, 'STOCK IN  TRANSFER'!E:E, B597, 'STOCK IN  TRANSFER'!F:F, "ADJUSTMENT (+)") - SUMIFS('STOCK IN  TRANSFER'!G:G, 'STOCK IN  TRANSFER'!E:E, B597, 'STOCK IN  TRANSFER'!F:F, "ADJUSTMENT (-)") - SUMIFS('STOCK IN  TRANSFER'!G:G, 'STOCK IN  TRANSFER'!E:E, B597, 'STOCK IN  TRANSFER'!F:F, "STOCK TRANSFER") - SUMIFS(SALES!H:H, SALES!E:E, B597)</f>
        <v>0</v>
      </c>
      <c r="F597" s="28"/>
    </row>
    <row r="598" ht="22.5" customHeight="1">
      <c r="A598" s="13"/>
      <c r="B598" s="13"/>
      <c r="C598" s="16"/>
      <c r="D598" s="13"/>
      <c r="E598" s="28">
        <f>SUMIFS('STOCK IN  TRANSFER'!G:G, 'STOCK IN  TRANSFER'!E:E, B598, 'STOCK IN  TRANSFER'!F:F, "STOCK IN") + SUMIFS('STOCK IN  TRANSFER'!G:G, 'STOCK IN  TRANSFER'!E:E, B598, 'STOCK IN  TRANSFER'!F:F, "ADJUSTMENT (+)") - SUMIFS('STOCK IN  TRANSFER'!G:G, 'STOCK IN  TRANSFER'!E:E, B598, 'STOCK IN  TRANSFER'!F:F, "ADJUSTMENT (-)") - SUMIFS('STOCK IN  TRANSFER'!G:G, 'STOCK IN  TRANSFER'!E:E, B598, 'STOCK IN  TRANSFER'!F:F, "STOCK TRANSFER") - SUMIFS(SALES!H:H, SALES!E:E, B598)</f>
        <v>0</v>
      </c>
      <c r="F598" s="28"/>
    </row>
    <row r="599" ht="22.5" customHeight="1">
      <c r="A599" s="13"/>
      <c r="B599" s="13"/>
      <c r="C599" s="16"/>
      <c r="D599" s="13"/>
      <c r="E599" s="28">
        <f>SUMIFS('STOCK IN  TRANSFER'!G:G, 'STOCK IN  TRANSFER'!E:E, B599, 'STOCK IN  TRANSFER'!F:F, "STOCK IN") + SUMIFS('STOCK IN  TRANSFER'!G:G, 'STOCK IN  TRANSFER'!E:E, B599, 'STOCK IN  TRANSFER'!F:F, "ADJUSTMENT (+)") - SUMIFS('STOCK IN  TRANSFER'!G:G, 'STOCK IN  TRANSFER'!E:E, B599, 'STOCK IN  TRANSFER'!F:F, "ADJUSTMENT (-)") - SUMIFS('STOCK IN  TRANSFER'!G:G, 'STOCK IN  TRANSFER'!E:E, B599, 'STOCK IN  TRANSFER'!F:F, "STOCK TRANSFER") - SUMIFS(SALES!H:H, SALES!E:E, B599)</f>
        <v>0</v>
      </c>
      <c r="F599" s="28"/>
    </row>
    <row r="600" ht="22.5" customHeight="1">
      <c r="A600" s="13"/>
      <c r="B600" s="13"/>
      <c r="C600" s="16"/>
      <c r="D600" s="13"/>
      <c r="E600" s="28">
        <f>SUMIFS('STOCK IN  TRANSFER'!G:G, 'STOCK IN  TRANSFER'!E:E, B600, 'STOCK IN  TRANSFER'!F:F, "STOCK IN") + SUMIFS('STOCK IN  TRANSFER'!G:G, 'STOCK IN  TRANSFER'!E:E, B600, 'STOCK IN  TRANSFER'!F:F, "ADJUSTMENT (+)") - SUMIFS('STOCK IN  TRANSFER'!G:G, 'STOCK IN  TRANSFER'!E:E, B600, 'STOCK IN  TRANSFER'!F:F, "ADJUSTMENT (-)") - SUMIFS('STOCK IN  TRANSFER'!G:G, 'STOCK IN  TRANSFER'!E:E, B600, 'STOCK IN  TRANSFER'!F:F, "STOCK TRANSFER") - SUMIFS(SALES!H:H, SALES!E:E, B600)</f>
        <v>0</v>
      </c>
      <c r="F600" s="28"/>
    </row>
    <row r="601" ht="22.5" customHeight="1">
      <c r="A601" s="13"/>
      <c r="B601" s="13"/>
      <c r="C601" s="16"/>
      <c r="D601" s="13"/>
      <c r="E601" s="28">
        <f>SUMIFS('STOCK IN  TRANSFER'!G:G, 'STOCK IN  TRANSFER'!E:E, B601, 'STOCK IN  TRANSFER'!F:F, "STOCK IN") + SUMIFS('STOCK IN  TRANSFER'!G:G, 'STOCK IN  TRANSFER'!E:E, B601, 'STOCK IN  TRANSFER'!F:F, "ADJUSTMENT (+)") - SUMIFS('STOCK IN  TRANSFER'!G:G, 'STOCK IN  TRANSFER'!E:E, B601, 'STOCK IN  TRANSFER'!F:F, "ADJUSTMENT (-)") - SUMIFS('STOCK IN  TRANSFER'!G:G, 'STOCK IN  TRANSFER'!E:E, B601, 'STOCK IN  TRANSFER'!F:F, "STOCK TRANSFER") - SUMIFS(SALES!H:H, SALES!E:E, B601)</f>
        <v>0</v>
      </c>
      <c r="F601" s="28"/>
    </row>
    <row r="602" ht="22.5" customHeight="1">
      <c r="A602" s="13"/>
      <c r="B602" s="13"/>
      <c r="C602" s="16"/>
      <c r="D602" s="13"/>
      <c r="E602" s="28">
        <f>SUMIFS('STOCK IN  TRANSFER'!G:G, 'STOCK IN  TRANSFER'!E:E, B602, 'STOCK IN  TRANSFER'!F:F, "STOCK IN") + SUMIFS('STOCK IN  TRANSFER'!G:G, 'STOCK IN  TRANSFER'!E:E, B602, 'STOCK IN  TRANSFER'!F:F, "ADJUSTMENT (+)") - SUMIFS('STOCK IN  TRANSFER'!G:G, 'STOCK IN  TRANSFER'!E:E, B602, 'STOCK IN  TRANSFER'!F:F, "ADJUSTMENT (-)") - SUMIFS('STOCK IN  TRANSFER'!G:G, 'STOCK IN  TRANSFER'!E:E, B602, 'STOCK IN  TRANSFER'!F:F, "STOCK TRANSFER") - SUMIFS(SALES!H:H, SALES!E:E, B602)</f>
        <v>0</v>
      </c>
      <c r="F602" s="28"/>
    </row>
    <row r="603" ht="22.5" customHeight="1">
      <c r="A603" s="13"/>
      <c r="B603" s="13"/>
      <c r="C603" s="16"/>
      <c r="D603" s="13"/>
      <c r="E603" s="28">
        <f>SUMIFS('STOCK IN  TRANSFER'!G:G, 'STOCK IN  TRANSFER'!E:E, B603, 'STOCK IN  TRANSFER'!F:F, "STOCK IN") + SUMIFS('STOCK IN  TRANSFER'!G:G, 'STOCK IN  TRANSFER'!E:E, B603, 'STOCK IN  TRANSFER'!F:F, "ADJUSTMENT (+)") - SUMIFS('STOCK IN  TRANSFER'!G:G, 'STOCK IN  TRANSFER'!E:E, B603, 'STOCK IN  TRANSFER'!F:F, "ADJUSTMENT (-)") - SUMIFS('STOCK IN  TRANSFER'!G:G, 'STOCK IN  TRANSFER'!E:E, B603, 'STOCK IN  TRANSFER'!F:F, "STOCK TRANSFER") - SUMIFS(SALES!H:H, SALES!E:E, B603)</f>
        <v>0</v>
      </c>
      <c r="F603" s="28"/>
    </row>
    <row r="604" ht="22.5" customHeight="1">
      <c r="A604" s="13"/>
      <c r="B604" s="13"/>
      <c r="C604" s="16"/>
      <c r="D604" s="13"/>
      <c r="E604" s="28">
        <f>SUMIFS('STOCK IN  TRANSFER'!G:G, 'STOCK IN  TRANSFER'!E:E, B604, 'STOCK IN  TRANSFER'!F:F, "STOCK IN") + SUMIFS('STOCK IN  TRANSFER'!G:G, 'STOCK IN  TRANSFER'!E:E, B604, 'STOCK IN  TRANSFER'!F:F, "ADJUSTMENT (+)") - SUMIFS('STOCK IN  TRANSFER'!G:G, 'STOCK IN  TRANSFER'!E:E, B604, 'STOCK IN  TRANSFER'!F:F, "ADJUSTMENT (-)") - SUMIFS('STOCK IN  TRANSFER'!G:G, 'STOCK IN  TRANSFER'!E:E, B604, 'STOCK IN  TRANSFER'!F:F, "STOCK TRANSFER") - SUMIFS(SALES!H:H, SALES!E:E, B604)</f>
        <v>0</v>
      </c>
      <c r="F604" s="28"/>
    </row>
    <row r="605" ht="22.5" customHeight="1">
      <c r="A605" s="13"/>
      <c r="B605" s="13"/>
      <c r="C605" s="16"/>
      <c r="D605" s="13"/>
      <c r="E605" s="28">
        <f>SUMIFS('STOCK IN  TRANSFER'!G:G, 'STOCK IN  TRANSFER'!E:E, B605, 'STOCK IN  TRANSFER'!F:F, "STOCK IN") + SUMIFS('STOCK IN  TRANSFER'!G:G, 'STOCK IN  TRANSFER'!E:E, B605, 'STOCK IN  TRANSFER'!F:F, "ADJUSTMENT (+)") - SUMIFS('STOCK IN  TRANSFER'!G:G, 'STOCK IN  TRANSFER'!E:E, B605, 'STOCK IN  TRANSFER'!F:F, "ADJUSTMENT (-)") - SUMIFS('STOCK IN  TRANSFER'!G:G, 'STOCK IN  TRANSFER'!E:E, B605, 'STOCK IN  TRANSFER'!F:F, "STOCK TRANSFER") - SUMIFS(SALES!H:H, SALES!E:E, B605)</f>
        <v>0</v>
      </c>
      <c r="F605" s="28"/>
    </row>
    <row r="606" ht="22.5" customHeight="1">
      <c r="A606" s="13"/>
      <c r="B606" s="13"/>
      <c r="C606" s="16"/>
      <c r="D606" s="13"/>
      <c r="E606" s="28">
        <f>SUMIFS('STOCK IN  TRANSFER'!G:G, 'STOCK IN  TRANSFER'!E:E, B606, 'STOCK IN  TRANSFER'!F:F, "STOCK IN") + SUMIFS('STOCK IN  TRANSFER'!G:G, 'STOCK IN  TRANSFER'!E:E, B606, 'STOCK IN  TRANSFER'!F:F, "ADJUSTMENT (+)") - SUMIFS('STOCK IN  TRANSFER'!G:G, 'STOCK IN  TRANSFER'!E:E, B606, 'STOCK IN  TRANSFER'!F:F, "ADJUSTMENT (-)") - SUMIFS('STOCK IN  TRANSFER'!G:G, 'STOCK IN  TRANSFER'!E:E, B606, 'STOCK IN  TRANSFER'!F:F, "STOCK TRANSFER") - SUMIFS(SALES!H:H, SALES!E:E, B606)</f>
        <v>0</v>
      </c>
      <c r="F606" s="28"/>
    </row>
    <row r="607" ht="22.5" customHeight="1">
      <c r="A607" s="13"/>
      <c r="B607" s="13"/>
      <c r="C607" s="16"/>
      <c r="D607" s="13"/>
      <c r="E607" s="28">
        <f>SUMIFS('STOCK IN  TRANSFER'!G:G, 'STOCK IN  TRANSFER'!E:E, B607, 'STOCK IN  TRANSFER'!F:F, "STOCK IN") + SUMIFS('STOCK IN  TRANSFER'!G:G, 'STOCK IN  TRANSFER'!E:E, B607, 'STOCK IN  TRANSFER'!F:F, "ADJUSTMENT (+)") - SUMIFS('STOCK IN  TRANSFER'!G:G, 'STOCK IN  TRANSFER'!E:E, B607, 'STOCK IN  TRANSFER'!F:F, "ADJUSTMENT (-)") - SUMIFS('STOCK IN  TRANSFER'!G:G, 'STOCK IN  TRANSFER'!E:E, B607, 'STOCK IN  TRANSFER'!F:F, "STOCK TRANSFER") - SUMIFS(SALES!H:H, SALES!E:E, B607)</f>
        <v>0</v>
      </c>
      <c r="F607" s="28"/>
    </row>
    <row r="608" ht="22.5" customHeight="1">
      <c r="A608" s="13"/>
      <c r="B608" s="13"/>
      <c r="C608" s="16"/>
      <c r="D608" s="13"/>
      <c r="E608" s="28">
        <f>SUMIFS('STOCK IN  TRANSFER'!G:G, 'STOCK IN  TRANSFER'!E:E, B608, 'STOCK IN  TRANSFER'!F:F, "STOCK IN") + SUMIFS('STOCK IN  TRANSFER'!G:G, 'STOCK IN  TRANSFER'!E:E, B608, 'STOCK IN  TRANSFER'!F:F, "ADJUSTMENT (+)") - SUMIFS('STOCK IN  TRANSFER'!G:G, 'STOCK IN  TRANSFER'!E:E, B608, 'STOCK IN  TRANSFER'!F:F, "ADJUSTMENT (-)") - SUMIFS('STOCK IN  TRANSFER'!G:G, 'STOCK IN  TRANSFER'!E:E, B608, 'STOCK IN  TRANSFER'!F:F, "STOCK TRANSFER") - SUMIFS(SALES!H:H, SALES!E:E, B608)</f>
        <v>0</v>
      </c>
      <c r="F608" s="28"/>
    </row>
    <row r="609" ht="22.5" customHeight="1">
      <c r="A609" s="13"/>
      <c r="B609" s="13"/>
      <c r="C609" s="16"/>
      <c r="D609" s="13"/>
      <c r="E609" s="28">
        <f>SUMIFS('STOCK IN  TRANSFER'!G:G, 'STOCK IN  TRANSFER'!E:E, B609, 'STOCK IN  TRANSFER'!F:F, "STOCK IN") + SUMIFS('STOCK IN  TRANSFER'!G:G, 'STOCK IN  TRANSFER'!E:E, B609, 'STOCK IN  TRANSFER'!F:F, "ADJUSTMENT (+)") - SUMIFS('STOCK IN  TRANSFER'!G:G, 'STOCK IN  TRANSFER'!E:E, B609, 'STOCK IN  TRANSFER'!F:F, "ADJUSTMENT (-)") - SUMIFS('STOCK IN  TRANSFER'!G:G, 'STOCK IN  TRANSFER'!E:E, B609, 'STOCK IN  TRANSFER'!F:F, "STOCK TRANSFER") - SUMIFS(SALES!H:H, SALES!E:E, B609)</f>
        <v>0</v>
      </c>
      <c r="F609" s="28"/>
    </row>
    <row r="610" ht="22.5" customHeight="1">
      <c r="A610" s="13"/>
      <c r="B610" s="13"/>
      <c r="C610" s="16"/>
      <c r="D610" s="13"/>
      <c r="E610" s="28">
        <f>SUMIFS('STOCK IN  TRANSFER'!G:G, 'STOCK IN  TRANSFER'!E:E, B610, 'STOCK IN  TRANSFER'!F:F, "STOCK IN") + SUMIFS('STOCK IN  TRANSFER'!G:G, 'STOCK IN  TRANSFER'!E:E, B610, 'STOCK IN  TRANSFER'!F:F, "ADJUSTMENT (+)") - SUMIFS('STOCK IN  TRANSFER'!G:G, 'STOCK IN  TRANSFER'!E:E, B610, 'STOCK IN  TRANSFER'!F:F, "ADJUSTMENT (-)") - SUMIFS('STOCK IN  TRANSFER'!G:G, 'STOCK IN  TRANSFER'!E:E, B610, 'STOCK IN  TRANSFER'!F:F, "STOCK TRANSFER") - SUMIFS(SALES!H:H, SALES!E:E, B610)</f>
        <v>0</v>
      </c>
      <c r="F610" s="28"/>
    </row>
    <row r="611" ht="22.5" customHeight="1">
      <c r="A611" s="13"/>
      <c r="B611" s="13"/>
      <c r="C611" s="16"/>
      <c r="D611" s="13"/>
      <c r="E611" s="28">
        <f>SUMIFS('STOCK IN  TRANSFER'!G:G, 'STOCK IN  TRANSFER'!E:E, B611, 'STOCK IN  TRANSFER'!F:F, "STOCK IN") + SUMIFS('STOCK IN  TRANSFER'!G:G, 'STOCK IN  TRANSFER'!E:E, B611, 'STOCK IN  TRANSFER'!F:F, "ADJUSTMENT (+)") - SUMIFS('STOCK IN  TRANSFER'!G:G, 'STOCK IN  TRANSFER'!E:E, B611, 'STOCK IN  TRANSFER'!F:F, "ADJUSTMENT (-)") - SUMIFS('STOCK IN  TRANSFER'!G:G, 'STOCK IN  TRANSFER'!E:E, B611, 'STOCK IN  TRANSFER'!F:F, "STOCK TRANSFER") - SUMIFS(SALES!H:H, SALES!E:E, B611)</f>
        <v>0</v>
      </c>
      <c r="F611" s="28"/>
    </row>
    <row r="612" ht="22.5" customHeight="1">
      <c r="A612" s="13"/>
      <c r="B612" s="13"/>
      <c r="C612" s="16"/>
      <c r="D612" s="13"/>
      <c r="E612" s="28">
        <f>SUMIFS('STOCK IN  TRANSFER'!G:G, 'STOCK IN  TRANSFER'!E:E, B612, 'STOCK IN  TRANSFER'!F:F, "STOCK IN") + SUMIFS('STOCK IN  TRANSFER'!G:G, 'STOCK IN  TRANSFER'!E:E, B612, 'STOCK IN  TRANSFER'!F:F, "ADJUSTMENT (+)") - SUMIFS('STOCK IN  TRANSFER'!G:G, 'STOCK IN  TRANSFER'!E:E, B612, 'STOCK IN  TRANSFER'!F:F, "ADJUSTMENT (-)") - SUMIFS('STOCK IN  TRANSFER'!G:G, 'STOCK IN  TRANSFER'!E:E, B612, 'STOCK IN  TRANSFER'!F:F, "STOCK TRANSFER") - SUMIFS(SALES!H:H, SALES!E:E, B612)</f>
        <v>0</v>
      </c>
      <c r="F612" s="28"/>
    </row>
    <row r="613" ht="22.5" customHeight="1">
      <c r="A613" s="13"/>
      <c r="B613" s="13"/>
      <c r="C613" s="16"/>
      <c r="D613" s="13"/>
      <c r="E613" s="28">
        <f>SUMIFS('STOCK IN  TRANSFER'!G:G, 'STOCK IN  TRANSFER'!E:E, B613, 'STOCK IN  TRANSFER'!F:F, "STOCK IN") + SUMIFS('STOCK IN  TRANSFER'!G:G, 'STOCK IN  TRANSFER'!E:E, B613, 'STOCK IN  TRANSFER'!F:F, "ADJUSTMENT (+)") - SUMIFS('STOCK IN  TRANSFER'!G:G, 'STOCK IN  TRANSFER'!E:E, B613, 'STOCK IN  TRANSFER'!F:F, "ADJUSTMENT (-)") - SUMIFS('STOCK IN  TRANSFER'!G:G, 'STOCK IN  TRANSFER'!E:E, B613, 'STOCK IN  TRANSFER'!F:F, "STOCK TRANSFER") - SUMIFS(SALES!H:H, SALES!E:E, B613)</f>
        <v>0</v>
      </c>
      <c r="F613" s="28"/>
    </row>
    <row r="614" ht="22.5" customHeight="1">
      <c r="A614" s="19"/>
      <c r="B614" s="19"/>
      <c r="C614" s="50"/>
      <c r="D614" s="19"/>
      <c r="E614" s="28">
        <f>SUMIFS('STOCK IN  TRANSFER'!G:G, 'STOCK IN  TRANSFER'!E:E, B614, 'STOCK IN  TRANSFER'!F:F, "STOCK IN") + SUMIFS('STOCK IN  TRANSFER'!G:G, 'STOCK IN  TRANSFER'!E:E, B614, 'STOCK IN  TRANSFER'!F:F, "ADJUSTMENT (+)") - SUMIFS('STOCK IN  TRANSFER'!G:G, 'STOCK IN  TRANSFER'!E:E, B614, 'STOCK IN  TRANSFER'!F:F, "ADJUSTMENT (-)") - SUMIFS('STOCK IN  TRANSFER'!G:G, 'STOCK IN  TRANSFER'!E:E, B614, 'STOCK IN  TRANSFER'!F:F, "STOCK TRANSFER") - SUMIFS(SALES!H:H, SALES!E:E, B614)</f>
        <v>0</v>
      </c>
      <c r="F614" s="28"/>
    </row>
    <row r="615" ht="22.5" customHeight="1">
      <c r="A615" s="19"/>
      <c r="B615" s="19"/>
      <c r="C615" s="19"/>
      <c r="D615" s="19"/>
      <c r="E615" s="28">
        <f>SUMIFS('STOCK IN  TRANSFER'!G:G, 'STOCK IN  TRANSFER'!E:E, B615, 'STOCK IN  TRANSFER'!F:F, "STOCK IN") + SUMIFS('STOCK IN  TRANSFER'!G:G, 'STOCK IN  TRANSFER'!E:E, B615, 'STOCK IN  TRANSFER'!F:F, "ADJUSTMENT (+)") - SUMIFS('STOCK IN  TRANSFER'!G:G, 'STOCK IN  TRANSFER'!E:E, B615, 'STOCK IN  TRANSFER'!F:F, "ADJUSTMENT (-)") - SUMIFS('STOCK IN  TRANSFER'!G:G, 'STOCK IN  TRANSFER'!E:E, B615, 'STOCK IN  TRANSFER'!F:F, "STOCK TRANSFER") - SUMIFS(SALES!H:H, SALES!E:E, B615)</f>
        <v>0</v>
      </c>
      <c r="F615" s="28"/>
    </row>
    <row r="616" ht="22.5" customHeight="1">
      <c r="A616" s="19"/>
      <c r="B616" s="19"/>
      <c r="C616" s="50"/>
      <c r="D616" s="19"/>
      <c r="E616" s="28">
        <f>SUMIFS('STOCK IN  TRANSFER'!G:G, 'STOCK IN  TRANSFER'!E:E, B616, 'STOCK IN  TRANSFER'!F:F, "STOCK IN") + SUMIFS('STOCK IN  TRANSFER'!G:G, 'STOCK IN  TRANSFER'!E:E, B616, 'STOCK IN  TRANSFER'!F:F, "ADJUSTMENT (+)") - SUMIFS('STOCK IN  TRANSFER'!G:G, 'STOCK IN  TRANSFER'!E:E, B616, 'STOCK IN  TRANSFER'!F:F, "ADJUSTMENT (-)") - SUMIFS('STOCK IN  TRANSFER'!G:G, 'STOCK IN  TRANSFER'!E:E, B616, 'STOCK IN  TRANSFER'!F:F, "STOCK TRANSFER") - SUMIFS(SALES!H:H, SALES!E:E, B616)</f>
        <v>0</v>
      </c>
      <c r="F616" s="28"/>
    </row>
    <row r="617" ht="22.5" customHeight="1">
      <c r="A617" s="19"/>
      <c r="B617" s="19"/>
      <c r="C617" s="50"/>
      <c r="D617" s="19"/>
      <c r="E617" s="28">
        <f>SUMIFS('STOCK IN  TRANSFER'!G:G, 'STOCK IN  TRANSFER'!E:E, B617, 'STOCK IN  TRANSFER'!F:F, "STOCK IN") + SUMIFS('STOCK IN  TRANSFER'!G:G, 'STOCK IN  TRANSFER'!E:E, B617, 'STOCK IN  TRANSFER'!F:F, "ADJUSTMENT (+)") - SUMIFS('STOCK IN  TRANSFER'!G:G, 'STOCK IN  TRANSFER'!E:E, B617, 'STOCK IN  TRANSFER'!F:F, "ADJUSTMENT (-)") - SUMIFS('STOCK IN  TRANSFER'!G:G, 'STOCK IN  TRANSFER'!E:E, B617, 'STOCK IN  TRANSFER'!F:F, "STOCK TRANSFER") - SUMIFS(SALES!H:H, SALES!E:E, B617)</f>
        <v>0</v>
      </c>
      <c r="F617" s="28"/>
    </row>
    <row r="618" ht="22.5" customHeight="1">
      <c r="A618" s="19"/>
      <c r="B618" s="19"/>
      <c r="C618" s="50"/>
      <c r="D618" s="19"/>
      <c r="E618" s="28">
        <f>SUMIFS('STOCK IN  TRANSFER'!G:G, 'STOCK IN  TRANSFER'!E:E, B618, 'STOCK IN  TRANSFER'!F:F, "STOCK IN") + SUMIFS('STOCK IN  TRANSFER'!G:G, 'STOCK IN  TRANSFER'!E:E, B618, 'STOCK IN  TRANSFER'!F:F, "ADJUSTMENT (+)") - SUMIFS('STOCK IN  TRANSFER'!G:G, 'STOCK IN  TRANSFER'!E:E, B618, 'STOCK IN  TRANSFER'!F:F, "ADJUSTMENT (-)") - SUMIFS('STOCK IN  TRANSFER'!G:G, 'STOCK IN  TRANSFER'!E:E, B618, 'STOCK IN  TRANSFER'!F:F, "STOCK TRANSFER") - SUMIFS(SALES!H:H, SALES!E:E, B618)</f>
        <v>0</v>
      </c>
      <c r="F618" s="28"/>
    </row>
    <row r="619" ht="22.5" customHeight="1">
      <c r="A619" s="19"/>
      <c r="B619" s="19"/>
      <c r="C619" s="50"/>
      <c r="D619" s="19"/>
      <c r="E619" s="28">
        <f>SUMIFS('STOCK IN  TRANSFER'!G:G, 'STOCK IN  TRANSFER'!E:E, B619, 'STOCK IN  TRANSFER'!F:F, "STOCK IN") + SUMIFS('STOCK IN  TRANSFER'!G:G, 'STOCK IN  TRANSFER'!E:E, B619, 'STOCK IN  TRANSFER'!F:F, "ADJUSTMENT (+)") - SUMIFS('STOCK IN  TRANSFER'!G:G, 'STOCK IN  TRANSFER'!E:E, B619, 'STOCK IN  TRANSFER'!F:F, "ADJUSTMENT (-)") - SUMIFS('STOCK IN  TRANSFER'!G:G, 'STOCK IN  TRANSFER'!E:E, B619, 'STOCK IN  TRANSFER'!F:F, "STOCK TRANSFER") - SUMIFS(SALES!H:H, SALES!E:E, B619)</f>
        <v>0</v>
      </c>
      <c r="F619" s="28"/>
    </row>
    <row r="620" ht="22.5" customHeight="1">
      <c r="A620" s="19"/>
      <c r="B620" s="19"/>
      <c r="C620" s="50"/>
      <c r="D620" s="19"/>
      <c r="E620" s="28">
        <f>SUMIFS('STOCK IN  TRANSFER'!G:G, 'STOCK IN  TRANSFER'!E:E, B620, 'STOCK IN  TRANSFER'!F:F, "STOCK IN") + SUMIFS('STOCK IN  TRANSFER'!G:G, 'STOCK IN  TRANSFER'!E:E, B620, 'STOCK IN  TRANSFER'!F:F, "ADJUSTMENT (+)") - SUMIFS('STOCK IN  TRANSFER'!G:G, 'STOCK IN  TRANSFER'!E:E, B620, 'STOCK IN  TRANSFER'!F:F, "ADJUSTMENT (-)") - SUMIFS('STOCK IN  TRANSFER'!G:G, 'STOCK IN  TRANSFER'!E:E, B620, 'STOCK IN  TRANSFER'!F:F, "STOCK TRANSFER") - SUMIFS(SALES!H:H, SALES!E:E, B620)</f>
        <v>0</v>
      </c>
      <c r="F620" s="28"/>
    </row>
    <row r="621" ht="22.5" customHeight="1">
      <c r="A621" s="19"/>
      <c r="B621" s="19"/>
      <c r="C621" s="50"/>
      <c r="D621" s="19"/>
      <c r="E621" s="28">
        <f>SUMIFS('STOCK IN  TRANSFER'!G:G, 'STOCK IN  TRANSFER'!E:E, B621, 'STOCK IN  TRANSFER'!F:F, "STOCK IN") + SUMIFS('STOCK IN  TRANSFER'!G:G, 'STOCK IN  TRANSFER'!E:E, B621, 'STOCK IN  TRANSFER'!F:F, "ADJUSTMENT (+)") - SUMIFS('STOCK IN  TRANSFER'!G:G, 'STOCK IN  TRANSFER'!E:E, B621, 'STOCK IN  TRANSFER'!F:F, "ADJUSTMENT (-)") - SUMIFS('STOCK IN  TRANSFER'!G:G, 'STOCK IN  TRANSFER'!E:E, B621, 'STOCK IN  TRANSFER'!F:F, "STOCK TRANSFER") - SUMIFS(SALES!H:H, SALES!E:E, B621)</f>
        <v>0</v>
      </c>
      <c r="F621" s="28"/>
    </row>
    <row r="622" ht="22.5" customHeight="1">
      <c r="A622" s="19"/>
      <c r="B622" s="19"/>
      <c r="C622" s="50"/>
      <c r="D622" s="19"/>
      <c r="E622" s="28">
        <f>SUMIFS('STOCK IN  TRANSFER'!G:G, 'STOCK IN  TRANSFER'!E:E, B622, 'STOCK IN  TRANSFER'!F:F, "STOCK IN") + SUMIFS('STOCK IN  TRANSFER'!G:G, 'STOCK IN  TRANSFER'!E:E, B622, 'STOCK IN  TRANSFER'!F:F, "ADJUSTMENT (+)") - SUMIFS('STOCK IN  TRANSFER'!G:G, 'STOCK IN  TRANSFER'!E:E, B622, 'STOCK IN  TRANSFER'!F:F, "ADJUSTMENT (-)") - SUMIFS('STOCK IN  TRANSFER'!G:G, 'STOCK IN  TRANSFER'!E:E, B622, 'STOCK IN  TRANSFER'!F:F, "STOCK TRANSFER") - SUMIFS(SALES!H:H, SALES!E:E, B622)</f>
        <v>0</v>
      </c>
      <c r="F622" s="28"/>
    </row>
    <row r="623" ht="22.5" customHeight="1">
      <c r="A623" s="19"/>
      <c r="B623" s="19"/>
      <c r="C623" s="50"/>
      <c r="D623" s="19"/>
      <c r="E623" s="28">
        <f>SUMIFS('STOCK IN  TRANSFER'!G:G, 'STOCK IN  TRANSFER'!E:E, B623, 'STOCK IN  TRANSFER'!F:F, "STOCK IN") + SUMIFS('STOCK IN  TRANSFER'!G:G, 'STOCK IN  TRANSFER'!E:E, B623, 'STOCK IN  TRANSFER'!F:F, "ADJUSTMENT (+)") - SUMIFS('STOCK IN  TRANSFER'!G:G, 'STOCK IN  TRANSFER'!E:E, B623, 'STOCK IN  TRANSFER'!F:F, "ADJUSTMENT (-)") - SUMIFS('STOCK IN  TRANSFER'!G:G, 'STOCK IN  TRANSFER'!E:E, B623, 'STOCK IN  TRANSFER'!F:F, "STOCK TRANSFER") - SUMIFS(SALES!H:H, SALES!E:E, B623)</f>
        <v>0</v>
      </c>
      <c r="F623" s="28"/>
    </row>
    <row r="624" ht="22.5" customHeight="1">
      <c r="A624" s="13"/>
      <c r="B624" s="13"/>
      <c r="C624" s="16"/>
      <c r="D624" s="13"/>
      <c r="E624" s="28">
        <f>SUMIFS('STOCK IN  TRANSFER'!G:G, 'STOCK IN  TRANSFER'!E:E, B624, 'STOCK IN  TRANSFER'!F:F, "STOCK IN") + SUMIFS('STOCK IN  TRANSFER'!G:G, 'STOCK IN  TRANSFER'!E:E, B624, 'STOCK IN  TRANSFER'!F:F, "ADJUSTMENT (+)") - SUMIFS('STOCK IN  TRANSFER'!G:G, 'STOCK IN  TRANSFER'!E:E, B624, 'STOCK IN  TRANSFER'!F:F, "ADJUSTMENT (-)") - SUMIFS('STOCK IN  TRANSFER'!G:G, 'STOCK IN  TRANSFER'!E:E, B624, 'STOCK IN  TRANSFER'!F:F, "STOCK TRANSFER") - SUMIFS(SALES!H:H, SALES!E:E, B624)</f>
        <v>0</v>
      </c>
      <c r="F624" s="28"/>
    </row>
    <row r="625" ht="22.5" customHeight="1">
      <c r="A625" s="13"/>
      <c r="B625" s="13"/>
      <c r="C625" s="16"/>
      <c r="D625" s="13"/>
      <c r="E625" s="28">
        <f>SUMIFS('STOCK IN  TRANSFER'!G:G, 'STOCK IN  TRANSFER'!E:E, B625, 'STOCK IN  TRANSFER'!F:F, "STOCK IN") + SUMIFS('STOCK IN  TRANSFER'!G:G, 'STOCK IN  TRANSFER'!E:E, B625, 'STOCK IN  TRANSFER'!F:F, "ADJUSTMENT (+)") - SUMIFS('STOCK IN  TRANSFER'!G:G, 'STOCK IN  TRANSFER'!E:E, B625, 'STOCK IN  TRANSFER'!F:F, "ADJUSTMENT (-)") - SUMIFS('STOCK IN  TRANSFER'!G:G, 'STOCK IN  TRANSFER'!E:E, B625, 'STOCK IN  TRANSFER'!F:F, "STOCK TRANSFER") - SUMIFS(SALES!H:H, SALES!E:E, B625)</f>
        <v>0</v>
      </c>
      <c r="F625" s="28"/>
    </row>
    <row r="626" ht="22.5" customHeight="1">
      <c r="A626" s="13"/>
      <c r="B626" s="13"/>
      <c r="C626" s="16"/>
      <c r="D626" s="13"/>
      <c r="E626" s="28">
        <f>SUMIFS('STOCK IN  TRANSFER'!G:G, 'STOCK IN  TRANSFER'!E:E, B626, 'STOCK IN  TRANSFER'!F:F, "STOCK IN") + SUMIFS('STOCK IN  TRANSFER'!G:G, 'STOCK IN  TRANSFER'!E:E, B626, 'STOCK IN  TRANSFER'!F:F, "ADJUSTMENT (+)") - SUMIFS('STOCK IN  TRANSFER'!G:G, 'STOCK IN  TRANSFER'!E:E, B626, 'STOCK IN  TRANSFER'!F:F, "ADJUSTMENT (-)") - SUMIFS('STOCK IN  TRANSFER'!G:G, 'STOCK IN  TRANSFER'!E:E, B626, 'STOCK IN  TRANSFER'!F:F, "STOCK TRANSFER") - SUMIFS(SALES!H:H, SALES!E:E, B626)</f>
        <v>0</v>
      </c>
      <c r="F626" s="28"/>
    </row>
    <row r="627" ht="22.5" customHeight="1">
      <c r="A627" s="13"/>
      <c r="B627" s="13"/>
      <c r="C627" s="16"/>
      <c r="D627" s="13"/>
      <c r="E627" s="28">
        <f>SUMIFS('STOCK IN  TRANSFER'!G:G, 'STOCK IN  TRANSFER'!E:E, B627, 'STOCK IN  TRANSFER'!F:F, "STOCK IN") + SUMIFS('STOCK IN  TRANSFER'!G:G, 'STOCK IN  TRANSFER'!E:E, B627, 'STOCK IN  TRANSFER'!F:F, "ADJUSTMENT (+)") - SUMIFS('STOCK IN  TRANSFER'!G:G, 'STOCK IN  TRANSFER'!E:E, B627, 'STOCK IN  TRANSFER'!F:F, "ADJUSTMENT (-)") - SUMIFS('STOCK IN  TRANSFER'!G:G, 'STOCK IN  TRANSFER'!E:E, B627, 'STOCK IN  TRANSFER'!F:F, "STOCK TRANSFER") - SUMIFS(SALES!H:H, SALES!E:E, B627)</f>
        <v>0</v>
      </c>
      <c r="F627" s="28"/>
    </row>
    <row r="628" ht="22.5" customHeight="1">
      <c r="A628" s="13"/>
      <c r="B628" s="13"/>
      <c r="C628" s="16"/>
      <c r="D628" s="13"/>
      <c r="E628" s="28">
        <f>SUMIFS('STOCK IN  TRANSFER'!G:G, 'STOCK IN  TRANSFER'!E:E, B628, 'STOCK IN  TRANSFER'!F:F, "STOCK IN") + SUMIFS('STOCK IN  TRANSFER'!G:G, 'STOCK IN  TRANSFER'!E:E, B628, 'STOCK IN  TRANSFER'!F:F, "ADJUSTMENT (+)") - SUMIFS('STOCK IN  TRANSFER'!G:G, 'STOCK IN  TRANSFER'!E:E, B628, 'STOCK IN  TRANSFER'!F:F, "ADJUSTMENT (-)") - SUMIFS('STOCK IN  TRANSFER'!G:G, 'STOCK IN  TRANSFER'!E:E, B628, 'STOCK IN  TRANSFER'!F:F, "STOCK TRANSFER") - SUMIFS(SALES!H:H, SALES!E:E, B628)</f>
        <v>0</v>
      </c>
      <c r="F628" s="28"/>
    </row>
    <row r="629" ht="22.5" customHeight="1">
      <c r="A629" s="13"/>
      <c r="B629" s="13"/>
      <c r="C629" s="16"/>
      <c r="D629" s="13"/>
      <c r="E629" s="28">
        <f>SUMIFS('STOCK IN  TRANSFER'!G:G, 'STOCK IN  TRANSFER'!E:E, B629, 'STOCK IN  TRANSFER'!F:F, "STOCK IN") + SUMIFS('STOCK IN  TRANSFER'!G:G, 'STOCK IN  TRANSFER'!E:E, B629, 'STOCK IN  TRANSFER'!F:F, "ADJUSTMENT (+)") - SUMIFS('STOCK IN  TRANSFER'!G:G, 'STOCK IN  TRANSFER'!E:E, B629, 'STOCK IN  TRANSFER'!F:F, "ADJUSTMENT (-)") - SUMIFS('STOCK IN  TRANSFER'!G:G, 'STOCK IN  TRANSFER'!E:E, B629, 'STOCK IN  TRANSFER'!F:F, "STOCK TRANSFER") - SUMIFS(SALES!H:H, SALES!E:E, B629)</f>
        <v>0</v>
      </c>
      <c r="F629" s="28"/>
    </row>
    <row r="630" ht="22.5" customHeight="1">
      <c r="A630" s="13"/>
      <c r="B630" s="13"/>
      <c r="C630" s="16"/>
      <c r="D630" s="13"/>
      <c r="E630" s="28">
        <f>SUMIFS('STOCK IN  TRANSFER'!G:G, 'STOCK IN  TRANSFER'!E:E, B630, 'STOCK IN  TRANSFER'!F:F, "STOCK IN") + SUMIFS('STOCK IN  TRANSFER'!G:G, 'STOCK IN  TRANSFER'!E:E, B630, 'STOCK IN  TRANSFER'!F:F, "ADJUSTMENT (+)") - SUMIFS('STOCK IN  TRANSFER'!G:G, 'STOCK IN  TRANSFER'!E:E, B630, 'STOCK IN  TRANSFER'!F:F, "ADJUSTMENT (-)") - SUMIFS('STOCK IN  TRANSFER'!G:G, 'STOCK IN  TRANSFER'!E:E, B630, 'STOCK IN  TRANSFER'!F:F, "STOCK TRANSFER") - SUMIFS(SALES!H:H, SALES!E:E, B630)</f>
        <v>0</v>
      </c>
      <c r="F630" s="28"/>
    </row>
    <row r="631" ht="22.5" customHeight="1">
      <c r="A631" s="13"/>
      <c r="B631" s="13"/>
      <c r="C631" s="16"/>
      <c r="D631" s="13"/>
      <c r="E631" s="28">
        <f>SUMIFS('STOCK IN  TRANSFER'!G:G, 'STOCK IN  TRANSFER'!E:E, B631, 'STOCK IN  TRANSFER'!F:F, "STOCK IN") + SUMIFS('STOCK IN  TRANSFER'!G:G, 'STOCK IN  TRANSFER'!E:E, B631, 'STOCK IN  TRANSFER'!F:F, "ADJUSTMENT (+)") - SUMIFS('STOCK IN  TRANSFER'!G:G, 'STOCK IN  TRANSFER'!E:E, B631, 'STOCK IN  TRANSFER'!F:F, "ADJUSTMENT (-)") - SUMIFS('STOCK IN  TRANSFER'!G:G, 'STOCK IN  TRANSFER'!E:E, B631, 'STOCK IN  TRANSFER'!F:F, "STOCK TRANSFER") - SUMIFS(SALES!H:H, SALES!E:E, B631)</f>
        <v>0</v>
      </c>
      <c r="F631" s="28"/>
    </row>
    <row r="632" ht="22.5" customHeight="1">
      <c r="A632" s="13"/>
      <c r="B632" s="13"/>
      <c r="C632" s="16"/>
      <c r="D632" s="13"/>
      <c r="E632" s="28">
        <f>SUMIFS('STOCK IN  TRANSFER'!G:G, 'STOCK IN  TRANSFER'!E:E, B632, 'STOCK IN  TRANSFER'!F:F, "STOCK IN") + SUMIFS('STOCK IN  TRANSFER'!G:G, 'STOCK IN  TRANSFER'!E:E, B632, 'STOCK IN  TRANSFER'!F:F, "ADJUSTMENT (+)") - SUMIFS('STOCK IN  TRANSFER'!G:G, 'STOCK IN  TRANSFER'!E:E, B632, 'STOCK IN  TRANSFER'!F:F, "ADJUSTMENT (-)") - SUMIFS('STOCK IN  TRANSFER'!G:G, 'STOCK IN  TRANSFER'!E:E, B632, 'STOCK IN  TRANSFER'!F:F, "STOCK TRANSFER") - SUMIFS(SALES!H:H, SALES!E:E, B632)</f>
        <v>0</v>
      </c>
      <c r="F632" s="28"/>
    </row>
    <row r="633" ht="22.5" customHeight="1">
      <c r="A633" s="13"/>
      <c r="B633" s="13"/>
      <c r="C633" s="16"/>
      <c r="D633" s="13"/>
      <c r="E633" s="28">
        <f>SUMIFS('STOCK IN  TRANSFER'!G:G, 'STOCK IN  TRANSFER'!E:E, B633, 'STOCK IN  TRANSFER'!F:F, "STOCK IN") + SUMIFS('STOCK IN  TRANSFER'!G:G, 'STOCK IN  TRANSFER'!E:E, B633, 'STOCK IN  TRANSFER'!F:F, "ADJUSTMENT (+)") - SUMIFS('STOCK IN  TRANSFER'!G:G, 'STOCK IN  TRANSFER'!E:E, B633, 'STOCK IN  TRANSFER'!F:F, "ADJUSTMENT (-)") - SUMIFS('STOCK IN  TRANSFER'!G:G, 'STOCK IN  TRANSFER'!E:E, B633, 'STOCK IN  TRANSFER'!F:F, "STOCK TRANSFER") - SUMIFS(SALES!H:H, SALES!E:E, B633)</f>
        <v>0</v>
      </c>
      <c r="F633" s="28"/>
    </row>
    <row r="634" ht="22.5" customHeight="1">
      <c r="A634" s="19"/>
      <c r="B634" s="19"/>
      <c r="C634" s="50"/>
      <c r="D634" s="19"/>
      <c r="E634" s="28">
        <f>SUMIFS('STOCK IN  TRANSFER'!G:G, 'STOCK IN  TRANSFER'!E:E, B634, 'STOCK IN  TRANSFER'!F:F, "STOCK IN") + SUMIFS('STOCK IN  TRANSFER'!G:G, 'STOCK IN  TRANSFER'!E:E, B634, 'STOCK IN  TRANSFER'!F:F, "ADJUSTMENT (+)") - SUMIFS('STOCK IN  TRANSFER'!G:G, 'STOCK IN  TRANSFER'!E:E, B634, 'STOCK IN  TRANSFER'!F:F, "ADJUSTMENT (-)") - SUMIFS('STOCK IN  TRANSFER'!G:G, 'STOCK IN  TRANSFER'!E:E, B634, 'STOCK IN  TRANSFER'!F:F, "STOCK TRANSFER") - SUMIFS(SALES!H:H, SALES!E:E, B634)</f>
        <v>0</v>
      </c>
      <c r="F634" s="28"/>
    </row>
    <row r="635" ht="22.5" customHeight="1">
      <c r="A635" s="19"/>
      <c r="B635" s="19"/>
      <c r="C635" s="19"/>
      <c r="D635" s="19"/>
      <c r="E635" s="28">
        <f>SUMIFS('STOCK IN  TRANSFER'!G:G, 'STOCK IN  TRANSFER'!E:E, B635, 'STOCK IN  TRANSFER'!F:F, "STOCK IN") + SUMIFS('STOCK IN  TRANSFER'!G:G, 'STOCK IN  TRANSFER'!E:E, B635, 'STOCK IN  TRANSFER'!F:F, "ADJUSTMENT (+)") - SUMIFS('STOCK IN  TRANSFER'!G:G, 'STOCK IN  TRANSFER'!E:E, B635, 'STOCK IN  TRANSFER'!F:F, "ADJUSTMENT (-)") - SUMIFS('STOCK IN  TRANSFER'!G:G, 'STOCK IN  TRANSFER'!E:E, B635, 'STOCK IN  TRANSFER'!F:F, "STOCK TRANSFER") - SUMIFS(SALES!H:H, SALES!E:E, B635)</f>
        <v>0</v>
      </c>
      <c r="F635" s="28"/>
    </row>
    <row r="636" ht="22.5" customHeight="1">
      <c r="A636" s="19"/>
      <c r="B636" s="19"/>
      <c r="C636" s="50"/>
      <c r="D636" s="19"/>
      <c r="E636" s="28">
        <f>SUMIFS('STOCK IN  TRANSFER'!G:G, 'STOCK IN  TRANSFER'!E:E, B636, 'STOCK IN  TRANSFER'!F:F, "STOCK IN") + SUMIFS('STOCK IN  TRANSFER'!G:G, 'STOCK IN  TRANSFER'!E:E, B636, 'STOCK IN  TRANSFER'!F:F, "ADJUSTMENT (+)") - SUMIFS('STOCK IN  TRANSFER'!G:G, 'STOCK IN  TRANSFER'!E:E, B636, 'STOCK IN  TRANSFER'!F:F, "ADJUSTMENT (-)") - SUMIFS('STOCK IN  TRANSFER'!G:G, 'STOCK IN  TRANSFER'!E:E, B636, 'STOCK IN  TRANSFER'!F:F, "STOCK TRANSFER") - SUMIFS(SALES!H:H, SALES!E:E, B636)</f>
        <v>0</v>
      </c>
      <c r="F636" s="28"/>
    </row>
    <row r="637" ht="22.5" customHeight="1">
      <c r="A637" s="19"/>
      <c r="B637" s="19"/>
      <c r="C637" s="50"/>
      <c r="D637" s="19"/>
      <c r="E637" s="28">
        <f>SUMIFS('STOCK IN  TRANSFER'!G:G, 'STOCK IN  TRANSFER'!E:E, B637, 'STOCK IN  TRANSFER'!F:F, "STOCK IN") + SUMIFS('STOCK IN  TRANSFER'!G:G, 'STOCK IN  TRANSFER'!E:E, B637, 'STOCK IN  TRANSFER'!F:F, "ADJUSTMENT (+)") - SUMIFS('STOCK IN  TRANSFER'!G:G, 'STOCK IN  TRANSFER'!E:E, B637, 'STOCK IN  TRANSFER'!F:F, "ADJUSTMENT (-)") - SUMIFS('STOCK IN  TRANSFER'!G:G, 'STOCK IN  TRANSFER'!E:E, B637, 'STOCK IN  TRANSFER'!F:F, "STOCK TRANSFER") - SUMIFS(SALES!H:H, SALES!E:E, B637)</f>
        <v>0</v>
      </c>
      <c r="F637" s="28"/>
    </row>
    <row r="638" ht="22.5" customHeight="1">
      <c r="A638" s="19"/>
      <c r="B638" s="19"/>
      <c r="C638" s="50"/>
      <c r="D638" s="19"/>
      <c r="E638" s="28">
        <f>SUMIFS('STOCK IN  TRANSFER'!G:G, 'STOCK IN  TRANSFER'!E:E, B638, 'STOCK IN  TRANSFER'!F:F, "STOCK IN") + SUMIFS('STOCK IN  TRANSFER'!G:G, 'STOCK IN  TRANSFER'!E:E, B638, 'STOCK IN  TRANSFER'!F:F, "ADJUSTMENT (+)") - SUMIFS('STOCK IN  TRANSFER'!G:G, 'STOCK IN  TRANSFER'!E:E, B638, 'STOCK IN  TRANSFER'!F:F, "ADJUSTMENT (-)") - SUMIFS('STOCK IN  TRANSFER'!G:G, 'STOCK IN  TRANSFER'!E:E, B638, 'STOCK IN  TRANSFER'!F:F, "STOCK TRANSFER") - SUMIFS(SALES!H:H, SALES!E:E, B638)</f>
        <v>0</v>
      </c>
      <c r="F638" s="28"/>
    </row>
    <row r="639" ht="22.5" customHeight="1">
      <c r="A639" s="19"/>
      <c r="B639" s="19"/>
      <c r="C639" s="50"/>
      <c r="D639" s="19"/>
      <c r="E639" s="28">
        <f>SUMIFS('STOCK IN  TRANSFER'!G:G, 'STOCK IN  TRANSFER'!E:E, B639, 'STOCK IN  TRANSFER'!F:F, "STOCK IN") + SUMIFS('STOCK IN  TRANSFER'!G:G, 'STOCK IN  TRANSFER'!E:E, B639, 'STOCK IN  TRANSFER'!F:F, "ADJUSTMENT (+)") - SUMIFS('STOCK IN  TRANSFER'!G:G, 'STOCK IN  TRANSFER'!E:E, B639, 'STOCK IN  TRANSFER'!F:F, "ADJUSTMENT (-)") - SUMIFS('STOCK IN  TRANSFER'!G:G, 'STOCK IN  TRANSFER'!E:E, B639, 'STOCK IN  TRANSFER'!F:F, "STOCK TRANSFER") - SUMIFS(SALES!H:H, SALES!E:E, B639)</f>
        <v>0</v>
      </c>
      <c r="F639" s="28"/>
    </row>
    <row r="640" ht="22.5" customHeight="1">
      <c r="A640" s="19"/>
      <c r="B640" s="19"/>
      <c r="C640" s="50"/>
      <c r="D640" s="19"/>
      <c r="E640" s="28">
        <f>SUMIFS('STOCK IN  TRANSFER'!G:G, 'STOCK IN  TRANSFER'!E:E, B640, 'STOCK IN  TRANSFER'!F:F, "STOCK IN") + SUMIFS('STOCK IN  TRANSFER'!G:G, 'STOCK IN  TRANSFER'!E:E, B640, 'STOCK IN  TRANSFER'!F:F, "ADJUSTMENT (+)") - SUMIFS('STOCK IN  TRANSFER'!G:G, 'STOCK IN  TRANSFER'!E:E, B640, 'STOCK IN  TRANSFER'!F:F, "ADJUSTMENT (-)") - SUMIFS('STOCK IN  TRANSFER'!G:G, 'STOCK IN  TRANSFER'!E:E, B640, 'STOCK IN  TRANSFER'!F:F, "STOCK TRANSFER") - SUMIFS(SALES!H:H, SALES!E:E, B640)</f>
        <v>0</v>
      </c>
      <c r="F640" s="28"/>
    </row>
    <row r="641" ht="22.5" customHeight="1">
      <c r="A641" s="19"/>
      <c r="B641" s="19"/>
      <c r="C641" s="50"/>
      <c r="D641" s="19"/>
      <c r="E641" s="28">
        <f>SUMIFS('STOCK IN  TRANSFER'!G:G, 'STOCK IN  TRANSFER'!E:E, B641, 'STOCK IN  TRANSFER'!F:F, "STOCK IN") + SUMIFS('STOCK IN  TRANSFER'!G:G, 'STOCK IN  TRANSFER'!E:E, B641, 'STOCK IN  TRANSFER'!F:F, "ADJUSTMENT (+)") - SUMIFS('STOCK IN  TRANSFER'!G:G, 'STOCK IN  TRANSFER'!E:E, B641, 'STOCK IN  TRANSFER'!F:F, "ADJUSTMENT (-)") - SUMIFS('STOCK IN  TRANSFER'!G:G, 'STOCK IN  TRANSFER'!E:E, B641, 'STOCK IN  TRANSFER'!F:F, "STOCK TRANSFER") - SUMIFS(SALES!H:H, SALES!E:E, B641)</f>
        <v>0</v>
      </c>
      <c r="F641" s="28"/>
    </row>
    <row r="642" ht="22.5" customHeight="1">
      <c r="A642" s="19"/>
      <c r="B642" s="19"/>
      <c r="C642" s="50"/>
      <c r="D642" s="19"/>
      <c r="E642" s="28">
        <f>SUMIFS('STOCK IN  TRANSFER'!G:G, 'STOCK IN  TRANSFER'!E:E, B642, 'STOCK IN  TRANSFER'!F:F, "STOCK IN") + SUMIFS('STOCK IN  TRANSFER'!G:G, 'STOCK IN  TRANSFER'!E:E, B642, 'STOCK IN  TRANSFER'!F:F, "ADJUSTMENT (+)") - SUMIFS('STOCK IN  TRANSFER'!G:G, 'STOCK IN  TRANSFER'!E:E, B642, 'STOCK IN  TRANSFER'!F:F, "ADJUSTMENT (-)") - SUMIFS('STOCK IN  TRANSFER'!G:G, 'STOCK IN  TRANSFER'!E:E, B642, 'STOCK IN  TRANSFER'!F:F, "STOCK TRANSFER") - SUMIFS(SALES!H:H, SALES!E:E, B642)</f>
        <v>0</v>
      </c>
      <c r="F642" s="28"/>
    </row>
    <row r="643" ht="22.5" customHeight="1">
      <c r="A643" s="19"/>
      <c r="B643" s="19"/>
      <c r="C643" s="50"/>
      <c r="D643" s="19"/>
      <c r="E643" s="28">
        <f>SUMIFS('STOCK IN  TRANSFER'!G:G, 'STOCK IN  TRANSFER'!E:E, B643, 'STOCK IN  TRANSFER'!F:F, "STOCK IN") + SUMIFS('STOCK IN  TRANSFER'!G:G, 'STOCK IN  TRANSFER'!E:E, B643, 'STOCK IN  TRANSFER'!F:F, "ADJUSTMENT (+)") - SUMIFS('STOCK IN  TRANSFER'!G:G, 'STOCK IN  TRANSFER'!E:E, B643, 'STOCK IN  TRANSFER'!F:F, "ADJUSTMENT (-)") - SUMIFS('STOCK IN  TRANSFER'!G:G, 'STOCK IN  TRANSFER'!E:E, B643, 'STOCK IN  TRANSFER'!F:F, "STOCK TRANSFER") - SUMIFS(SALES!H:H, SALES!E:E, B643)</f>
        <v>0</v>
      </c>
      <c r="F643" s="28"/>
    </row>
    <row r="644" ht="22.5" customHeight="1">
      <c r="A644" s="19"/>
      <c r="B644" s="19"/>
      <c r="C644" s="50"/>
      <c r="D644" s="19"/>
      <c r="E644" s="28">
        <f>SUMIFS('STOCK IN  TRANSFER'!G:G, 'STOCK IN  TRANSFER'!E:E, B644, 'STOCK IN  TRANSFER'!F:F, "STOCK IN") + SUMIFS('STOCK IN  TRANSFER'!G:G, 'STOCK IN  TRANSFER'!E:E, B644, 'STOCK IN  TRANSFER'!F:F, "ADJUSTMENT (+)") - SUMIFS('STOCK IN  TRANSFER'!G:G, 'STOCK IN  TRANSFER'!E:E, B644, 'STOCK IN  TRANSFER'!F:F, "ADJUSTMENT (-)") - SUMIFS('STOCK IN  TRANSFER'!G:G, 'STOCK IN  TRANSFER'!E:E, B644, 'STOCK IN  TRANSFER'!F:F, "STOCK TRANSFER") - SUMIFS(SALES!H:H, SALES!E:E, B644)</f>
        <v>0</v>
      </c>
      <c r="F644" s="28"/>
    </row>
    <row r="645" ht="22.5" customHeight="1">
      <c r="A645" s="19"/>
      <c r="B645" s="19"/>
      <c r="C645" s="50"/>
      <c r="D645" s="19"/>
      <c r="E645" s="28">
        <f>SUMIFS('STOCK IN  TRANSFER'!G:G, 'STOCK IN  TRANSFER'!E:E, B645, 'STOCK IN  TRANSFER'!F:F, "STOCK IN") + SUMIFS('STOCK IN  TRANSFER'!G:G, 'STOCK IN  TRANSFER'!E:E, B645, 'STOCK IN  TRANSFER'!F:F, "ADJUSTMENT (+)") - SUMIFS('STOCK IN  TRANSFER'!G:G, 'STOCK IN  TRANSFER'!E:E, B645, 'STOCK IN  TRANSFER'!F:F, "ADJUSTMENT (-)") - SUMIFS('STOCK IN  TRANSFER'!G:G, 'STOCK IN  TRANSFER'!E:E, B645, 'STOCK IN  TRANSFER'!F:F, "STOCK TRANSFER") - SUMIFS(SALES!H:H, SALES!E:E, B645)</f>
        <v>0</v>
      </c>
      <c r="F645" s="28"/>
    </row>
    <row r="646" ht="22.5" customHeight="1">
      <c r="A646" s="19"/>
      <c r="B646" s="19"/>
      <c r="C646" s="50"/>
      <c r="D646" s="19"/>
      <c r="E646" s="28">
        <f>SUMIFS('STOCK IN  TRANSFER'!G:G, 'STOCK IN  TRANSFER'!E:E, B646, 'STOCK IN  TRANSFER'!F:F, "STOCK IN") + SUMIFS('STOCK IN  TRANSFER'!G:G, 'STOCK IN  TRANSFER'!E:E, B646, 'STOCK IN  TRANSFER'!F:F, "ADJUSTMENT (+)") - SUMIFS('STOCK IN  TRANSFER'!G:G, 'STOCK IN  TRANSFER'!E:E, B646, 'STOCK IN  TRANSFER'!F:F, "ADJUSTMENT (-)") - SUMIFS('STOCK IN  TRANSFER'!G:G, 'STOCK IN  TRANSFER'!E:E, B646, 'STOCK IN  TRANSFER'!F:F, "STOCK TRANSFER") - SUMIFS(SALES!H:H, SALES!E:E, B646)</f>
        <v>0</v>
      </c>
      <c r="F646" s="28"/>
    </row>
    <row r="647" ht="22.5" customHeight="1">
      <c r="A647" s="72"/>
      <c r="B647" s="72"/>
      <c r="C647" s="72"/>
      <c r="D647" s="72"/>
      <c r="E647" s="28">
        <f>SUMIFS('STOCK IN  TRANSFER'!G:G, 'STOCK IN  TRANSFER'!E:E, B647, 'STOCK IN  TRANSFER'!F:F, "STOCK IN") + SUMIFS('STOCK IN  TRANSFER'!G:G, 'STOCK IN  TRANSFER'!E:E, B647, 'STOCK IN  TRANSFER'!F:F, "ADJUSTMENT (+)") - SUMIFS('STOCK IN  TRANSFER'!G:G, 'STOCK IN  TRANSFER'!E:E, B647, 'STOCK IN  TRANSFER'!F:F, "ADJUSTMENT (-)") - SUMIFS('STOCK IN  TRANSFER'!G:G, 'STOCK IN  TRANSFER'!E:E, B647, 'STOCK IN  TRANSFER'!F:F, "STOCK TRANSFER") - SUMIFS(SALES!H:H, SALES!E:E, B647)</f>
        <v>0</v>
      </c>
      <c r="F647" s="28"/>
    </row>
    <row r="648" ht="22.5" customHeight="1">
      <c r="A648" s="72"/>
      <c r="B648" s="72"/>
      <c r="C648" s="72"/>
      <c r="D648" s="72"/>
      <c r="E648" s="28">
        <f>SUMIFS('STOCK IN  TRANSFER'!G:G, 'STOCK IN  TRANSFER'!E:E, B648, 'STOCK IN  TRANSFER'!F:F, "STOCK IN") + SUMIFS('STOCK IN  TRANSFER'!G:G, 'STOCK IN  TRANSFER'!E:E, B648, 'STOCK IN  TRANSFER'!F:F, "ADJUSTMENT (+)") - SUMIFS('STOCK IN  TRANSFER'!G:G, 'STOCK IN  TRANSFER'!E:E, B648, 'STOCK IN  TRANSFER'!F:F, "ADJUSTMENT (-)") - SUMIFS('STOCK IN  TRANSFER'!G:G, 'STOCK IN  TRANSFER'!E:E, B648, 'STOCK IN  TRANSFER'!F:F, "STOCK TRANSFER") - SUMIFS(SALES!H:H, SALES!E:E, B648)</f>
        <v>0</v>
      </c>
      <c r="F648" s="28"/>
    </row>
    <row r="649" ht="22.5" customHeight="1">
      <c r="A649" s="72"/>
      <c r="B649" s="72"/>
      <c r="C649" s="72"/>
      <c r="D649" s="72"/>
      <c r="E649" s="28">
        <f>SUMIFS('STOCK IN  TRANSFER'!G:G, 'STOCK IN  TRANSFER'!E:E, B649, 'STOCK IN  TRANSFER'!F:F, "STOCK IN") + SUMIFS('STOCK IN  TRANSFER'!G:G, 'STOCK IN  TRANSFER'!E:E, B649, 'STOCK IN  TRANSFER'!F:F, "ADJUSTMENT (+)") - SUMIFS('STOCK IN  TRANSFER'!G:G, 'STOCK IN  TRANSFER'!E:E, B649, 'STOCK IN  TRANSFER'!F:F, "ADJUSTMENT (-)") - SUMIFS('STOCK IN  TRANSFER'!G:G, 'STOCK IN  TRANSFER'!E:E, B649, 'STOCK IN  TRANSFER'!F:F, "STOCK TRANSFER") - SUMIFS(SALES!H:H, SALES!E:E, B649)</f>
        <v>0</v>
      </c>
      <c r="F649" s="28"/>
    </row>
    <row r="650" ht="22.5" customHeight="1">
      <c r="A650" s="72"/>
      <c r="B650" s="72"/>
      <c r="C650" s="72"/>
      <c r="D650" s="72"/>
      <c r="E650" s="28">
        <f>SUMIFS('STOCK IN  TRANSFER'!G:G, 'STOCK IN  TRANSFER'!E:E, B650, 'STOCK IN  TRANSFER'!F:F, "STOCK IN") + SUMIFS('STOCK IN  TRANSFER'!G:G, 'STOCK IN  TRANSFER'!E:E, B650, 'STOCK IN  TRANSFER'!F:F, "ADJUSTMENT (+)") - SUMIFS('STOCK IN  TRANSFER'!G:G, 'STOCK IN  TRANSFER'!E:E, B650, 'STOCK IN  TRANSFER'!F:F, "ADJUSTMENT (-)") - SUMIFS('STOCK IN  TRANSFER'!G:G, 'STOCK IN  TRANSFER'!E:E, B650, 'STOCK IN  TRANSFER'!F:F, "STOCK TRANSFER") - SUMIFS(SALES!H:H, SALES!E:E, B650)</f>
        <v>0</v>
      </c>
      <c r="F650" s="28"/>
    </row>
    <row r="651" ht="22.5" customHeight="1">
      <c r="A651" s="72"/>
      <c r="B651" s="72"/>
      <c r="C651" s="72"/>
      <c r="D651" s="72"/>
      <c r="E651" s="28">
        <f>SUMIFS('STOCK IN  TRANSFER'!G:G, 'STOCK IN  TRANSFER'!E:E, B651, 'STOCK IN  TRANSFER'!F:F, "STOCK IN") + SUMIFS('STOCK IN  TRANSFER'!G:G, 'STOCK IN  TRANSFER'!E:E, B651, 'STOCK IN  TRANSFER'!F:F, "ADJUSTMENT (+)") - SUMIFS('STOCK IN  TRANSFER'!G:G, 'STOCK IN  TRANSFER'!E:E, B651, 'STOCK IN  TRANSFER'!F:F, "ADJUSTMENT (-)") - SUMIFS('STOCK IN  TRANSFER'!G:G, 'STOCK IN  TRANSFER'!E:E, B651, 'STOCK IN  TRANSFER'!F:F, "STOCK TRANSFER") - SUMIFS(SALES!H:H, SALES!E:E, B651)</f>
        <v>0</v>
      </c>
      <c r="F651" s="28"/>
    </row>
    <row r="652" ht="22.5" customHeight="1">
      <c r="A652" s="72"/>
      <c r="B652" s="72"/>
      <c r="C652" s="72"/>
      <c r="D652" s="72"/>
      <c r="E652" s="28">
        <f>SUMIFS('STOCK IN  TRANSFER'!G:G, 'STOCK IN  TRANSFER'!E:E, B652, 'STOCK IN  TRANSFER'!F:F, "STOCK IN") + SUMIFS('STOCK IN  TRANSFER'!G:G, 'STOCK IN  TRANSFER'!E:E, B652, 'STOCK IN  TRANSFER'!F:F, "ADJUSTMENT (+)") - SUMIFS('STOCK IN  TRANSFER'!G:G, 'STOCK IN  TRANSFER'!E:E, B652, 'STOCK IN  TRANSFER'!F:F, "ADJUSTMENT (-)") - SUMIFS('STOCK IN  TRANSFER'!G:G, 'STOCK IN  TRANSFER'!E:E, B652, 'STOCK IN  TRANSFER'!F:F, "STOCK TRANSFER") - SUMIFS(SALES!H:H, SALES!E:E, B652)</f>
        <v>0</v>
      </c>
      <c r="F652" s="28"/>
    </row>
    <row r="653" ht="22.5" customHeight="1">
      <c r="A653" s="72"/>
      <c r="B653" s="72"/>
      <c r="C653" s="72"/>
      <c r="D653" s="72"/>
      <c r="E653" s="28">
        <f>SUMIFS('STOCK IN  TRANSFER'!G:G, 'STOCK IN  TRANSFER'!E:E, B653, 'STOCK IN  TRANSFER'!F:F, "STOCK IN") + SUMIFS('STOCK IN  TRANSFER'!G:G, 'STOCK IN  TRANSFER'!E:E, B653, 'STOCK IN  TRANSFER'!F:F, "ADJUSTMENT (+)") - SUMIFS('STOCK IN  TRANSFER'!G:G, 'STOCK IN  TRANSFER'!E:E, B653, 'STOCK IN  TRANSFER'!F:F, "ADJUSTMENT (-)") - SUMIFS('STOCK IN  TRANSFER'!G:G, 'STOCK IN  TRANSFER'!E:E, B653, 'STOCK IN  TRANSFER'!F:F, "STOCK TRANSFER") - SUMIFS(SALES!H:H, SALES!E:E, B653)</f>
        <v>0</v>
      </c>
      <c r="F653" s="28"/>
    </row>
    <row r="654" ht="22.5" customHeight="1">
      <c r="A654" s="72"/>
      <c r="B654" s="72"/>
      <c r="C654" s="72"/>
      <c r="D654" s="72"/>
      <c r="E654" s="28">
        <f>SUMIFS('STOCK IN  TRANSFER'!G:G, 'STOCK IN  TRANSFER'!E:E, B654, 'STOCK IN  TRANSFER'!F:F, "STOCK IN") + SUMIFS('STOCK IN  TRANSFER'!G:G, 'STOCK IN  TRANSFER'!E:E, B654, 'STOCK IN  TRANSFER'!F:F, "ADJUSTMENT (+)") - SUMIFS('STOCK IN  TRANSFER'!G:G, 'STOCK IN  TRANSFER'!E:E, B654, 'STOCK IN  TRANSFER'!F:F, "ADJUSTMENT (-)") - SUMIFS('STOCK IN  TRANSFER'!G:G, 'STOCK IN  TRANSFER'!E:E, B654, 'STOCK IN  TRANSFER'!F:F, "STOCK TRANSFER") - SUMIFS(SALES!H:H, SALES!E:E, B654)</f>
        <v>0</v>
      </c>
      <c r="F654" s="28"/>
    </row>
    <row r="655" ht="22.5" customHeight="1">
      <c r="A655" s="72"/>
      <c r="B655" s="72"/>
      <c r="C655" s="72"/>
      <c r="D655" s="72"/>
      <c r="E655" s="28">
        <f>SUMIFS('STOCK IN  TRANSFER'!G:G, 'STOCK IN  TRANSFER'!E:E, B655, 'STOCK IN  TRANSFER'!F:F, "STOCK IN") + SUMIFS('STOCK IN  TRANSFER'!G:G, 'STOCK IN  TRANSFER'!E:E, B655, 'STOCK IN  TRANSFER'!F:F, "ADJUSTMENT (+)") - SUMIFS('STOCK IN  TRANSFER'!G:G, 'STOCK IN  TRANSFER'!E:E, B655, 'STOCK IN  TRANSFER'!F:F, "ADJUSTMENT (-)") - SUMIFS('STOCK IN  TRANSFER'!G:G, 'STOCK IN  TRANSFER'!E:E, B655, 'STOCK IN  TRANSFER'!F:F, "STOCK TRANSFER") - SUMIFS(SALES!H:H, SALES!E:E, B655)</f>
        <v>0</v>
      </c>
      <c r="F655" s="28"/>
    </row>
    <row r="656" ht="22.5" customHeight="1">
      <c r="A656" s="72"/>
      <c r="B656" s="72"/>
      <c r="C656" s="72"/>
      <c r="D656" s="72"/>
      <c r="E656" s="28">
        <f>SUMIFS('STOCK IN  TRANSFER'!G:G, 'STOCK IN  TRANSFER'!E:E, B656, 'STOCK IN  TRANSFER'!F:F, "STOCK IN") + SUMIFS('STOCK IN  TRANSFER'!G:G, 'STOCK IN  TRANSFER'!E:E, B656, 'STOCK IN  TRANSFER'!F:F, "ADJUSTMENT (+)") - SUMIFS('STOCK IN  TRANSFER'!G:G, 'STOCK IN  TRANSFER'!E:E, B656, 'STOCK IN  TRANSFER'!F:F, "ADJUSTMENT (-)") - SUMIFS('STOCK IN  TRANSFER'!G:G, 'STOCK IN  TRANSFER'!E:E, B656, 'STOCK IN  TRANSFER'!F:F, "STOCK TRANSFER") - SUMIFS(SALES!H:H, SALES!E:E, B656)</f>
        <v>0</v>
      </c>
      <c r="F656" s="28"/>
    </row>
    <row r="657" ht="22.5" customHeight="1">
      <c r="A657" s="72"/>
      <c r="B657" s="72"/>
      <c r="C657" s="72"/>
      <c r="D657" s="72"/>
      <c r="E657" s="28">
        <f>SUMIFS('STOCK IN  TRANSFER'!G:G, 'STOCK IN  TRANSFER'!E:E, B657, 'STOCK IN  TRANSFER'!F:F, "STOCK IN") + SUMIFS('STOCK IN  TRANSFER'!G:G, 'STOCK IN  TRANSFER'!E:E, B657, 'STOCK IN  TRANSFER'!F:F, "ADJUSTMENT (+)") - SUMIFS('STOCK IN  TRANSFER'!G:G, 'STOCK IN  TRANSFER'!E:E, B657, 'STOCK IN  TRANSFER'!F:F, "ADJUSTMENT (-)") - SUMIFS('STOCK IN  TRANSFER'!G:G, 'STOCK IN  TRANSFER'!E:E, B657, 'STOCK IN  TRANSFER'!F:F, "STOCK TRANSFER") - SUMIFS(SALES!H:H, SALES!E:E, B657)</f>
        <v>0</v>
      </c>
      <c r="F657" s="28"/>
    </row>
    <row r="658" ht="22.5" customHeight="1">
      <c r="A658" s="72"/>
      <c r="B658" s="72"/>
      <c r="C658" s="72"/>
      <c r="D658" s="72"/>
      <c r="E658" s="28">
        <f>SUMIFS('STOCK IN  TRANSFER'!G:G, 'STOCK IN  TRANSFER'!E:E, B658, 'STOCK IN  TRANSFER'!F:F, "STOCK IN") + SUMIFS('STOCK IN  TRANSFER'!G:G, 'STOCK IN  TRANSFER'!E:E, B658, 'STOCK IN  TRANSFER'!F:F, "ADJUSTMENT (+)") - SUMIFS('STOCK IN  TRANSFER'!G:G, 'STOCK IN  TRANSFER'!E:E, B658, 'STOCK IN  TRANSFER'!F:F, "ADJUSTMENT (-)") - SUMIFS('STOCK IN  TRANSFER'!G:G, 'STOCK IN  TRANSFER'!E:E, B658, 'STOCK IN  TRANSFER'!F:F, "STOCK TRANSFER") - SUMIFS(SALES!H:H, SALES!E:E, B658)</f>
        <v>0</v>
      </c>
      <c r="F658" s="28"/>
    </row>
    <row r="659" ht="22.5" customHeight="1">
      <c r="A659" s="72"/>
      <c r="B659" s="72"/>
      <c r="C659" s="72"/>
      <c r="D659" s="72"/>
      <c r="E659" s="28">
        <f>SUMIFS('STOCK IN  TRANSFER'!G:G, 'STOCK IN  TRANSFER'!E:E, B659, 'STOCK IN  TRANSFER'!F:F, "STOCK IN") + SUMIFS('STOCK IN  TRANSFER'!G:G, 'STOCK IN  TRANSFER'!E:E, B659, 'STOCK IN  TRANSFER'!F:F, "ADJUSTMENT (+)") - SUMIFS('STOCK IN  TRANSFER'!G:G, 'STOCK IN  TRANSFER'!E:E, B659, 'STOCK IN  TRANSFER'!F:F, "ADJUSTMENT (-)") - SUMIFS('STOCK IN  TRANSFER'!G:G, 'STOCK IN  TRANSFER'!E:E, B659, 'STOCK IN  TRANSFER'!F:F, "STOCK TRANSFER") - SUMIFS(SALES!H:H, SALES!E:E, B659)</f>
        <v>0</v>
      </c>
      <c r="F659" s="28"/>
    </row>
    <row r="660" ht="22.5" customHeight="1">
      <c r="A660" s="72"/>
      <c r="B660" s="72"/>
      <c r="C660" s="72"/>
      <c r="D660" s="72"/>
      <c r="E660" s="28">
        <f>SUMIFS('STOCK IN  TRANSFER'!G:G, 'STOCK IN  TRANSFER'!E:E, B660, 'STOCK IN  TRANSFER'!F:F, "STOCK IN") + SUMIFS('STOCK IN  TRANSFER'!G:G, 'STOCK IN  TRANSFER'!E:E, B660, 'STOCK IN  TRANSFER'!F:F, "ADJUSTMENT (+)") - SUMIFS('STOCK IN  TRANSFER'!G:G, 'STOCK IN  TRANSFER'!E:E, B660, 'STOCK IN  TRANSFER'!F:F, "ADJUSTMENT (-)") - SUMIFS('STOCK IN  TRANSFER'!G:G, 'STOCK IN  TRANSFER'!E:E, B660, 'STOCK IN  TRANSFER'!F:F, "STOCK TRANSFER") - SUMIFS(SALES!H:H, SALES!E:E, B660)</f>
        <v>0</v>
      </c>
      <c r="F660" s="28"/>
    </row>
    <row r="661" ht="22.5" customHeight="1">
      <c r="A661" s="72"/>
      <c r="B661" s="72"/>
      <c r="C661" s="72"/>
      <c r="D661" s="72"/>
      <c r="E661" s="28">
        <f>SUMIFS('STOCK IN  TRANSFER'!G:G, 'STOCK IN  TRANSFER'!E:E, B661, 'STOCK IN  TRANSFER'!F:F, "STOCK IN") + SUMIFS('STOCK IN  TRANSFER'!G:G, 'STOCK IN  TRANSFER'!E:E, B661, 'STOCK IN  TRANSFER'!F:F, "ADJUSTMENT (+)") - SUMIFS('STOCK IN  TRANSFER'!G:G, 'STOCK IN  TRANSFER'!E:E, B661, 'STOCK IN  TRANSFER'!F:F, "ADJUSTMENT (-)") - SUMIFS('STOCK IN  TRANSFER'!G:G, 'STOCK IN  TRANSFER'!E:E, B661, 'STOCK IN  TRANSFER'!F:F, "STOCK TRANSFER") - SUMIFS(SALES!H:H, SALES!E:E, B661)</f>
        <v>0</v>
      </c>
      <c r="F661" s="28"/>
    </row>
    <row r="662" ht="22.5" customHeight="1">
      <c r="A662" s="72"/>
      <c r="B662" s="72"/>
      <c r="C662" s="72"/>
      <c r="D662" s="72"/>
      <c r="E662" s="28">
        <f>SUMIFS('STOCK IN  TRANSFER'!G:G, 'STOCK IN  TRANSFER'!E:E, B662, 'STOCK IN  TRANSFER'!F:F, "STOCK IN") + SUMIFS('STOCK IN  TRANSFER'!G:G, 'STOCK IN  TRANSFER'!E:E, B662, 'STOCK IN  TRANSFER'!F:F, "ADJUSTMENT (+)") - SUMIFS('STOCK IN  TRANSFER'!G:G, 'STOCK IN  TRANSFER'!E:E, B662, 'STOCK IN  TRANSFER'!F:F, "ADJUSTMENT (-)") - SUMIFS('STOCK IN  TRANSFER'!G:G, 'STOCK IN  TRANSFER'!E:E, B662, 'STOCK IN  TRANSFER'!F:F, "STOCK TRANSFER") - SUMIFS(SALES!H:H, SALES!E:E, B662)</f>
        <v>0</v>
      </c>
      <c r="F662" s="28"/>
    </row>
    <row r="663" ht="22.5" customHeight="1">
      <c r="A663" s="72"/>
      <c r="B663" s="72"/>
      <c r="C663" s="72"/>
      <c r="D663" s="72"/>
      <c r="E663" s="28">
        <f>SUMIFS('STOCK IN  TRANSFER'!G:G, 'STOCK IN  TRANSFER'!E:E, B663, 'STOCK IN  TRANSFER'!F:F, "STOCK IN") + SUMIFS('STOCK IN  TRANSFER'!G:G, 'STOCK IN  TRANSFER'!E:E, B663, 'STOCK IN  TRANSFER'!F:F, "ADJUSTMENT (+)") - SUMIFS('STOCK IN  TRANSFER'!G:G, 'STOCK IN  TRANSFER'!E:E, B663, 'STOCK IN  TRANSFER'!F:F, "ADJUSTMENT (-)") - SUMIFS('STOCK IN  TRANSFER'!G:G, 'STOCK IN  TRANSFER'!E:E, B663, 'STOCK IN  TRANSFER'!F:F, "STOCK TRANSFER") - SUMIFS(SALES!H:H, SALES!E:E, B663)</f>
        <v>0</v>
      </c>
      <c r="F663" s="28"/>
    </row>
    <row r="664" ht="22.5" customHeight="1">
      <c r="A664" s="72"/>
      <c r="B664" s="72"/>
      <c r="C664" s="72"/>
      <c r="D664" s="72"/>
      <c r="E664" s="28">
        <f>SUMIFS('STOCK IN  TRANSFER'!G:G, 'STOCK IN  TRANSFER'!E:E, B664, 'STOCK IN  TRANSFER'!F:F, "STOCK IN") + SUMIFS('STOCK IN  TRANSFER'!G:G, 'STOCK IN  TRANSFER'!E:E, B664, 'STOCK IN  TRANSFER'!F:F, "ADJUSTMENT (+)") - SUMIFS('STOCK IN  TRANSFER'!G:G, 'STOCK IN  TRANSFER'!E:E, B664, 'STOCK IN  TRANSFER'!F:F, "ADJUSTMENT (-)") - SUMIFS('STOCK IN  TRANSFER'!G:G, 'STOCK IN  TRANSFER'!E:E, B664, 'STOCK IN  TRANSFER'!F:F, "STOCK TRANSFER") - SUMIFS(SALES!H:H, SALES!E:E, B664)</f>
        <v>0</v>
      </c>
      <c r="F664" s="28"/>
    </row>
    <row r="665" ht="22.5" customHeight="1">
      <c r="A665" s="72"/>
      <c r="B665" s="72"/>
      <c r="C665" s="72"/>
      <c r="D665" s="72"/>
      <c r="E665" s="28">
        <f>SUMIFS('STOCK IN  TRANSFER'!G:G, 'STOCK IN  TRANSFER'!E:E, B665, 'STOCK IN  TRANSFER'!F:F, "STOCK IN") + SUMIFS('STOCK IN  TRANSFER'!G:G, 'STOCK IN  TRANSFER'!E:E, B665, 'STOCK IN  TRANSFER'!F:F, "ADJUSTMENT (+)") - SUMIFS('STOCK IN  TRANSFER'!G:G, 'STOCK IN  TRANSFER'!E:E, B665, 'STOCK IN  TRANSFER'!F:F, "ADJUSTMENT (-)") - SUMIFS('STOCK IN  TRANSFER'!G:G, 'STOCK IN  TRANSFER'!E:E, B665, 'STOCK IN  TRANSFER'!F:F, "STOCK TRANSFER") - SUMIFS(SALES!H:H, SALES!E:E, B665)</f>
        <v>0</v>
      </c>
      <c r="F665" s="28"/>
    </row>
    <row r="666" ht="22.5" customHeight="1">
      <c r="A666" s="72"/>
      <c r="B666" s="72"/>
      <c r="C666" s="72"/>
      <c r="D666" s="72"/>
      <c r="E666" s="28">
        <f>SUMIFS('STOCK IN  TRANSFER'!G:G, 'STOCK IN  TRANSFER'!E:E, B666, 'STOCK IN  TRANSFER'!F:F, "STOCK IN") + SUMIFS('STOCK IN  TRANSFER'!G:G, 'STOCK IN  TRANSFER'!E:E, B666, 'STOCK IN  TRANSFER'!F:F, "ADJUSTMENT (+)") - SUMIFS('STOCK IN  TRANSFER'!G:G, 'STOCK IN  TRANSFER'!E:E, B666, 'STOCK IN  TRANSFER'!F:F, "ADJUSTMENT (-)") - SUMIFS('STOCK IN  TRANSFER'!G:G, 'STOCK IN  TRANSFER'!E:E, B666, 'STOCK IN  TRANSFER'!F:F, "STOCK TRANSFER") - SUMIFS(SALES!H:H, SALES!E:E, B666)</f>
        <v>0</v>
      </c>
      <c r="F666" s="28"/>
    </row>
    <row r="667" ht="22.5" customHeight="1">
      <c r="A667" s="72"/>
      <c r="B667" s="72"/>
      <c r="C667" s="72"/>
      <c r="D667" s="72"/>
      <c r="E667" s="28">
        <f>SUMIFS('STOCK IN  TRANSFER'!G:G, 'STOCK IN  TRANSFER'!E:E, B667, 'STOCK IN  TRANSFER'!F:F, "STOCK IN") + SUMIFS('STOCK IN  TRANSFER'!G:G, 'STOCK IN  TRANSFER'!E:E, B667, 'STOCK IN  TRANSFER'!F:F, "ADJUSTMENT (+)") - SUMIFS('STOCK IN  TRANSFER'!G:G, 'STOCK IN  TRANSFER'!E:E, B667, 'STOCK IN  TRANSFER'!F:F, "ADJUSTMENT (-)") - SUMIFS('STOCK IN  TRANSFER'!G:G, 'STOCK IN  TRANSFER'!E:E, B667, 'STOCK IN  TRANSFER'!F:F, "STOCK TRANSFER") - SUMIFS(SALES!H:H, SALES!E:E, B667)</f>
        <v>0</v>
      </c>
      <c r="F667" s="28"/>
    </row>
    <row r="668" ht="22.5" customHeight="1">
      <c r="A668" s="72"/>
      <c r="B668" s="72"/>
      <c r="C668" s="72"/>
      <c r="D668" s="72"/>
      <c r="E668" s="28">
        <f>SUMIFS('STOCK IN  TRANSFER'!G:G, 'STOCK IN  TRANSFER'!E:E, B668, 'STOCK IN  TRANSFER'!F:F, "STOCK IN") + SUMIFS('STOCK IN  TRANSFER'!G:G, 'STOCK IN  TRANSFER'!E:E, B668, 'STOCK IN  TRANSFER'!F:F, "ADJUSTMENT (+)") - SUMIFS('STOCK IN  TRANSFER'!G:G, 'STOCK IN  TRANSFER'!E:E, B668, 'STOCK IN  TRANSFER'!F:F, "ADJUSTMENT (-)") - SUMIFS('STOCK IN  TRANSFER'!G:G, 'STOCK IN  TRANSFER'!E:E, B668, 'STOCK IN  TRANSFER'!F:F, "STOCK TRANSFER") - SUMIFS(SALES!H:H, SALES!E:E, B668)</f>
        <v>0</v>
      </c>
      <c r="F668" s="28"/>
    </row>
    <row r="669" ht="22.5" customHeight="1">
      <c r="A669" s="72"/>
      <c r="B669" s="72"/>
      <c r="C669" s="72"/>
      <c r="D669" s="72"/>
      <c r="E669" s="28">
        <f>SUMIFS('STOCK IN  TRANSFER'!G:G, 'STOCK IN  TRANSFER'!E:E, B669, 'STOCK IN  TRANSFER'!F:F, "STOCK IN") + SUMIFS('STOCK IN  TRANSFER'!G:G, 'STOCK IN  TRANSFER'!E:E, B669, 'STOCK IN  TRANSFER'!F:F, "ADJUSTMENT (+)") - SUMIFS('STOCK IN  TRANSFER'!G:G, 'STOCK IN  TRANSFER'!E:E, B669, 'STOCK IN  TRANSFER'!F:F, "ADJUSTMENT (-)") - SUMIFS('STOCK IN  TRANSFER'!G:G, 'STOCK IN  TRANSFER'!E:E, B669, 'STOCK IN  TRANSFER'!F:F, "STOCK TRANSFER") - SUMIFS(SALES!H:H, SALES!E:E, B669)</f>
        <v>0</v>
      </c>
      <c r="F669" s="28"/>
    </row>
    <row r="670" ht="22.5" customHeight="1">
      <c r="A670" s="72"/>
      <c r="B670" s="72"/>
      <c r="C670" s="72"/>
      <c r="D670" s="72"/>
      <c r="E670" s="28">
        <f>SUMIFS('STOCK IN  TRANSFER'!G:G, 'STOCK IN  TRANSFER'!E:E, B670, 'STOCK IN  TRANSFER'!F:F, "STOCK IN") + SUMIFS('STOCK IN  TRANSFER'!G:G, 'STOCK IN  TRANSFER'!E:E, B670, 'STOCK IN  TRANSFER'!F:F, "ADJUSTMENT (+)") - SUMIFS('STOCK IN  TRANSFER'!G:G, 'STOCK IN  TRANSFER'!E:E, B670, 'STOCK IN  TRANSFER'!F:F, "ADJUSTMENT (-)") - SUMIFS('STOCK IN  TRANSFER'!G:G, 'STOCK IN  TRANSFER'!E:E, B670, 'STOCK IN  TRANSFER'!F:F, "STOCK TRANSFER") - SUMIFS(SALES!H:H, SALES!E:E, B670)</f>
        <v>0</v>
      </c>
      <c r="F670" s="28"/>
    </row>
    <row r="671" ht="22.5" customHeight="1">
      <c r="A671" s="72"/>
      <c r="B671" s="72"/>
      <c r="C671" s="72"/>
      <c r="D671" s="72"/>
      <c r="E671" s="28">
        <f>SUMIFS('STOCK IN  TRANSFER'!G:G, 'STOCK IN  TRANSFER'!E:E, B671, 'STOCK IN  TRANSFER'!F:F, "STOCK IN") + SUMIFS('STOCK IN  TRANSFER'!G:G, 'STOCK IN  TRANSFER'!E:E, B671, 'STOCK IN  TRANSFER'!F:F, "ADJUSTMENT (+)") - SUMIFS('STOCK IN  TRANSFER'!G:G, 'STOCK IN  TRANSFER'!E:E, B671, 'STOCK IN  TRANSFER'!F:F, "ADJUSTMENT (-)") - SUMIFS('STOCK IN  TRANSFER'!G:G, 'STOCK IN  TRANSFER'!E:E, B671, 'STOCK IN  TRANSFER'!F:F, "STOCK TRANSFER") - SUMIFS(SALES!H:H, SALES!E:E, B671)</f>
        <v>0</v>
      </c>
      <c r="F671" s="28"/>
    </row>
    <row r="672" ht="22.5" customHeight="1">
      <c r="A672" s="72"/>
      <c r="B672" s="72"/>
      <c r="C672" s="72"/>
      <c r="D672" s="72"/>
      <c r="E672" s="28">
        <f>SUMIFS('STOCK IN  TRANSFER'!G:G, 'STOCK IN  TRANSFER'!E:E, B672, 'STOCK IN  TRANSFER'!F:F, "STOCK IN") + SUMIFS('STOCK IN  TRANSFER'!G:G, 'STOCK IN  TRANSFER'!E:E, B672, 'STOCK IN  TRANSFER'!F:F, "ADJUSTMENT (+)") - SUMIFS('STOCK IN  TRANSFER'!G:G, 'STOCK IN  TRANSFER'!E:E, B672, 'STOCK IN  TRANSFER'!F:F, "ADJUSTMENT (-)") - SUMIFS('STOCK IN  TRANSFER'!G:G, 'STOCK IN  TRANSFER'!E:E, B672, 'STOCK IN  TRANSFER'!F:F, "STOCK TRANSFER") - SUMIFS(SALES!H:H, SALES!E:E, B672)</f>
        <v>0</v>
      </c>
      <c r="F672" s="28"/>
    </row>
    <row r="673" ht="22.5" customHeight="1">
      <c r="A673" s="72"/>
      <c r="B673" s="72"/>
      <c r="C673" s="72"/>
      <c r="D673" s="72"/>
      <c r="E673" s="28">
        <f>SUMIFS('STOCK IN  TRANSFER'!G:G, 'STOCK IN  TRANSFER'!E:E, B673, 'STOCK IN  TRANSFER'!F:F, "STOCK IN") + SUMIFS('STOCK IN  TRANSFER'!G:G, 'STOCK IN  TRANSFER'!E:E, B673, 'STOCK IN  TRANSFER'!F:F, "ADJUSTMENT (+)") - SUMIFS('STOCK IN  TRANSFER'!G:G, 'STOCK IN  TRANSFER'!E:E, B673, 'STOCK IN  TRANSFER'!F:F, "ADJUSTMENT (-)") - SUMIFS('STOCK IN  TRANSFER'!G:G, 'STOCK IN  TRANSFER'!E:E, B673, 'STOCK IN  TRANSFER'!F:F, "STOCK TRANSFER") - SUMIFS(SALES!H:H, SALES!E:E, B673)</f>
        <v>0</v>
      </c>
      <c r="F673" s="28"/>
    </row>
    <row r="674" ht="22.5" customHeight="1">
      <c r="A674" s="72"/>
      <c r="B674" s="72"/>
      <c r="C674" s="72"/>
      <c r="D674" s="72"/>
      <c r="E674" s="28">
        <f>SUMIFS('STOCK IN  TRANSFER'!G:G, 'STOCK IN  TRANSFER'!E:E, B674, 'STOCK IN  TRANSFER'!F:F, "STOCK IN") + SUMIFS('STOCK IN  TRANSFER'!G:G, 'STOCK IN  TRANSFER'!E:E, B674, 'STOCK IN  TRANSFER'!F:F, "ADJUSTMENT (+)") - SUMIFS('STOCK IN  TRANSFER'!G:G, 'STOCK IN  TRANSFER'!E:E, B674, 'STOCK IN  TRANSFER'!F:F, "ADJUSTMENT (-)") - SUMIFS('STOCK IN  TRANSFER'!G:G, 'STOCK IN  TRANSFER'!E:E, B674, 'STOCK IN  TRANSFER'!F:F, "STOCK TRANSFER") - SUMIFS(SALES!H:H, SALES!E:E, B674)</f>
        <v>0</v>
      </c>
      <c r="F674" s="28"/>
    </row>
    <row r="675" ht="22.5" customHeight="1">
      <c r="A675" s="72"/>
      <c r="B675" s="72"/>
      <c r="C675" s="72"/>
      <c r="D675" s="72"/>
      <c r="E675" s="28">
        <f>SUMIFS('STOCK IN  TRANSFER'!G:G, 'STOCK IN  TRANSFER'!E:E, B675, 'STOCK IN  TRANSFER'!F:F, "STOCK IN") + SUMIFS('STOCK IN  TRANSFER'!G:G, 'STOCK IN  TRANSFER'!E:E, B675, 'STOCK IN  TRANSFER'!F:F, "ADJUSTMENT (+)") - SUMIFS('STOCK IN  TRANSFER'!G:G, 'STOCK IN  TRANSFER'!E:E, B675, 'STOCK IN  TRANSFER'!F:F, "ADJUSTMENT (-)") - SUMIFS('STOCK IN  TRANSFER'!G:G, 'STOCK IN  TRANSFER'!E:E, B675, 'STOCK IN  TRANSFER'!F:F, "STOCK TRANSFER") - SUMIFS(SALES!H:H, SALES!E:E, B675)</f>
        <v>0</v>
      </c>
      <c r="F675" s="28"/>
    </row>
    <row r="676" ht="22.5" customHeight="1">
      <c r="A676" s="72"/>
      <c r="B676" s="72"/>
      <c r="C676" s="72"/>
      <c r="D676" s="72"/>
      <c r="E676" s="28">
        <f>SUMIFS('STOCK IN  TRANSFER'!G:G, 'STOCK IN  TRANSFER'!E:E, B676, 'STOCK IN  TRANSFER'!F:F, "STOCK IN") + SUMIFS('STOCK IN  TRANSFER'!G:G, 'STOCK IN  TRANSFER'!E:E, B676, 'STOCK IN  TRANSFER'!F:F, "ADJUSTMENT (+)") - SUMIFS('STOCK IN  TRANSFER'!G:G, 'STOCK IN  TRANSFER'!E:E, B676, 'STOCK IN  TRANSFER'!F:F, "ADJUSTMENT (-)") - SUMIFS('STOCK IN  TRANSFER'!G:G, 'STOCK IN  TRANSFER'!E:E, B676, 'STOCK IN  TRANSFER'!F:F, "STOCK TRANSFER") - SUMIFS(SALES!H:H, SALES!E:E, B676)</f>
        <v>0</v>
      </c>
      <c r="F676" s="28"/>
    </row>
    <row r="677" ht="22.5" customHeight="1">
      <c r="A677" s="72"/>
      <c r="B677" s="72"/>
      <c r="C677" s="72"/>
      <c r="D677" s="72"/>
      <c r="E677" s="28">
        <f>SUMIFS('STOCK IN  TRANSFER'!G:G, 'STOCK IN  TRANSFER'!E:E, B677, 'STOCK IN  TRANSFER'!F:F, "STOCK IN") + SUMIFS('STOCK IN  TRANSFER'!G:G, 'STOCK IN  TRANSFER'!E:E, B677, 'STOCK IN  TRANSFER'!F:F, "ADJUSTMENT (+)") - SUMIFS('STOCK IN  TRANSFER'!G:G, 'STOCK IN  TRANSFER'!E:E, B677, 'STOCK IN  TRANSFER'!F:F, "ADJUSTMENT (-)") - SUMIFS('STOCK IN  TRANSFER'!G:G, 'STOCK IN  TRANSFER'!E:E, B677, 'STOCK IN  TRANSFER'!F:F, "STOCK TRANSFER") - SUMIFS(SALES!H:H, SALES!E:E, B677)</f>
        <v>0</v>
      </c>
      <c r="F677" s="28"/>
    </row>
    <row r="678" ht="22.5" customHeight="1">
      <c r="A678" s="72"/>
      <c r="B678" s="72"/>
      <c r="C678" s="72"/>
      <c r="D678" s="72"/>
      <c r="E678" s="28">
        <f>SUMIFS('STOCK IN  TRANSFER'!G:G, 'STOCK IN  TRANSFER'!E:E, B678, 'STOCK IN  TRANSFER'!F:F, "STOCK IN") + SUMIFS('STOCK IN  TRANSFER'!G:G, 'STOCK IN  TRANSFER'!E:E, B678, 'STOCK IN  TRANSFER'!F:F, "ADJUSTMENT (+)") - SUMIFS('STOCK IN  TRANSFER'!G:G, 'STOCK IN  TRANSFER'!E:E, B678, 'STOCK IN  TRANSFER'!F:F, "ADJUSTMENT (-)") - SUMIFS('STOCK IN  TRANSFER'!G:G, 'STOCK IN  TRANSFER'!E:E, B678, 'STOCK IN  TRANSFER'!F:F, "STOCK TRANSFER") - SUMIFS(SALES!H:H, SALES!E:E, B678)</f>
        <v>0</v>
      </c>
      <c r="F678" s="28"/>
    </row>
    <row r="679" ht="22.5" customHeight="1">
      <c r="A679" s="72"/>
      <c r="B679" s="72"/>
      <c r="C679" s="72"/>
      <c r="D679" s="72"/>
      <c r="E679" s="28">
        <f>SUMIFS('STOCK IN  TRANSFER'!G:G, 'STOCK IN  TRANSFER'!E:E, B679, 'STOCK IN  TRANSFER'!F:F, "STOCK IN") + SUMIFS('STOCK IN  TRANSFER'!G:G, 'STOCK IN  TRANSFER'!E:E, B679, 'STOCK IN  TRANSFER'!F:F, "ADJUSTMENT (+)") - SUMIFS('STOCK IN  TRANSFER'!G:G, 'STOCK IN  TRANSFER'!E:E, B679, 'STOCK IN  TRANSFER'!F:F, "ADJUSTMENT (-)") - SUMIFS('STOCK IN  TRANSFER'!G:G, 'STOCK IN  TRANSFER'!E:E, B679, 'STOCK IN  TRANSFER'!F:F, "STOCK TRANSFER") - SUMIFS(SALES!H:H, SALES!E:E, B679)</f>
        <v>0</v>
      </c>
      <c r="F679" s="28"/>
    </row>
    <row r="680" ht="22.5" customHeight="1">
      <c r="A680" s="72"/>
      <c r="B680" s="72"/>
      <c r="C680" s="72"/>
      <c r="D680" s="72"/>
      <c r="E680" s="28">
        <f>SUMIFS('STOCK IN  TRANSFER'!G:G, 'STOCK IN  TRANSFER'!E:E, B680, 'STOCK IN  TRANSFER'!F:F, "STOCK IN") + SUMIFS('STOCK IN  TRANSFER'!G:G, 'STOCK IN  TRANSFER'!E:E, B680, 'STOCK IN  TRANSFER'!F:F, "ADJUSTMENT (+)") - SUMIFS('STOCK IN  TRANSFER'!G:G, 'STOCK IN  TRANSFER'!E:E, B680, 'STOCK IN  TRANSFER'!F:F, "ADJUSTMENT (-)") - SUMIFS('STOCK IN  TRANSFER'!G:G, 'STOCK IN  TRANSFER'!E:E, B680, 'STOCK IN  TRANSFER'!F:F, "STOCK TRANSFER") - SUMIFS(SALES!H:H, SALES!E:E, B680)</f>
        <v>0</v>
      </c>
      <c r="F680" s="28"/>
    </row>
    <row r="681" ht="22.5" customHeight="1">
      <c r="A681" s="72"/>
      <c r="B681" s="72"/>
      <c r="C681" s="72"/>
      <c r="D681" s="72"/>
      <c r="E681" s="28">
        <f>SUMIFS('STOCK IN  TRANSFER'!G:G, 'STOCK IN  TRANSFER'!E:E, B681, 'STOCK IN  TRANSFER'!F:F, "STOCK IN") + SUMIFS('STOCK IN  TRANSFER'!G:G, 'STOCK IN  TRANSFER'!E:E, B681, 'STOCK IN  TRANSFER'!F:F, "ADJUSTMENT (+)") - SUMIFS('STOCK IN  TRANSFER'!G:G, 'STOCK IN  TRANSFER'!E:E, B681, 'STOCK IN  TRANSFER'!F:F, "ADJUSTMENT (-)") - SUMIFS('STOCK IN  TRANSFER'!G:G, 'STOCK IN  TRANSFER'!E:E, B681, 'STOCK IN  TRANSFER'!F:F, "STOCK TRANSFER") - SUMIFS(SALES!H:H, SALES!E:E, B681)</f>
        <v>0</v>
      </c>
      <c r="F681" s="28"/>
    </row>
    <row r="682" ht="22.5" customHeight="1">
      <c r="A682" s="72"/>
      <c r="B682" s="72"/>
      <c r="C682" s="72"/>
      <c r="D682" s="72"/>
      <c r="E682" s="28">
        <f>SUMIFS('STOCK IN  TRANSFER'!G:G, 'STOCK IN  TRANSFER'!E:E, B682, 'STOCK IN  TRANSFER'!F:F, "STOCK IN") + SUMIFS('STOCK IN  TRANSFER'!G:G, 'STOCK IN  TRANSFER'!E:E, B682, 'STOCK IN  TRANSFER'!F:F, "ADJUSTMENT (+)") - SUMIFS('STOCK IN  TRANSFER'!G:G, 'STOCK IN  TRANSFER'!E:E, B682, 'STOCK IN  TRANSFER'!F:F, "ADJUSTMENT (-)") - SUMIFS('STOCK IN  TRANSFER'!G:G, 'STOCK IN  TRANSFER'!E:E, B682, 'STOCK IN  TRANSFER'!F:F, "STOCK TRANSFER") - SUMIFS(SALES!H:H, SALES!E:E, B682)</f>
        <v>0</v>
      </c>
      <c r="F682" s="28"/>
    </row>
    <row r="683" ht="22.5" customHeight="1">
      <c r="A683" s="72"/>
      <c r="B683" s="72"/>
      <c r="C683" s="72"/>
      <c r="D683" s="72"/>
      <c r="E683" s="28">
        <f>SUMIFS('STOCK IN  TRANSFER'!G:G, 'STOCK IN  TRANSFER'!E:E, B683, 'STOCK IN  TRANSFER'!F:F, "STOCK IN") + SUMIFS('STOCK IN  TRANSFER'!G:G, 'STOCK IN  TRANSFER'!E:E, B683, 'STOCK IN  TRANSFER'!F:F, "ADJUSTMENT (+)") - SUMIFS('STOCK IN  TRANSFER'!G:G, 'STOCK IN  TRANSFER'!E:E, B683, 'STOCK IN  TRANSFER'!F:F, "ADJUSTMENT (-)") - SUMIFS('STOCK IN  TRANSFER'!G:G, 'STOCK IN  TRANSFER'!E:E, B683, 'STOCK IN  TRANSFER'!F:F, "STOCK TRANSFER") - SUMIFS(SALES!H:H, SALES!E:E, B683)</f>
        <v>0</v>
      </c>
      <c r="F683" s="28"/>
    </row>
    <row r="684" ht="22.5" customHeight="1">
      <c r="A684" s="72"/>
      <c r="B684" s="72"/>
      <c r="C684" s="72"/>
      <c r="D684" s="72"/>
      <c r="E684" s="28">
        <f>SUMIFS('STOCK IN  TRANSFER'!G:G, 'STOCK IN  TRANSFER'!E:E, B684, 'STOCK IN  TRANSFER'!F:F, "STOCK IN") + SUMIFS('STOCK IN  TRANSFER'!G:G, 'STOCK IN  TRANSFER'!E:E, B684, 'STOCK IN  TRANSFER'!F:F, "ADJUSTMENT (+)") - SUMIFS('STOCK IN  TRANSFER'!G:G, 'STOCK IN  TRANSFER'!E:E, B684, 'STOCK IN  TRANSFER'!F:F, "ADJUSTMENT (-)") - SUMIFS('STOCK IN  TRANSFER'!G:G, 'STOCK IN  TRANSFER'!E:E, B684, 'STOCK IN  TRANSFER'!F:F, "STOCK TRANSFER") - SUMIFS(SALES!H:H, SALES!E:E, B684)</f>
        <v>0</v>
      </c>
      <c r="F684" s="28"/>
    </row>
    <row r="685" ht="22.5" customHeight="1">
      <c r="A685" s="72"/>
      <c r="B685" s="72"/>
      <c r="C685" s="72"/>
      <c r="D685" s="72"/>
      <c r="E685" s="28">
        <f>SUMIFS('STOCK IN  TRANSFER'!G:G, 'STOCK IN  TRANSFER'!E:E, B685, 'STOCK IN  TRANSFER'!F:F, "STOCK IN") + SUMIFS('STOCK IN  TRANSFER'!G:G, 'STOCK IN  TRANSFER'!E:E, B685, 'STOCK IN  TRANSFER'!F:F, "ADJUSTMENT (+)") - SUMIFS('STOCK IN  TRANSFER'!G:G, 'STOCK IN  TRANSFER'!E:E, B685, 'STOCK IN  TRANSFER'!F:F, "ADJUSTMENT (-)") - SUMIFS('STOCK IN  TRANSFER'!G:G, 'STOCK IN  TRANSFER'!E:E, B685, 'STOCK IN  TRANSFER'!F:F, "STOCK TRANSFER") - SUMIFS(SALES!H:H, SALES!E:E, B685)</f>
        <v>0</v>
      </c>
      <c r="F685" s="28"/>
    </row>
    <row r="686" ht="22.5" customHeight="1">
      <c r="A686" s="72"/>
      <c r="B686" s="72"/>
      <c r="C686" s="72"/>
      <c r="D686" s="72"/>
      <c r="E686" s="28">
        <f>SUMIFS('STOCK IN  TRANSFER'!G:G, 'STOCK IN  TRANSFER'!E:E, B686, 'STOCK IN  TRANSFER'!F:F, "STOCK IN") + SUMIFS('STOCK IN  TRANSFER'!G:G, 'STOCK IN  TRANSFER'!E:E, B686, 'STOCK IN  TRANSFER'!F:F, "ADJUSTMENT (+)") - SUMIFS('STOCK IN  TRANSFER'!G:G, 'STOCK IN  TRANSFER'!E:E, B686, 'STOCK IN  TRANSFER'!F:F, "ADJUSTMENT (-)") - SUMIFS('STOCK IN  TRANSFER'!G:G, 'STOCK IN  TRANSFER'!E:E, B686, 'STOCK IN  TRANSFER'!F:F, "STOCK TRANSFER") - SUMIFS(SALES!H:H, SALES!E:E, B686)</f>
        <v>0</v>
      </c>
      <c r="F686" s="28"/>
    </row>
    <row r="687" ht="22.5" customHeight="1">
      <c r="A687" s="72"/>
      <c r="B687" s="72"/>
      <c r="C687" s="72"/>
      <c r="D687" s="72"/>
      <c r="E687" s="28">
        <f>SUMIFS('STOCK IN  TRANSFER'!G:G, 'STOCK IN  TRANSFER'!E:E, B687, 'STOCK IN  TRANSFER'!F:F, "STOCK IN") + SUMIFS('STOCK IN  TRANSFER'!G:G, 'STOCK IN  TRANSFER'!E:E, B687, 'STOCK IN  TRANSFER'!F:F, "ADJUSTMENT (+)") - SUMIFS('STOCK IN  TRANSFER'!G:G, 'STOCK IN  TRANSFER'!E:E, B687, 'STOCK IN  TRANSFER'!F:F, "ADJUSTMENT (-)") - SUMIFS('STOCK IN  TRANSFER'!G:G, 'STOCK IN  TRANSFER'!E:E, B687, 'STOCK IN  TRANSFER'!F:F, "STOCK TRANSFER") - SUMIFS(SALES!H:H, SALES!E:E, B687)</f>
        <v>0</v>
      </c>
      <c r="F687" s="28"/>
    </row>
    <row r="688" ht="22.5" customHeight="1">
      <c r="A688" s="72"/>
      <c r="B688" s="72"/>
      <c r="C688" s="72"/>
      <c r="D688" s="72"/>
      <c r="E688" s="28">
        <f>SUMIFS('STOCK IN  TRANSFER'!G:G, 'STOCK IN  TRANSFER'!E:E, B688, 'STOCK IN  TRANSFER'!F:F, "STOCK IN") + SUMIFS('STOCK IN  TRANSFER'!G:G, 'STOCK IN  TRANSFER'!E:E, B688, 'STOCK IN  TRANSFER'!F:F, "ADJUSTMENT (+)") - SUMIFS('STOCK IN  TRANSFER'!G:G, 'STOCK IN  TRANSFER'!E:E, B688, 'STOCK IN  TRANSFER'!F:F, "ADJUSTMENT (-)") - SUMIFS('STOCK IN  TRANSFER'!G:G, 'STOCK IN  TRANSFER'!E:E, B688, 'STOCK IN  TRANSFER'!F:F, "STOCK TRANSFER") - SUMIFS(SALES!H:H, SALES!E:E, B688)</f>
        <v>0</v>
      </c>
      <c r="F688" s="28"/>
    </row>
    <row r="689" ht="22.5" customHeight="1">
      <c r="A689" s="72"/>
      <c r="B689" s="72"/>
      <c r="C689" s="72"/>
      <c r="D689" s="72"/>
      <c r="E689" s="28">
        <f>SUMIFS('STOCK IN  TRANSFER'!G:G, 'STOCK IN  TRANSFER'!E:E, B689, 'STOCK IN  TRANSFER'!F:F, "STOCK IN") + SUMIFS('STOCK IN  TRANSFER'!G:G, 'STOCK IN  TRANSFER'!E:E, B689, 'STOCK IN  TRANSFER'!F:F, "ADJUSTMENT (+)") - SUMIFS('STOCK IN  TRANSFER'!G:G, 'STOCK IN  TRANSFER'!E:E, B689, 'STOCK IN  TRANSFER'!F:F, "ADJUSTMENT (-)") - SUMIFS('STOCK IN  TRANSFER'!G:G, 'STOCK IN  TRANSFER'!E:E, B689, 'STOCK IN  TRANSFER'!F:F, "STOCK TRANSFER") - SUMIFS(SALES!H:H, SALES!E:E, B689)</f>
        <v>0</v>
      </c>
      <c r="F689" s="28"/>
    </row>
    <row r="690" ht="22.5" customHeight="1">
      <c r="A690" s="72"/>
      <c r="B690" s="72"/>
      <c r="C690" s="72"/>
      <c r="D690" s="72"/>
      <c r="E690" s="28">
        <f>SUMIFS('STOCK IN  TRANSFER'!G:G, 'STOCK IN  TRANSFER'!E:E, B690, 'STOCK IN  TRANSFER'!F:F, "STOCK IN") + SUMIFS('STOCK IN  TRANSFER'!G:G, 'STOCK IN  TRANSFER'!E:E, B690, 'STOCK IN  TRANSFER'!F:F, "ADJUSTMENT (+)") - SUMIFS('STOCK IN  TRANSFER'!G:G, 'STOCK IN  TRANSFER'!E:E, B690, 'STOCK IN  TRANSFER'!F:F, "ADJUSTMENT (-)") - SUMIFS('STOCK IN  TRANSFER'!G:G, 'STOCK IN  TRANSFER'!E:E, B690, 'STOCK IN  TRANSFER'!F:F, "STOCK TRANSFER") - SUMIFS(SALES!H:H, SALES!E:E, B690)</f>
        <v>0</v>
      </c>
      <c r="F690" s="28"/>
    </row>
    <row r="691" ht="22.5" customHeight="1">
      <c r="A691" s="72"/>
      <c r="B691" s="72"/>
      <c r="C691" s="72"/>
      <c r="D691" s="72"/>
      <c r="E691" s="28">
        <f>SUMIFS('STOCK IN  TRANSFER'!G:G, 'STOCK IN  TRANSFER'!E:E, B691, 'STOCK IN  TRANSFER'!F:F, "STOCK IN") + SUMIFS('STOCK IN  TRANSFER'!G:G, 'STOCK IN  TRANSFER'!E:E, B691, 'STOCK IN  TRANSFER'!F:F, "ADJUSTMENT (+)") - SUMIFS('STOCK IN  TRANSFER'!G:G, 'STOCK IN  TRANSFER'!E:E, B691, 'STOCK IN  TRANSFER'!F:F, "ADJUSTMENT (-)") - SUMIFS('STOCK IN  TRANSFER'!G:G, 'STOCK IN  TRANSFER'!E:E, B691, 'STOCK IN  TRANSFER'!F:F, "STOCK TRANSFER") - SUMIFS(SALES!H:H, SALES!E:E, B691)</f>
        <v>0</v>
      </c>
      <c r="F691" s="28"/>
    </row>
    <row r="692" ht="22.5" customHeight="1">
      <c r="A692" s="72"/>
      <c r="B692" s="72"/>
      <c r="C692" s="72"/>
      <c r="D692" s="72"/>
      <c r="E692" s="28">
        <f>SUMIFS('STOCK IN  TRANSFER'!G:G, 'STOCK IN  TRANSFER'!E:E, B692, 'STOCK IN  TRANSFER'!F:F, "STOCK IN") + SUMIFS('STOCK IN  TRANSFER'!G:G, 'STOCK IN  TRANSFER'!E:E, B692, 'STOCK IN  TRANSFER'!F:F, "ADJUSTMENT (+)") - SUMIFS('STOCK IN  TRANSFER'!G:G, 'STOCK IN  TRANSFER'!E:E, B692, 'STOCK IN  TRANSFER'!F:F, "ADJUSTMENT (-)") - SUMIFS('STOCK IN  TRANSFER'!G:G, 'STOCK IN  TRANSFER'!E:E, B692, 'STOCK IN  TRANSFER'!F:F, "STOCK TRANSFER") - SUMIFS(SALES!H:H, SALES!E:E, B692)</f>
        <v>0</v>
      </c>
      <c r="F692" s="28"/>
    </row>
    <row r="693" ht="22.5" customHeight="1">
      <c r="A693" s="72"/>
      <c r="B693" s="72"/>
      <c r="C693" s="72"/>
      <c r="D693" s="72"/>
      <c r="E693" s="28">
        <f>SUMIFS('STOCK IN  TRANSFER'!G:G, 'STOCK IN  TRANSFER'!E:E, B693, 'STOCK IN  TRANSFER'!F:F, "STOCK IN") + SUMIFS('STOCK IN  TRANSFER'!G:G, 'STOCK IN  TRANSFER'!E:E, B693, 'STOCK IN  TRANSFER'!F:F, "ADJUSTMENT (+)") - SUMIFS('STOCK IN  TRANSFER'!G:G, 'STOCK IN  TRANSFER'!E:E, B693, 'STOCK IN  TRANSFER'!F:F, "ADJUSTMENT (-)") - SUMIFS('STOCK IN  TRANSFER'!G:G, 'STOCK IN  TRANSFER'!E:E, B693, 'STOCK IN  TRANSFER'!F:F, "STOCK TRANSFER") - SUMIFS(SALES!H:H, SALES!E:E, B693)</f>
        <v>0</v>
      </c>
      <c r="F693" s="28"/>
    </row>
    <row r="694" ht="22.5" customHeight="1">
      <c r="A694" s="72"/>
      <c r="B694" s="72"/>
      <c r="C694" s="72"/>
      <c r="D694" s="72"/>
      <c r="E694" s="28">
        <f>SUMIFS('STOCK IN  TRANSFER'!G:G, 'STOCK IN  TRANSFER'!E:E, B694, 'STOCK IN  TRANSFER'!F:F, "STOCK IN") + SUMIFS('STOCK IN  TRANSFER'!G:G, 'STOCK IN  TRANSFER'!E:E, B694, 'STOCK IN  TRANSFER'!F:F, "ADJUSTMENT (+)") - SUMIFS('STOCK IN  TRANSFER'!G:G, 'STOCK IN  TRANSFER'!E:E, B694, 'STOCK IN  TRANSFER'!F:F, "ADJUSTMENT (-)") - SUMIFS('STOCK IN  TRANSFER'!G:G, 'STOCK IN  TRANSFER'!E:E, B694, 'STOCK IN  TRANSFER'!F:F, "STOCK TRANSFER") - SUMIFS(SALES!H:H, SALES!E:E, B694)</f>
        <v>0</v>
      </c>
      <c r="F694" s="28"/>
    </row>
    <row r="695" ht="22.5" customHeight="1">
      <c r="A695" s="72"/>
      <c r="B695" s="72"/>
      <c r="C695" s="72"/>
      <c r="D695" s="72"/>
      <c r="E695" s="28">
        <f>SUMIFS('STOCK IN  TRANSFER'!G:G, 'STOCK IN  TRANSFER'!E:E, B695, 'STOCK IN  TRANSFER'!F:F, "STOCK IN") + SUMIFS('STOCK IN  TRANSFER'!G:G, 'STOCK IN  TRANSFER'!E:E, B695, 'STOCK IN  TRANSFER'!F:F, "ADJUSTMENT (+)") - SUMIFS('STOCK IN  TRANSFER'!G:G, 'STOCK IN  TRANSFER'!E:E, B695, 'STOCK IN  TRANSFER'!F:F, "ADJUSTMENT (-)") - SUMIFS('STOCK IN  TRANSFER'!G:G, 'STOCK IN  TRANSFER'!E:E, B695, 'STOCK IN  TRANSFER'!F:F, "STOCK TRANSFER") - SUMIFS(SALES!H:H, SALES!E:E, B695)</f>
        <v>0</v>
      </c>
      <c r="F695" s="28"/>
    </row>
    <row r="696" ht="22.5" customHeight="1">
      <c r="A696" s="72"/>
      <c r="B696" s="72"/>
      <c r="C696" s="72"/>
      <c r="D696" s="72"/>
      <c r="E696" s="28">
        <f>SUMIFS('STOCK IN  TRANSFER'!G:G, 'STOCK IN  TRANSFER'!E:E, B696, 'STOCK IN  TRANSFER'!F:F, "STOCK IN") + SUMIFS('STOCK IN  TRANSFER'!G:G, 'STOCK IN  TRANSFER'!E:E, B696, 'STOCK IN  TRANSFER'!F:F, "ADJUSTMENT (+)") - SUMIFS('STOCK IN  TRANSFER'!G:G, 'STOCK IN  TRANSFER'!E:E, B696, 'STOCK IN  TRANSFER'!F:F, "ADJUSTMENT (-)") - SUMIFS('STOCK IN  TRANSFER'!G:G, 'STOCK IN  TRANSFER'!E:E, B696, 'STOCK IN  TRANSFER'!F:F, "STOCK TRANSFER") - SUMIFS(SALES!H:H, SALES!E:E, B696)</f>
        <v>0</v>
      </c>
      <c r="F696" s="28"/>
    </row>
    <row r="697" ht="22.5" customHeight="1">
      <c r="A697" s="72"/>
      <c r="B697" s="72"/>
      <c r="C697" s="72"/>
      <c r="D697" s="72"/>
      <c r="E697" s="28">
        <f>SUMIFS('STOCK IN  TRANSFER'!G:G, 'STOCK IN  TRANSFER'!E:E, B697, 'STOCK IN  TRANSFER'!F:F, "STOCK IN") + SUMIFS('STOCK IN  TRANSFER'!G:G, 'STOCK IN  TRANSFER'!E:E, B697, 'STOCK IN  TRANSFER'!F:F, "ADJUSTMENT (+)") - SUMIFS('STOCK IN  TRANSFER'!G:G, 'STOCK IN  TRANSFER'!E:E, B697, 'STOCK IN  TRANSFER'!F:F, "ADJUSTMENT (-)") - SUMIFS('STOCK IN  TRANSFER'!G:G, 'STOCK IN  TRANSFER'!E:E, B697, 'STOCK IN  TRANSFER'!F:F, "STOCK TRANSFER") - SUMIFS(SALES!H:H, SALES!E:E, B697)</f>
        <v>0</v>
      </c>
      <c r="F697" s="28"/>
    </row>
    <row r="698" ht="22.5" customHeight="1">
      <c r="A698" s="72"/>
      <c r="B698" s="72"/>
      <c r="C698" s="72"/>
      <c r="D698" s="72"/>
      <c r="E698" s="28">
        <f>SUMIFS('STOCK IN  TRANSFER'!G:G, 'STOCK IN  TRANSFER'!E:E, B698, 'STOCK IN  TRANSFER'!F:F, "STOCK IN") + SUMIFS('STOCK IN  TRANSFER'!G:G, 'STOCK IN  TRANSFER'!E:E, B698, 'STOCK IN  TRANSFER'!F:F, "ADJUSTMENT (+)") - SUMIFS('STOCK IN  TRANSFER'!G:G, 'STOCK IN  TRANSFER'!E:E, B698, 'STOCK IN  TRANSFER'!F:F, "ADJUSTMENT (-)") - SUMIFS('STOCK IN  TRANSFER'!G:G, 'STOCK IN  TRANSFER'!E:E, B698, 'STOCK IN  TRANSFER'!F:F, "STOCK TRANSFER") - SUMIFS(SALES!H:H, SALES!E:E, B698)</f>
        <v>0</v>
      </c>
      <c r="F698" s="28"/>
    </row>
    <row r="699" ht="22.5" customHeight="1">
      <c r="A699" s="72"/>
      <c r="B699" s="72"/>
      <c r="C699" s="72"/>
      <c r="D699" s="72"/>
      <c r="E699" s="28">
        <f>SUMIFS('STOCK IN  TRANSFER'!G:G, 'STOCK IN  TRANSFER'!E:E, B699, 'STOCK IN  TRANSFER'!F:F, "STOCK IN") + SUMIFS('STOCK IN  TRANSFER'!G:G, 'STOCK IN  TRANSFER'!E:E, B699, 'STOCK IN  TRANSFER'!F:F, "ADJUSTMENT (+)") - SUMIFS('STOCK IN  TRANSFER'!G:G, 'STOCK IN  TRANSFER'!E:E, B699, 'STOCK IN  TRANSFER'!F:F, "ADJUSTMENT (-)") - SUMIFS('STOCK IN  TRANSFER'!G:G, 'STOCK IN  TRANSFER'!E:E, B699, 'STOCK IN  TRANSFER'!F:F, "STOCK TRANSFER") - SUMIFS(SALES!H:H, SALES!E:E, B699)</f>
        <v>0</v>
      </c>
      <c r="F699" s="28"/>
    </row>
    <row r="700" ht="22.5" customHeight="1">
      <c r="A700" s="72"/>
      <c r="B700" s="72"/>
      <c r="C700" s="72"/>
      <c r="D700" s="72"/>
      <c r="E700" s="28">
        <f>SUMIFS('STOCK IN  TRANSFER'!G:G, 'STOCK IN  TRANSFER'!E:E, B700, 'STOCK IN  TRANSFER'!F:F, "STOCK IN") + SUMIFS('STOCK IN  TRANSFER'!G:G, 'STOCK IN  TRANSFER'!E:E, B700, 'STOCK IN  TRANSFER'!F:F, "ADJUSTMENT (+)") - SUMIFS('STOCK IN  TRANSFER'!G:G, 'STOCK IN  TRANSFER'!E:E, B700, 'STOCK IN  TRANSFER'!F:F, "ADJUSTMENT (-)") - SUMIFS('STOCK IN  TRANSFER'!G:G, 'STOCK IN  TRANSFER'!E:E, B700, 'STOCK IN  TRANSFER'!F:F, "STOCK TRANSFER") - SUMIFS(SALES!H:H, SALES!E:E, B700)</f>
        <v>0</v>
      </c>
      <c r="F700" s="28"/>
    </row>
    <row r="701" ht="22.5" customHeight="1">
      <c r="A701" s="72"/>
      <c r="B701" s="72"/>
      <c r="C701" s="72"/>
      <c r="D701" s="72"/>
      <c r="E701" s="28">
        <f>SUMIFS('STOCK IN  TRANSFER'!G:G, 'STOCK IN  TRANSFER'!E:E, B701, 'STOCK IN  TRANSFER'!F:F, "STOCK IN") + SUMIFS('STOCK IN  TRANSFER'!G:G, 'STOCK IN  TRANSFER'!E:E, B701, 'STOCK IN  TRANSFER'!F:F, "ADJUSTMENT (+)") - SUMIFS('STOCK IN  TRANSFER'!G:G, 'STOCK IN  TRANSFER'!E:E, B701, 'STOCK IN  TRANSFER'!F:F, "ADJUSTMENT (-)") - SUMIFS('STOCK IN  TRANSFER'!G:G, 'STOCK IN  TRANSFER'!E:E, B701, 'STOCK IN  TRANSFER'!F:F, "STOCK TRANSFER") - SUMIFS(SALES!H:H, SALES!E:E, B701)</f>
        <v>0</v>
      </c>
      <c r="F701" s="28"/>
    </row>
    <row r="702" ht="22.5" customHeight="1">
      <c r="A702" s="72"/>
      <c r="B702" s="72"/>
      <c r="C702" s="72"/>
      <c r="D702" s="72"/>
      <c r="E702" s="28">
        <f>SUMIFS('STOCK IN  TRANSFER'!G:G, 'STOCK IN  TRANSFER'!E:E, B702, 'STOCK IN  TRANSFER'!F:F, "STOCK IN") + SUMIFS('STOCK IN  TRANSFER'!G:G, 'STOCK IN  TRANSFER'!E:E, B702, 'STOCK IN  TRANSFER'!F:F, "ADJUSTMENT (+)") - SUMIFS('STOCK IN  TRANSFER'!G:G, 'STOCK IN  TRANSFER'!E:E, B702, 'STOCK IN  TRANSFER'!F:F, "ADJUSTMENT (-)") - SUMIFS('STOCK IN  TRANSFER'!G:G, 'STOCK IN  TRANSFER'!E:E, B702, 'STOCK IN  TRANSFER'!F:F, "STOCK TRANSFER") - SUMIFS(SALES!H:H, SALES!E:E, B702)</f>
        <v>0</v>
      </c>
      <c r="F702" s="28"/>
    </row>
    <row r="703" ht="22.5" customHeight="1">
      <c r="A703" s="72"/>
      <c r="B703" s="72"/>
      <c r="C703" s="72"/>
      <c r="D703" s="72"/>
      <c r="E703" s="28">
        <f>SUMIFS('STOCK IN  TRANSFER'!G:G, 'STOCK IN  TRANSFER'!E:E, B703, 'STOCK IN  TRANSFER'!F:F, "STOCK IN") + SUMIFS('STOCK IN  TRANSFER'!G:G, 'STOCK IN  TRANSFER'!E:E, B703, 'STOCK IN  TRANSFER'!F:F, "ADJUSTMENT (+)") - SUMIFS('STOCK IN  TRANSFER'!G:G, 'STOCK IN  TRANSFER'!E:E, B703, 'STOCK IN  TRANSFER'!F:F, "ADJUSTMENT (-)") - SUMIFS('STOCK IN  TRANSFER'!G:G, 'STOCK IN  TRANSFER'!E:E, B703, 'STOCK IN  TRANSFER'!F:F, "STOCK TRANSFER") - SUMIFS(SALES!H:H, SALES!E:E, B703)</f>
        <v>0</v>
      </c>
      <c r="F703" s="28"/>
    </row>
    <row r="704" ht="22.5" customHeight="1">
      <c r="A704" s="72"/>
      <c r="B704" s="72"/>
      <c r="C704" s="72"/>
      <c r="D704" s="72"/>
      <c r="E704" s="28">
        <f>SUMIFS('STOCK IN  TRANSFER'!G:G, 'STOCK IN  TRANSFER'!E:E, B704, 'STOCK IN  TRANSFER'!F:F, "STOCK IN") + SUMIFS('STOCK IN  TRANSFER'!G:G, 'STOCK IN  TRANSFER'!E:E, B704, 'STOCK IN  TRANSFER'!F:F, "ADJUSTMENT (+)") - SUMIFS('STOCK IN  TRANSFER'!G:G, 'STOCK IN  TRANSFER'!E:E, B704, 'STOCK IN  TRANSFER'!F:F, "ADJUSTMENT (-)") - SUMIFS('STOCK IN  TRANSFER'!G:G, 'STOCK IN  TRANSFER'!E:E, B704, 'STOCK IN  TRANSFER'!F:F, "STOCK TRANSFER") - SUMIFS(SALES!H:H, SALES!E:E, B704)</f>
        <v>0</v>
      </c>
      <c r="F704" s="28"/>
    </row>
    <row r="705" ht="22.5" customHeight="1">
      <c r="A705" s="72"/>
      <c r="B705" s="72"/>
      <c r="C705" s="72"/>
      <c r="D705" s="72"/>
      <c r="E705" s="28">
        <f>SUMIFS('STOCK IN  TRANSFER'!G:G, 'STOCK IN  TRANSFER'!E:E, B705, 'STOCK IN  TRANSFER'!F:F, "STOCK IN") + SUMIFS('STOCK IN  TRANSFER'!G:G, 'STOCK IN  TRANSFER'!E:E, B705, 'STOCK IN  TRANSFER'!F:F, "ADJUSTMENT (+)") - SUMIFS('STOCK IN  TRANSFER'!G:G, 'STOCK IN  TRANSFER'!E:E, B705, 'STOCK IN  TRANSFER'!F:F, "ADJUSTMENT (-)") - SUMIFS('STOCK IN  TRANSFER'!G:G, 'STOCK IN  TRANSFER'!E:E, B705, 'STOCK IN  TRANSFER'!F:F, "STOCK TRANSFER") - SUMIFS(SALES!H:H, SALES!E:E, B705)</f>
        <v>0</v>
      </c>
      <c r="F705" s="28"/>
    </row>
    <row r="706" ht="22.5" customHeight="1">
      <c r="A706" s="72"/>
      <c r="B706" s="72"/>
      <c r="C706" s="72"/>
      <c r="D706" s="72"/>
      <c r="E706" s="28">
        <f>SUMIFS('STOCK IN  TRANSFER'!G:G, 'STOCK IN  TRANSFER'!E:E, B706, 'STOCK IN  TRANSFER'!F:F, "STOCK IN") + SUMIFS('STOCK IN  TRANSFER'!G:G, 'STOCK IN  TRANSFER'!E:E, B706, 'STOCK IN  TRANSFER'!F:F, "ADJUSTMENT (+)") - SUMIFS('STOCK IN  TRANSFER'!G:G, 'STOCK IN  TRANSFER'!E:E, B706, 'STOCK IN  TRANSFER'!F:F, "ADJUSTMENT (-)") - SUMIFS('STOCK IN  TRANSFER'!G:G, 'STOCK IN  TRANSFER'!E:E, B706, 'STOCK IN  TRANSFER'!F:F, "STOCK TRANSFER") - SUMIFS(SALES!H:H, SALES!E:E, B706)</f>
        <v>0</v>
      </c>
      <c r="F706" s="28"/>
    </row>
    <row r="707" ht="22.5" customHeight="1">
      <c r="A707" s="72"/>
      <c r="B707" s="72"/>
      <c r="C707" s="72"/>
      <c r="D707" s="72"/>
      <c r="E707" s="28">
        <f>SUMIFS('STOCK IN  TRANSFER'!G:G, 'STOCK IN  TRANSFER'!E:E, B707, 'STOCK IN  TRANSFER'!F:F, "STOCK IN") + SUMIFS('STOCK IN  TRANSFER'!G:G, 'STOCK IN  TRANSFER'!E:E, B707, 'STOCK IN  TRANSFER'!F:F, "ADJUSTMENT (+)") - SUMIFS('STOCK IN  TRANSFER'!G:G, 'STOCK IN  TRANSFER'!E:E, B707, 'STOCK IN  TRANSFER'!F:F, "ADJUSTMENT (-)") - SUMIFS('STOCK IN  TRANSFER'!G:G, 'STOCK IN  TRANSFER'!E:E, B707, 'STOCK IN  TRANSFER'!F:F, "STOCK TRANSFER") - SUMIFS(SALES!H:H, SALES!E:E, B707)</f>
        <v>0</v>
      </c>
      <c r="F707" s="28"/>
    </row>
    <row r="708" ht="22.5" customHeight="1">
      <c r="A708" s="72"/>
      <c r="B708" s="72"/>
      <c r="C708" s="72"/>
      <c r="D708" s="72"/>
      <c r="E708" s="28">
        <f>SUMIFS('STOCK IN  TRANSFER'!G:G, 'STOCK IN  TRANSFER'!E:E, B708, 'STOCK IN  TRANSFER'!F:F, "STOCK IN") + SUMIFS('STOCK IN  TRANSFER'!G:G, 'STOCK IN  TRANSFER'!E:E, B708, 'STOCK IN  TRANSFER'!F:F, "ADJUSTMENT (+)") - SUMIFS('STOCK IN  TRANSFER'!G:G, 'STOCK IN  TRANSFER'!E:E, B708, 'STOCK IN  TRANSFER'!F:F, "ADJUSTMENT (-)") - SUMIFS('STOCK IN  TRANSFER'!G:G, 'STOCK IN  TRANSFER'!E:E, B708, 'STOCK IN  TRANSFER'!F:F, "STOCK TRANSFER") - SUMIFS(SALES!H:H, SALES!E:E, B708)</f>
        <v>0</v>
      </c>
      <c r="F708" s="28"/>
    </row>
    <row r="709" ht="22.5" customHeight="1">
      <c r="A709" s="72"/>
      <c r="B709" s="72"/>
      <c r="C709" s="72"/>
      <c r="D709" s="72"/>
      <c r="E709" s="28">
        <f>SUMIFS('STOCK IN  TRANSFER'!G:G, 'STOCK IN  TRANSFER'!E:E, B709, 'STOCK IN  TRANSFER'!F:F, "STOCK IN") + SUMIFS('STOCK IN  TRANSFER'!G:G, 'STOCK IN  TRANSFER'!E:E, B709, 'STOCK IN  TRANSFER'!F:F, "ADJUSTMENT (+)") - SUMIFS('STOCK IN  TRANSFER'!G:G, 'STOCK IN  TRANSFER'!E:E, B709, 'STOCK IN  TRANSFER'!F:F, "ADJUSTMENT (-)") - SUMIFS('STOCK IN  TRANSFER'!G:G, 'STOCK IN  TRANSFER'!E:E, B709, 'STOCK IN  TRANSFER'!F:F, "STOCK TRANSFER") - SUMIFS(SALES!H:H, SALES!E:E, B709)</f>
        <v>0</v>
      </c>
      <c r="F709" s="28"/>
    </row>
    <row r="710" ht="22.5" customHeight="1">
      <c r="A710" s="72"/>
      <c r="B710" s="72"/>
      <c r="C710" s="72"/>
      <c r="D710" s="72"/>
      <c r="E710" s="28">
        <f>SUMIFS('STOCK IN  TRANSFER'!G:G, 'STOCK IN  TRANSFER'!E:E, B710, 'STOCK IN  TRANSFER'!F:F, "STOCK IN") + SUMIFS('STOCK IN  TRANSFER'!G:G, 'STOCK IN  TRANSFER'!E:E, B710, 'STOCK IN  TRANSFER'!F:F, "ADJUSTMENT (+)") - SUMIFS('STOCK IN  TRANSFER'!G:G, 'STOCK IN  TRANSFER'!E:E, B710, 'STOCK IN  TRANSFER'!F:F, "ADJUSTMENT (-)") - SUMIFS('STOCK IN  TRANSFER'!G:G, 'STOCK IN  TRANSFER'!E:E, B710, 'STOCK IN  TRANSFER'!F:F, "STOCK TRANSFER") - SUMIFS(SALES!H:H, SALES!E:E, B710)</f>
        <v>0</v>
      </c>
      <c r="F710" s="28"/>
    </row>
    <row r="711" ht="22.5" customHeight="1">
      <c r="A711" s="72"/>
      <c r="B711" s="72"/>
      <c r="C711" s="72"/>
      <c r="D711" s="72"/>
      <c r="E711" s="28">
        <f>SUMIFS('STOCK IN  TRANSFER'!G:G, 'STOCK IN  TRANSFER'!E:E, B711, 'STOCK IN  TRANSFER'!F:F, "STOCK IN") + SUMIFS('STOCK IN  TRANSFER'!G:G, 'STOCK IN  TRANSFER'!E:E, B711, 'STOCK IN  TRANSFER'!F:F, "ADJUSTMENT (+)") - SUMIFS('STOCK IN  TRANSFER'!G:G, 'STOCK IN  TRANSFER'!E:E, B711, 'STOCK IN  TRANSFER'!F:F, "ADJUSTMENT (-)") - SUMIFS('STOCK IN  TRANSFER'!G:G, 'STOCK IN  TRANSFER'!E:E, B711, 'STOCK IN  TRANSFER'!F:F, "STOCK TRANSFER") - SUMIFS(SALES!H:H, SALES!E:E, B711)</f>
        <v>0</v>
      </c>
      <c r="F711" s="28"/>
    </row>
    <row r="712" ht="22.5" customHeight="1">
      <c r="A712" s="72"/>
      <c r="B712" s="72"/>
      <c r="C712" s="72"/>
      <c r="D712" s="72"/>
      <c r="E712" s="28">
        <f>SUMIFS('STOCK IN  TRANSFER'!G:G, 'STOCK IN  TRANSFER'!E:E, B712, 'STOCK IN  TRANSFER'!F:F, "STOCK IN") + SUMIFS('STOCK IN  TRANSFER'!G:G, 'STOCK IN  TRANSFER'!E:E, B712, 'STOCK IN  TRANSFER'!F:F, "ADJUSTMENT (+)") - SUMIFS('STOCK IN  TRANSFER'!G:G, 'STOCK IN  TRANSFER'!E:E, B712, 'STOCK IN  TRANSFER'!F:F, "ADJUSTMENT (-)") - SUMIFS('STOCK IN  TRANSFER'!G:G, 'STOCK IN  TRANSFER'!E:E, B712, 'STOCK IN  TRANSFER'!F:F, "STOCK TRANSFER") - SUMIFS(SALES!H:H, SALES!E:E, B712)</f>
        <v>0</v>
      </c>
      <c r="F712" s="28"/>
    </row>
    <row r="713" ht="22.5" customHeight="1">
      <c r="A713" s="72"/>
      <c r="B713" s="72"/>
      <c r="C713" s="72"/>
      <c r="D713" s="72"/>
      <c r="E713" s="28">
        <f>SUMIFS('STOCK IN  TRANSFER'!G:G, 'STOCK IN  TRANSFER'!E:E, B713, 'STOCK IN  TRANSFER'!F:F, "STOCK IN") + SUMIFS('STOCK IN  TRANSFER'!G:G, 'STOCK IN  TRANSFER'!E:E, B713, 'STOCK IN  TRANSFER'!F:F, "ADJUSTMENT (+)") - SUMIFS('STOCK IN  TRANSFER'!G:G, 'STOCK IN  TRANSFER'!E:E, B713, 'STOCK IN  TRANSFER'!F:F, "ADJUSTMENT (-)") - SUMIFS('STOCK IN  TRANSFER'!G:G, 'STOCK IN  TRANSFER'!E:E, B713, 'STOCK IN  TRANSFER'!F:F, "STOCK TRANSFER") - SUMIFS(SALES!H:H, SALES!E:E, B713)</f>
        <v>0</v>
      </c>
      <c r="F713" s="28"/>
    </row>
    <row r="714" ht="22.5" customHeight="1">
      <c r="A714" s="72"/>
      <c r="B714" s="72"/>
      <c r="C714" s="72"/>
      <c r="D714" s="72"/>
      <c r="E714" s="28">
        <f>SUMIFS('STOCK IN  TRANSFER'!G:G, 'STOCK IN  TRANSFER'!E:E, B714, 'STOCK IN  TRANSFER'!F:F, "STOCK IN") + SUMIFS('STOCK IN  TRANSFER'!G:G, 'STOCK IN  TRANSFER'!E:E, B714, 'STOCK IN  TRANSFER'!F:F, "ADJUSTMENT (+)") - SUMIFS('STOCK IN  TRANSFER'!G:G, 'STOCK IN  TRANSFER'!E:E, B714, 'STOCK IN  TRANSFER'!F:F, "ADJUSTMENT (-)") - SUMIFS('STOCK IN  TRANSFER'!G:G, 'STOCK IN  TRANSFER'!E:E, B714, 'STOCK IN  TRANSFER'!F:F, "STOCK TRANSFER") - SUMIFS(SALES!H:H, SALES!E:E, B714)</f>
        <v>0</v>
      </c>
      <c r="F714" s="28"/>
    </row>
    <row r="715" ht="22.5" customHeight="1">
      <c r="A715" s="72"/>
      <c r="B715" s="72"/>
      <c r="C715" s="72"/>
      <c r="D715" s="72"/>
      <c r="E715" s="28">
        <f>SUMIFS('STOCK IN  TRANSFER'!G:G, 'STOCK IN  TRANSFER'!E:E, B715, 'STOCK IN  TRANSFER'!F:F, "STOCK IN") + SUMIFS('STOCK IN  TRANSFER'!G:G, 'STOCK IN  TRANSFER'!E:E, B715, 'STOCK IN  TRANSFER'!F:F, "ADJUSTMENT (+)") - SUMIFS('STOCK IN  TRANSFER'!G:G, 'STOCK IN  TRANSFER'!E:E, B715, 'STOCK IN  TRANSFER'!F:F, "ADJUSTMENT (-)") - SUMIFS('STOCK IN  TRANSFER'!G:G, 'STOCK IN  TRANSFER'!E:E, B715, 'STOCK IN  TRANSFER'!F:F, "STOCK TRANSFER") - SUMIFS(SALES!H:H, SALES!E:E, B715)</f>
        <v>0</v>
      </c>
      <c r="F715" s="28"/>
    </row>
    <row r="716" ht="22.5" customHeight="1">
      <c r="A716" s="72"/>
      <c r="B716" s="72"/>
      <c r="C716" s="72"/>
      <c r="D716" s="72"/>
      <c r="E716" s="28">
        <f>SUMIFS('STOCK IN  TRANSFER'!G:G, 'STOCK IN  TRANSFER'!E:E, B716, 'STOCK IN  TRANSFER'!F:F, "STOCK IN") + SUMIFS('STOCK IN  TRANSFER'!G:G, 'STOCK IN  TRANSFER'!E:E, B716, 'STOCK IN  TRANSFER'!F:F, "ADJUSTMENT (+)") - SUMIFS('STOCK IN  TRANSFER'!G:G, 'STOCK IN  TRANSFER'!E:E, B716, 'STOCK IN  TRANSFER'!F:F, "ADJUSTMENT (-)") - SUMIFS('STOCK IN  TRANSFER'!G:G, 'STOCK IN  TRANSFER'!E:E, B716, 'STOCK IN  TRANSFER'!F:F, "STOCK TRANSFER") - SUMIFS(SALES!H:H, SALES!E:E, B716)</f>
        <v>0</v>
      </c>
      <c r="F716" s="28"/>
    </row>
    <row r="717" ht="22.5" customHeight="1">
      <c r="A717" s="72"/>
      <c r="B717" s="72"/>
      <c r="C717" s="72"/>
      <c r="D717" s="72"/>
      <c r="E717" s="28">
        <f>SUMIFS('STOCK IN  TRANSFER'!G:G, 'STOCK IN  TRANSFER'!E:E, B717, 'STOCK IN  TRANSFER'!F:F, "STOCK IN") + SUMIFS('STOCK IN  TRANSFER'!G:G, 'STOCK IN  TRANSFER'!E:E, B717, 'STOCK IN  TRANSFER'!F:F, "ADJUSTMENT (+)") - SUMIFS('STOCK IN  TRANSFER'!G:G, 'STOCK IN  TRANSFER'!E:E, B717, 'STOCK IN  TRANSFER'!F:F, "ADJUSTMENT (-)") - SUMIFS('STOCK IN  TRANSFER'!G:G, 'STOCK IN  TRANSFER'!E:E, B717, 'STOCK IN  TRANSFER'!F:F, "STOCK TRANSFER") - SUMIFS(SALES!H:H, SALES!E:E, B717)</f>
        <v>0</v>
      </c>
      <c r="F717" s="28"/>
    </row>
    <row r="718" ht="22.5" customHeight="1">
      <c r="A718" s="72"/>
      <c r="B718" s="72"/>
      <c r="C718" s="72"/>
      <c r="D718" s="72"/>
      <c r="E718" s="28">
        <f>SUMIFS('STOCK IN  TRANSFER'!G:G, 'STOCK IN  TRANSFER'!E:E, B718, 'STOCK IN  TRANSFER'!F:F, "STOCK IN") + SUMIFS('STOCK IN  TRANSFER'!G:G, 'STOCK IN  TRANSFER'!E:E, B718, 'STOCK IN  TRANSFER'!F:F, "ADJUSTMENT (+)") - SUMIFS('STOCK IN  TRANSFER'!G:G, 'STOCK IN  TRANSFER'!E:E, B718, 'STOCK IN  TRANSFER'!F:F, "ADJUSTMENT (-)") - SUMIFS('STOCK IN  TRANSFER'!G:G, 'STOCK IN  TRANSFER'!E:E, B718, 'STOCK IN  TRANSFER'!F:F, "STOCK TRANSFER") - SUMIFS(SALES!H:H, SALES!E:E, B718)</f>
        <v>0</v>
      </c>
      <c r="F718" s="13"/>
    </row>
    <row r="719" ht="22.5" customHeight="1">
      <c r="A719" s="72"/>
      <c r="B719" s="72"/>
      <c r="C719" s="72"/>
      <c r="D719" s="72"/>
      <c r="E719" s="28">
        <f>SUMIFS('STOCK IN  TRANSFER'!G:G, 'STOCK IN  TRANSFER'!E:E, B719, 'STOCK IN  TRANSFER'!F:F, "STOCK IN") + SUMIFS('STOCK IN  TRANSFER'!G:G, 'STOCK IN  TRANSFER'!E:E, B719, 'STOCK IN  TRANSFER'!F:F, "ADJUSTMENT (+)") - SUMIFS('STOCK IN  TRANSFER'!G:G, 'STOCK IN  TRANSFER'!E:E, B719, 'STOCK IN  TRANSFER'!F:F, "ADJUSTMENT (-)") - SUMIFS('STOCK IN  TRANSFER'!G:G, 'STOCK IN  TRANSFER'!E:E, B719, 'STOCK IN  TRANSFER'!F:F, "STOCK TRANSFER") - SUMIFS(SALES!H:H, SALES!E:E, B719)</f>
        <v>0</v>
      </c>
      <c r="F719" s="13"/>
    </row>
    <row r="720" ht="22.5" customHeight="1">
      <c r="A720" s="72"/>
      <c r="B720" s="72"/>
      <c r="C720" s="72"/>
      <c r="D720" s="72"/>
      <c r="E720" s="28">
        <f>SUMIFS('STOCK IN  TRANSFER'!G:G, 'STOCK IN  TRANSFER'!E:E, B720, 'STOCK IN  TRANSFER'!F:F, "STOCK IN") + SUMIFS('STOCK IN  TRANSFER'!G:G, 'STOCK IN  TRANSFER'!E:E, B720, 'STOCK IN  TRANSFER'!F:F, "ADJUSTMENT (+)") - SUMIFS('STOCK IN  TRANSFER'!G:G, 'STOCK IN  TRANSFER'!E:E, B720, 'STOCK IN  TRANSFER'!F:F, "ADJUSTMENT (-)") - SUMIFS('STOCK IN  TRANSFER'!G:G, 'STOCK IN  TRANSFER'!E:E, B720, 'STOCK IN  TRANSFER'!F:F, "STOCK TRANSFER") - SUMIFS(SALES!H:H, SALES!E:E, B720)</f>
        <v>0</v>
      </c>
      <c r="F720" s="28"/>
    </row>
    <row r="721" ht="22.5" customHeight="1">
      <c r="A721" s="72"/>
      <c r="B721" s="72"/>
      <c r="C721" s="72"/>
      <c r="D721" s="72"/>
      <c r="E721" s="28">
        <f>SUMIFS('STOCK IN  TRANSFER'!G:G, 'STOCK IN  TRANSFER'!E:E, B721, 'STOCK IN  TRANSFER'!F:F, "STOCK IN") + SUMIFS('STOCK IN  TRANSFER'!G:G, 'STOCK IN  TRANSFER'!E:E, B721, 'STOCK IN  TRANSFER'!F:F, "ADJUSTMENT (+)") - SUMIFS('STOCK IN  TRANSFER'!G:G, 'STOCK IN  TRANSFER'!E:E, B721, 'STOCK IN  TRANSFER'!F:F, "ADJUSTMENT (-)") - SUMIFS('STOCK IN  TRANSFER'!G:G, 'STOCK IN  TRANSFER'!E:E, B721, 'STOCK IN  TRANSFER'!F:F, "STOCK TRANSFER") - SUMIFS(SALES!H:H, SALES!E:E, B721)</f>
        <v>0</v>
      </c>
      <c r="F721" s="28"/>
    </row>
    <row r="722" ht="22.5" customHeight="1">
      <c r="A722" s="72"/>
      <c r="B722" s="72"/>
      <c r="C722" s="72"/>
      <c r="D722" s="72"/>
      <c r="E722" s="28">
        <f>SUMIFS('STOCK IN  TRANSFER'!G:G, 'STOCK IN  TRANSFER'!E:E, B722, 'STOCK IN  TRANSFER'!F:F, "STOCK IN") + SUMIFS('STOCK IN  TRANSFER'!G:G, 'STOCK IN  TRANSFER'!E:E, B722, 'STOCK IN  TRANSFER'!F:F, "ADJUSTMENT (+)") - SUMIFS('STOCK IN  TRANSFER'!G:G, 'STOCK IN  TRANSFER'!E:E, B722, 'STOCK IN  TRANSFER'!F:F, "ADJUSTMENT (-)") - SUMIFS('STOCK IN  TRANSFER'!G:G, 'STOCK IN  TRANSFER'!E:E, B722, 'STOCK IN  TRANSFER'!F:F, "STOCK TRANSFER") - SUMIFS(SALES!H:H, SALES!E:E, B722)</f>
        <v>0</v>
      </c>
      <c r="F722" s="28"/>
    </row>
    <row r="723" ht="22.5" customHeight="1">
      <c r="A723" s="72"/>
      <c r="B723" s="72"/>
      <c r="C723" s="72"/>
      <c r="D723" s="72"/>
      <c r="E723" s="28">
        <f>SUMIFS('STOCK IN  TRANSFER'!G:G, 'STOCK IN  TRANSFER'!E:E, B723, 'STOCK IN  TRANSFER'!F:F, "STOCK IN") + SUMIFS('STOCK IN  TRANSFER'!G:G, 'STOCK IN  TRANSFER'!E:E, B723, 'STOCK IN  TRANSFER'!F:F, "ADJUSTMENT (+)") - SUMIFS('STOCK IN  TRANSFER'!G:G, 'STOCK IN  TRANSFER'!E:E, B723, 'STOCK IN  TRANSFER'!F:F, "ADJUSTMENT (-)") - SUMIFS('STOCK IN  TRANSFER'!G:G, 'STOCK IN  TRANSFER'!E:E, B723, 'STOCK IN  TRANSFER'!F:F, "STOCK TRANSFER") - SUMIFS(SALES!H:H, SALES!E:E, B723)</f>
        <v>0</v>
      </c>
      <c r="F723" s="28"/>
    </row>
    <row r="724" ht="22.5" customHeight="1">
      <c r="A724" s="72"/>
      <c r="B724" s="72"/>
      <c r="C724" s="72"/>
      <c r="D724" s="72"/>
      <c r="E724" s="28">
        <f>SUMIFS('STOCK IN  TRANSFER'!G:G, 'STOCK IN  TRANSFER'!E:E, B724, 'STOCK IN  TRANSFER'!F:F, "STOCK IN") + SUMIFS('STOCK IN  TRANSFER'!G:G, 'STOCK IN  TRANSFER'!E:E, B724, 'STOCK IN  TRANSFER'!F:F, "ADJUSTMENT (+)") - SUMIFS('STOCK IN  TRANSFER'!G:G, 'STOCK IN  TRANSFER'!E:E, B724, 'STOCK IN  TRANSFER'!F:F, "ADJUSTMENT (-)") - SUMIFS('STOCK IN  TRANSFER'!G:G, 'STOCK IN  TRANSFER'!E:E, B724, 'STOCK IN  TRANSFER'!F:F, "STOCK TRANSFER") - SUMIFS(SALES!H:H, SALES!E:E, B724)</f>
        <v>0</v>
      </c>
      <c r="F724" s="28"/>
    </row>
    <row r="725" ht="22.5" customHeight="1">
      <c r="A725" s="72"/>
      <c r="B725" s="72"/>
      <c r="C725" s="72"/>
      <c r="D725" s="72"/>
      <c r="E725" s="28">
        <f>SUMIFS('STOCK IN  TRANSFER'!G:G, 'STOCK IN  TRANSFER'!E:E, B725, 'STOCK IN  TRANSFER'!F:F, "STOCK IN") + SUMIFS('STOCK IN  TRANSFER'!G:G, 'STOCK IN  TRANSFER'!E:E, B725, 'STOCK IN  TRANSFER'!F:F, "ADJUSTMENT (+)") - SUMIFS('STOCK IN  TRANSFER'!G:G, 'STOCK IN  TRANSFER'!E:E, B725, 'STOCK IN  TRANSFER'!F:F, "ADJUSTMENT (-)") - SUMIFS('STOCK IN  TRANSFER'!G:G, 'STOCK IN  TRANSFER'!E:E, B725, 'STOCK IN  TRANSFER'!F:F, "STOCK TRANSFER") - SUMIFS(SALES!H:H, SALES!E:E, B725)</f>
        <v>0</v>
      </c>
      <c r="F725" s="28"/>
    </row>
    <row r="726" ht="22.5" customHeight="1">
      <c r="A726" s="72"/>
      <c r="B726" s="72"/>
      <c r="C726" s="72"/>
      <c r="D726" s="72"/>
      <c r="E726" s="28">
        <f>SUMIFS('STOCK IN  TRANSFER'!G:G, 'STOCK IN  TRANSFER'!E:E, B726, 'STOCK IN  TRANSFER'!F:F, "STOCK IN") + SUMIFS('STOCK IN  TRANSFER'!G:G, 'STOCK IN  TRANSFER'!E:E, B726, 'STOCK IN  TRANSFER'!F:F, "ADJUSTMENT (+)") - SUMIFS('STOCK IN  TRANSFER'!G:G, 'STOCK IN  TRANSFER'!E:E, B726, 'STOCK IN  TRANSFER'!F:F, "ADJUSTMENT (-)") - SUMIFS('STOCK IN  TRANSFER'!G:G, 'STOCK IN  TRANSFER'!E:E, B726, 'STOCK IN  TRANSFER'!F:F, "STOCK TRANSFER") - SUMIFS(SALES!H:H, SALES!E:E, B726)</f>
        <v>0</v>
      </c>
      <c r="F726" s="28"/>
    </row>
    <row r="727" ht="22.5" customHeight="1">
      <c r="A727" s="72"/>
      <c r="B727" s="72"/>
      <c r="C727" s="72"/>
      <c r="D727" s="72"/>
      <c r="E727" s="28">
        <f>SUMIFS('STOCK IN  TRANSFER'!G:G, 'STOCK IN  TRANSFER'!E:E, B727, 'STOCK IN  TRANSFER'!F:F, "STOCK IN") + SUMIFS('STOCK IN  TRANSFER'!G:G, 'STOCK IN  TRANSFER'!E:E, B727, 'STOCK IN  TRANSFER'!F:F, "ADJUSTMENT (+)") - SUMIFS('STOCK IN  TRANSFER'!G:G, 'STOCK IN  TRANSFER'!E:E, B727, 'STOCK IN  TRANSFER'!F:F, "ADJUSTMENT (-)") - SUMIFS('STOCK IN  TRANSFER'!G:G, 'STOCK IN  TRANSFER'!E:E, B727, 'STOCK IN  TRANSFER'!F:F, "STOCK TRANSFER") - SUMIFS(SALES!H:H, SALES!E:E, B727)</f>
        <v>0</v>
      </c>
      <c r="F727" s="28"/>
    </row>
    <row r="728" ht="22.5" customHeight="1">
      <c r="A728" s="72"/>
      <c r="B728" s="72"/>
      <c r="C728" s="72"/>
      <c r="D728" s="72"/>
      <c r="E728" s="28">
        <f>SUMIFS('STOCK IN  TRANSFER'!G:G, 'STOCK IN  TRANSFER'!E:E, B728, 'STOCK IN  TRANSFER'!F:F, "STOCK IN") + SUMIFS('STOCK IN  TRANSFER'!G:G, 'STOCK IN  TRANSFER'!E:E, B728, 'STOCK IN  TRANSFER'!F:F, "ADJUSTMENT (+)") - SUMIFS('STOCK IN  TRANSFER'!G:G, 'STOCK IN  TRANSFER'!E:E, B728, 'STOCK IN  TRANSFER'!F:F, "ADJUSTMENT (-)") - SUMIFS('STOCK IN  TRANSFER'!G:G, 'STOCK IN  TRANSFER'!E:E, B728, 'STOCK IN  TRANSFER'!F:F, "STOCK TRANSFER") - SUMIFS(SALES!H:H, SALES!E:E, B728)</f>
        <v>0</v>
      </c>
      <c r="F728" s="28"/>
    </row>
    <row r="729" ht="22.5" customHeight="1">
      <c r="A729" s="72"/>
      <c r="B729" s="72"/>
      <c r="C729" s="72"/>
      <c r="D729" s="72"/>
      <c r="E729" s="28">
        <f>SUMIFS('STOCK IN  TRANSFER'!G:G, 'STOCK IN  TRANSFER'!E:E, B729, 'STOCK IN  TRANSFER'!F:F, "STOCK IN") + SUMIFS('STOCK IN  TRANSFER'!G:G, 'STOCK IN  TRANSFER'!E:E, B729, 'STOCK IN  TRANSFER'!F:F, "ADJUSTMENT (+)") - SUMIFS('STOCK IN  TRANSFER'!G:G, 'STOCK IN  TRANSFER'!E:E, B729, 'STOCK IN  TRANSFER'!F:F, "ADJUSTMENT (-)") - SUMIFS('STOCK IN  TRANSFER'!G:G, 'STOCK IN  TRANSFER'!E:E, B729, 'STOCK IN  TRANSFER'!F:F, "STOCK TRANSFER") - SUMIFS(SALES!H:H, SALES!E:E, B729)</f>
        <v>0</v>
      </c>
      <c r="F729" s="28"/>
    </row>
    <row r="730" ht="22.5" customHeight="1">
      <c r="A730" s="72"/>
      <c r="B730" s="72"/>
      <c r="C730" s="72"/>
      <c r="D730" s="72"/>
      <c r="E730" s="28">
        <f>SUMIFS('STOCK IN  TRANSFER'!G:G, 'STOCK IN  TRANSFER'!E:E, B730, 'STOCK IN  TRANSFER'!F:F, "STOCK IN") + SUMIFS('STOCK IN  TRANSFER'!G:G, 'STOCK IN  TRANSFER'!E:E, B730, 'STOCK IN  TRANSFER'!F:F, "ADJUSTMENT (+)") - SUMIFS('STOCK IN  TRANSFER'!G:G, 'STOCK IN  TRANSFER'!E:E, B730, 'STOCK IN  TRANSFER'!F:F, "ADJUSTMENT (-)") - SUMIFS('STOCK IN  TRANSFER'!G:G, 'STOCK IN  TRANSFER'!E:E, B730, 'STOCK IN  TRANSFER'!F:F, "STOCK TRANSFER") - SUMIFS(SALES!H:H, SALES!E:E, B730)</f>
        <v>0</v>
      </c>
      <c r="F730" s="28"/>
    </row>
    <row r="731" ht="22.5" customHeight="1">
      <c r="A731" s="72"/>
      <c r="B731" s="72"/>
      <c r="C731" s="72"/>
      <c r="D731" s="72"/>
      <c r="E731" s="28">
        <f>SUMIFS('STOCK IN  TRANSFER'!G:G, 'STOCK IN  TRANSFER'!E:E, B731, 'STOCK IN  TRANSFER'!F:F, "STOCK IN") + SUMIFS('STOCK IN  TRANSFER'!G:G, 'STOCK IN  TRANSFER'!E:E, B731, 'STOCK IN  TRANSFER'!F:F, "ADJUSTMENT (+)") - SUMIFS('STOCK IN  TRANSFER'!G:G, 'STOCK IN  TRANSFER'!E:E, B731, 'STOCK IN  TRANSFER'!F:F, "ADJUSTMENT (-)") - SUMIFS('STOCK IN  TRANSFER'!G:G, 'STOCK IN  TRANSFER'!E:E, B731, 'STOCK IN  TRANSFER'!F:F, "STOCK TRANSFER") - SUMIFS(SALES!H:H, SALES!E:E, B731)</f>
        <v>0</v>
      </c>
      <c r="F731" s="28"/>
    </row>
    <row r="732" ht="22.5" customHeight="1">
      <c r="A732" s="72"/>
      <c r="B732" s="72"/>
      <c r="C732" s="72"/>
      <c r="D732" s="72"/>
      <c r="E732" s="28">
        <f>SUMIFS('STOCK IN  TRANSFER'!G:G, 'STOCK IN  TRANSFER'!E:E, B732, 'STOCK IN  TRANSFER'!F:F, "STOCK IN") + SUMIFS('STOCK IN  TRANSFER'!G:G, 'STOCK IN  TRANSFER'!E:E, B732, 'STOCK IN  TRANSFER'!F:F, "ADJUSTMENT (+)") - SUMIFS('STOCK IN  TRANSFER'!G:G, 'STOCK IN  TRANSFER'!E:E, B732, 'STOCK IN  TRANSFER'!F:F, "ADJUSTMENT (-)") - SUMIFS('STOCK IN  TRANSFER'!G:G, 'STOCK IN  TRANSFER'!E:E, B732, 'STOCK IN  TRANSFER'!F:F, "STOCK TRANSFER") - SUMIFS(SALES!H:H, SALES!E:E, B732)</f>
        <v>0</v>
      </c>
      <c r="F732" s="28"/>
    </row>
    <row r="733" ht="22.5" customHeight="1">
      <c r="A733" s="72"/>
      <c r="B733" s="72"/>
      <c r="C733" s="72"/>
      <c r="D733" s="72"/>
      <c r="E733" s="28">
        <f>SUMIFS('STOCK IN  TRANSFER'!G:G, 'STOCK IN  TRANSFER'!E:E, B733, 'STOCK IN  TRANSFER'!F:F, "STOCK IN") + SUMIFS('STOCK IN  TRANSFER'!G:G, 'STOCK IN  TRANSFER'!E:E, B733, 'STOCK IN  TRANSFER'!F:F, "ADJUSTMENT (+)") - SUMIFS('STOCK IN  TRANSFER'!G:G, 'STOCK IN  TRANSFER'!E:E, B733, 'STOCK IN  TRANSFER'!F:F, "ADJUSTMENT (-)") - SUMIFS('STOCK IN  TRANSFER'!G:G, 'STOCK IN  TRANSFER'!E:E, B733, 'STOCK IN  TRANSFER'!F:F, "STOCK TRANSFER") - SUMIFS(SALES!H:H, SALES!E:E, B733)</f>
        <v>0</v>
      </c>
      <c r="F733" s="28"/>
    </row>
    <row r="734" ht="22.5" customHeight="1">
      <c r="A734" s="72"/>
      <c r="B734" s="72"/>
      <c r="C734" s="72"/>
      <c r="D734" s="72"/>
      <c r="E734" s="28">
        <f>SUMIFS('STOCK IN  TRANSFER'!G:G, 'STOCK IN  TRANSFER'!E:E, B734, 'STOCK IN  TRANSFER'!F:F, "STOCK IN") + SUMIFS('STOCK IN  TRANSFER'!G:G, 'STOCK IN  TRANSFER'!E:E, B734, 'STOCK IN  TRANSFER'!F:F, "ADJUSTMENT (+)") - SUMIFS('STOCK IN  TRANSFER'!G:G, 'STOCK IN  TRANSFER'!E:E, B734, 'STOCK IN  TRANSFER'!F:F, "ADJUSTMENT (-)") - SUMIFS('STOCK IN  TRANSFER'!G:G, 'STOCK IN  TRANSFER'!E:E, B734, 'STOCK IN  TRANSFER'!F:F, "STOCK TRANSFER") - SUMIFS(SALES!H:H, SALES!E:E, B734)</f>
        <v>0</v>
      </c>
      <c r="F734" s="28"/>
    </row>
    <row r="735" ht="22.5" customHeight="1">
      <c r="A735" s="72"/>
      <c r="B735" s="72"/>
      <c r="C735" s="72"/>
      <c r="D735" s="72"/>
      <c r="E735" s="28">
        <f>SUMIFS('STOCK IN  TRANSFER'!G:G, 'STOCK IN  TRANSFER'!E:E, B735, 'STOCK IN  TRANSFER'!F:F, "STOCK IN") + SUMIFS('STOCK IN  TRANSFER'!G:G, 'STOCK IN  TRANSFER'!E:E, B735, 'STOCK IN  TRANSFER'!F:F, "ADJUSTMENT (+)") - SUMIFS('STOCK IN  TRANSFER'!G:G, 'STOCK IN  TRANSFER'!E:E, B735, 'STOCK IN  TRANSFER'!F:F, "ADJUSTMENT (-)") - SUMIFS('STOCK IN  TRANSFER'!G:G, 'STOCK IN  TRANSFER'!E:E, B735, 'STOCK IN  TRANSFER'!F:F, "STOCK TRANSFER") - SUMIFS(SALES!H:H, SALES!E:E, B735)</f>
        <v>0</v>
      </c>
      <c r="F735" s="28"/>
    </row>
    <row r="736" ht="22.5" customHeight="1">
      <c r="A736" s="72"/>
      <c r="B736" s="72"/>
      <c r="C736" s="72"/>
      <c r="D736" s="72"/>
      <c r="E736" s="28">
        <f>SUMIFS('STOCK IN  TRANSFER'!G:G, 'STOCK IN  TRANSFER'!E:E, B736, 'STOCK IN  TRANSFER'!F:F, "STOCK IN") + SUMIFS('STOCK IN  TRANSFER'!G:G, 'STOCK IN  TRANSFER'!E:E, B736, 'STOCK IN  TRANSFER'!F:F, "ADJUSTMENT (+)") - SUMIFS('STOCK IN  TRANSFER'!G:G, 'STOCK IN  TRANSFER'!E:E, B736, 'STOCK IN  TRANSFER'!F:F, "ADJUSTMENT (-)") - SUMIFS('STOCK IN  TRANSFER'!G:G, 'STOCK IN  TRANSFER'!E:E, B736, 'STOCK IN  TRANSFER'!F:F, "STOCK TRANSFER") - SUMIFS(SALES!H:H, SALES!E:E, B736)</f>
        <v>0</v>
      </c>
      <c r="F736" s="28"/>
    </row>
    <row r="737" ht="22.5" customHeight="1">
      <c r="A737" s="72"/>
      <c r="B737" s="72"/>
      <c r="C737" s="72"/>
      <c r="D737" s="72"/>
      <c r="E737" s="28">
        <f>SUMIFS('STOCK IN  TRANSFER'!G:G, 'STOCK IN  TRANSFER'!E:E, B737, 'STOCK IN  TRANSFER'!F:F, "STOCK IN") + SUMIFS('STOCK IN  TRANSFER'!G:G, 'STOCK IN  TRANSFER'!E:E, B737, 'STOCK IN  TRANSFER'!F:F, "ADJUSTMENT (+)") - SUMIFS('STOCK IN  TRANSFER'!G:G, 'STOCK IN  TRANSFER'!E:E, B737, 'STOCK IN  TRANSFER'!F:F, "ADJUSTMENT (-)") - SUMIFS('STOCK IN  TRANSFER'!G:G, 'STOCK IN  TRANSFER'!E:E, B737, 'STOCK IN  TRANSFER'!F:F, "STOCK TRANSFER") - SUMIFS(SALES!H:H, SALES!E:E, B737)</f>
        <v>0</v>
      </c>
      <c r="F737" s="28"/>
    </row>
    <row r="738" ht="22.5" customHeight="1">
      <c r="A738" s="72"/>
      <c r="B738" s="72"/>
      <c r="C738" s="72"/>
      <c r="D738" s="72"/>
      <c r="E738" s="28">
        <f>SUMIFS('STOCK IN  TRANSFER'!G:G, 'STOCK IN  TRANSFER'!E:E, B738, 'STOCK IN  TRANSFER'!F:F, "STOCK IN") + SUMIFS('STOCK IN  TRANSFER'!G:G, 'STOCK IN  TRANSFER'!E:E, B738, 'STOCK IN  TRANSFER'!F:F, "ADJUSTMENT (+)") - SUMIFS('STOCK IN  TRANSFER'!G:G, 'STOCK IN  TRANSFER'!E:E, B738, 'STOCK IN  TRANSFER'!F:F, "ADJUSTMENT (-)") - SUMIFS('STOCK IN  TRANSFER'!G:G, 'STOCK IN  TRANSFER'!E:E, B738, 'STOCK IN  TRANSFER'!F:F, "STOCK TRANSFER") - SUMIFS(SALES!H:H, SALES!E:E, B738)</f>
        <v>0</v>
      </c>
      <c r="F738" s="28"/>
    </row>
    <row r="739" ht="22.5" customHeight="1">
      <c r="A739" s="72"/>
      <c r="B739" s="72"/>
      <c r="C739" s="72"/>
      <c r="D739" s="72"/>
      <c r="E739" s="28">
        <f>SUMIFS('STOCK IN  TRANSFER'!G:G, 'STOCK IN  TRANSFER'!E:E, B739, 'STOCK IN  TRANSFER'!F:F, "STOCK IN") + SUMIFS('STOCK IN  TRANSFER'!G:G, 'STOCK IN  TRANSFER'!E:E, B739, 'STOCK IN  TRANSFER'!F:F, "ADJUSTMENT (+)") - SUMIFS('STOCK IN  TRANSFER'!G:G, 'STOCK IN  TRANSFER'!E:E, B739, 'STOCK IN  TRANSFER'!F:F, "ADJUSTMENT (-)") - SUMIFS('STOCK IN  TRANSFER'!G:G, 'STOCK IN  TRANSFER'!E:E, B739, 'STOCK IN  TRANSFER'!F:F, "STOCK TRANSFER") - SUMIFS(SALES!H:H, SALES!E:E, B739)</f>
        <v>0</v>
      </c>
      <c r="F739" s="28"/>
    </row>
    <row r="740" ht="22.5" customHeight="1">
      <c r="A740" s="72"/>
      <c r="B740" s="72"/>
      <c r="C740" s="72"/>
      <c r="D740" s="72"/>
      <c r="E740" s="28">
        <f>SUMIFS('STOCK IN  TRANSFER'!G:G, 'STOCK IN  TRANSFER'!E:E, B740, 'STOCK IN  TRANSFER'!F:F, "STOCK IN") + SUMIFS('STOCK IN  TRANSFER'!G:G, 'STOCK IN  TRANSFER'!E:E, B740, 'STOCK IN  TRANSFER'!F:F, "ADJUSTMENT (+)") - SUMIFS('STOCK IN  TRANSFER'!G:G, 'STOCK IN  TRANSFER'!E:E, B740, 'STOCK IN  TRANSFER'!F:F, "ADJUSTMENT (-)") - SUMIFS('STOCK IN  TRANSFER'!G:G, 'STOCK IN  TRANSFER'!E:E, B740, 'STOCK IN  TRANSFER'!F:F, "STOCK TRANSFER") - SUMIFS(SALES!H:H, SALES!E:E, B740)</f>
        <v>0</v>
      </c>
      <c r="F740" s="28"/>
    </row>
    <row r="741" ht="22.5" customHeight="1">
      <c r="A741" s="72"/>
      <c r="B741" s="72"/>
      <c r="C741" s="72"/>
      <c r="D741" s="72"/>
      <c r="E741" s="28">
        <f>SUMIFS('STOCK IN  TRANSFER'!G:G, 'STOCK IN  TRANSFER'!E:E, B741, 'STOCK IN  TRANSFER'!F:F, "STOCK IN") + SUMIFS('STOCK IN  TRANSFER'!G:G, 'STOCK IN  TRANSFER'!E:E, B741, 'STOCK IN  TRANSFER'!F:F, "ADJUSTMENT (+)") - SUMIFS('STOCK IN  TRANSFER'!G:G, 'STOCK IN  TRANSFER'!E:E, B741, 'STOCK IN  TRANSFER'!F:F, "ADJUSTMENT (-)") - SUMIFS('STOCK IN  TRANSFER'!G:G, 'STOCK IN  TRANSFER'!E:E, B741, 'STOCK IN  TRANSFER'!F:F, "STOCK TRANSFER") - SUMIFS(SALES!H:H, SALES!E:E, B741)</f>
        <v>0</v>
      </c>
      <c r="F741" s="28"/>
    </row>
    <row r="742" ht="22.5" customHeight="1">
      <c r="A742" s="72"/>
      <c r="B742" s="72"/>
      <c r="C742" s="72"/>
      <c r="D742" s="72"/>
      <c r="E742" s="28">
        <f>SUMIFS('STOCK IN  TRANSFER'!G:G, 'STOCK IN  TRANSFER'!E:E, B742, 'STOCK IN  TRANSFER'!F:F, "STOCK IN") + SUMIFS('STOCK IN  TRANSFER'!G:G, 'STOCK IN  TRANSFER'!E:E, B742, 'STOCK IN  TRANSFER'!F:F, "ADJUSTMENT (+)") - SUMIFS('STOCK IN  TRANSFER'!G:G, 'STOCK IN  TRANSFER'!E:E, B742, 'STOCK IN  TRANSFER'!F:F, "ADJUSTMENT (-)") - SUMIFS('STOCK IN  TRANSFER'!G:G, 'STOCK IN  TRANSFER'!E:E, B742, 'STOCK IN  TRANSFER'!F:F, "STOCK TRANSFER") - SUMIFS(SALES!H:H, SALES!E:E, B742)</f>
        <v>0</v>
      </c>
      <c r="F742" s="28"/>
    </row>
    <row r="743" ht="22.5" customHeight="1">
      <c r="A743" s="72"/>
      <c r="B743" s="72"/>
      <c r="C743" s="72"/>
      <c r="D743" s="72"/>
      <c r="E743" s="28">
        <f>SUMIFS('STOCK IN  TRANSFER'!G:G, 'STOCK IN  TRANSFER'!E:E, B743, 'STOCK IN  TRANSFER'!F:F, "STOCK IN") + SUMIFS('STOCK IN  TRANSFER'!G:G, 'STOCK IN  TRANSFER'!E:E, B743, 'STOCK IN  TRANSFER'!F:F, "ADJUSTMENT (+)") - SUMIFS('STOCK IN  TRANSFER'!G:G, 'STOCK IN  TRANSFER'!E:E, B743, 'STOCK IN  TRANSFER'!F:F, "ADJUSTMENT (-)") - SUMIFS('STOCK IN  TRANSFER'!G:G, 'STOCK IN  TRANSFER'!E:E, B743, 'STOCK IN  TRANSFER'!F:F, "STOCK TRANSFER") - SUMIFS(SALES!H:H, SALES!E:E, B743)</f>
        <v>0</v>
      </c>
      <c r="F743" s="28"/>
    </row>
    <row r="744" ht="22.5" customHeight="1">
      <c r="A744" s="72"/>
      <c r="B744" s="72"/>
      <c r="C744" s="72"/>
      <c r="D744" s="72"/>
      <c r="E744" s="28">
        <f>SUMIFS('STOCK IN  TRANSFER'!G:G, 'STOCK IN  TRANSFER'!E:E, B744, 'STOCK IN  TRANSFER'!F:F, "STOCK IN") + SUMIFS('STOCK IN  TRANSFER'!G:G, 'STOCK IN  TRANSFER'!E:E, B744, 'STOCK IN  TRANSFER'!F:F, "ADJUSTMENT (+)") - SUMIFS('STOCK IN  TRANSFER'!G:G, 'STOCK IN  TRANSFER'!E:E, B744, 'STOCK IN  TRANSFER'!F:F, "ADJUSTMENT (-)") - SUMIFS('STOCK IN  TRANSFER'!G:G, 'STOCK IN  TRANSFER'!E:E, B744, 'STOCK IN  TRANSFER'!F:F, "STOCK TRANSFER") - SUMIFS(SALES!H:H, SALES!E:E, B744)</f>
        <v>0</v>
      </c>
      <c r="F744" s="28"/>
    </row>
    <row r="745" ht="22.5" customHeight="1">
      <c r="A745" s="72"/>
      <c r="B745" s="72"/>
      <c r="C745" s="72"/>
      <c r="D745" s="72"/>
      <c r="E745" s="28">
        <f>SUMIFS('STOCK IN  TRANSFER'!G:G, 'STOCK IN  TRANSFER'!E:E, B745, 'STOCK IN  TRANSFER'!F:F, "STOCK IN") + SUMIFS('STOCK IN  TRANSFER'!G:G, 'STOCK IN  TRANSFER'!E:E, B745, 'STOCK IN  TRANSFER'!F:F, "ADJUSTMENT (+)") - SUMIFS('STOCK IN  TRANSFER'!G:G, 'STOCK IN  TRANSFER'!E:E, B745, 'STOCK IN  TRANSFER'!F:F, "ADJUSTMENT (-)") - SUMIFS('STOCK IN  TRANSFER'!G:G, 'STOCK IN  TRANSFER'!E:E, B745, 'STOCK IN  TRANSFER'!F:F, "STOCK TRANSFER") - SUMIFS(SALES!H:H, SALES!E:E, B745)</f>
        <v>0</v>
      </c>
      <c r="F745" s="28"/>
    </row>
    <row r="746" ht="22.5" customHeight="1">
      <c r="A746" s="72"/>
      <c r="B746" s="72"/>
      <c r="C746" s="72"/>
      <c r="D746" s="72"/>
      <c r="E746" s="28">
        <f>SUMIFS('STOCK IN  TRANSFER'!G:G, 'STOCK IN  TRANSFER'!E:E, B746, 'STOCK IN  TRANSFER'!F:F, "STOCK IN") + SUMIFS('STOCK IN  TRANSFER'!G:G, 'STOCK IN  TRANSFER'!E:E, B746, 'STOCK IN  TRANSFER'!F:F, "ADJUSTMENT (+)") - SUMIFS('STOCK IN  TRANSFER'!G:G, 'STOCK IN  TRANSFER'!E:E, B746, 'STOCK IN  TRANSFER'!F:F, "ADJUSTMENT (-)") - SUMIFS('STOCK IN  TRANSFER'!G:G, 'STOCK IN  TRANSFER'!E:E, B746, 'STOCK IN  TRANSFER'!F:F, "STOCK TRANSFER") - SUMIFS(SALES!H:H, SALES!E:E, B746)</f>
        <v>0</v>
      </c>
      <c r="F746" s="28"/>
    </row>
    <row r="747" ht="22.5" customHeight="1">
      <c r="A747" s="72"/>
      <c r="B747" s="72"/>
      <c r="C747" s="72"/>
      <c r="D747" s="72"/>
      <c r="E747" s="28">
        <f>SUMIFS('STOCK IN  TRANSFER'!G:G, 'STOCK IN  TRANSFER'!E:E, B747, 'STOCK IN  TRANSFER'!F:F, "STOCK IN") + SUMIFS('STOCK IN  TRANSFER'!G:G, 'STOCK IN  TRANSFER'!E:E, B747, 'STOCK IN  TRANSFER'!F:F, "ADJUSTMENT (+)") - SUMIFS('STOCK IN  TRANSFER'!G:G, 'STOCK IN  TRANSFER'!E:E, B747, 'STOCK IN  TRANSFER'!F:F, "ADJUSTMENT (-)") - SUMIFS('STOCK IN  TRANSFER'!G:G, 'STOCK IN  TRANSFER'!E:E, B747, 'STOCK IN  TRANSFER'!F:F, "STOCK TRANSFER") - SUMIFS(SALES!H:H, SALES!E:E, B747)</f>
        <v>0</v>
      </c>
      <c r="F747" s="28"/>
    </row>
    <row r="748" ht="22.5" customHeight="1">
      <c r="A748" s="72"/>
      <c r="B748" s="72"/>
      <c r="C748" s="72"/>
      <c r="D748" s="72"/>
      <c r="E748" s="28">
        <f>SUMIFS('STOCK IN  TRANSFER'!G:G, 'STOCK IN  TRANSFER'!E:E, B748, 'STOCK IN  TRANSFER'!F:F, "STOCK IN") + SUMIFS('STOCK IN  TRANSFER'!G:G, 'STOCK IN  TRANSFER'!E:E, B748, 'STOCK IN  TRANSFER'!F:F, "ADJUSTMENT (+)") - SUMIFS('STOCK IN  TRANSFER'!G:G, 'STOCK IN  TRANSFER'!E:E, B748, 'STOCK IN  TRANSFER'!F:F, "ADJUSTMENT (-)") - SUMIFS('STOCK IN  TRANSFER'!G:G, 'STOCK IN  TRANSFER'!E:E, B748, 'STOCK IN  TRANSFER'!F:F, "STOCK TRANSFER") - SUMIFS(SALES!H:H, SALES!E:E, B748)</f>
        <v>0</v>
      </c>
      <c r="F748" s="28"/>
    </row>
    <row r="749" ht="22.5" customHeight="1">
      <c r="A749" s="72"/>
      <c r="B749" s="72"/>
      <c r="C749" s="72"/>
      <c r="D749" s="72"/>
      <c r="E749" s="28">
        <f>SUMIFS('STOCK IN  TRANSFER'!G:G, 'STOCK IN  TRANSFER'!E:E, B749, 'STOCK IN  TRANSFER'!F:F, "STOCK IN") + SUMIFS('STOCK IN  TRANSFER'!G:G, 'STOCK IN  TRANSFER'!E:E, B749, 'STOCK IN  TRANSFER'!F:F, "ADJUSTMENT (+)") - SUMIFS('STOCK IN  TRANSFER'!G:G, 'STOCK IN  TRANSFER'!E:E, B749, 'STOCK IN  TRANSFER'!F:F, "ADJUSTMENT (-)") - SUMIFS('STOCK IN  TRANSFER'!G:G, 'STOCK IN  TRANSFER'!E:E, B749, 'STOCK IN  TRANSFER'!F:F, "STOCK TRANSFER") - SUMIFS(SALES!H:H, SALES!E:E, B749)</f>
        <v>0</v>
      </c>
      <c r="F749" s="28"/>
    </row>
    <row r="750" ht="22.5" customHeight="1">
      <c r="A750" s="72"/>
      <c r="B750" s="72"/>
      <c r="C750" s="72"/>
      <c r="D750" s="72"/>
      <c r="E750" s="28">
        <f>SUMIFS('STOCK IN  TRANSFER'!G:G, 'STOCK IN  TRANSFER'!E:E, B750, 'STOCK IN  TRANSFER'!F:F, "STOCK IN") + SUMIFS('STOCK IN  TRANSFER'!G:G, 'STOCK IN  TRANSFER'!E:E, B750, 'STOCK IN  TRANSFER'!F:F, "ADJUSTMENT (+)") - SUMIFS('STOCK IN  TRANSFER'!G:G, 'STOCK IN  TRANSFER'!E:E, B750, 'STOCK IN  TRANSFER'!F:F, "ADJUSTMENT (-)") - SUMIFS('STOCK IN  TRANSFER'!G:G, 'STOCK IN  TRANSFER'!E:E, B750, 'STOCK IN  TRANSFER'!F:F, "STOCK TRANSFER") - SUMIFS(SALES!H:H, SALES!E:E, B750)</f>
        <v>0</v>
      </c>
      <c r="F750" s="28"/>
    </row>
    <row r="751" ht="22.5" customHeight="1">
      <c r="A751" s="72"/>
      <c r="B751" s="72"/>
      <c r="C751" s="72"/>
      <c r="D751" s="72"/>
      <c r="E751" s="28">
        <f>SUMIFS('STOCK IN  TRANSFER'!G:G, 'STOCK IN  TRANSFER'!E:E, B751, 'STOCK IN  TRANSFER'!F:F, "STOCK IN") + SUMIFS('STOCK IN  TRANSFER'!G:G, 'STOCK IN  TRANSFER'!E:E, B751, 'STOCK IN  TRANSFER'!F:F, "ADJUSTMENT (+)") - SUMIFS('STOCK IN  TRANSFER'!G:G, 'STOCK IN  TRANSFER'!E:E, B751, 'STOCK IN  TRANSFER'!F:F, "ADJUSTMENT (-)") - SUMIFS('STOCK IN  TRANSFER'!G:G, 'STOCK IN  TRANSFER'!E:E, B751, 'STOCK IN  TRANSFER'!F:F, "STOCK TRANSFER") - SUMIFS(SALES!H:H, SALES!E:E, B751)</f>
        <v>0</v>
      </c>
      <c r="F751" s="28"/>
    </row>
    <row r="752" ht="22.5" customHeight="1">
      <c r="A752" s="72"/>
      <c r="B752" s="72"/>
      <c r="C752" s="72"/>
      <c r="D752" s="72"/>
      <c r="E752" s="28">
        <f>SUMIFS('STOCK IN  TRANSFER'!G:G, 'STOCK IN  TRANSFER'!E:E, B752, 'STOCK IN  TRANSFER'!F:F, "STOCK IN") + SUMIFS('STOCK IN  TRANSFER'!G:G, 'STOCK IN  TRANSFER'!E:E, B752, 'STOCK IN  TRANSFER'!F:F, "ADJUSTMENT (+)") - SUMIFS('STOCK IN  TRANSFER'!G:G, 'STOCK IN  TRANSFER'!E:E, B752, 'STOCK IN  TRANSFER'!F:F, "ADJUSTMENT (-)") - SUMIFS('STOCK IN  TRANSFER'!G:G, 'STOCK IN  TRANSFER'!E:E, B752, 'STOCK IN  TRANSFER'!F:F, "STOCK TRANSFER") - SUMIFS(SALES!H:H, SALES!E:E, B752)</f>
        <v>0</v>
      </c>
      <c r="F752" s="28"/>
    </row>
    <row r="753" ht="22.5" customHeight="1">
      <c r="A753" s="72"/>
      <c r="B753" s="72"/>
      <c r="C753" s="72"/>
      <c r="D753" s="72"/>
      <c r="E753" s="28">
        <f>SUMIFS('STOCK IN  TRANSFER'!G:G, 'STOCK IN  TRANSFER'!E:E, B753, 'STOCK IN  TRANSFER'!F:F, "STOCK IN") + SUMIFS('STOCK IN  TRANSFER'!G:G, 'STOCK IN  TRANSFER'!E:E, B753, 'STOCK IN  TRANSFER'!F:F, "ADJUSTMENT (+)") - SUMIFS('STOCK IN  TRANSFER'!G:G, 'STOCK IN  TRANSFER'!E:E, B753, 'STOCK IN  TRANSFER'!F:F, "ADJUSTMENT (-)") - SUMIFS('STOCK IN  TRANSFER'!G:G, 'STOCK IN  TRANSFER'!E:E, B753, 'STOCK IN  TRANSFER'!F:F, "STOCK TRANSFER") - SUMIFS(SALES!H:H, SALES!E:E, B753)</f>
        <v>0</v>
      </c>
      <c r="F753" s="28"/>
    </row>
    <row r="754" ht="22.5" customHeight="1">
      <c r="A754" s="72"/>
      <c r="B754" s="72"/>
      <c r="C754" s="72"/>
      <c r="D754" s="72"/>
      <c r="E754" s="28">
        <f>SUMIFS('STOCK IN  TRANSFER'!G:G, 'STOCK IN  TRANSFER'!E:E, B754, 'STOCK IN  TRANSFER'!F:F, "STOCK IN") + SUMIFS('STOCK IN  TRANSFER'!G:G, 'STOCK IN  TRANSFER'!E:E, B754, 'STOCK IN  TRANSFER'!F:F, "ADJUSTMENT (+)") - SUMIFS('STOCK IN  TRANSFER'!G:G, 'STOCK IN  TRANSFER'!E:E, B754, 'STOCK IN  TRANSFER'!F:F, "ADJUSTMENT (-)") - SUMIFS('STOCK IN  TRANSFER'!G:G, 'STOCK IN  TRANSFER'!E:E, B754, 'STOCK IN  TRANSFER'!F:F, "STOCK TRANSFER") - SUMIFS(SALES!H:H, SALES!E:E, B754)</f>
        <v>0</v>
      </c>
      <c r="F754" s="28"/>
    </row>
    <row r="755" ht="22.5" customHeight="1">
      <c r="A755" s="72"/>
      <c r="B755" s="72"/>
      <c r="C755" s="72"/>
      <c r="D755" s="72"/>
      <c r="E755" s="28">
        <f>SUMIFS('STOCK IN  TRANSFER'!G:G, 'STOCK IN  TRANSFER'!E:E, B755, 'STOCK IN  TRANSFER'!F:F, "STOCK IN") + SUMIFS('STOCK IN  TRANSFER'!G:G, 'STOCK IN  TRANSFER'!E:E, B755, 'STOCK IN  TRANSFER'!F:F, "ADJUSTMENT (+)") - SUMIFS('STOCK IN  TRANSFER'!G:G, 'STOCK IN  TRANSFER'!E:E, B755, 'STOCK IN  TRANSFER'!F:F, "ADJUSTMENT (-)") - SUMIFS('STOCK IN  TRANSFER'!G:G, 'STOCK IN  TRANSFER'!E:E, B755, 'STOCK IN  TRANSFER'!F:F, "STOCK TRANSFER") - SUMIFS(SALES!H:H, SALES!E:E, B755)</f>
        <v>0</v>
      </c>
      <c r="F755" s="28"/>
    </row>
    <row r="756" ht="22.5" customHeight="1">
      <c r="A756" s="72"/>
      <c r="B756" s="72"/>
      <c r="C756" s="72"/>
      <c r="D756" s="72"/>
      <c r="E756" s="28">
        <f>SUMIFS('STOCK IN  TRANSFER'!G:G, 'STOCK IN  TRANSFER'!E:E, B756, 'STOCK IN  TRANSFER'!F:F, "STOCK IN") + SUMIFS('STOCK IN  TRANSFER'!G:G, 'STOCK IN  TRANSFER'!E:E, B756, 'STOCK IN  TRANSFER'!F:F, "ADJUSTMENT (+)") - SUMIFS('STOCK IN  TRANSFER'!G:G, 'STOCK IN  TRANSFER'!E:E, B756, 'STOCK IN  TRANSFER'!F:F, "ADJUSTMENT (-)") - SUMIFS('STOCK IN  TRANSFER'!G:G, 'STOCK IN  TRANSFER'!E:E, B756, 'STOCK IN  TRANSFER'!F:F, "STOCK TRANSFER") - SUMIFS(SALES!H:H, SALES!E:E, B756)</f>
        <v>0</v>
      </c>
      <c r="F756" s="28"/>
    </row>
    <row r="757" ht="22.5" customHeight="1">
      <c r="A757" s="13"/>
      <c r="B757" s="13"/>
      <c r="C757" s="16"/>
      <c r="D757" s="13"/>
      <c r="E757" s="28">
        <f>SUMIFS('STOCK IN  TRANSFER'!G:G, 'STOCK IN  TRANSFER'!E:E, B757, 'STOCK IN  TRANSFER'!F:F, "STOCK IN") + SUMIFS('STOCK IN  TRANSFER'!G:G, 'STOCK IN  TRANSFER'!E:E, B757, 'STOCK IN  TRANSFER'!F:F, "ADJUSTMENT (+)") - SUMIFS('STOCK IN  TRANSFER'!G:G, 'STOCK IN  TRANSFER'!E:E, B757, 'STOCK IN  TRANSFER'!F:F, "ADJUSTMENT (-)") - SUMIFS('STOCK IN  TRANSFER'!G:G, 'STOCK IN  TRANSFER'!E:E, B757, 'STOCK IN  TRANSFER'!F:F, "STOCK TRANSFER") - SUMIFS(SALES!H:H, SALES!E:E, B757)</f>
        <v>0</v>
      </c>
      <c r="F757" s="28"/>
    </row>
    <row r="758" ht="22.5" customHeight="1">
      <c r="A758" s="13"/>
      <c r="B758" s="13"/>
      <c r="C758" s="16"/>
      <c r="D758" s="13"/>
      <c r="E758" s="28">
        <f>SUMIFS('STOCK IN  TRANSFER'!G:G, 'STOCK IN  TRANSFER'!E:E, B758, 'STOCK IN  TRANSFER'!F:F, "STOCK IN") + SUMIFS('STOCK IN  TRANSFER'!G:G, 'STOCK IN  TRANSFER'!E:E, B758, 'STOCK IN  TRANSFER'!F:F, "ADJUSTMENT (+)") - SUMIFS('STOCK IN  TRANSFER'!G:G, 'STOCK IN  TRANSFER'!E:E, B758, 'STOCK IN  TRANSFER'!F:F, "ADJUSTMENT (-)") - SUMIFS('STOCK IN  TRANSFER'!G:G, 'STOCK IN  TRANSFER'!E:E, B758, 'STOCK IN  TRANSFER'!F:F, "STOCK TRANSFER") - SUMIFS(SALES!H:H, SALES!E:E, B758)</f>
        <v>0</v>
      </c>
      <c r="F758" s="28"/>
    </row>
    <row r="759" ht="22.5" customHeight="1">
      <c r="A759" s="13"/>
      <c r="B759" s="13"/>
      <c r="C759" s="16"/>
      <c r="D759" s="13"/>
      <c r="E759" s="28">
        <f>SUMIFS('STOCK IN  TRANSFER'!G:G, 'STOCK IN  TRANSFER'!E:E, B759, 'STOCK IN  TRANSFER'!F:F, "STOCK IN") + SUMIFS('STOCK IN  TRANSFER'!G:G, 'STOCK IN  TRANSFER'!E:E, B759, 'STOCK IN  TRANSFER'!F:F, "ADJUSTMENT (+)") - SUMIFS('STOCK IN  TRANSFER'!G:G, 'STOCK IN  TRANSFER'!E:E, B759, 'STOCK IN  TRANSFER'!F:F, "ADJUSTMENT (-)") - SUMIFS('STOCK IN  TRANSFER'!G:G, 'STOCK IN  TRANSFER'!E:E, B759, 'STOCK IN  TRANSFER'!F:F, "STOCK TRANSFER") - SUMIFS(SALES!H:H, SALES!E:E, B759)</f>
        <v>0</v>
      </c>
      <c r="F759" s="28"/>
    </row>
    <row r="760" ht="22.5" customHeight="1">
      <c r="A760" s="13"/>
      <c r="B760" s="13"/>
      <c r="C760" s="16"/>
      <c r="D760" s="13"/>
      <c r="E760" s="28">
        <f>SUMIFS('STOCK IN  TRANSFER'!G:G, 'STOCK IN  TRANSFER'!E:E, B760, 'STOCK IN  TRANSFER'!F:F, "STOCK IN") + SUMIFS('STOCK IN  TRANSFER'!G:G, 'STOCK IN  TRANSFER'!E:E, B760, 'STOCK IN  TRANSFER'!F:F, "ADJUSTMENT (+)") - SUMIFS('STOCK IN  TRANSFER'!G:G, 'STOCK IN  TRANSFER'!E:E, B760, 'STOCK IN  TRANSFER'!F:F, "ADJUSTMENT (-)") - SUMIFS('STOCK IN  TRANSFER'!G:G, 'STOCK IN  TRANSFER'!E:E, B760, 'STOCK IN  TRANSFER'!F:F, "STOCK TRANSFER") - SUMIFS(SALES!H:H, SALES!E:E, B760)</f>
        <v>0</v>
      </c>
      <c r="F760" s="28"/>
    </row>
    <row r="761" ht="22.5" customHeight="1">
      <c r="A761" s="13"/>
      <c r="B761" s="13"/>
      <c r="C761" s="16"/>
      <c r="D761" s="13"/>
      <c r="E761" s="28">
        <f>SUMIFS('STOCK IN  TRANSFER'!G:G, 'STOCK IN  TRANSFER'!E:E, B761, 'STOCK IN  TRANSFER'!F:F, "STOCK IN") + SUMIFS('STOCK IN  TRANSFER'!G:G, 'STOCK IN  TRANSFER'!E:E, B761, 'STOCK IN  TRANSFER'!F:F, "ADJUSTMENT (+)") - SUMIFS('STOCK IN  TRANSFER'!G:G, 'STOCK IN  TRANSFER'!E:E, B761, 'STOCK IN  TRANSFER'!F:F, "ADJUSTMENT (-)") - SUMIFS('STOCK IN  TRANSFER'!G:G, 'STOCK IN  TRANSFER'!E:E, B761, 'STOCK IN  TRANSFER'!F:F, "STOCK TRANSFER") - SUMIFS(SALES!H:H, SALES!E:E, B761)</f>
        <v>0</v>
      </c>
      <c r="F761" s="28"/>
    </row>
    <row r="762" ht="22.5" customHeight="1">
      <c r="A762" s="13"/>
      <c r="B762" s="13"/>
      <c r="C762" s="16"/>
      <c r="D762" s="13"/>
      <c r="E762" s="28">
        <f>SUMIFS('STOCK IN  TRANSFER'!G:G, 'STOCK IN  TRANSFER'!E:E, B762, 'STOCK IN  TRANSFER'!F:F, "STOCK IN") + SUMIFS('STOCK IN  TRANSFER'!G:G, 'STOCK IN  TRANSFER'!E:E, B762, 'STOCK IN  TRANSFER'!F:F, "ADJUSTMENT (+)") - SUMIFS('STOCK IN  TRANSFER'!G:G, 'STOCK IN  TRANSFER'!E:E, B762, 'STOCK IN  TRANSFER'!F:F, "ADJUSTMENT (-)") - SUMIFS('STOCK IN  TRANSFER'!G:G, 'STOCK IN  TRANSFER'!E:E, B762, 'STOCK IN  TRANSFER'!F:F, "STOCK TRANSFER") - SUMIFS(SALES!H:H, SALES!E:E, B762)</f>
        <v>0</v>
      </c>
      <c r="F762" s="28"/>
    </row>
    <row r="763" ht="22.5" customHeight="1">
      <c r="A763" s="13"/>
      <c r="B763" s="13"/>
      <c r="C763" s="16"/>
      <c r="D763" s="13"/>
      <c r="E763" s="28">
        <f>SUMIFS('STOCK IN  TRANSFER'!G:G, 'STOCK IN  TRANSFER'!E:E, B763, 'STOCK IN  TRANSFER'!F:F, "STOCK IN") + SUMIFS('STOCK IN  TRANSFER'!G:G, 'STOCK IN  TRANSFER'!E:E, B763, 'STOCK IN  TRANSFER'!F:F, "ADJUSTMENT (+)") - SUMIFS('STOCK IN  TRANSFER'!G:G, 'STOCK IN  TRANSFER'!E:E, B763, 'STOCK IN  TRANSFER'!F:F, "ADJUSTMENT (-)") - SUMIFS('STOCK IN  TRANSFER'!G:G, 'STOCK IN  TRANSFER'!E:E, B763, 'STOCK IN  TRANSFER'!F:F, "STOCK TRANSFER") - SUMIFS(SALES!H:H, SALES!E:E, B763)</f>
        <v>0</v>
      </c>
      <c r="F763" s="28"/>
    </row>
    <row r="764" ht="22.5" customHeight="1">
      <c r="A764" s="13"/>
      <c r="B764" s="13"/>
      <c r="C764" s="16"/>
      <c r="D764" s="13"/>
      <c r="E764" s="28">
        <f>SUMIFS('STOCK IN  TRANSFER'!G:G, 'STOCK IN  TRANSFER'!E:E, B764, 'STOCK IN  TRANSFER'!F:F, "STOCK IN") + SUMIFS('STOCK IN  TRANSFER'!G:G, 'STOCK IN  TRANSFER'!E:E, B764, 'STOCK IN  TRANSFER'!F:F, "ADJUSTMENT (+)") - SUMIFS('STOCK IN  TRANSFER'!G:G, 'STOCK IN  TRANSFER'!E:E, B764, 'STOCK IN  TRANSFER'!F:F, "ADJUSTMENT (-)") - SUMIFS('STOCK IN  TRANSFER'!G:G, 'STOCK IN  TRANSFER'!E:E, B764, 'STOCK IN  TRANSFER'!F:F, "STOCK TRANSFER") - SUMIFS(SALES!H:H, SALES!E:E, B764)</f>
        <v>0</v>
      </c>
      <c r="F764" s="28"/>
    </row>
    <row r="765" ht="22.5" customHeight="1">
      <c r="A765" s="13"/>
      <c r="B765" s="13"/>
      <c r="C765" s="16"/>
      <c r="D765" s="13"/>
      <c r="E765" s="28">
        <f>SUMIFS('STOCK IN  TRANSFER'!G:G, 'STOCK IN  TRANSFER'!E:E, B765, 'STOCK IN  TRANSFER'!F:F, "STOCK IN") + SUMIFS('STOCK IN  TRANSFER'!G:G, 'STOCK IN  TRANSFER'!E:E, B765, 'STOCK IN  TRANSFER'!F:F, "ADJUSTMENT (+)") - SUMIFS('STOCK IN  TRANSFER'!G:G, 'STOCK IN  TRANSFER'!E:E, B765, 'STOCK IN  TRANSFER'!F:F, "ADJUSTMENT (-)") - SUMIFS('STOCK IN  TRANSFER'!G:G, 'STOCK IN  TRANSFER'!E:E, B765, 'STOCK IN  TRANSFER'!F:F, "STOCK TRANSFER") - SUMIFS(SALES!H:H, SALES!E:E, B765)</f>
        <v>0</v>
      </c>
      <c r="F765" s="28"/>
    </row>
    <row r="766" ht="22.5" customHeight="1">
      <c r="A766" s="13"/>
      <c r="B766" s="13"/>
      <c r="C766" s="16"/>
      <c r="D766" s="13"/>
      <c r="E766" s="28">
        <f>SUMIFS('STOCK IN  TRANSFER'!G:G, 'STOCK IN  TRANSFER'!E:E, B766, 'STOCK IN  TRANSFER'!F:F, "STOCK IN") + SUMIFS('STOCK IN  TRANSFER'!G:G, 'STOCK IN  TRANSFER'!E:E, B766, 'STOCK IN  TRANSFER'!F:F, "ADJUSTMENT (+)") - SUMIFS('STOCK IN  TRANSFER'!G:G, 'STOCK IN  TRANSFER'!E:E, B766, 'STOCK IN  TRANSFER'!F:F, "ADJUSTMENT (-)") - SUMIFS('STOCK IN  TRANSFER'!G:G, 'STOCK IN  TRANSFER'!E:E, B766, 'STOCK IN  TRANSFER'!F:F, "STOCK TRANSFER") - SUMIFS(SALES!H:H, SALES!E:E, B766)</f>
        <v>0</v>
      </c>
      <c r="F766" s="28"/>
    </row>
    <row r="767" ht="22.5" customHeight="1">
      <c r="A767" s="13"/>
      <c r="B767" s="13"/>
      <c r="C767" s="16"/>
      <c r="D767" s="13"/>
      <c r="E767" s="28">
        <f>SUMIFS('STOCK IN  TRANSFER'!G:G, 'STOCK IN  TRANSFER'!E:E, B767, 'STOCK IN  TRANSFER'!F:F, "STOCK IN") + SUMIFS('STOCK IN  TRANSFER'!G:G, 'STOCK IN  TRANSFER'!E:E, B767, 'STOCK IN  TRANSFER'!F:F, "ADJUSTMENT (+)") - SUMIFS('STOCK IN  TRANSFER'!G:G, 'STOCK IN  TRANSFER'!E:E, B767, 'STOCK IN  TRANSFER'!F:F, "ADJUSTMENT (-)") - SUMIFS('STOCK IN  TRANSFER'!G:G, 'STOCK IN  TRANSFER'!E:E, B767, 'STOCK IN  TRANSFER'!F:F, "STOCK TRANSFER") - SUMIFS(SALES!H:H, SALES!E:E, B767)</f>
        <v>0</v>
      </c>
      <c r="F767" s="28"/>
    </row>
    <row r="768" ht="22.5" customHeight="1">
      <c r="A768" s="13"/>
      <c r="B768" s="13"/>
      <c r="C768" s="16"/>
      <c r="D768" s="13"/>
      <c r="E768" s="28">
        <f>SUMIFS('STOCK IN  TRANSFER'!G:G, 'STOCK IN  TRANSFER'!E:E, B768, 'STOCK IN  TRANSFER'!F:F, "STOCK IN") + SUMIFS('STOCK IN  TRANSFER'!G:G, 'STOCK IN  TRANSFER'!E:E, B768, 'STOCK IN  TRANSFER'!F:F, "ADJUSTMENT (+)") - SUMIFS('STOCK IN  TRANSFER'!G:G, 'STOCK IN  TRANSFER'!E:E, B768, 'STOCK IN  TRANSFER'!F:F, "ADJUSTMENT (-)") - SUMIFS('STOCK IN  TRANSFER'!G:G, 'STOCK IN  TRANSFER'!E:E, B768, 'STOCK IN  TRANSFER'!F:F, "STOCK TRANSFER") - SUMIFS(SALES!H:H, SALES!E:E, B768)</f>
        <v>0</v>
      </c>
      <c r="F768" s="28"/>
    </row>
    <row r="769" ht="22.5" customHeight="1">
      <c r="A769" s="13"/>
      <c r="B769" s="13"/>
      <c r="C769" s="16"/>
      <c r="D769" s="13"/>
      <c r="E769" s="28">
        <f>SUMIFS('STOCK IN  TRANSFER'!G:G, 'STOCK IN  TRANSFER'!E:E, B769, 'STOCK IN  TRANSFER'!F:F, "STOCK IN") + SUMIFS('STOCK IN  TRANSFER'!G:G, 'STOCK IN  TRANSFER'!E:E, B769, 'STOCK IN  TRANSFER'!F:F, "ADJUSTMENT (+)") - SUMIFS('STOCK IN  TRANSFER'!G:G, 'STOCK IN  TRANSFER'!E:E, B769, 'STOCK IN  TRANSFER'!F:F, "ADJUSTMENT (-)") - SUMIFS('STOCK IN  TRANSFER'!G:G, 'STOCK IN  TRANSFER'!E:E, B769, 'STOCK IN  TRANSFER'!F:F, "STOCK TRANSFER") - SUMIFS(SALES!H:H, SALES!E:E, B769)</f>
        <v>0</v>
      </c>
      <c r="F769" s="28"/>
    </row>
    <row r="770" ht="22.5" customHeight="1">
      <c r="A770" s="13"/>
      <c r="B770" s="13"/>
      <c r="C770" s="16"/>
      <c r="D770" s="13"/>
      <c r="E770" s="28">
        <f>SUMIFS('STOCK IN  TRANSFER'!G:G, 'STOCK IN  TRANSFER'!E:E, B770, 'STOCK IN  TRANSFER'!F:F, "STOCK IN") + SUMIFS('STOCK IN  TRANSFER'!G:G, 'STOCK IN  TRANSFER'!E:E, B770, 'STOCK IN  TRANSFER'!F:F, "ADJUSTMENT (+)") - SUMIFS('STOCK IN  TRANSFER'!G:G, 'STOCK IN  TRANSFER'!E:E, B770, 'STOCK IN  TRANSFER'!F:F, "ADJUSTMENT (-)") - SUMIFS('STOCK IN  TRANSFER'!G:G, 'STOCK IN  TRANSFER'!E:E, B770, 'STOCK IN  TRANSFER'!F:F, "STOCK TRANSFER") - SUMIFS(SALES!H:H, SALES!E:E, B770)</f>
        <v>0</v>
      </c>
      <c r="F770" s="28"/>
    </row>
    <row r="771" ht="22.5" customHeight="1">
      <c r="A771" s="13"/>
      <c r="B771" s="13"/>
      <c r="C771" s="16"/>
      <c r="D771" s="13"/>
      <c r="E771" s="28">
        <f>SUMIFS('STOCK IN  TRANSFER'!G:G, 'STOCK IN  TRANSFER'!E:E, B771, 'STOCK IN  TRANSFER'!F:F, "STOCK IN") + SUMIFS('STOCK IN  TRANSFER'!G:G, 'STOCK IN  TRANSFER'!E:E, B771, 'STOCK IN  TRANSFER'!F:F, "ADJUSTMENT (+)") - SUMIFS('STOCK IN  TRANSFER'!G:G, 'STOCK IN  TRANSFER'!E:E, B771, 'STOCK IN  TRANSFER'!F:F, "ADJUSTMENT (-)") - SUMIFS('STOCK IN  TRANSFER'!G:G, 'STOCK IN  TRANSFER'!E:E, B771, 'STOCK IN  TRANSFER'!F:F, "STOCK TRANSFER") - SUMIFS(SALES!H:H, SALES!E:E, B771)</f>
        <v>0</v>
      </c>
      <c r="F771" s="28"/>
    </row>
    <row r="772" ht="22.5" customHeight="1">
      <c r="A772" s="13"/>
      <c r="B772" s="13"/>
      <c r="C772" s="16"/>
      <c r="D772" s="13"/>
      <c r="E772" s="28">
        <f>SUMIFS('STOCK IN  TRANSFER'!G:G, 'STOCK IN  TRANSFER'!E:E, B772, 'STOCK IN  TRANSFER'!F:F, "STOCK IN") + SUMIFS('STOCK IN  TRANSFER'!G:G, 'STOCK IN  TRANSFER'!E:E, B772, 'STOCK IN  TRANSFER'!F:F, "ADJUSTMENT (+)") - SUMIFS('STOCK IN  TRANSFER'!G:G, 'STOCK IN  TRANSFER'!E:E, B772, 'STOCK IN  TRANSFER'!F:F, "ADJUSTMENT (-)") - SUMIFS('STOCK IN  TRANSFER'!G:G, 'STOCK IN  TRANSFER'!E:E, B772, 'STOCK IN  TRANSFER'!F:F, "STOCK TRANSFER") - SUMIFS(SALES!H:H, SALES!E:E, B772)</f>
        <v>0</v>
      </c>
      <c r="F772" s="28"/>
    </row>
    <row r="773" ht="22.5" customHeight="1">
      <c r="A773" s="13"/>
      <c r="B773" s="13"/>
      <c r="C773" s="16"/>
      <c r="D773" s="13"/>
      <c r="E773" s="28"/>
      <c r="F773" s="28"/>
    </row>
    <row r="774" ht="22.5" customHeight="1">
      <c r="A774" s="13"/>
      <c r="B774" s="13"/>
      <c r="C774" s="16"/>
      <c r="D774" s="13"/>
      <c r="E774" s="28"/>
      <c r="F774" s="28"/>
    </row>
    <row r="775" ht="22.5" customHeight="1">
      <c r="A775" s="13"/>
      <c r="B775" s="13"/>
      <c r="C775" s="16"/>
      <c r="D775" s="13"/>
      <c r="E775" s="28"/>
      <c r="F775" s="28"/>
    </row>
    <row r="776" ht="22.5" customHeight="1">
      <c r="A776" s="13"/>
      <c r="B776" s="13"/>
      <c r="C776" s="16"/>
      <c r="D776" s="13"/>
      <c r="E776" s="28"/>
      <c r="F776" s="28"/>
    </row>
    <row r="777" ht="22.5" customHeight="1">
      <c r="A777" s="13"/>
      <c r="B777" s="13"/>
      <c r="C777" s="16"/>
      <c r="D777" s="13"/>
      <c r="E777" s="28"/>
      <c r="F777" s="28"/>
    </row>
    <row r="778" ht="22.5" customHeight="1">
      <c r="A778" s="13"/>
      <c r="B778" s="13"/>
      <c r="C778" s="16"/>
      <c r="D778" s="13"/>
      <c r="E778" s="28"/>
      <c r="F778" s="28"/>
    </row>
    <row r="779" ht="22.5" customHeight="1">
      <c r="A779" s="13"/>
      <c r="B779" s="13"/>
      <c r="C779" s="16"/>
      <c r="D779" s="13"/>
      <c r="E779" s="28"/>
      <c r="F779" s="28"/>
    </row>
    <row r="780" ht="22.5" customHeight="1">
      <c r="A780" s="13"/>
      <c r="B780" s="13"/>
      <c r="C780" s="16"/>
      <c r="D780" s="13"/>
      <c r="E780" s="28"/>
      <c r="F780" s="28"/>
    </row>
    <row r="781" ht="22.5" customHeight="1">
      <c r="A781" s="13"/>
      <c r="B781" s="13"/>
      <c r="C781" s="16"/>
      <c r="D781" s="13"/>
      <c r="E781" s="28"/>
      <c r="F781" s="28"/>
    </row>
    <row r="782" ht="22.5" customHeight="1">
      <c r="A782" s="13"/>
      <c r="B782" s="13"/>
      <c r="C782" s="16"/>
      <c r="D782" s="13"/>
      <c r="E782" s="28"/>
      <c r="F782" s="28"/>
    </row>
    <row r="783" ht="22.5" customHeight="1">
      <c r="A783" s="13"/>
      <c r="B783" s="13"/>
      <c r="C783" s="16"/>
      <c r="D783" s="13"/>
      <c r="E783" s="28"/>
      <c r="F783" s="28"/>
    </row>
    <row r="784" ht="22.5" customHeight="1">
      <c r="A784" s="13"/>
      <c r="B784" s="13"/>
      <c r="C784" s="16"/>
      <c r="D784" s="13"/>
      <c r="E784" s="28"/>
      <c r="F784" s="28"/>
    </row>
    <row r="785" ht="22.5" customHeight="1">
      <c r="A785" s="13"/>
      <c r="B785" s="13"/>
      <c r="C785" s="16"/>
      <c r="D785" s="13"/>
      <c r="E785" s="28"/>
      <c r="F785" s="28"/>
    </row>
    <row r="786" ht="22.5" customHeight="1">
      <c r="A786" s="13"/>
      <c r="B786" s="13"/>
      <c r="C786" s="16"/>
      <c r="D786" s="13"/>
      <c r="E786" s="28"/>
      <c r="F786" s="28"/>
    </row>
    <row r="787" ht="22.5" customHeight="1">
      <c r="A787" s="13"/>
      <c r="B787" s="13"/>
      <c r="C787" s="16"/>
      <c r="D787" s="13"/>
      <c r="E787" s="28"/>
      <c r="F787" s="28"/>
    </row>
    <row r="788" ht="22.5" customHeight="1">
      <c r="A788" s="13"/>
      <c r="B788" s="13"/>
      <c r="C788" s="16"/>
      <c r="D788" s="13"/>
      <c r="E788" s="28"/>
      <c r="F788" s="28"/>
    </row>
    <row r="789" ht="22.5" customHeight="1">
      <c r="A789" s="13"/>
      <c r="B789" s="13"/>
      <c r="C789" s="16"/>
      <c r="D789" s="13"/>
      <c r="E789" s="28"/>
      <c r="F789" s="28"/>
    </row>
    <row r="790" ht="22.5" customHeight="1">
      <c r="A790" s="13"/>
      <c r="B790" s="13"/>
      <c r="C790" s="16"/>
      <c r="D790" s="13"/>
      <c r="E790" s="28"/>
      <c r="F790" s="28"/>
    </row>
    <row r="791" ht="22.5" customHeight="1">
      <c r="A791" s="13"/>
      <c r="B791" s="13"/>
      <c r="C791" s="16"/>
      <c r="D791" s="13"/>
      <c r="E791" s="28"/>
      <c r="F791" s="28"/>
    </row>
    <row r="792" ht="22.5" customHeight="1">
      <c r="A792" s="13"/>
      <c r="B792" s="13"/>
      <c r="C792" s="16"/>
      <c r="D792" s="13"/>
      <c r="E792" s="28"/>
      <c r="F792" s="28"/>
    </row>
    <row r="793" ht="22.5" customHeight="1">
      <c r="A793" s="13"/>
      <c r="B793" s="13"/>
      <c r="C793" s="16"/>
      <c r="D793" s="13"/>
      <c r="E793" s="28"/>
      <c r="F793" s="28"/>
    </row>
    <row r="794" ht="22.5" customHeight="1">
      <c r="A794" s="13"/>
      <c r="B794" s="13"/>
      <c r="C794" s="16"/>
      <c r="D794" s="13"/>
      <c r="E794" s="28"/>
      <c r="F794" s="28"/>
    </row>
    <row r="795" ht="22.5" customHeight="1">
      <c r="A795" s="13"/>
      <c r="B795" s="13"/>
      <c r="C795" s="16"/>
      <c r="D795" s="13"/>
      <c r="E795" s="28"/>
      <c r="F795" s="28"/>
    </row>
    <row r="796" ht="22.5" customHeight="1">
      <c r="A796" s="13"/>
      <c r="B796" s="13"/>
      <c r="C796" s="16"/>
      <c r="D796" s="13"/>
      <c r="E796" s="28"/>
      <c r="F796" s="28"/>
    </row>
    <row r="797" ht="22.5" customHeight="1">
      <c r="A797" s="13"/>
      <c r="B797" s="13"/>
      <c r="C797" s="16"/>
      <c r="D797" s="13"/>
      <c r="E797" s="28"/>
      <c r="F797" s="28"/>
    </row>
    <row r="798" ht="22.5" customHeight="1">
      <c r="A798" s="13"/>
      <c r="B798" s="13"/>
      <c r="C798" s="16"/>
      <c r="D798" s="13"/>
      <c r="E798" s="28"/>
      <c r="F798" s="28"/>
    </row>
    <row r="799" ht="22.5" customHeight="1">
      <c r="A799" s="13"/>
      <c r="B799" s="13"/>
      <c r="C799" s="16"/>
      <c r="D799" s="13"/>
      <c r="E799" s="28"/>
      <c r="F799" s="28"/>
    </row>
    <row r="800" ht="22.5" customHeight="1">
      <c r="A800" s="13"/>
      <c r="B800" s="13"/>
      <c r="C800" s="16"/>
      <c r="D800" s="13"/>
      <c r="E800" s="28"/>
      <c r="F800" s="28"/>
    </row>
    <row r="801" ht="22.5" customHeight="1">
      <c r="A801" s="13"/>
      <c r="B801" s="13"/>
      <c r="C801" s="16"/>
      <c r="D801" s="13"/>
      <c r="E801" s="28"/>
      <c r="F801" s="28"/>
    </row>
    <row r="802" ht="22.5" customHeight="1">
      <c r="A802" s="13"/>
      <c r="B802" s="13"/>
      <c r="C802" s="16"/>
      <c r="D802" s="13"/>
      <c r="E802" s="28"/>
      <c r="F802" s="28"/>
    </row>
    <row r="803" ht="22.5" customHeight="1">
      <c r="A803" s="13"/>
      <c r="B803" s="13"/>
      <c r="C803" s="16"/>
      <c r="D803" s="13"/>
      <c r="E803" s="28"/>
      <c r="F803" s="28"/>
    </row>
    <row r="804" ht="22.5" customHeight="1">
      <c r="A804" s="13"/>
      <c r="B804" s="13"/>
      <c r="C804" s="16"/>
      <c r="D804" s="13"/>
      <c r="E804" s="28"/>
      <c r="F804" s="28"/>
    </row>
    <row r="805" ht="22.5" customHeight="1">
      <c r="A805" s="13"/>
      <c r="B805" s="13"/>
      <c r="C805" s="16"/>
      <c r="D805" s="13"/>
      <c r="E805" s="28"/>
      <c r="F805" s="28"/>
    </row>
    <row r="806" ht="22.5" customHeight="1">
      <c r="A806" s="13"/>
      <c r="B806" s="13"/>
      <c r="C806" s="16"/>
      <c r="D806" s="13"/>
      <c r="E806" s="28"/>
      <c r="F806" s="28"/>
    </row>
    <row r="807" ht="22.5" customHeight="1">
      <c r="A807" s="13"/>
      <c r="B807" s="13"/>
      <c r="C807" s="16"/>
      <c r="D807" s="13"/>
      <c r="E807" s="28"/>
      <c r="F807" s="28"/>
    </row>
    <row r="808" ht="22.5" customHeight="1">
      <c r="A808" s="13"/>
      <c r="B808" s="13"/>
      <c r="C808" s="16"/>
      <c r="D808" s="13"/>
      <c r="E808" s="28"/>
      <c r="F808" s="28"/>
    </row>
    <row r="809" ht="22.5" customHeight="1">
      <c r="A809" s="13"/>
      <c r="B809" s="13"/>
      <c r="C809" s="16"/>
      <c r="D809" s="13"/>
      <c r="E809" s="28"/>
      <c r="F809" s="28"/>
    </row>
    <row r="810" ht="22.5" customHeight="1">
      <c r="A810" s="13"/>
      <c r="B810" s="13"/>
      <c r="C810" s="16"/>
      <c r="D810" s="13"/>
      <c r="E810" s="28"/>
      <c r="F810" s="28"/>
    </row>
    <row r="811" ht="22.5" customHeight="1">
      <c r="A811" s="13"/>
      <c r="B811" s="13"/>
      <c r="C811" s="16"/>
      <c r="D811" s="13"/>
      <c r="E811" s="28"/>
      <c r="F811" s="28"/>
    </row>
    <row r="812" ht="22.5" customHeight="1">
      <c r="A812" s="13"/>
      <c r="B812" s="13"/>
      <c r="C812" s="16"/>
      <c r="D812" s="13"/>
      <c r="E812" s="28"/>
      <c r="F812" s="28"/>
    </row>
    <row r="813" ht="22.5" customHeight="1">
      <c r="A813" s="13"/>
      <c r="B813" s="13"/>
      <c r="C813" s="16"/>
      <c r="D813" s="13"/>
      <c r="E813" s="28"/>
      <c r="F813" s="28"/>
    </row>
    <row r="814" ht="22.5" customHeight="1">
      <c r="A814" s="13"/>
      <c r="B814" s="13"/>
      <c r="C814" s="16"/>
      <c r="D814" s="13"/>
      <c r="E814" s="28"/>
      <c r="F814" s="28"/>
    </row>
    <row r="815" ht="22.5" customHeight="1">
      <c r="A815" s="13"/>
      <c r="B815" s="13"/>
      <c r="C815" s="16"/>
      <c r="D815" s="13"/>
      <c r="E815" s="28"/>
      <c r="F815" s="28"/>
    </row>
    <row r="816" ht="22.5" customHeight="1">
      <c r="A816" s="13"/>
      <c r="B816" s="13"/>
      <c r="C816" s="16"/>
      <c r="D816" s="13"/>
      <c r="E816" s="28"/>
      <c r="F816" s="28"/>
    </row>
    <row r="817" ht="22.5" customHeight="1">
      <c r="A817" s="13"/>
      <c r="B817" s="13"/>
      <c r="C817" s="16"/>
      <c r="D817" s="13"/>
      <c r="E817" s="28"/>
      <c r="F817" s="28"/>
    </row>
    <row r="818" ht="22.5" customHeight="1">
      <c r="A818" s="13"/>
      <c r="B818" s="13"/>
      <c r="C818" s="16"/>
      <c r="D818" s="13"/>
      <c r="E818" s="28"/>
      <c r="F818" s="28"/>
    </row>
    <row r="819" ht="22.5" customHeight="1">
      <c r="A819" s="13"/>
      <c r="B819" s="13"/>
      <c r="C819" s="16"/>
      <c r="D819" s="13"/>
      <c r="E819" s="28"/>
      <c r="F819" s="28"/>
    </row>
    <row r="820" ht="22.5" customHeight="1">
      <c r="A820" s="13"/>
      <c r="B820" s="13"/>
      <c r="C820" s="16"/>
      <c r="D820" s="13"/>
      <c r="E820" s="28"/>
      <c r="F820" s="28"/>
    </row>
    <row r="821" ht="22.5" customHeight="1">
      <c r="A821" s="13"/>
      <c r="B821" s="13"/>
      <c r="C821" s="16"/>
      <c r="D821" s="13"/>
      <c r="E821" s="28"/>
      <c r="F821" s="28"/>
    </row>
    <row r="822" ht="22.5" customHeight="1">
      <c r="A822" s="13"/>
      <c r="B822" s="13"/>
      <c r="C822" s="16"/>
      <c r="D822" s="13"/>
      <c r="E822" s="28"/>
      <c r="F822" s="28"/>
    </row>
    <row r="823" ht="22.5" customHeight="1">
      <c r="A823" s="13"/>
      <c r="B823" s="13"/>
      <c r="C823" s="16"/>
      <c r="D823" s="13"/>
      <c r="E823" s="28"/>
      <c r="F823" s="28"/>
    </row>
    <row r="824" ht="22.5" customHeight="1">
      <c r="A824" s="13"/>
      <c r="B824" s="13"/>
      <c r="C824" s="16"/>
      <c r="D824" s="13"/>
      <c r="E824" s="28"/>
      <c r="F824" s="28"/>
    </row>
    <row r="825" ht="22.5" customHeight="1">
      <c r="A825" s="13"/>
      <c r="B825" s="13"/>
      <c r="C825" s="16"/>
      <c r="D825" s="13"/>
      <c r="E825" s="28"/>
      <c r="F825" s="28"/>
    </row>
    <row r="826" ht="22.5" customHeight="1">
      <c r="A826" s="13"/>
      <c r="B826" s="13"/>
      <c r="C826" s="16"/>
      <c r="D826" s="13"/>
      <c r="E826" s="28"/>
      <c r="F826" s="28"/>
    </row>
    <row r="827" ht="22.5" customHeight="1">
      <c r="A827" s="13"/>
      <c r="B827" s="13"/>
      <c r="C827" s="16"/>
      <c r="D827" s="13"/>
      <c r="E827" s="28"/>
      <c r="F827" s="28"/>
    </row>
    <row r="828" ht="22.5" customHeight="1">
      <c r="A828" s="13"/>
      <c r="B828" s="13"/>
      <c r="C828" s="16"/>
      <c r="D828" s="13"/>
      <c r="E828" s="28"/>
      <c r="F828" s="28"/>
    </row>
    <row r="829" ht="22.5" customHeight="1">
      <c r="A829" s="13"/>
      <c r="B829" s="13"/>
      <c r="C829" s="16"/>
      <c r="D829" s="13"/>
      <c r="E829" s="28"/>
      <c r="F829" s="28"/>
    </row>
    <row r="830" ht="22.5" customHeight="1">
      <c r="A830" s="13"/>
      <c r="B830" s="13"/>
      <c r="C830" s="16"/>
      <c r="D830" s="13"/>
      <c r="E830" s="28"/>
      <c r="F830" s="28"/>
    </row>
    <row r="831" ht="22.5" customHeight="1">
      <c r="A831" s="13"/>
      <c r="B831" s="13"/>
      <c r="C831" s="16"/>
      <c r="D831" s="13"/>
      <c r="E831" s="28"/>
      <c r="F831" s="28"/>
    </row>
    <row r="832" ht="22.5" customHeight="1">
      <c r="A832" s="13"/>
      <c r="B832" s="13"/>
      <c r="C832" s="16"/>
      <c r="D832" s="13"/>
      <c r="E832" s="28"/>
      <c r="F832" s="28"/>
    </row>
    <row r="833" ht="22.5" customHeight="1">
      <c r="A833" s="13"/>
      <c r="B833" s="13"/>
      <c r="C833" s="16"/>
      <c r="D833" s="13"/>
      <c r="E833" s="28"/>
      <c r="F833" s="28"/>
    </row>
    <row r="834" ht="22.5" customHeight="1">
      <c r="A834" s="13"/>
      <c r="B834" s="13"/>
      <c r="C834" s="16"/>
      <c r="D834" s="13"/>
      <c r="E834" s="28"/>
      <c r="F834" s="28"/>
    </row>
    <row r="835" ht="22.5" customHeight="1">
      <c r="A835" s="13"/>
      <c r="B835" s="13"/>
      <c r="C835" s="16"/>
      <c r="D835" s="13"/>
      <c r="E835" s="28"/>
      <c r="F835" s="28"/>
    </row>
    <row r="836" ht="22.5" customHeight="1">
      <c r="A836" s="13"/>
      <c r="B836" s="13"/>
      <c r="C836" s="16"/>
      <c r="D836" s="13"/>
      <c r="E836" s="28"/>
      <c r="F836" s="28"/>
    </row>
    <row r="837" ht="22.5" customHeight="1">
      <c r="A837" s="13"/>
      <c r="B837" s="13"/>
      <c r="C837" s="16"/>
      <c r="D837" s="13"/>
      <c r="E837" s="28"/>
      <c r="F837" s="28"/>
    </row>
    <row r="838" ht="22.5" customHeight="1">
      <c r="A838" s="13"/>
      <c r="B838" s="13"/>
      <c r="C838" s="16"/>
      <c r="D838" s="13"/>
      <c r="E838" s="28"/>
      <c r="F838" s="28"/>
    </row>
    <row r="839" ht="22.5" customHeight="1">
      <c r="A839" s="13"/>
      <c r="B839" s="13"/>
      <c r="C839" s="16"/>
      <c r="D839" s="13"/>
      <c r="E839" s="28"/>
      <c r="F839" s="28"/>
    </row>
    <row r="840" ht="22.5" customHeight="1">
      <c r="A840" s="13"/>
      <c r="B840" s="13"/>
      <c r="C840" s="16"/>
      <c r="D840" s="13"/>
      <c r="E840" s="28"/>
      <c r="F840" s="28"/>
    </row>
    <row r="841" ht="22.5" customHeight="1">
      <c r="A841" s="13"/>
      <c r="B841" s="13"/>
      <c r="C841" s="16"/>
      <c r="D841" s="13"/>
      <c r="E841" s="28"/>
      <c r="F841" s="28"/>
    </row>
    <row r="842" ht="22.5" customHeight="1">
      <c r="A842" s="13"/>
      <c r="B842" s="13"/>
      <c r="C842" s="16"/>
      <c r="D842" s="13"/>
      <c r="E842" s="28"/>
      <c r="F842" s="28"/>
    </row>
    <row r="843" ht="22.5" customHeight="1">
      <c r="A843" s="13"/>
      <c r="B843" s="13"/>
      <c r="C843" s="16"/>
      <c r="D843" s="13"/>
      <c r="E843" s="28"/>
      <c r="F843" s="28"/>
    </row>
    <row r="844" ht="22.5" customHeight="1">
      <c r="A844" s="13"/>
      <c r="B844" s="13"/>
      <c r="C844" s="16"/>
      <c r="D844" s="13"/>
      <c r="E844" s="28"/>
      <c r="F844" s="28"/>
    </row>
    <row r="845" ht="22.5" customHeight="1">
      <c r="A845" s="13"/>
      <c r="B845" s="13"/>
      <c r="C845" s="16"/>
      <c r="D845" s="13"/>
      <c r="E845" s="28"/>
      <c r="F845" s="28"/>
    </row>
    <row r="846" ht="22.5" customHeight="1">
      <c r="A846" s="13"/>
      <c r="B846" s="13"/>
      <c r="C846" s="16"/>
      <c r="D846" s="13"/>
      <c r="E846" s="28"/>
      <c r="F846" s="28"/>
    </row>
    <row r="847" ht="22.5" customHeight="1">
      <c r="A847" s="13"/>
      <c r="B847" s="13"/>
      <c r="C847" s="16"/>
      <c r="D847" s="13"/>
      <c r="E847" s="28"/>
      <c r="F847" s="28"/>
    </row>
    <row r="848" ht="22.5" customHeight="1">
      <c r="A848" s="13"/>
      <c r="B848" s="13"/>
      <c r="C848" s="16"/>
      <c r="D848" s="13"/>
      <c r="E848" s="28"/>
      <c r="F848" s="28"/>
    </row>
    <row r="849" ht="22.5" customHeight="1">
      <c r="A849" s="13"/>
      <c r="B849" s="13"/>
      <c r="C849" s="16"/>
      <c r="D849" s="13"/>
      <c r="E849" s="28"/>
      <c r="F849" s="28"/>
    </row>
    <row r="850" ht="22.5" customHeight="1">
      <c r="A850" s="13"/>
      <c r="B850" s="13"/>
      <c r="C850" s="16"/>
      <c r="D850" s="13"/>
      <c r="E850" s="28"/>
      <c r="F850" s="28"/>
    </row>
    <row r="851" ht="22.5" customHeight="1">
      <c r="A851" s="13"/>
      <c r="B851" s="13"/>
      <c r="C851" s="16"/>
      <c r="D851" s="13"/>
      <c r="E851" s="28"/>
      <c r="F851" s="28"/>
    </row>
    <row r="852" ht="22.5" customHeight="1">
      <c r="A852" s="13"/>
      <c r="B852" s="13"/>
      <c r="C852" s="16"/>
      <c r="D852" s="13"/>
      <c r="E852" s="28"/>
      <c r="F852" s="28"/>
    </row>
    <row r="853" ht="22.5" customHeight="1">
      <c r="A853" s="13"/>
      <c r="B853" s="13"/>
      <c r="C853" s="16"/>
      <c r="D853" s="13"/>
      <c r="E853" s="28"/>
      <c r="F853" s="28"/>
    </row>
    <row r="854" ht="22.5" customHeight="1">
      <c r="A854" s="13"/>
      <c r="B854" s="13"/>
      <c r="C854" s="16"/>
      <c r="D854" s="13"/>
      <c r="E854" s="28"/>
      <c r="F854" s="28"/>
    </row>
    <row r="855" ht="22.5" customHeight="1">
      <c r="A855" s="13"/>
      <c r="B855" s="13"/>
      <c r="C855" s="16"/>
      <c r="D855" s="13"/>
      <c r="E855" s="28"/>
      <c r="F855" s="28"/>
    </row>
    <row r="856" ht="22.5" customHeight="1">
      <c r="A856" s="13"/>
      <c r="B856" s="13"/>
      <c r="C856" s="16"/>
      <c r="D856" s="13"/>
      <c r="E856" s="28"/>
      <c r="F856" s="28"/>
    </row>
    <row r="857" ht="22.5" customHeight="1">
      <c r="A857" s="13"/>
      <c r="B857" s="13"/>
      <c r="C857" s="16"/>
      <c r="D857" s="13"/>
      <c r="E857" s="28"/>
      <c r="F857" s="28"/>
    </row>
    <row r="858" ht="22.5" customHeight="1">
      <c r="A858" s="13"/>
      <c r="B858" s="13"/>
      <c r="C858" s="16"/>
      <c r="D858" s="13"/>
      <c r="E858" s="28"/>
      <c r="F858" s="28"/>
    </row>
    <row r="859" ht="22.5" customHeight="1">
      <c r="A859" s="13"/>
      <c r="B859" s="13"/>
      <c r="C859" s="16"/>
      <c r="D859" s="13"/>
      <c r="E859" s="28"/>
      <c r="F859" s="28"/>
    </row>
    <row r="860" ht="22.5" customHeight="1">
      <c r="A860" s="13"/>
      <c r="B860" s="13"/>
      <c r="C860" s="16"/>
      <c r="D860" s="13"/>
      <c r="E860" s="28"/>
      <c r="F860" s="28"/>
    </row>
    <row r="861" ht="22.5" customHeight="1">
      <c r="A861" s="13"/>
      <c r="B861" s="13"/>
      <c r="C861" s="16"/>
      <c r="D861" s="13"/>
      <c r="E861" s="28"/>
      <c r="F861" s="28"/>
    </row>
    <row r="862" ht="22.5" customHeight="1">
      <c r="A862" s="13"/>
      <c r="B862" s="13"/>
      <c r="C862" s="16"/>
      <c r="D862" s="13"/>
      <c r="E862" s="28"/>
      <c r="F862" s="28"/>
    </row>
    <row r="863" ht="22.5" customHeight="1">
      <c r="A863" s="13"/>
      <c r="B863" s="13"/>
      <c r="C863" s="16"/>
      <c r="D863" s="13"/>
      <c r="E863" s="28"/>
      <c r="F863" s="28"/>
    </row>
    <row r="864" ht="22.5" customHeight="1">
      <c r="A864" s="13"/>
      <c r="B864" s="13"/>
      <c r="C864" s="16"/>
      <c r="D864" s="13"/>
      <c r="E864" s="28"/>
      <c r="F864" s="28"/>
    </row>
    <row r="865" ht="22.5" customHeight="1">
      <c r="A865" s="13"/>
      <c r="B865" s="13"/>
      <c r="C865" s="16"/>
      <c r="D865" s="13"/>
      <c r="E865" s="28"/>
      <c r="F865" s="28"/>
    </row>
    <row r="866" ht="22.5" customHeight="1">
      <c r="A866" s="13"/>
      <c r="B866" s="13"/>
      <c r="C866" s="16"/>
      <c r="D866" s="13"/>
      <c r="E866" s="28"/>
      <c r="F866" s="28"/>
    </row>
    <row r="867" ht="22.5" customHeight="1">
      <c r="A867" s="13"/>
      <c r="B867" s="13"/>
      <c r="C867" s="16"/>
      <c r="D867" s="13"/>
      <c r="E867" s="28"/>
      <c r="F867" s="28"/>
    </row>
    <row r="868" ht="22.5" customHeight="1">
      <c r="A868" s="13"/>
      <c r="B868" s="13"/>
      <c r="C868" s="16"/>
      <c r="D868" s="13"/>
      <c r="E868" s="28"/>
      <c r="F868" s="28"/>
    </row>
    <row r="869" ht="22.5" customHeight="1">
      <c r="A869" s="13"/>
      <c r="B869" s="13"/>
      <c r="C869" s="16"/>
      <c r="D869" s="13"/>
      <c r="E869" s="28"/>
      <c r="F869" s="28"/>
    </row>
    <row r="870" ht="22.5" customHeight="1">
      <c r="A870" s="13"/>
      <c r="B870" s="13"/>
      <c r="C870" s="16"/>
      <c r="D870" s="13"/>
      <c r="E870" s="28"/>
      <c r="F870" s="28"/>
    </row>
    <row r="871" ht="22.5" customHeight="1">
      <c r="A871" s="13"/>
      <c r="B871" s="13"/>
      <c r="C871" s="16"/>
      <c r="D871" s="13"/>
      <c r="E871" s="28"/>
      <c r="F871" s="28"/>
    </row>
    <row r="872" ht="22.5" customHeight="1">
      <c r="A872" s="13"/>
      <c r="B872" s="13"/>
      <c r="C872" s="16"/>
      <c r="D872" s="13"/>
      <c r="E872" s="28"/>
      <c r="F872" s="28"/>
    </row>
    <row r="873" ht="22.5" customHeight="1">
      <c r="A873" s="13"/>
      <c r="B873" s="13"/>
      <c r="C873" s="16"/>
      <c r="D873" s="13"/>
      <c r="E873" s="28"/>
      <c r="F873" s="28"/>
    </row>
    <row r="874" ht="22.5" customHeight="1">
      <c r="A874" s="13"/>
      <c r="B874" s="13"/>
      <c r="C874" s="16"/>
      <c r="D874" s="13"/>
      <c r="E874" s="28"/>
      <c r="F874" s="28"/>
    </row>
    <row r="875" ht="22.5" customHeight="1">
      <c r="A875" s="13"/>
      <c r="B875" s="13"/>
      <c r="C875" s="16"/>
      <c r="D875" s="13"/>
      <c r="E875" s="28"/>
      <c r="F875" s="28"/>
    </row>
    <row r="876" ht="22.5" customHeight="1">
      <c r="A876" s="13"/>
      <c r="B876" s="13"/>
      <c r="C876" s="16"/>
      <c r="D876" s="13"/>
      <c r="E876" s="28"/>
      <c r="F876" s="28"/>
    </row>
    <row r="877" ht="22.5" customHeight="1">
      <c r="A877" s="13"/>
      <c r="B877" s="13"/>
      <c r="C877" s="16"/>
      <c r="D877" s="13"/>
      <c r="E877" s="28"/>
      <c r="F877" s="28"/>
    </row>
    <row r="878" ht="22.5" customHeight="1">
      <c r="A878" s="13"/>
      <c r="B878" s="13"/>
      <c r="C878" s="16"/>
      <c r="D878" s="13"/>
      <c r="E878" s="28"/>
      <c r="F878" s="28"/>
    </row>
    <row r="879" ht="22.5" customHeight="1">
      <c r="A879" s="13"/>
      <c r="B879" s="13"/>
      <c r="C879" s="16"/>
      <c r="D879" s="13"/>
      <c r="E879" s="28"/>
      <c r="F879" s="28"/>
    </row>
    <row r="880" ht="22.5" customHeight="1">
      <c r="A880" s="13"/>
      <c r="B880" s="13"/>
      <c r="C880" s="16"/>
      <c r="D880" s="13"/>
      <c r="E880" s="28"/>
      <c r="F880" s="28"/>
    </row>
    <row r="881" ht="22.5" customHeight="1">
      <c r="A881" s="13"/>
      <c r="B881" s="13"/>
      <c r="C881" s="16"/>
      <c r="D881" s="13"/>
      <c r="E881" s="28"/>
      <c r="F881" s="28"/>
    </row>
    <row r="882" ht="22.5" customHeight="1">
      <c r="A882" s="13"/>
      <c r="B882" s="13"/>
      <c r="C882" s="16"/>
      <c r="D882" s="13"/>
      <c r="E882" s="28"/>
      <c r="F882" s="28"/>
    </row>
    <row r="883" ht="22.5" customHeight="1">
      <c r="A883" s="13"/>
      <c r="B883" s="13"/>
      <c r="C883" s="16"/>
      <c r="D883" s="13"/>
      <c r="E883" s="28"/>
      <c r="F883" s="28"/>
    </row>
    <row r="884" ht="22.5" customHeight="1">
      <c r="A884" s="13"/>
      <c r="B884" s="13"/>
      <c r="C884" s="16"/>
      <c r="D884" s="13"/>
      <c r="E884" s="28"/>
      <c r="F884" s="28"/>
    </row>
    <row r="885" ht="22.5" customHeight="1">
      <c r="A885" s="13"/>
      <c r="B885" s="13"/>
      <c r="C885" s="16"/>
      <c r="D885" s="13"/>
      <c r="E885" s="28"/>
      <c r="F885" s="28"/>
    </row>
    <row r="886" ht="22.5" customHeight="1">
      <c r="A886" s="13"/>
      <c r="B886" s="13"/>
      <c r="C886" s="16"/>
      <c r="D886" s="13"/>
      <c r="E886" s="28"/>
      <c r="F886" s="28"/>
    </row>
    <row r="887" ht="22.5" customHeight="1">
      <c r="A887" s="13"/>
      <c r="B887" s="13"/>
      <c r="C887" s="16"/>
      <c r="D887" s="13"/>
      <c r="E887" s="28"/>
      <c r="F887" s="28"/>
    </row>
    <row r="888" ht="22.5" customHeight="1">
      <c r="A888" s="13"/>
      <c r="B888" s="13"/>
      <c r="C888" s="16"/>
      <c r="D888" s="13"/>
      <c r="E888" s="28"/>
      <c r="F888" s="28"/>
    </row>
    <row r="889" ht="22.5" customHeight="1">
      <c r="A889" s="13"/>
      <c r="B889" s="13"/>
      <c r="C889" s="16"/>
      <c r="D889" s="13"/>
      <c r="E889" s="28"/>
      <c r="F889" s="28"/>
    </row>
    <row r="890" ht="22.5" customHeight="1">
      <c r="A890" s="72"/>
      <c r="B890" s="72"/>
      <c r="C890" s="72"/>
      <c r="D890" s="72"/>
      <c r="E890" s="28"/>
      <c r="F890" s="28"/>
    </row>
    <row r="891" ht="22.5" customHeight="1">
      <c r="A891" s="13"/>
      <c r="B891" s="13"/>
      <c r="C891" s="55"/>
      <c r="D891" s="13"/>
      <c r="E891" s="28"/>
      <c r="F891" s="28"/>
    </row>
    <row r="892" ht="22.5" customHeight="1">
      <c r="A892" s="13"/>
      <c r="B892" s="13"/>
      <c r="C892" s="16"/>
      <c r="D892" s="13"/>
      <c r="E892" s="28"/>
      <c r="F892" s="28"/>
    </row>
    <row r="893" ht="22.5" customHeight="1">
      <c r="A893" s="13"/>
      <c r="B893" s="13"/>
      <c r="C893" s="16"/>
      <c r="D893" s="13"/>
      <c r="E893" s="28"/>
      <c r="F893" s="28"/>
    </row>
    <row r="894" ht="22.5" customHeight="1">
      <c r="A894" s="72"/>
      <c r="B894" s="72"/>
      <c r="C894" s="72"/>
      <c r="D894" s="72"/>
      <c r="E894" s="28"/>
      <c r="F894" s="28"/>
    </row>
    <row r="895" ht="22.5" customHeight="1">
      <c r="A895" s="72"/>
      <c r="B895" s="72"/>
      <c r="C895" s="72"/>
      <c r="D895" s="72"/>
      <c r="E895" s="28"/>
      <c r="F895" s="28"/>
    </row>
    <row r="896" ht="22.5" customHeight="1">
      <c r="A896" s="72"/>
      <c r="B896" s="72"/>
      <c r="C896" s="72"/>
      <c r="D896" s="72"/>
      <c r="E896" s="28"/>
      <c r="F896" s="28"/>
    </row>
    <row r="897" ht="22.5" customHeight="1">
      <c r="A897" s="72"/>
      <c r="B897" s="72"/>
      <c r="C897" s="72"/>
      <c r="D897" s="72"/>
      <c r="E897" s="28"/>
      <c r="F897" s="28"/>
    </row>
    <row r="898" ht="22.5" customHeight="1">
      <c r="A898" s="72"/>
      <c r="B898" s="72"/>
      <c r="C898" s="72"/>
      <c r="D898" s="72"/>
      <c r="E898" s="28"/>
      <c r="F898" s="28"/>
    </row>
    <row r="899" ht="22.5" customHeight="1">
      <c r="A899" s="72"/>
      <c r="B899" s="72"/>
      <c r="C899" s="72"/>
      <c r="D899" s="72"/>
      <c r="E899" s="28"/>
      <c r="F899" s="28"/>
    </row>
    <row r="900" ht="22.5" customHeight="1">
      <c r="A900" s="72"/>
      <c r="B900" s="72"/>
      <c r="C900" s="72"/>
      <c r="D900" s="72"/>
      <c r="E900" s="28"/>
      <c r="F900" s="28"/>
    </row>
    <row r="901" ht="22.5" customHeight="1">
      <c r="A901" s="72"/>
      <c r="B901" s="72"/>
      <c r="C901" s="72"/>
      <c r="D901" s="72"/>
      <c r="E901" s="28"/>
      <c r="F901" s="28"/>
    </row>
    <row r="902" ht="22.5" customHeight="1">
      <c r="A902" s="72"/>
      <c r="B902" s="72"/>
      <c r="C902" s="72"/>
      <c r="D902" s="72"/>
      <c r="E902" s="28"/>
      <c r="F902" s="28"/>
    </row>
    <row r="903" ht="22.5" customHeight="1">
      <c r="A903" s="72"/>
      <c r="B903" s="72"/>
      <c r="C903" s="72"/>
      <c r="D903" s="72"/>
      <c r="E903" s="28"/>
      <c r="F903" s="28"/>
    </row>
    <row r="904" ht="22.5" customHeight="1">
      <c r="A904" s="72"/>
      <c r="B904" s="72"/>
      <c r="C904" s="72"/>
      <c r="D904" s="72"/>
      <c r="E904" s="28"/>
      <c r="F904" s="28"/>
    </row>
    <row r="905" ht="22.5" customHeight="1">
      <c r="A905" s="72"/>
      <c r="B905" s="72"/>
      <c r="C905" s="72"/>
      <c r="D905" s="72"/>
      <c r="E905" s="28"/>
      <c r="F905" s="28"/>
    </row>
    <row r="906" ht="22.5" customHeight="1">
      <c r="A906" s="72"/>
      <c r="B906" s="72"/>
      <c r="C906" s="72"/>
      <c r="D906" s="72"/>
      <c r="E906" s="28"/>
      <c r="F906" s="28"/>
    </row>
    <row r="907" ht="22.5" customHeight="1">
      <c r="A907" s="72"/>
      <c r="B907" s="72"/>
      <c r="C907" s="72"/>
      <c r="D907" s="72"/>
      <c r="E907" s="28"/>
      <c r="F907" s="28"/>
    </row>
    <row r="908" ht="22.5" customHeight="1">
      <c r="A908" s="72"/>
      <c r="B908" s="72"/>
      <c r="C908" s="72"/>
      <c r="D908" s="72"/>
      <c r="E908" s="28"/>
      <c r="F908" s="28"/>
    </row>
    <row r="909" ht="22.5" customHeight="1">
      <c r="A909" s="72"/>
      <c r="B909" s="72"/>
      <c r="C909" s="72"/>
      <c r="D909" s="72"/>
      <c r="E909" s="28"/>
      <c r="F909" s="28"/>
    </row>
    <row r="910" ht="22.5" customHeight="1">
      <c r="A910" s="72"/>
      <c r="B910" s="72"/>
      <c r="C910" s="72"/>
      <c r="D910" s="72"/>
      <c r="E910" s="28"/>
      <c r="F910" s="28"/>
    </row>
    <row r="911" ht="22.5" customHeight="1">
      <c r="A911" s="72"/>
      <c r="B911" s="72"/>
      <c r="C911" s="72"/>
      <c r="D911" s="72"/>
      <c r="E911" s="28"/>
      <c r="F911" s="28"/>
    </row>
    <row r="912" ht="22.5" customHeight="1">
      <c r="A912" s="72"/>
      <c r="B912" s="72"/>
      <c r="C912" s="72"/>
      <c r="D912" s="72"/>
      <c r="E912" s="28"/>
      <c r="F912" s="28"/>
    </row>
    <row r="913" ht="22.5" customHeight="1">
      <c r="A913" s="72"/>
      <c r="B913" s="72"/>
      <c r="C913" s="72"/>
      <c r="D913" s="72"/>
      <c r="E913" s="28"/>
      <c r="F913" s="28"/>
    </row>
    <row r="914" ht="22.5" customHeight="1">
      <c r="A914" s="72"/>
      <c r="B914" s="72"/>
      <c r="C914" s="72"/>
      <c r="D914" s="72"/>
      <c r="E914" s="28"/>
      <c r="F914" s="28"/>
    </row>
    <row r="915" ht="22.5" customHeight="1">
      <c r="A915" s="72"/>
      <c r="B915" s="72"/>
      <c r="C915" s="72"/>
      <c r="D915" s="72"/>
      <c r="E915" s="28"/>
      <c r="F915" s="28"/>
    </row>
    <row r="916" ht="22.5" customHeight="1">
      <c r="A916" s="72"/>
      <c r="B916" s="72"/>
      <c r="C916" s="72"/>
      <c r="D916" s="72"/>
      <c r="E916" s="28"/>
      <c r="F916" s="28"/>
    </row>
    <row r="917" ht="22.5" customHeight="1">
      <c r="A917" s="72"/>
      <c r="B917" s="72"/>
      <c r="C917" s="72"/>
      <c r="D917" s="72"/>
      <c r="E917" s="28"/>
      <c r="F917" s="28"/>
    </row>
    <row r="918" ht="22.5" customHeight="1">
      <c r="A918" s="72"/>
      <c r="B918" s="72"/>
      <c r="C918" s="72"/>
      <c r="D918" s="72"/>
      <c r="E918" s="28"/>
      <c r="F918" s="28"/>
    </row>
    <row r="919" ht="22.5" customHeight="1">
      <c r="A919" s="72"/>
      <c r="B919" s="72"/>
      <c r="C919" s="72"/>
      <c r="D919" s="72"/>
      <c r="E919" s="28"/>
      <c r="F919" s="28"/>
    </row>
    <row r="920" ht="22.5" customHeight="1">
      <c r="A920" s="72"/>
      <c r="B920" s="72"/>
      <c r="C920" s="72"/>
      <c r="D920" s="72"/>
      <c r="E920" s="28"/>
      <c r="F920" s="28"/>
    </row>
    <row r="921" ht="22.5" customHeight="1">
      <c r="A921" s="72"/>
      <c r="B921" s="72"/>
      <c r="C921" s="72"/>
      <c r="D921" s="72"/>
      <c r="E921" s="28"/>
      <c r="F921" s="28"/>
    </row>
    <row r="922" ht="22.5" customHeight="1">
      <c r="A922" s="72"/>
      <c r="B922" s="72"/>
      <c r="C922" s="72"/>
      <c r="D922" s="72"/>
      <c r="E922" s="28"/>
      <c r="F922" s="28"/>
    </row>
    <row r="923" ht="22.5" customHeight="1">
      <c r="A923" s="72"/>
      <c r="B923" s="72"/>
      <c r="C923" s="72"/>
      <c r="D923" s="72"/>
      <c r="E923" s="28"/>
      <c r="F923" s="28"/>
    </row>
    <row r="924" ht="22.5" customHeight="1">
      <c r="A924" s="72"/>
      <c r="B924" s="72"/>
      <c r="C924" s="72"/>
      <c r="D924" s="72"/>
      <c r="E924" s="28"/>
      <c r="F924" s="28"/>
    </row>
    <row r="925" ht="22.5" customHeight="1">
      <c r="A925" s="72"/>
      <c r="B925" s="72"/>
      <c r="C925" s="72"/>
      <c r="D925" s="72"/>
      <c r="E925" s="28"/>
      <c r="F925" s="28"/>
    </row>
    <row r="926" ht="22.5" customHeight="1">
      <c r="A926" s="72"/>
      <c r="B926" s="72"/>
      <c r="C926" s="72"/>
      <c r="D926" s="72"/>
      <c r="E926" s="28"/>
      <c r="F926" s="28"/>
    </row>
    <row r="927" ht="22.5" customHeight="1">
      <c r="A927" s="72"/>
      <c r="B927" s="72"/>
      <c r="C927" s="72"/>
      <c r="D927" s="72"/>
      <c r="E927" s="28"/>
      <c r="F927" s="28"/>
    </row>
    <row r="928" ht="22.5" customHeight="1">
      <c r="A928" s="72"/>
      <c r="B928" s="72"/>
      <c r="C928" s="72"/>
      <c r="D928" s="72"/>
      <c r="E928" s="28"/>
      <c r="F928" s="28"/>
    </row>
    <row r="929" ht="22.5" customHeight="1">
      <c r="A929" s="72"/>
      <c r="B929" s="72"/>
      <c r="C929" s="72"/>
      <c r="D929" s="72"/>
      <c r="E929" s="28"/>
      <c r="F929" s="28"/>
    </row>
    <row r="930" ht="22.5" customHeight="1">
      <c r="A930" s="72"/>
      <c r="B930" s="72"/>
      <c r="C930" s="72"/>
      <c r="D930" s="72"/>
      <c r="E930" s="28"/>
      <c r="F930" s="28"/>
    </row>
    <row r="931" ht="22.5" customHeight="1">
      <c r="A931" s="72"/>
      <c r="B931" s="72"/>
      <c r="C931" s="72"/>
      <c r="D931" s="72"/>
      <c r="E931" s="28"/>
      <c r="F931" s="28"/>
    </row>
    <row r="932" ht="22.5" customHeight="1">
      <c r="A932" s="72"/>
      <c r="B932" s="72"/>
      <c r="C932" s="72"/>
      <c r="D932" s="72"/>
      <c r="E932" s="28"/>
      <c r="F932" s="28"/>
    </row>
    <row r="933" ht="22.5" customHeight="1">
      <c r="A933" s="72"/>
      <c r="B933" s="72"/>
      <c r="C933" s="72"/>
      <c r="D933" s="72"/>
      <c r="E933" s="28"/>
      <c r="F933" s="28"/>
    </row>
    <row r="934" ht="22.5" customHeight="1">
      <c r="A934" s="72"/>
      <c r="B934" s="72"/>
      <c r="C934" s="72"/>
      <c r="D934" s="72"/>
      <c r="E934" s="28"/>
      <c r="F934" s="28"/>
    </row>
    <row r="935" ht="22.5" customHeight="1">
      <c r="A935" s="72"/>
      <c r="B935" s="72"/>
      <c r="C935" s="72"/>
      <c r="D935" s="72"/>
      <c r="E935" s="28"/>
      <c r="F935" s="28"/>
    </row>
    <row r="936" ht="22.5" customHeight="1">
      <c r="A936" s="72"/>
      <c r="B936" s="72"/>
      <c r="C936" s="72"/>
      <c r="D936" s="72"/>
      <c r="E936" s="28"/>
      <c r="F936" s="28"/>
    </row>
    <row r="937" ht="22.5" customHeight="1">
      <c r="A937" s="72"/>
      <c r="B937" s="72"/>
      <c r="C937" s="72"/>
      <c r="D937" s="72"/>
      <c r="E937" s="28"/>
      <c r="F937" s="28"/>
    </row>
    <row r="938" ht="22.5" customHeight="1">
      <c r="A938" s="72"/>
      <c r="B938" s="72"/>
      <c r="C938" s="72"/>
      <c r="D938" s="72"/>
      <c r="E938" s="28"/>
      <c r="F938" s="28"/>
    </row>
    <row r="939" ht="22.5" customHeight="1">
      <c r="A939" s="72"/>
      <c r="B939" s="72"/>
      <c r="C939" s="72"/>
      <c r="D939" s="72"/>
      <c r="E939" s="28"/>
      <c r="F939" s="28"/>
    </row>
    <row r="940" ht="22.5" customHeight="1">
      <c r="A940" s="72"/>
      <c r="B940" s="72"/>
      <c r="C940" s="72"/>
      <c r="D940" s="72"/>
      <c r="E940" s="28"/>
      <c r="F940" s="28"/>
    </row>
    <row r="941" ht="22.5" customHeight="1">
      <c r="A941" s="72"/>
      <c r="B941" s="72"/>
      <c r="C941" s="72"/>
      <c r="D941" s="72"/>
      <c r="E941" s="28"/>
      <c r="F941" s="28"/>
    </row>
    <row r="942" ht="22.5" customHeight="1">
      <c r="A942" s="72"/>
      <c r="B942" s="72"/>
      <c r="C942" s="72"/>
      <c r="D942" s="72"/>
      <c r="E942" s="28"/>
      <c r="F942" s="28"/>
    </row>
    <row r="943" ht="22.5" customHeight="1">
      <c r="A943" s="72"/>
      <c r="B943" s="72"/>
      <c r="C943" s="72"/>
      <c r="D943" s="72"/>
      <c r="E943" s="28"/>
      <c r="F943" s="28"/>
    </row>
    <row r="944" ht="22.5" customHeight="1">
      <c r="A944" s="72"/>
      <c r="B944" s="72"/>
      <c r="C944" s="72"/>
      <c r="D944" s="72"/>
      <c r="E944" s="28"/>
      <c r="F944" s="28"/>
    </row>
    <row r="945" ht="22.5" customHeight="1">
      <c r="A945" s="72"/>
      <c r="B945" s="72"/>
      <c r="C945" s="72"/>
      <c r="D945" s="72"/>
      <c r="E945" s="28"/>
      <c r="F945" s="28"/>
    </row>
    <row r="946" ht="22.5" customHeight="1">
      <c r="A946" s="72"/>
      <c r="B946" s="72"/>
      <c r="C946" s="72"/>
      <c r="D946" s="72"/>
      <c r="E946" s="28"/>
      <c r="F946" s="28"/>
    </row>
    <row r="947" ht="22.5" customHeight="1">
      <c r="A947" s="72"/>
      <c r="B947" s="72"/>
      <c r="C947" s="72"/>
      <c r="D947" s="72"/>
      <c r="E947" s="28"/>
      <c r="F947" s="28"/>
    </row>
    <row r="948" ht="22.5" customHeight="1">
      <c r="A948" s="72"/>
      <c r="B948" s="72"/>
      <c r="C948" s="72"/>
      <c r="D948" s="72"/>
      <c r="E948" s="28"/>
      <c r="F948" s="28"/>
    </row>
    <row r="949" ht="22.5" customHeight="1">
      <c r="A949" s="72"/>
      <c r="B949" s="72"/>
      <c r="C949" s="72"/>
      <c r="D949" s="72"/>
      <c r="E949" s="28"/>
      <c r="F949" s="28"/>
    </row>
    <row r="950" ht="22.5" customHeight="1">
      <c r="A950" s="72"/>
      <c r="B950" s="72"/>
      <c r="C950" s="72"/>
      <c r="D950" s="72"/>
      <c r="E950" s="28"/>
      <c r="F950" s="28"/>
    </row>
    <row r="951" ht="22.5" customHeight="1">
      <c r="A951" s="72"/>
      <c r="B951" s="72"/>
      <c r="C951" s="72"/>
      <c r="D951" s="72"/>
      <c r="E951" s="28"/>
      <c r="F951" s="28"/>
    </row>
    <row r="952" ht="22.5" customHeight="1">
      <c r="A952" s="72"/>
      <c r="B952" s="72"/>
      <c r="C952" s="72"/>
      <c r="D952" s="72"/>
      <c r="E952" s="28"/>
      <c r="F952" s="28"/>
    </row>
    <row r="953" ht="22.5" customHeight="1">
      <c r="A953" s="72"/>
      <c r="B953" s="72"/>
      <c r="C953" s="72"/>
      <c r="D953" s="72"/>
      <c r="E953" s="28"/>
      <c r="F953" s="28"/>
    </row>
    <row r="954" ht="22.5" customHeight="1">
      <c r="A954" s="72"/>
      <c r="B954" s="72"/>
      <c r="C954" s="72"/>
      <c r="D954" s="72"/>
      <c r="E954" s="28"/>
      <c r="F954" s="28"/>
    </row>
    <row r="955" ht="22.5" customHeight="1">
      <c r="A955" s="72"/>
      <c r="B955" s="72"/>
      <c r="C955" s="72"/>
      <c r="D955" s="72"/>
      <c r="E955" s="28"/>
      <c r="F955" s="28"/>
    </row>
    <row r="956" ht="22.5" customHeight="1">
      <c r="A956" s="72"/>
      <c r="B956" s="72"/>
      <c r="C956" s="72"/>
      <c r="D956" s="72"/>
      <c r="E956" s="28"/>
      <c r="F956" s="28"/>
    </row>
    <row r="957" ht="22.5" customHeight="1">
      <c r="A957" s="72"/>
      <c r="B957" s="72"/>
      <c r="C957" s="72"/>
      <c r="D957" s="72"/>
      <c r="E957" s="28"/>
      <c r="F957" s="28"/>
    </row>
    <row r="958" ht="22.5" customHeight="1">
      <c r="A958" s="72"/>
      <c r="B958" s="72"/>
      <c r="C958" s="72"/>
      <c r="D958" s="72"/>
      <c r="E958" s="28"/>
      <c r="F958" s="28"/>
    </row>
    <row r="959" ht="22.5" customHeight="1">
      <c r="A959" s="72"/>
      <c r="B959" s="72"/>
      <c r="C959" s="72"/>
      <c r="D959" s="72"/>
      <c r="E959" s="28"/>
      <c r="F959" s="28"/>
    </row>
    <row r="960" ht="22.5" customHeight="1">
      <c r="A960" s="72"/>
      <c r="B960" s="72"/>
      <c r="C960" s="72"/>
      <c r="D960" s="72"/>
      <c r="E960" s="28"/>
      <c r="F960" s="28"/>
    </row>
    <row r="961" ht="22.5" customHeight="1">
      <c r="A961" s="72"/>
      <c r="B961" s="72"/>
      <c r="C961" s="72"/>
      <c r="D961" s="72"/>
      <c r="E961" s="28"/>
      <c r="F961" s="28"/>
    </row>
    <row r="962" ht="22.5" customHeight="1">
      <c r="A962" s="72"/>
      <c r="B962" s="72"/>
      <c r="C962" s="72"/>
      <c r="D962" s="72"/>
      <c r="E962" s="28"/>
      <c r="F962" s="28"/>
    </row>
    <row r="963" ht="22.5" customHeight="1">
      <c r="A963" s="72"/>
      <c r="B963" s="72"/>
      <c r="C963" s="72"/>
      <c r="D963" s="72"/>
      <c r="E963" s="28"/>
      <c r="F963" s="28"/>
    </row>
    <row r="964" ht="22.5" customHeight="1">
      <c r="A964" s="72"/>
      <c r="B964" s="72"/>
      <c r="C964" s="72"/>
      <c r="D964" s="72"/>
      <c r="E964" s="28"/>
      <c r="F964" s="28"/>
    </row>
    <row r="965" ht="22.5" customHeight="1">
      <c r="A965" s="72"/>
      <c r="B965" s="72"/>
      <c r="C965" s="72"/>
      <c r="D965" s="72"/>
      <c r="E965" s="28"/>
      <c r="F965" s="28"/>
    </row>
    <row r="966" ht="22.5" customHeight="1">
      <c r="A966" s="72"/>
      <c r="B966" s="72"/>
      <c r="C966" s="72"/>
      <c r="D966" s="72"/>
      <c r="E966" s="28"/>
      <c r="F966" s="28"/>
    </row>
    <row r="967" ht="22.5" customHeight="1">
      <c r="A967" s="72"/>
      <c r="B967" s="72"/>
      <c r="C967" s="72"/>
      <c r="D967" s="72"/>
      <c r="E967" s="28"/>
      <c r="F967" s="28"/>
    </row>
    <row r="968" ht="22.5" customHeight="1">
      <c r="A968" s="72"/>
      <c r="B968" s="72"/>
      <c r="C968" s="72"/>
      <c r="D968" s="72"/>
      <c r="E968" s="28"/>
      <c r="F968" s="28"/>
    </row>
    <row r="969" ht="22.5" customHeight="1">
      <c r="A969" s="72"/>
      <c r="B969" s="72"/>
      <c r="C969" s="72"/>
      <c r="D969" s="72"/>
      <c r="E969" s="28"/>
      <c r="F969" s="28"/>
    </row>
    <row r="970" ht="22.5" customHeight="1">
      <c r="A970" s="72"/>
      <c r="B970" s="72"/>
      <c r="C970" s="72"/>
      <c r="D970" s="72"/>
      <c r="E970" s="28"/>
      <c r="F970" s="28"/>
    </row>
    <row r="971" ht="22.5" customHeight="1">
      <c r="A971" s="72"/>
      <c r="B971" s="72"/>
      <c r="C971" s="72"/>
      <c r="D971" s="72"/>
      <c r="E971" s="28"/>
      <c r="F971" s="28"/>
    </row>
    <row r="972" ht="22.5" customHeight="1">
      <c r="A972" s="72"/>
      <c r="B972" s="72"/>
      <c r="C972" s="72"/>
      <c r="D972" s="72"/>
      <c r="E972" s="28"/>
      <c r="F972" s="28"/>
    </row>
    <row r="973" ht="22.5" customHeight="1">
      <c r="A973" s="72"/>
      <c r="B973" s="72"/>
      <c r="C973" s="72"/>
      <c r="D973" s="72"/>
      <c r="E973" s="28"/>
      <c r="F973" s="28"/>
    </row>
    <row r="974" ht="22.5" customHeight="1">
      <c r="A974" s="72"/>
      <c r="B974" s="72"/>
      <c r="C974" s="72"/>
      <c r="D974" s="72"/>
      <c r="E974" s="28"/>
      <c r="F974" s="28"/>
    </row>
    <row r="975" ht="22.5" customHeight="1">
      <c r="A975" s="72"/>
      <c r="B975" s="72"/>
      <c r="C975" s="72"/>
      <c r="D975" s="72"/>
      <c r="E975" s="28"/>
      <c r="F975" s="28"/>
    </row>
    <row r="976" ht="22.5" customHeight="1">
      <c r="A976" s="72"/>
      <c r="B976" s="72"/>
      <c r="C976" s="72"/>
      <c r="D976" s="72"/>
      <c r="E976" s="28"/>
      <c r="F976" s="28"/>
    </row>
    <row r="977" ht="22.5" customHeight="1">
      <c r="A977" s="72"/>
      <c r="B977" s="72"/>
      <c r="C977" s="72"/>
      <c r="D977" s="72"/>
      <c r="E977" s="28"/>
      <c r="F977" s="28"/>
    </row>
    <row r="978" ht="22.5" customHeight="1">
      <c r="A978" s="72"/>
      <c r="B978" s="72"/>
      <c r="C978" s="72"/>
      <c r="D978" s="72"/>
      <c r="E978" s="28"/>
      <c r="F978" s="28"/>
    </row>
    <row r="979" ht="22.5" customHeight="1">
      <c r="A979" s="72"/>
      <c r="B979" s="72"/>
      <c r="C979" s="72"/>
      <c r="D979" s="72"/>
      <c r="E979" s="28"/>
      <c r="F979" s="28"/>
    </row>
    <row r="980" ht="22.5" customHeight="1">
      <c r="A980" s="72"/>
      <c r="B980" s="72"/>
      <c r="C980" s="72"/>
      <c r="D980" s="72"/>
      <c r="E980" s="28"/>
      <c r="F980" s="28"/>
    </row>
    <row r="981" ht="22.5" customHeight="1">
      <c r="A981" s="72"/>
      <c r="B981" s="72"/>
      <c r="C981" s="72"/>
      <c r="D981" s="72"/>
      <c r="E981" s="28"/>
      <c r="F981" s="28"/>
    </row>
    <row r="982" ht="22.5" customHeight="1">
      <c r="A982" s="72"/>
      <c r="B982" s="72"/>
      <c r="C982" s="72"/>
      <c r="D982" s="72"/>
      <c r="E982" s="28"/>
      <c r="F982" s="28"/>
    </row>
    <row r="983" ht="22.5" customHeight="1">
      <c r="A983" s="72"/>
      <c r="B983" s="72"/>
      <c r="C983" s="72"/>
      <c r="D983" s="72"/>
      <c r="E983" s="28"/>
      <c r="F983" s="28"/>
    </row>
    <row r="984" ht="22.5" customHeight="1">
      <c r="A984" s="72"/>
      <c r="B984" s="72"/>
      <c r="C984" s="72"/>
      <c r="D984" s="72"/>
      <c r="E984" s="28"/>
      <c r="F984" s="28"/>
    </row>
    <row r="985" ht="22.5" customHeight="1">
      <c r="A985" s="72"/>
      <c r="B985" s="72"/>
      <c r="C985" s="72"/>
      <c r="D985" s="72"/>
      <c r="E985" s="28"/>
      <c r="F985" s="28"/>
    </row>
    <row r="986" ht="22.5" customHeight="1">
      <c r="A986" s="72"/>
      <c r="B986" s="72"/>
      <c r="C986" s="72"/>
      <c r="D986" s="72"/>
      <c r="E986" s="28"/>
      <c r="F986" s="28"/>
    </row>
    <row r="987" ht="22.5" customHeight="1">
      <c r="A987" s="72"/>
      <c r="B987" s="72"/>
      <c r="C987" s="72"/>
      <c r="D987" s="72"/>
      <c r="E987" s="28"/>
      <c r="F987" s="28"/>
    </row>
    <row r="988" ht="22.5" customHeight="1">
      <c r="A988" s="72"/>
      <c r="B988" s="72"/>
      <c r="C988" s="72"/>
      <c r="D988" s="72"/>
      <c r="E988" s="28"/>
      <c r="F988" s="28"/>
    </row>
    <row r="989" ht="22.5" customHeight="1">
      <c r="A989" s="72"/>
      <c r="B989" s="72"/>
      <c r="C989" s="72"/>
      <c r="D989" s="72"/>
      <c r="E989" s="28"/>
      <c r="F989" s="28"/>
    </row>
    <row r="990" ht="22.5" customHeight="1">
      <c r="A990" s="72"/>
      <c r="B990" s="72"/>
      <c r="C990" s="72"/>
      <c r="D990" s="72"/>
      <c r="E990" s="28"/>
      <c r="F990" s="28"/>
    </row>
    <row r="991" ht="22.5" customHeight="1">
      <c r="A991" s="72"/>
      <c r="B991" s="72"/>
      <c r="C991" s="72"/>
      <c r="D991" s="72"/>
      <c r="E991" s="28"/>
      <c r="F991" s="28"/>
    </row>
    <row r="992" ht="22.5" customHeight="1">
      <c r="A992" s="72"/>
      <c r="B992" s="72"/>
      <c r="C992" s="72"/>
      <c r="D992" s="72"/>
      <c r="E992" s="28"/>
      <c r="F992" s="28"/>
    </row>
    <row r="993" ht="22.5" customHeight="1">
      <c r="A993" s="72"/>
      <c r="B993" s="72"/>
      <c r="C993" s="72"/>
      <c r="D993" s="72"/>
      <c r="E993" s="28"/>
      <c r="F993" s="28"/>
    </row>
    <row r="994" ht="22.5" customHeight="1">
      <c r="A994" s="72"/>
      <c r="B994" s="72"/>
      <c r="C994" s="72"/>
      <c r="D994" s="72"/>
      <c r="E994" s="28"/>
      <c r="F994" s="28"/>
    </row>
    <row r="995" ht="22.5" customHeight="1">
      <c r="A995" s="72"/>
      <c r="B995" s="72"/>
      <c r="C995" s="72"/>
      <c r="D995" s="72"/>
      <c r="E995" s="28"/>
      <c r="F995" s="28"/>
    </row>
    <row r="996" ht="22.5" customHeight="1">
      <c r="A996" s="72"/>
      <c r="B996" s="72"/>
      <c r="C996" s="72"/>
      <c r="D996" s="72"/>
      <c r="E996" s="28"/>
      <c r="F996" s="28"/>
    </row>
    <row r="997" ht="22.5" customHeight="1">
      <c r="A997" s="72"/>
      <c r="B997" s="72"/>
      <c r="C997" s="72"/>
      <c r="D997" s="72"/>
      <c r="E997" s="28"/>
      <c r="F997" s="28"/>
    </row>
    <row r="998" ht="22.5" customHeight="1">
      <c r="A998" s="72"/>
      <c r="B998" s="72"/>
      <c r="C998" s="72"/>
      <c r="D998" s="72"/>
      <c r="E998" s="28"/>
      <c r="F998" s="28"/>
    </row>
    <row r="999" ht="22.5" customHeight="1">
      <c r="A999" s="72"/>
      <c r="B999" s="72"/>
      <c r="C999" s="72"/>
      <c r="D999" s="72"/>
      <c r="E999" s="28"/>
      <c r="F999" s="28"/>
    </row>
    <row r="1000" ht="22.5" customHeight="1">
      <c r="A1000" s="72"/>
      <c r="B1000" s="72"/>
      <c r="C1000" s="72"/>
      <c r="D1000" s="72"/>
      <c r="E1000" s="28"/>
      <c r="F1000" s="28"/>
    </row>
    <row r="1001" ht="22.5" customHeight="1">
      <c r="A1001" s="72"/>
      <c r="B1001" s="72"/>
      <c r="C1001" s="72"/>
      <c r="D1001" s="72"/>
      <c r="E1001" s="28"/>
      <c r="F1001" s="28"/>
    </row>
    <row r="1002" ht="22.5" customHeight="1">
      <c r="A1002" s="72"/>
      <c r="B1002" s="72"/>
      <c r="C1002" s="72"/>
      <c r="D1002" s="72"/>
      <c r="E1002" s="28"/>
      <c r="F1002" s="28"/>
    </row>
    <row r="1003" ht="22.5" customHeight="1">
      <c r="A1003" s="72"/>
      <c r="B1003" s="72"/>
      <c r="C1003" s="72"/>
      <c r="D1003" s="72"/>
      <c r="E1003" s="28"/>
      <c r="F1003" s="28"/>
    </row>
    <row r="1004" ht="22.5" customHeight="1">
      <c r="A1004" s="72"/>
      <c r="B1004" s="72"/>
      <c r="C1004" s="72"/>
      <c r="D1004" s="72"/>
      <c r="E1004" s="28"/>
      <c r="F1004" s="28"/>
    </row>
    <row r="1005" ht="22.5" customHeight="1">
      <c r="A1005" s="72"/>
      <c r="B1005" s="72"/>
      <c r="C1005" s="72"/>
      <c r="D1005" s="72"/>
      <c r="E1005" s="28"/>
      <c r="F1005" s="28"/>
    </row>
    <row r="1006" ht="22.5" customHeight="1">
      <c r="A1006" s="72"/>
      <c r="B1006" s="72"/>
      <c r="C1006" s="72"/>
      <c r="D1006" s="72"/>
      <c r="E1006" s="28"/>
      <c r="F1006" s="28"/>
    </row>
    <row r="1007" ht="22.5" customHeight="1">
      <c r="A1007" s="72"/>
      <c r="B1007" s="72"/>
      <c r="C1007" s="72"/>
      <c r="D1007" s="72"/>
      <c r="E1007" s="28"/>
      <c r="F1007" s="28"/>
    </row>
    <row r="1008" ht="22.5" customHeight="1">
      <c r="A1008" s="72"/>
      <c r="B1008" s="72"/>
      <c r="C1008" s="72"/>
      <c r="D1008" s="72"/>
      <c r="E1008" s="28"/>
      <c r="F1008" s="28"/>
    </row>
    <row r="1009" ht="22.5" customHeight="1">
      <c r="A1009" s="72"/>
      <c r="B1009" s="72"/>
      <c r="C1009" s="72"/>
      <c r="D1009" s="72"/>
      <c r="E1009" s="28"/>
      <c r="F1009" s="28"/>
    </row>
    <row r="1010" ht="22.5" customHeight="1">
      <c r="A1010" s="72"/>
      <c r="B1010" s="72"/>
      <c r="C1010" s="72"/>
      <c r="D1010" s="72"/>
      <c r="E1010" s="28"/>
      <c r="F1010" s="28"/>
    </row>
    <row r="1011" ht="22.5" customHeight="1">
      <c r="A1011" s="72"/>
      <c r="B1011" s="72"/>
      <c r="C1011" s="72"/>
      <c r="D1011" s="72"/>
      <c r="E1011" s="28"/>
      <c r="F1011" s="28"/>
    </row>
    <row r="1012" ht="22.5" customHeight="1">
      <c r="A1012" s="72"/>
      <c r="B1012" s="72"/>
      <c r="C1012" s="72"/>
      <c r="D1012" s="72"/>
      <c r="E1012" s="28"/>
      <c r="F1012" s="28"/>
    </row>
    <row r="1013" ht="22.5" customHeight="1">
      <c r="A1013" s="72"/>
      <c r="B1013" s="72"/>
      <c r="C1013" s="72"/>
      <c r="D1013" s="72"/>
      <c r="E1013" s="28"/>
      <c r="F1013" s="28"/>
    </row>
    <row r="1014" ht="22.5" customHeight="1">
      <c r="A1014" s="72"/>
      <c r="B1014" s="72"/>
      <c r="C1014" s="72"/>
      <c r="D1014" s="72"/>
      <c r="E1014" s="28"/>
      <c r="F1014" s="28"/>
    </row>
    <row r="1015" ht="22.5" customHeight="1">
      <c r="A1015" s="72"/>
      <c r="B1015" s="72"/>
      <c r="C1015" s="72"/>
      <c r="D1015" s="72"/>
      <c r="E1015" s="28"/>
      <c r="F1015" s="28"/>
    </row>
    <row r="1016" ht="22.5" customHeight="1">
      <c r="A1016" s="72"/>
      <c r="B1016" s="72"/>
      <c r="C1016" s="72"/>
      <c r="D1016" s="72"/>
      <c r="E1016" s="28"/>
      <c r="F1016" s="28"/>
    </row>
    <row r="1017" ht="22.5" customHeight="1">
      <c r="A1017" s="72"/>
      <c r="B1017" s="72"/>
      <c r="C1017" s="72"/>
      <c r="D1017" s="72"/>
      <c r="E1017" s="28"/>
      <c r="F1017" s="28"/>
    </row>
    <row r="1018" ht="22.5" customHeight="1">
      <c r="A1018" s="72"/>
      <c r="B1018" s="72"/>
      <c r="C1018" s="72"/>
      <c r="D1018" s="72"/>
      <c r="E1018" s="28"/>
      <c r="F1018" s="28"/>
    </row>
    <row r="1019" ht="22.5" customHeight="1">
      <c r="A1019" s="72"/>
      <c r="B1019" s="72"/>
      <c r="C1019" s="72"/>
      <c r="D1019" s="72"/>
      <c r="E1019" s="28"/>
      <c r="F1019" s="28"/>
    </row>
    <row r="1020" ht="22.5" customHeight="1">
      <c r="A1020" s="72"/>
      <c r="B1020" s="72"/>
      <c r="C1020" s="72"/>
      <c r="D1020" s="72"/>
      <c r="E1020" s="28"/>
      <c r="F1020" s="28"/>
    </row>
    <row r="1021" ht="22.5" customHeight="1">
      <c r="A1021" s="72"/>
      <c r="B1021" s="72"/>
      <c r="C1021" s="72"/>
      <c r="D1021" s="72"/>
      <c r="E1021" s="28"/>
      <c r="F1021" s="28"/>
    </row>
    <row r="1022" ht="22.5" customHeight="1">
      <c r="A1022" s="72"/>
      <c r="B1022" s="72"/>
      <c r="C1022" s="72"/>
      <c r="D1022" s="72"/>
      <c r="E1022" s="28"/>
      <c r="F1022" s="28"/>
    </row>
    <row r="1023" ht="22.5" customHeight="1">
      <c r="A1023" s="72"/>
      <c r="B1023" s="72"/>
      <c r="C1023" s="72"/>
      <c r="D1023" s="72"/>
      <c r="E1023" s="28"/>
      <c r="F1023" s="28"/>
    </row>
    <row r="1024" ht="22.5" customHeight="1">
      <c r="A1024" s="72"/>
      <c r="B1024" s="72"/>
      <c r="C1024" s="72"/>
      <c r="D1024" s="72"/>
      <c r="E1024" s="28"/>
      <c r="F1024" s="28"/>
    </row>
    <row r="1025" ht="22.5" customHeight="1">
      <c r="A1025" s="72"/>
      <c r="B1025" s="72"/>
      <c r="C1025" s="72"/>
      <c r="D1025" s="72"/>
      <c r="E1025" s="28"/>
      <c r="F1025" s="28"/>
    </row>
    <row r="1026" ht="22.5" customHeight="1">
      <c r="A1026" s="72"/>
      <c r="B1026" s="72"/>
      <c r="C1026" s="72"/>
      <c r="D1026" s="72"/>
      <c r="E1026" s="28"/>
      <c r="F1026" s="28"/>
    </row>
    <row r="1027" ht="22.5" customHeight="1">
      <c r="A1027" s="72"/>
      <c r="B1027" s="72"/>
      <c r="C1027" s="72"/>
      <c r="D1027" s="72"/>
      <c r="E1027" s="28"/>
      <c r="F1027" s="28"/>
    </row>
    <row r="1028" ht="22.5" customHeight="1">
      <c r="A1028" s="72"/>
      <c r="B1028" s="72"/>
      <c r="C1028" s="72"/>
      <c r="D1028" s="72"/>
      <c r="E1028" s="28"/>
      <c r="F1028" s="28"/>
    </row>
    <row r="1029" ht="22.5" customHeight="1">
      <c r="A1029" s="72"/>
      <c r="B1029" s="72"/>
      <c r="C1029" s="72"/>
      <c r="D1029" s="72"/>
      <c r="E1029" s="28"/>
      <c r="F1029" s="28"/>
    </row>
    <row r="1030" ht="22.5" customHeight="1">
      <c r="A1030" s="72"/>
      <c r="B1030" s="72"/>
      <c r="C1030" s="72"/>
      <c r="D1030" s="72"/>
      <c r="E1030" s="28"/>
      <c r="F1030" s="28"/>
    </row>
    <row r="1031" ht="22.5" customHeight="1">
      <c r="A1031" s="72"/>
      <c r="B1031" s="72"/>
      <c r="C1031" s="72"/>
      <c r="D1031" s="72"/>
      <c r="E1031" s="28"/>
      <c r="F1031" s="28"/>
    </row>
    <row r="1032" ht="22.5" customHeight="1">
      <c r="A1032" s="72"/>
      <c r="B1032" s="72"/>
      <c r="C1032" s="72"/>
      <c r="D1032" s="72"/>
      <c r="E1032" s="28"/>
      <c r="F1032" s="28"/>
    </row>
    <row r="1033" ht="22.5" customHeight="1">
      <c r="A1033" s="72"/>
      <c r="B1033" s="72"/>
      <c r="C1033" s="72"/>
      <c r="D1033" s="72"/>
      <c r="E1033" s="28"/>
      <c r="F1033" s="28"/>
    </row>
    <row r="1034" ht="22.5" customHeight="1">
      <c r="A1034" s="72"/>
      <c r="B1034" s="72"/>
      <c r="C1034" s="72"/>
      <c r="D1034" s="72"/>
      <c r="E1034" s="28"/>
      <c r="F1034" s="28"/>
    </row>
    <row r="1035" ht="22.5" customHeight="1">
      <c r="A1035" s="72"/>
      <c r="B1035" s="72"/>
      <c r="C1035" s="72"/>
      <c r="D1035" s="72"/>
      <c r="E1035" s="28"/>
      <c r="F1035" s="28"/>
    </row>
    <row r="1036" ht="22.5" customHeight="1">
      <c r="A1036" s="72"/>
      <c r="B1036" s="72"/>
      <c r="C1036" s="72"/>
      <c r="D1036" s="72"/>
      <c r="E1036" s="28"/>
      <c r="F1036" s="28"/>
    </row>
    <row r="1037" ht="22.5" customHeight="1">
      <c r="A1037" s="72"/>
      <c r="B1037" s="72"/>
      <c r="C1037" s="72"/>
      <c r="D1037" s="72"/>
      <c r="E1037" s="28"/>
      <c r="F1037" s="28"/>
    </row>
    <row r="1038" ht="22.5" customHeight="1">
      <c r="A1038" s="72"/>
      <c r="B1038" s="72"/>
      <c r="C1038" s="72"/>
      <c r="D1038" s="72"/>
      <c r="E1038" s="28"/>
      <c r="F1038" s="28"/>
    </row>
    <row r="1039" ht="22.5" customHeight="1">
      <c r="A1039" s="72"/>
      <c r="B1039" s="72"/>
      <c r="C1039" s="72"/>
      <c r="D1039" s="72"/>
      <c r="E1039" s="28"/>
      <c r="F1039" s="28"/>
    </row>
    <row r="1040" ht="22.5" customHeight="1">
      <c r="A1040" s="72"/>
      <c r="B1040" s="72"/>
      <c r="C1040" s="72"/>
      <c r="D1040" s="72"/>
      <c r="E1040" s="28"/>
      <c r="F1040" s="28"/>
    </row>
    <row r="1041" ht="22.5" customHeight="1">
      <c r="A1041" s="72"/>
      <c r="B1041" s="72"/>
      <c r="C1041" s="72"/>
      <c r="D1041" s="72"/>
      <c r="E1041" s="28"/>
      <c r="F1041" s="28"/>
    </row>
    <row r="1042" ht="22.5" customHeight="1">
      <c r="A1042" s="72"/>
      <c r="B1042" s="72"/>
      <c r="C1042" s="72"/>
      <c r="D1042" s="72"/>
      <c r="E1042" s="28"/>
      <c r="F1042" s="28"/>
    </row>
    <row r="1043" ht="22.5" customHeight="1">
      <c r="A1043" s="72"/>
      <c r="B1043" s="72"/>
      <c r="C1043" s="72"/>
      <c r="D1043" s="72"/>
      <c r="E1043" s="28"/>
      <c r="F1043" s="28"/>
    </row>
    <row r="1044" ht="22.5" customHeight="1">
      <c r="A1044" s="72"/>
      <c r="B1044" s="72"/>
      <c r="C1044" s="72"/>
      <c r="D1044" s="72"/>
      <c r="E1044" s="28"/>
      <c r="F1044" s="28"/>
    </row>
    <row r="1045" ht="22.5" customHeight="1">
      <c r="A1045" s="72"/>
      <c r="B1045" s="72"/>
      <c r="C1045" s="72"/>
      <c r="D1045" s="72"/>
      <c r="E1045" s="28"/>
      <c r="F1045" s="28"/>
    </row>
    <row r="1046" ht="22.5" customHeight="1">
      <c r="A1046" s="72"/>
      <c r="B1046" s="72"/>
      <c r="C1046" s="72"/>
      <c r="D1046" s="72"/>
      <c r="E1046" s="28"/>
      <c r="F1046" s="28"/>
    </row>
    <row r="1047" ht="22.5" customHeight="1">
      <c r="A1047" s="72"/>
      <c r="B1047" s="72"/>
      <c r="C1047" s="72"/>
      <c r="D1047" s="72"/>
      <c r="E1047" s="28"/>
      <c r="F1047" s="28"/>
    </row>
    <row r="1048" ht="22.5" customHeight="1">
      <c r="A1048" s="72"/>
      <c r="B1048" s="72"/>
      <c r="C1048" s="72"/>
      <c r="D1048" s="72"/>
      <c r="E1048" s="28"/>
      <c r="F1048" s="28"/>
    </row>
    <row r="1049" ht="22.5" customHeight="1">
      <c r="A1049" s="72"/>
      <c r="B1049" s="72"/>
      <c r="C1049" s="72"/>
      <c r="D1049" s="72"/>
      <c r="E1049" s="28"/>
      <c r="F1049" s="28"/>
    </row>
    <row r="1050" ht="22.5" customHeight="1">
      <c r="A1050" s="72"/>
      <c r="B1050" s="72"/>
      <c r="C1050" s="72"/>
      <c r="D1050" s="72"/>
      <c r="E1050" s="28"/>
      <c r="F1050" s="28"/>
    </row>
    <row r="1051" ht="22.5" customHeight="1">
      <c r="A1051" s="72"/>
      <c r="B1051" s="72"/>
      <c r="C1051" s="72"/>
      <c r="D1051" s="72"/>
      <c r="E1051" s="28"/>
      <c r="F1051" s="28"/>
    </row>
    <row r="1052" ht="22.5" customHeight="1">
      <c r="A1052" s="72"/>
      <c r="B1052" s="72"/>
      <c r="C1052" s="72"/>
      <c r="D1052" s="72"/>
      <c r="E1052" s="28"/>
      <c r="F1052" s="28"/>
    </row>
    <row r="1053" ht="22.5" customHeight="1">
      <c r="A1053" s="72"/>
      <c r="B1053" s="72"/>
      <c r="C1053" s="72"/>
      <c r="D1053" s="72"/>
      <c r="E1053" s="28"/>
      <c r="F1053" s="28"/>
    </row>
    <row r="1054" ht="22.5" customHeight="1">
      <c r="A1054" s="72"/>
      <c r="B1054" s="72"/>
      <c r="C1054" s="72"/>
      <c r="D1054" s="72"/>
      <c r="E1054" s="28"/>
      <c r="F1054" s="28"/>
    </row>
    <row r="1055" ht="22.5" customHeight="1">
      <c r="A1055" s="72"/>
      <c r="B1055" s="72"/>
      <c r="C1055" s="72"/>
      <c r="D1055" s="72"/>
      <c r="E1055" s="28"/>
      <c r="F1055" s="28"/>
    </row>
    <row r="1056" ht="22.5" customHeight="1">
      <c r="A1056" s="72"/>
      <c r="B1056" s="72"/>
      <c r="C1056" s="72"/>
      <c r="D1056" s="72"/>
      <c r="E1056" s="28"/>
      <c r="F1056" s="28"/>
    </row>
    <row r="1057" ht="22.5" customHeight="1">
      <c r="A1057" s="72"/>
      <c r="B1057" s="72"/>
      <c r="C1057" s="72"/>
      <c r="D1057" s="72"/>
      <c r="E1057" s="28"/>
      <c r="F1057" s="28"/>
    </row>
    <row r="1058" ht="22.5" customHeight="1">
      <c r="A1058" s="72"/>
      <c r="B1058" s="72"/>
      <c r="C1058" s="72"/>
      <c r="D1058" s="72"/>
      <c r="E1058" s="28"/>
      <c r="F1058" s="28"/>
    </row>
    <row r="1059" ht="22.5" customHeight="1">
      <c r="A1059" s="72"/>
      <c r="B1059" s="72"/>
      <c r="C1059" s="72"/>
      <c r="D1059" s="72"/>
      <c r="E1059" s="28"/>
      <c r="F1059" s="28"/>
    </row>
    <row r="1060" ht="22.5" customHeight="1">
      <c r="A1060" s="72"/>
      <c r="B1060" s="72"/>
      <c r="C1060" s="72"/>
      <c r="D1060" s="72"/>
      <c r="E1060" s="28"/>
      <c r="F1060" s="28"/>
    </row>
    <row r="1061" ht="22.5" customHeight="1">
      <c r="A1061" s="72"/>
      <c r="B1061" s="72"/>
      <c r="C1061" s="72"/>
      <c r="D1061" s="72"/>
      <c r="E1061" s="28"/>
      <c r="F1061" s="28"/>
    </row>
    <row r="1062" ht="22.5" customHeight="1">
      <c r="A1062" s="72"/>
      <c r="B1062" s="72"/>
      <c r="C1062" s="72"/>
      <c r="D1062" s="72"/>
      <c r="E1062" s="28"/>
      <c r="F1062" s="28"/>
    </row>
    <row r="1063" ht="22.5" customHeight="1">
      <c r="A1063" s="72"/>
      <c r="B1063" s="72"/>
      <c r="C1063" s="72"/>
      <c r="D1063" s="72"/>
      <c r="E1063" s="28"/>
      <c r="F1063" s="28"/>
    </row>
    <row r="1064" ht="22.5" customHeight="1">
      <c r="A1064" s="72"/>
      <c r="B1064" s="72"/>
      <c r="C1064" s="72"/>
      <c r="D1064" s="72"/>
      <c r="E1064" s="28"/>
      <c r="F1064" s="28"/>
    </row>
    <row r="1065" ht="22.5" customHeight="1">
      <c r="A1065" s="72"/>
      <c r="B1065" s="72"/>
      <c r="C1065" s="72"/>
      <c r="D1065" s="72"/>
      <c r="E1065" s="28"/>
      <c r="F1065" s="28"/>
    </row>
    <row r="1066" ht="22.5" customHeight="1">
      <c r="A1066" s="72"/>
      <c r="B1066" s="72"/>
      <c r="C1066" s="72"/>
      <c r="D1066" s="72"/>
      <c r="E1066" s="28"/>
      <c r="F1066" s="28"/>
    </row>
    <row r="1067" ht="22.5" customHeight="1">
      <c r="A1067" s="72"/>
      <c r="B1067" s="72"/>
      <c r="C1067" s="72"/>
      <c r="D1067" s="72"/>
      <c r="E1067" s="28"/>
      <c r="F1067" s="28"/>
    </row>
    <row r="1068" ht="22.5" customHeight="1">
      <c r="A1068" s="72"/>
      <c r="B1068" s="72"/>
      <c r="C1068" s="72"/>
      <c r="D1068" s="72"/>
      <c r="E1068" s="28"/>
      <c r="F1068" s="28"/>
    </row>
    <row r="1069" ht="22.5" customHeight="1">
      <c r="A1069" s="72"/>
      <c r="B1069" s="72"/>
      <c r="C1069" s="72"/>
      <c r="D1069" s="72"/>
      <c r="E1069" s="28"/>
      <c r="F1069" s="28"/>
    </row>
    <row r="1070" ht="22.5" customHeight="1">
      <c r="A1070" s="72"/>
      <c r="B1070" s="72"/>
      <c r="C1070" s="72"/>
      <c r="D1070" s="72"/>
      <c r="E1070" s="28"/>
      <c r="F1070" s="28"/>
    </row>
    <row r="1071" ht="22.5" customHeight="1">
      <c r="A1071" s="72"/>
      <c r="B1071" s="72"/>
      <c r="C1071" s="72"/>
      <c r="D1071" s="72"/>
      <c r="E1071" s="28"/>
      <c r="F1071" s="28"/>
    </row>
    <row r="1072" ht="22.5" customHeight="1">
      <c r="A1072" s="72"/>
      <c r="B1072" s="72"/>
      <c r="C1072" s="72"/>
      <c r="D1072" s="72"/>
      <c r="E1072" s="28"/>
      <c r="F1072" s="28"/>
    </row>
    <row r="1073" ht="22.5" customHeight="1">
      <c r="A1073" s="72"/>
      <c r="B1073" s="72"/>
      <c r="C1073" s="72"/>
      <c r="D1073" s="72"/>
      <c r="E1073" s="28"/>
      <c r="F1073" s="28"/>
    </row>
    <row r="1074" ht="22.5" customHeight="1">
      <c r="A1074" s="72"/>
      <c r="B1074" s="72"/>
      <c r="C1074" s="72"/>
      <c r="D1074" s="72"/>
      <c r="E1074" s="28"/>
      <c r="F1074" s="28"/>
    </row>
    <row r="1075" ht="22.5" customHeight="1">
      <c r="A1075" s="72"/>
      <c r="B1075" s="72"/>
      <c r="C1075" s="72"/>
      <c r="D1075" s="72"/>
      <c r="E1075" s="28"/>
      <c r="F1075" s="28"/>
    </row>
    <row r="1076" ht="22.5" customHeight="1">
      <c r="A1076" s="72"/>
      <c r="B1076" s="72"/>
      <c r="C1076" s="72"/>
      <c r="D1076" s="72"/>
      <c r="E1076" s="28"/>
      <c r="F1076" s="28"/>
    </row>
    <row r="1077" ht="22.5" customHeight="1">
      <c r="A1077" s="72"/>
      <c r="B1077" s="72"/>
      <c r="C1077" s="72"/>
      <c r="D1077" s="72"/>
      <c r="E1077" s="28"/>
      <c r="F1077" s="28"/>
    </row>
    <row r="1078" ht="22.5" customHeight="1">
      <c r="A1078" s="72"/>
      <c r="B1078" s="72"/>
      <c r="C1078" s="72"/>
      <c r="D1078" s="72"/>
      <c r="E1078" s="28"/>
      <c r="F1078" s="28"/>
    </row>
    <row r="1079" ht="22.5" customHeight="1">
      <c r="A1079" s="72"/>
      <c r="B1079" s="72"/>
      <c r="C1079" s="72"/>
      <c r="D1079" s="72"/>
      <c r="E1079" s="28"/>
      <c r="F1079" s="28"/>
    </row>
    <row r="1080" ht="22.5" customHeight="1">
      <c r="A1080" s="72"/>
      <c r="B1080" s="72"/>
      <c r="C1080" s="72"/>
      <c r="D1080" s="72"/>
      <c r="E1080" s="28"/>
      <c r="F1080" s="28"/>
    </row>
    <row r="1081" ht="22.5" customHeight="1">
      <c r="A1081" s="72"/>
      <c r="B1081" s="72"/>
      <c r="C1081" s="72"/>
      <c r="D1081" s="72"/>
      <c r="E1081" s="28"/>
      <c r="F1081" s="28"/>
    </row>
    <row r="1082" ht="22.5" customHeight="1">
      <c r="A1082" s="72"/>
      <c r="B1082" s="72"/>
      <c r="C1082" s="72"/>
      <c r="D1082" s="72"/>
      <c r="E1082" s="28"/>
      <c r="F1082" s="28"/>
    </row>
    <row r="1083" ht="22.5" customHeight="1">
      <c r="A1083" s="72"/>
      <c r="B1083" s="72"/>
      <c r="C1083" s="72"/>
      <c r="D1083" s="72"/>
      <c r="E1083" s="28"/>
      <c r="F1083" s="28"/>
    </row>
    <row r="1084" ht="22.5" customHeight="1">
      <c r="A1084" s="72"/>
      <c r="B1084" s="72"/>
      <c r="C1084" s="72"/>
      <c r="D1084" s="72"/>
      <c r="E1084" s="28"/>
      <c r="F1084" s="28"/>
    </row>
    <row r="1085" ht="22.5" customHeight="1">
      <c r="A1085" s="72"/>
      <c r="B1085" s="72"/>
      <c r="C1085" s="72"/>
      <c r="D1085" s="72"/>
      <c r="E1085" s="28"/>
      <c r="F1085" s="28"/>
    </row>
    <row r="1086" ht="22.5" customHeight="1">
      <c r="A1086" s="72"/>
      <c r="B1086" s="72"/>
      <c r="C1086" s="72"/>
      <c r="D1086" s="72"/>
      <c r="E1086" s="28"/>
      <c r="F1086" s="28"/>
    </row>
    <row r="1087" ht="22.5" customHeight="1">
      <c r="A1087" s="72"/>
      <c r="B1087" s="72"/>
      <c r="C1087" s="72"/>
      <c r="D1087" s="72"/>
      <c r="E1087" s="28"/>
      <c r="F1087" s="28"/>
    </row>
    <row r="1088" ht="22.5" customHeight="1">
      <c r="A1088" s="72"/>
      <c r="B1088" s="72"/>
      <c r="C1088" s="72"/>
      <c r="D1088" s="72"/>
      <c r="E1088" s="28"/>
      <c r="F1088" s="28"/>
    </row>
    <row r="1089" ht="22.5" customHeight="1">
      <c r="A1089" s="72"/>
      <c r="B1089" s="72"/>
      <c r="C1089" s="72"/>
      <c r="D1089" s="72"/>
      <c r="E1089" s="28"/>
      <c r="F1089" s="28"/>
    </row>
    <row r="1090" ht="22.5" customHeight="1">
      <c r="A1090" s="72"/>
      <c r="B1090" s="72"/>
      <c r="C1090" s="72"/>
      <c r="D1090" s="72"/>
      <c r="E1090" s="28"/>
      <c r="F1090" s="28"/>
    </row>
    <row r="1091" ht="22.5" customHeight="1">
      <c r="A1091" s="72"/>
      <c r="B1091" s="72"/>
      <c r="C1091" s="72"/>
      <c r="D1091" s="72"/>
      <c r="E1091" s="28"/>
      <c r="F1091" s="28"/>
    </row>
    <row r="1092" ht="22.5" customHeight="1">
      <c r="A1092" s="72"/>
      <c r="B1092" s="72"/>
      <c r="C1092" s="72"/>
      <c r="D1092" s="72"/>
      <c r="E1092" s="28"/>
      <c r="F1092" s="28"/>
    </row>
    <row r="1093" ht="22.5" customHeight="1">
      <c r="A1093" s="72"/>
      <c r="B1093" s="72"/>
      <c r="C1093" s="72"/>
      <c r="D1093" s="72"/>
      <c r="E1093" s="28"/>
      <c r="F1093" s="28"/>
    </row>
    <row r="1094" ht="22.5" customHeight="1">
      <c r="A1094" s="72"/>
      <c r="B1094" s="72"/>
      <c r="C1094" s="72"/>
      <c r="D1094" s="72"/>
      <c r="E1094" s="28"/>
      <c r="F1094" s="28"/>
    </row>
    <row r="1095" ht="22.5" customHeight="1">
      <c r="A1095" s="72"/>
      <c r="B1095" s="72"/>
      <c r="C1095" s="72"/>
      <c r="D1095" s="72"/>
      <c r="E1095" s="28"/>
      <c r="F1095" s="28"/>
    </row>
    <row r="1096" ht="22.5" customHeight="1">
      <c r="A1096" s="72"/>
      <c r="B1096" s="72"/>
      <c r="C1096" s="72"/>
      <c r="D1096" s="72"/>
      <c r="E1096" s="28"/>
      <c r="F1096" s="28"/>
    </row>
    <row r="1097" ht="22.5" customHeight="1">
      <c r="A1097" s="72"/>
      <c r="B1097" s="72"/>
      <c r="C1097" s="72"/>
      <c r="D1097" s="72"/>
      <c r="E1097" s="28"/>
      <c r="F1097" s="28"/>
    </row>
    <row r="1098" ht="22.5" customHeight="1">
      <c r="A1098" s="72"/>
      <c r="B1098" s="72"/>
      <c r="C1098" s="72"/>
      <c r="D1098" s="72"/>
      <c r="E1098" s="28"/>
      <c r="F1098" s="28"/>
    </row>
    <row r="1099" ht="22.5" customHeight="1">
      <c r="A1099" s="72"/>
      <c r="B1099" s="72"/>
      <c r="C1099" s="72"/>
      <c r="D1099" s="72"/>
      <c r="E1099" s="28"/>
      <c r="F1099" s="28"/>
    </row>
    <row r="1100" ht="22.5" customHeight="1">
      <c r="A1100" s="72"/>
      <c r="B1100" s="72"/>
      <c r="C1100" s="72"/>
      <c r="D1100" s="72"/>
      <c r="E1100" s="28"/>
      <c r="F1100" s="28"/>
    </row>
    <row r="1101" ht="22.5" customHeight="1">
      <c r="A1101" s="72"/>
      <c r="B1101" s="72"/>
      <c r="C1101" s="72"/>
      <c r="D1101" s="72"/>
      <c r="E1101" s="28"/>
      <c r="F1101" s="28"/>
    </row>
    <row r="1102" ht="22.5" customHeight="1">
      <c r="A1102" s="72"/>
      <c r="B1102" s="72"/>
      <c r="C1102" s="72"/>
      <c r="D1102" s="72"/>
      <c r="E1102" s="28"/>
      <c r="F1102" s="28"/>
    </row>
    <row r="1103" ht="22.5" customHeight="1">
      <c r="A1103" s="72"/>
      <c r="B1103" s="72"/>
      <c r="C1103" s="72"/>
      <c r="D1103" s="72"/>
      <c r="E1103" s="28"/>
      <c r="F1103" s="28"/>
    </row>
    <row r="1104" ht="22.5" customHeight="1">
      <c r="A1104" s="72"/>
      <c r="B1104" s="72"/>
      <c r="C1104" s="72"/>
      <c r="D1104" s="72"/>
      <c r="E1104" s="28"/>
      <c r="F1104" s="28"/>
    </row>
    <row r="1105" ht="22.5" customHeight="1">
      <c r="A1105" s="72"/>
      <c r="B1105" s="72"/>
      <c r="C1105" s="72"/>
      <c r="D1105" s="72"/>
      <c r="E1105" s="28"/>
      <c r="F1105" s="28"/>
    </row>
    <row r="1106" ht="22.5" customHeight="1">
      <c r="A1106" s="72"/>
      <c r="B1106" s="72"/>
      <c r="C1106" s="72"/>
      <c r="D1106" s="72"/>
      <c r="E1106" s="28"/>
      <c r="F1106" s="28"/>
    </row>
    <row r="1107" ht="22.5" customHeight="1">
      <c r="A1107" s="72"/>
      <c r="B1107" s="72"/>
      <c r="C1107" s="72"/>
      <c r="D1107" s="72"/>
      <c r="E1107" s="28"/>
      <c r="F1107" s="28"/>
    </row>
    <row r="1108" ht="22.5" customHeight="1">
      <c r="A1108" s="72"/>
      <c r="B1108" s="72"/>
      <c r="C1108" s="72"/>
      <c r="D1108" s="72"/>
      <c r="E1108" s="28"/>
      <c r="F1108" s="28"/>
    </row>
    <row r="1109" ht="22.5" customHeight="1">
      <c r="A1109" s="72"/>
      <c r="B1109" s="72"/>
      <c r="C1109" s="72"/>
      <c r="D1109" s="72"/>
      <c r="E1109" s="28"/>
      <c r="F1109" s="28"/>
    </row>
    <row r="1110" ht="22.5" customHeight="1">
      <c r="A1110" s="72"/>
      <c r="B1110" s="72"/>
      <c r="C1110" s="72"/>
      <c r="D1110" s="72"/>
      <c r="E1110" s="28"/>
      <c r="F1110" s="28"/>
    </row>
    <row r="1111" ht="22.5" customHeight="1">
      <c r="A1111" s="72"/>
      <c r="B1111" s="72"/>
      <c r="C1111" s="72"/>
      <c r="D1111" s="72"/>
      <c r="E1111" s="28"/>
      <c r="F1111" s="28"/>
    </row>
    <row r="1112" ht="22.5" customHeight="1">
      <c r="A1112" s="72"/>
      <c r="B1112" s="72"/>
      <c r="C1112" s="72"/>
      <c r="D1112" s="72"/>
      <c r="E1112" s="28"/>
      <c r="F1112" s="28"/>
    </row>
    <row r="1113" ht="22.5" customHeight="1">
      <c r="A1113" s="72"/>
      <c r="B1113" s="72"/>
      <c r="C1113" s="72"/>
      <c r="D1113" s="72"/>
      <c r="E1113" s="28"/>
      <c r="F1113" s="28"/>
    </row>
    <row r="1114" ht="22.5" customHeight="1">
      <c r="A1114" s="72"/>
      <c r="B1114" s="72"/>
      <c r="C1114" s="72"/>
      <c r="D1114" s="72"/>
      <c r="E1114" s="28"/>
      <c r="F1114" s="28"/>
    </row>
    <row r="1115" ht="22.5" customHeight="1">
      <c r="A1115" s="72"/>
      <c r="B1115" s="72"/>
      <c r="C1115" s="72"/>
      <c r="D1115" s="72"/>
      <c r="E1115" s="28"/>
      <c r="F1115" s="28"/>
    </row>
    <row r="1116" ht="22.5" customHeight="1">
      <c r="A1116" s="72"/>
      <c r="B1116" s="72"/>
      <c r="C1116" s="72"/>
      <c r="D1116" s="72"/>
      <c r="E1116" s="28"/>
      <c r="F1116" s="28"/>
    </row>
    <row r="1117" ht="22.5" customHeight="1">
      <c r="A1117" s="72"/>
      <c r="B1117" s="72"/>
      <c r="C1117" s="72"/>
      <c r="D1117" s="72"/>
      <c r="E1117" s="28"/>
      <c r="F1117" s="28"/>
    </row>
    <row r="1118" ht="22.5" customHeight="1">
      <c r="A1118" s="72"/>
      <c r="B1118" s="72"/>
      <c r="C1118" s="72"/>
      <c r="D1118" s="72"/>
      <c r="E1118" s="28"/>
      <c r="F1118" s="28"/>
    </row>
    <row r="1119" ht="22.5" customHeight="1">
      <c r="A1119" s="72"/>
      <c r="B1119" s="72"/>
      <c r="C1119" s="72"/>
      <c r="D1119" s="72"/>
      <c r="E1119" s="28"/>
      <c r="F1119" s="28"/>
    </row>
    <row r="1120" ht="22.5" customHeight="1">
      <c r="A1120" s="72"/>
      <c r="B1120" s="72"/>
      <c r="C1120" s="72"/>
      <c r="D1120" s="72"/>
      <c r="E1120" s="28"/>
      <c r="F1120" s="28"/>
    </row>
    <row r="1121" ht="22.5" customHeight="1">
      <c r="A1121" s="72"/>
      <c r="B1121" s="72"/>
      <c r="C1121" s="72"/>
      <c r="D1121" s="72"/>
      <c r="E1121" s="28"/>
      <c r="F1121" s="28"/>
    </row>
    <row r="1122" ht="22.5" customHeight="1">
      <c r="A1122" s="72"/>
      <c r="B1122" s="72"/>
      <c r="C1122" s="72"/>
      <c r="D1122" s="72"/>
      <c r="E1122" s="28"/>
      <c r="F1122" s="28"/>
    </row>
    <row r="1123" ht="22.5" customHeight="1">
      <c r="A1123" s="72"/>
      <c r="B1123" s="72"/>
      <c r="C1123" s="72"/>
      <c r="D1123" s="72"/>
      <c r="E1123" s="28"/>
      <c r="F1123" s="28"/>
    </row>
    <row r="1124" ht="22.5" customHeight="1">
      <c r="A1124" s="28"/>
      <c r="B1124" s="28"/>
      <c r="C1124" s="55"/>
      <c r="D1124" s="28"/>
      <c r="E1124" s="28"/>
      <c r="F1124" s="28"/>
    </row>
    <row r="1125" ht="22.5" customHeight="1">
      <c r="A1125" s="28"/>
      <c r="B1125" s="28"/>
      <c r="C1125" s="55"/>
      <c r="D1125" s="28"/>
      <c r="E1125" s="28"/>
      <c r="F1125" s="28"/>
    </row>
    <row r="1126" ht="22.5" customHeight="1">
      <c r="A1126" s="28"/>
      <c r="B1126" s="28"/>
      <c r="C1126" s="55"/>
      <c r="D1126" s="28"/>
      <c r="E1126" s="28"/>
      <c r="F1126" s="28"/>
    </row>
    <row r="1127" ht="22.5" customHeight="1">
      <c r="A1127" s="28"/>
      <c r="B1127" s="28"/>
      <c r="C1127" s="55"/>
      <c r="D1127" s="28"/>
      <c r="E1127" s="28"/>
      <c r="F1127" s="28"/>
    </row>
    <row r="1128" ht="22.5" customHeight="1">
      <c r="A1128" s="28"/>
      <c r="B1128" s="28"/>
      <c r="C1128" s="55"/>
      <c r="D1128" s="28"/>
      <c r="E1128" s="28"/>
      <c r="F1128" s="28"/>
    </row>
    <row r="1129" ht="22.5" customHeight="1">
      <c r="A1129" s="28"/>
      <c r="B1129" s="28"/>
      <c r="C1129" s="55"/>
      <c r="D1129" s="28"/>
      <c r="E1129" s="28"/>
      <c r="F1129" s="28"/>
    </row>
    <row r="1130" ht="22.5" customHeight="1">
      <c r="A1130" s="28"/>
      <c r="B1130" s="28"/>
      <c r="C1130" s="55"/>
      <c r="D1130" s="28"/>
      <c r="E1130" s="28"/>
      <c r="F1130" s="28"/>
    </row>
    <row r="1131" ht="22.5" customHeight="1">
      <c r="A1131" s="28"/>
      <c r="B1131" s="28"/>
      <c r="C1131" s="55"/>
      <c r="D1131" s="28"/>
      <c r="E1131" s="28"/>
      <c r="F1131" s="28"/>
    </row>
    <row r="1132" ht="22.5" customHeight="1">
      <c r="A1132" s="28"/>
      <c r="B1132" s="28"/>
      <c r="C1132" s="55"/>
      <c r="D1132" s="28"/>
      <c r="E1132" s="28"/>
      <c r="F1132" s="28"/>
    </row>
    <row r="1133" ht="22.5" customHeight="1">
      <c r="A1133" s="28"/>
      <c r="B1133" s="28"/>
      <c r="C1133" s="55"/>
      <c r="D1133" s="28"/>
      <c r="E1133" s="28"/>
      <c r="F1133" s="28"/>
    </row>
    <row r="1134" ht="22.5" customHeight="1">
      <c r="A1134" s="28"/>
      <c r="B1134" s="28"/>
      <c r="C1134" s="55"/>
      <c r="D1134" s="28"/>
      <c r="E1134" s="28"/>
      <c r="F1134" s="28"/>
    </row>
    <row r="1135" ht="22.5" customHeight="1">
      <c r="A1135" s="28"/>
      <c r="B1135" s="28"/>
      <c r="C1135" s="55"/>
      <c r="D1135" s="28"/>
      <c r="E1135" s="28"/>
      <c r="F1135" s="28"/>
    </row>
    <row r="1136" ht="22.5" customHeight="1">
      <c r="A1136" s="28"/>
      <c r="B1136" s="28"/>
      <c r="C1136" s="55"/>
      <c r="D1136" s="28"/>
      <c r="E1136" s="28"/>
      <c r="F1136" s="28"/>
    </row>
    <row r="1137" ht="22.5" customHeight="1">
      <c r="A1137" s="28"/>
      <c r="B1137" s="28"/>
      <c r="C1137" s="55"/>
      <c r="D1137" s="28"/>
      <c r="E1137" s="28"/>
      <c r="F1137" s="28"/>
    </row>
    <row r="1138" ht="22.5" customHeight="1">
      <c r="A1138" s="28"/>
      <c r="B1138" s="28"/>
      <c r="C1138" s="55"/>
      <c r="D1138" s="28"/>
      <c r="E1138" s="28"/>
      <c r="F1138" s="28"/>
    </row>
    <row r="1139" ht="22.5" customHeight="1">
      <c r="A1139" s="28"/>
      <c r="B1139" s="28"/>
      <c r="C1139" s="55"/>
      <c r="D1139" s="28"/>
      <c r="E1139" s="28"/>
      <c r="F1139" s="28"/>
    </row>
    <row r="1140" ht="22.5" customHeight="1">
      <c r="A1140" s="28"/>
      <c r="B1140" s="28"/>
      <c r="C1140" s="55"/>
      <c r="D1140" s="28"/>
      <c r="E1140" s="28"/>
      <c r="F1140" s="28"/>
    </row>
    <row r="1141" ht="22.5" customHeight="1">
      <c r="A1141" s="28"/>
      <c r="B1141" s="28"/>
      <c r="C1141" s="55"/>
      <c r="D1141" s="28"/>
      <c r="E1141" s="28"/>
      <c r="F1141" s="28"/>
    </row>
    <row r="1142" ht="22.5" customHeight="1">
      <c r="A1142" s="28"/>
      <c r="B1142" s="28"/>
      <c r="C1142" s="55"/>
      <c r="D1142" s="28"/>
      <c r="E1142" s="28"/>
      <c r="F1142" s="28"/>
    </row>
    <row r="1143" ht="22.5" customHeight="1">
      <c r="A1143" s="28"/>
      <c r="B1143" s="28"/>
      <c r="C1143" s="55"/>
      <c r="D1143" s="28"/>
      <c r="E1143" s="28"/>
      <c r="F1143" s="28"/>
    </row>
    <row r="1144" ht="22.5" customHeight="1">
      <c r="A1144" s="28"/>
      <c r="B1144" s="28"/>
      <c r="C1144" s="55"/>
      <c r="D1144" s="28"/>
      <c r="E1144" s="28"/>
      <c r="F1144" s="28"/>
    </row>
    <row r="1145" ht="22.5" customHeight="1">
      <c r="A1145" s="28"/>
      <c r="B1145" s="28"/>
      <c r="C1145" s="55"/>
      <c r="D1145" s="28"/>
      <c r="E1145" s="28"/>
      <c r="F1145" s="28"/>
    </row>
    <row r="1146" ht="22.5" customHeight="1">
      <c r="A1146" s="28"/>
      <c r="B1146" s="28"/>
      <c r="C1146" s="55"/>
      <c r="D1146" s="28"/>
      <c r="E1146" s="28"/>
      <c r="F1146" s="28"/>
    </row>
    <row r="1147" ht="22.5" customHeight="1">
      <c r="A1147" s="28"/>
      <c r="B1147" s="28"/>
      <c r="C1147" s="55"/>
      <c r="D1147" s="28"/>
      <c r="E1147" s="28"/>
      <c r="F1147" s="28"/>
    </row>
    <row r="1148" ht="22.5" customHeight="1">
      <c r="A1148" s="28"/>
      <c r="B1148" s="28"/>
      <c r="C1148" s="55"/>
      <c r="D1148" s="28"/>
      <c r="E1148" s="28"/>
      <c r="F1148" s="28"/>
    </row>
    <row r="1149" ht="22.5" customHeight="1">
      <c r="A1149" s="28"/>
      <c r="B1149" s="28"/>
      <c r="C1149" s="55"/>
      <c r="D1149" s="28"/>
      <c r="E1149" s="28"/>
      <c r="F1149" s="28"/>
    </row>
    <row r="1150" ht="22.5" customHeight="1">
      <c r="A1150" s="28"/>
      <c r="B1150" s="28"/>
      <c r="C1150" s="55"/>
      <c r="D1150" s="28"/>
      <c r="E1150" s="28"/>
      <c r="F1150" s="28"/>
    </row>
    <row r="1151" ht="22.5" customHeight="1">
      <c r="A1151" s="28"/>
      <c r="B1151" s="28"/>
      <c r="C1151" s="55"/>
      <c r="D1151" s="28"/>
      <c r="E1151" s="28"/>
      <c r="F1151" s="28"/>
    </row>
    <row r="1152" ht="22.5" customHeight="1">
      <c r="A1152" s="28"/>
      <c r="B1152" s="28"/>
      <c r="C1152" s="55"/>
      <c r="D1152" s="28"/>
      <c r="E1152" s="28"/>
      <c r="F1152" s="28"/>
    </row>
    <row r="1153" ht="22.5" customHeight="1">
      <c r="A1153" s="28"/>
      <c r="B1153" s="28"/>
      <c r="C1153" s="55"/>
      <c r="D1153" s="28"/>
      <c r="E1153" s="28"/>
      <c r="F1153" s="28"/>
    </row>
    <row r="1154" ht="22.5" customHeight="1">
      <c r="A1154" s="28"/>
      <c r="B1154" s="28"/>
      <c r="C1154" s="55"/>
      <c r="D1154" s="28"/>
      <c r="E1154" s="28"/>
      <c r="F1154" s="28"/>
    </row>
    <row r="1155" ht="22.5" customHeight="1">
      <c r="A1155" s="28"/>
      <c r="B1155" s="28"/>
      <c r="C1155" s="55"/>
      <c r="D1155" s="28"/>
      <c r="E1155" s="28"/>
      <c r="F1155" s="28"/>
    </row>
    <row r="1156" ht="22.5" customHeight="1">
      <c r="A1156" s="28"/>
      <c r="B1156" s="28"/>
      <c r="C1156" s="55"/>
      <c r="D1156" s="28"/>
      <c r="E1156" s="28"/>
      <c r="F1156" s="28"/>
    </row>
    <row r="1157" ht="22.5" customHeight="1">
      <c r="A1157" s="28"/>
      <c r="B1157" s="28"/>
      <c r="C1157" s="55"/>
      <c r="D1157" s="28"/>
      <c r="E1157" s="28"/>
      <c r="F1157" s="28"/>
    </row>
    <row r="1158" ht="22.5" customHeight="1">
      <c r="A1158" s="28"/>
      <c r="B1158" s="28"/>
      <c r="C1158" s="55"/>
      <c r="D1158" s="28"/>
      <c r="E1158" s="28"/>
      <c r="F1158" s="28"/>
    </row>
    <row r="1159" ht="22.5" customHeight="1">
      <c r="A1159" s="28"/>
      <c r="B1159" s="28"/>
      <c r="C1159" s="55"/>
      <c r="D1159" s="28"/>
      <c r="E1159" s="28"/>
      <c r="F1159" s="28"/>
    </row>
    <row r="1160" ht="22.5" customHeight="1">
      <c r="A1160" s="28"/>
      <c r="B1160" s="28"/>
      <c r="C1160" s="55"/>
      <c r="D1160" s="28"/>
      <c r="E1160" s="28"/>
      <c r="F1160" s="28"/>
    </row>
    <row r="1161" ht="22.5" customHeight="1">
      <c r="A1161" s="28"/>
      <c r="B1161" s="28"/>
      <c r="C1161" s="55"/>
      <c r="D1161" s="28"/>
      <c r="E1161" s="28"/>
      <c r="F1161" s="28"/>
    </row>
    <row r="1162" ht="22.5" customHeight="1">
      <c r="A1162" s="28"/>
      <c r="B1162" s="28"/>
      <c r="C1162" s="55"/>
      <c r="D1162" s="28"/>
      <c r="E1162" s="28"/>
      <c r="F1162" s="28"/>
    </row>
    <row r="1163" ht="22.5" customHeight="1">
      <c r="A1163" s="28"/>
      <c r="B1163" s="28"/>
      <c r="C1163" s="55"/>
      <c r="D1163" s="28"/>
      <c r="E1163" s="28"/>
      <c r="F1163" s="28"/>
    </row>
    <row r="1164" ht="22.5" customHeight="1">
      <c r="A1164" s="28"/>
      <c r="B1164" s="28"/>
      <c r="C1164" s="55"/>
      <c r="D1164" s="28"/>
      <c r="E1164" s="28"/>
      <c r="F1164" s="28"/>
    </row>
    <row r="1165" ht="22.5" customHeight="1">
      <c r="A1165" s="28"/>
      <c r="B1165" s="28"/>
      <c r="C1165" s="55"/>
      <c r="D1165" s="28"/>
      <c r="E1165" s="28"/>
      <c r="F1165" s="28"/>
    </row>
    <row r="1166" ht="22.5" customHeight="1">
      <c r="A1166" s="28"/>
      <c r="B1166" s="28"/>
      <c r="C1166" s="55"/>
      <c r="D1166" s="28"/>
      <c r="E1166" s="28"/>
      <c r="F1166" s="28"/>
    </row>
    <row r="1167" ht="22.5" customHeight="1">
      <c r="A1167" s="28"/>
      <c r="B1167" s="28"/>
      <c r="C1167" s="55"/>
      <c r="D1167" s="28"/>
      <c r="E1167" s="28"/>
      <c r="F1167" s="28"/>
    </row>
    <row r="1168" ht="22.5" customHeight="1">
      <c r="A1168" s="28"/>
      <c r="B1168" s="28"/>
      <c r="C1168" s="55"/>
      <c r="D1168" s="28"/>
      <c r="E1168" s="28"/>
      <c r="F1168" s="28"/>
    </row>
    <row r="1169" ht="22.5" customHeight="1">
      <c r="A1169" s="28"/>
      <c r="B1169" s="28"/>
      <c r="C1169" s="55"/>
      <c r="D1169" s="28"/>
      <c r="E1169" s="28"/>
      <c r="F1169" s="28"/>
    </row>
    <row r="1170" ht="22.5" customHeight="1">
      <c r="A1170" s="28"/>
      <c r="B1170" s="28"/>
      <c r="C1170" s="55"/>
      <c r="D1170" s="28"/>
      <c r="E1170" s="28"/>
      <c r="F1170" s="28"/>
    </row>
    <row r="1171" ht="22.5" customHeight="1">
      <c r="A1171" s="28"/>
      <c r="B1171" s="28"/>
      <c r="C1171" s="55"/>
      <c r="D1171" s="28"/>
      <c r="E1171" s="28"/>
      <c r="F1171" s="28"/>
    </row>
    <row r="1172" ht="22.5" customHeight="1">
      <c r="A1172" s="28"/>
      <c r="B1172" s="28"/>
      <c r="C1172" s="55"/>
      <c r="D1172" s="28"/>
      <c r="E1172" s="28"/>
      <c r="F1172" s="28"/>
    </row>
    <row r="1173" ht="22.5" customHeight="1">
      <c r="A1173" s="28"/>
      <c r="B1173" s="28"/>
      <c r="C1173" s="55"/>
      <c r="D1173" s="28"/>
      <c r="E1173" s="28"/>
      <c r="F1173" s="28"/>
    </row>
    <row r="1174" ht="22.5" customHeight="1">
      <c r="A1174" s="28"/>
      <c r="B1174" s="28"/>
      <c r="C1174" s="55"/>
      <c r="D1174" s="28"/>
      <c r="E1174" s="28"/>
      <c r="F1174" s="28"/>
    </row>
    <row r="1175" ht="22.5" customHeight="1">
      <c r="A1175" s="28"/>
      <c r="B1175" s="28"/>
      <c r="C1175" s="55"/>
      <c r="D1175" s="28"/>
      <c r="E1175" s="28"/>
      <c r="F1175" s="28"/>
    </row>
    <row r="1176" ht="22.5" customHeight="1">
      <c r="A1176" s="28"/>
      <c r="B1176" s="28"/>
      <c r="C1176" s="55"/>
      <c r="D1176" s="28"/>
      <c r="E1176" s="28"/>
      <c r="F1176" s="28"/>
    </row>
    <row r="1177" ht="22.5" customHeight="1">
      <c r="A1177" s="28"/>
      <c r="B1177" s="28"/>
      <c r="C1177" s="55"/>
      <c r="D1177" s="28"/>
      <c r="E1177" s="28"/>
      <c r="F1177" s="28"/>
    </row>
    <row r="1178" ht="22.5" customHeight="1">
      <c r="A1178" s="28"/>
      <c r="B1178" s="28"/>
      <c r="C1178" s="55"/>
      <c r="D1178" s="28"/>
      <c r="E1178" s="28"/>
      <c r="F1178" s="28"/>
    </row>
    <row r="1179" ht="22.5" customHeight="1">
      <c r="A1179" s="28"/>
      <c r="B1179" s="28"/>
      <c r="C1179" s="55"/>
      <c r="D1179" s="28"/>
      <c r="E1179" s="28"/>
      <c r="F1179" s="28"/>
    </row>
    <row r="1180" ht="22.5" customHeight="1">
      <c r="A1180" s="28"/>
      <c r="B1180" s="28"/>
      <c r="C1180" s="55"/>
      <c r="D1180" s="28"/>
      <c r="E1180" s="28"/>
      <c r="F1180" s="28"/>
    </row>
    <row r="1181" ht="22.5" customHeight="1">
      <c r="A1181" s="28"/>
      <c r="B1181" s="28"/>
      <c r="C1181" s="55"/>
      <c r="D1181" s="28"/>
      <c r="E1181" s="28"/>
      <c r="F1181" s="28"/>
    </row>
    <row r="1182" ht="22.5" customHeight="1">
      <c r="A1182" s="28"/>
      <c r="B1182" s="28"/>
      <c r="C1182" s="55"/>
      <c r="D1182" s="28"/>
      <c r="E1182" s="28"/>
      <c r="F1182" s="28"/>
    </row>
    <row r="1183" ht="22.5" customHeight="1">
      <c r="A1183" s="28"/>
      <c r="B1183" s="28"/>
      <c r="C1183" s="55"/>
      <c r="D1183" s="28"/>
      <c r="E1183" s="28"/>
      <c r="F1183" s="28"/>
    </row>
    <row r="1184" ht="22.5" customHeight="1">
      <c r="A1184" s="28"/>
      <c r="B1184" s="28"/>
      <c r="C1184" s="55"/>
      <c r="D1184" s="28"/>
      <c r="E1184" s="28"/>
      <c r="F1184" s="28"/>
    </row>
    <row r="1185" ht="22.5" customHeight="1">
      <c r="A1185" s="28"/>
      <c r="B1185" s="28"/>
      <c r="C1185" s="55"/>
      <c r="D1185" s="28"/>
      <c r="E1185" s="28"/>
      <c r="F1185" s="28"/>
    </row>
    <row r="1186" ht="22.5" customHeight="1">
      <c r="A1186" s="28"/>
      <c r="B1186" s="28"/>
      <c r="C1186" s="55"/>
      <c r="D1186" s="28"/>
      <c r="E1186" s="28"/>
      <c r="F1186" s="28"/>
    </row>
    <row r="1187" ht="22.5" customHeight="1">
      <c r="A1187" s="28"/>
      <c r="B1187" s="28"/>
      <c r="C1187" s="55"/>
      <c r="D1187" s="28"/>
      <c r="E1187" s="28"/>
      <c r="F1187" s="28"/>
    </row>
    <row r="1188" ht="22.5" customHeight="1">
      <c r="A1188" s="28"/>
      <c r="B1188" s="28"/>
      <c r="C1188" s="55"/>
      <c r="D1188" s="28"/>
      <c r="E1188" s="28"/>
      <c r="F1188" s="28"/>
    </row>
    <row r="1189" ht="22.5" customHeight="1">
      <c r="A1189" s="28"/>
      <c r="B1189" s="28"/>
      <c r="C1189" s="55"/>
      <c r="D1189" s="28"/>
      <c r="E1189" s="28"/>
      <c r="F1189" s="28"/>
    </row>
    <row r="1190" ht="22.5" customHeight="1">
      <c r="A1190" s="28"/>
      <c r="B1190" s="28"/>
      <c r="C1190" s="55"/>
      <c r="D1190" s="28"/>
      <c r="E1190" s="28"/>
      <c r="F1190" s="28"/>
    </row>
    <row r="1191" ht="22.5" customHeight="1">
      <c r="A1191" s="28"/>
      <c r="B1191" s="28"/>
      <c r="C1191" s="55"/>
      <c r="D1191" s="28"/>
      <c r="E1191" s="28"/>
      <c r="F1191" s="28"/>
    </row>
    <row r="1192" ht="22.5" customHeight="1">
      <c r="A1192" s="28"/>
      <c r="B1192" s="28"/>
      <c r="C1192" s="55"/>
      <c r="D1192" s="28"/>
      <c r="E1192" s="28"/>
      <c r="F1192" s="28"/>
    </row>
    <row r="1193" ht="22.5" customHeight="1">
      <c r="A1193" s="28"/>
      <c r="B1193" s="28"/>
      <c r="C1193" s="55"/>
      <c r="D1193" s="28"/>
      <c r="E1193" s="28"/>
      <c r="F1193" s="28"/>
    </row>
    <row r="1194" ht="22.5" customHeight="1">
      <c r="A1194" s="28"/>
      <c r="B1194" s="28"/>
      <c r="C1194" s="55"/>
      <c r="D1194" s="28"/>
      <c r="E1194" s="28"/>
      <c r="F1194" s="28"/>
    </row>
    <row r="1195" ht="22.5" customHeight="1">
      <c r="A1195" s="28"/>
      <c r="B1195" s="28"/>
      <c r="C1195" s="55"/>
      <c r="D1195" s="28"/>
      <c r="E1195" s="28"/>
      <c r="F1195" s="28"/>
    </row>
    <row r="1196" ht="22.5" customHeight="1">
      <c r="A1196" s="28"/>
      <c r="B1196" s="28"/>
      <c r="C1196" s="55"/>
      <c r="D1196" s="28"/>
      <c r="E1196" s="28"/>
      <c r="F1196" s="28"/>
    </row>
    <row r="1197" ht="22.5" customHeight="1">
      <c r="A1197" s="28"/>
      <c r="B1197" s="28"/>
      <c r="C1197" s="55"/>
      <c r="D1197" s="28"/>
      <c r="E1197" s="28"/>
      <c r="F1197" s="28"/>
    </row>
    <row r="1198" ht="22.5" customHeight="1">
      <c r="A1198" s="28"/>
      <c r="B1198" s="28"/>
      <c r="C1198" s="55"/>
      <c r="D1198" s="28"/>
      <c r="E1198" s="28"/>
      <c r="F1198" s="28"/>
    </row>
    <row r="1199" ht="22.5" customHeight="1">
      <c r="A1199" s="28"/>
      <c r="B1199" s="28"/>
      <c r="C1199" s="55"/>
      <c r="D1199" s="28"/>
      <c r="E1199" s="28"/>
      <c r="F1199" s="28"/>
    </row>
    <row r="1200" ht="22.5" customHeight="1">
      <c r="A1200" s="28"/>
      <c r="B1200" s="28"/>
      <c r="C1200" s="55"/>
      <c r="D1200" s="28"/>
      <c r="E1200" s="28"/>
      <c r="F1200" s="28"/>
    </row>
    <row r="1201" ht="22.5" customHeight="1">
      <c r="A1201" s="28"/>
      <c r="B1201" s="28"/>
      <c r="C1201" s="55"/>
      <c r="D1201" s="28"/>
      <c r="E1201" s="28"/>
      <c r="F1201" s="28"/>
    </row>
    <row r="1202" ht="22.5" customHeight="1">
      <c r="A1202" s="28"/>
      <c r="B1202" s="28"/>
      <c r="C1202" s="55"/>
      <c r="D1202" s="28"/>
      <c r="E1202" s="28"/>
      <c r="F1202" s="28"/>
    </row>
    <row r="1203" ht="22.5" customHeight="1">
      <c r="A1203" s="28"/>
      <c r="B1203" s="28"/>
      <c r="C1203" s="55"/>
      <c r="D1203" s="28"/>
      <c r="E1203" s="28"/>
      <c r="F1203" s="28"/>
    </row>
    <row r="1204" ht="22.5" customHeight="1">
      <c r="A1204" s="28"/>
      <c r="B1204" s="28"/>
      <c r="C1204" s="55"/>
      <c r="D1204" s="28"/>
      <c r="E1204" s="28"/>
      <c r="F1204" s="28"/>
    </row>
    <row r="1205" ht="22.5" customHeight="1">
      <c r="A1205" s="28"/>
      <c r="B1205" s="28"/>
      <c r="C1205" s="55"/>
      <c r="D1205" s="28"/>
      <c r="E1205" s="28"/>
      <c r="F1205" s="28"/>
    </row>
    <row r="1206" ht="22.5" customHeight="1">
      <c r="A1206" s="28"/>
      <c r="B1206" s="28"/>
      <c r="C1206" s="55"/>
      <c r="D1206" s="28"/>
      <c r="E1206" s="28"/>
      <c r="F1206" s="28"/>
    </row>
    <row r="1207" ht="22.5" customHeight="1">
      <c r="A1207" s="28"/>
      <c r="B1207" s="28"/>
      <c r="C1207" s="55"/>
      <c r="D1207" s="28"/>
      <c r="E1207" s="28"/>
      <c r="F1207" s="28"/>
    </row>
    <row r="1208" ht="22.5" customHeight="1">
      <c r="A1208" s="28"/>
      <c r="B1208" s="28"/>
      <c r="C1208" s="55"/>
      <c r="D1208" s="28"/>
      <c r="E1208" s="28"/>
      <c r="F1208" s="28"/>
    </row>
    <row r="1209" ht="22.5" customHeight="1">
      <c r="A1209" s="28"/>
      <c r="B1209" s="28"/>
      <c r="C1209" s="55"/>
      <c r="D1209" s="28"/>
      <c r="E1209" s="28"/>
      <c r="F1209" s="28"/>
    </row>
    <row r="1210" ht="22.5" customHeight="1">
      <c r="A1210" s="28"/>
      <c r="B1210" s="28"/>
      <c r="C1210" s="55"/>
      <c r="D1210" s="28"/>
      <c r="E1210" s="28"/>
      <c r="F1210" s="28"/>
    </row>
    <row r="1211" ht="22.5" customHeight="1">
      <c r="A1211" s="28"/>
      <c r="B1211" s="28"/>
      <c r="C1211" s="55"/>
      <c r="D1211" s="28"/>
      <c r="E1211" s="28"/>
      <c r="F1211" s="28"/>
    </row>
    <row r="1212" ht="22.5" customHeight="1">
      <c r="A1212" s="28"/>
      <c r="B1212" s="28"/>
      <c r="C1212" s="55"/>
      <c r="D1212" s="28"/>
      <c r="E1212" s="28"/>
      <c r="F1212" s="28"/>
    </row>
    <row r="1213" ht="22.5" customHeight="1">
      <c r="A1213" s="28"/>
      <c r="B1213" s="28"/>
      <c r="C1213" s="55"/>
      <c r="D1213" s="28"/>
      <c r="E1213" s="28"/>
      <c r="F1213" s="28"/>
    </row>
    <row r="1214" ht="22.5" customHeight="1">
      <c r="A1214" s="28"/>
      <c r="B1214" s="28"/>
      <c r="C1214" s="55"/>
      <c r="D1214" s="28"/>
      <c r="E1214" s="28"/>
      <c r="F1214" s="28"/>
    </row>
    <row r="1215" ht="22.5" customHeight="1">
      <c r="A1215" s="28"/>
      <c r="B1215" s="28"/>
      <c r="C1215" s="55"/>
      <c r="D1215" s="28"/>
      <c r="E1215" s="28"/>
      <c r="F1215" s="28"/>
    </row>
    <row r="1216" ht="22.5" customHeight="1">
      <c r="A1216" s="28"/>
      <c r="B1216" s="28"/>
      <c r="C1216" s="55"/>
      <c r="D1216" s="28"/>
      <c r="E1216" s="28"/>
      <c r="F1216" s="28"/>
    </row>
    <row r="1217" ht="22.5" customHeight="1">
      <c r="A1217" s="28"/>
      <c r="B1217" s="28"/>
      <c r="C1217" s="55"/>
      <c r="D1217" s="28"/>
      <c r="E1217" s="28"/>
      <c r="F1217" s="28"/>
    </row>
    <row r="1218" ht="22.5" customHeight="1">
      <c r="A1218" s="28"/>
      <c r="B1218" s="28"/>
      <c r="C1218" s="55"/>
      <c r="D1218" s="28"/>
      <c r="E1218" s="28"/>
      <c r="F1218" s="28"/>
    </row>
    <row r="1219" ht="22.5" customHeight="1">
      <c r="A1219" s="28"/>
      <c r="B1219" s="28"/>
      <c r="C1219" s="55"/>
      <c r="D1219" s="28"/>
      <c r="E1219" s="28"/>
      <c r="F1219" s="28"/>
    </row>
    <row r="1220" ht="22.5" customHeight="1">
      <c r="A1220" s="28"/>
      <c r="B1220" s="28"/>
      <c r="C1220" s="55"/>
      <c r="D1220" s="28"/>
      <c r="E1220" s="28"/>
      <c r="F1220" s="28"/>
    </row>
    <row r="1221" ht="22.5" customHeight="1">
      <c r="A1221" s="28"/>
      <c r="B1221" s="28"/>
      <c r="C1221" s="55"/>
      <c r="D1221" s="28"/>
      <c r="E1221" s="28"/>
      <c r="F1221" s="28"/>
    </row>
    <row r="1222" ht="22.5" customHeight="1">
      <c r="A1222" s="28"/>
      <c r="B1222" s="28"/>
      <c r="C1222" s="55"/>
      <c r="D1222" s="28"/>
      <c r="E1222" s="28"/>
      <c r="F1222" s="28"/>
    </row>
    <row r="1223" ht="22.5" customHeight="1">
      <c r="A1223" s="28"/>
      <c r="B1223" s="28"/>
      <c r="C1223" s="55"/>
      <c r="D1223" s="28"/>
      <c r="E1223" s="28"/>
      <c r="F1223" s="28"/>
    </row>
    <row r="1224" ht="22.5" customHeight="1">
      <c r="A1224" s="28"/>
      <c r="B1224" s="28"/>
      <c r="C1224" s="55"/>
      <c r="D1224" s="28"/>
      <c r="E1224" s="28"/>
      <c r="F1224" s="28"/>
    </row>
    <row r="1225" ht="22.5" customHeight="1">
      <c r="A1225" s="28"/>
      <c r="B1225" s="28"/>
      <c r="C1225" s="55"/>
      <c r="D1225" s="28"/>
      <c r="E1225" s="28"/>
      <c r="F1225" s="28"/>
    </row>
    <row r="1226" ht="22.5" customHeight="1">
      <c r="A1226" s="28"/>
      <c r="B1226" s="28"/>
      <c r="C1226" s="55"/>
      <c r="D1226" s="28"/>
      <c r="E1226" s="28"/>
      <c r="F1226" s="28"/>
    </row>
    <row r="1227" ht="22.5" customHeight="1">
      <c r="A1227" s="28"/>
      <c r="B1227" s="28"/>
      <c r="C1227" s="55"/>
      <c r="D1227" s="28"/>
      <c r="E1227" s="28"/>
      <c r="F1227" s="28"/>
    </row>
    <row r="1228" ht="22.5" customHeight="1">
      <c r="A1228" s="28"/>
      <c r="B1228" s="28"/>
      <c r="C1228" s="55"/>
      <c r="D1228" s="28"/>
      <c r="E1228" s="28"/>
      <c r="F1228" s="28"/>
    </row>
    <row r="1229" ht="22.5" customHeight="1">
      <c r="A1229" s="28"/>
      <c r="B1229" s="28"/>
      <c r="C1229" s="55"/>
      <c r="D1229" s="28"/>
      <c r="E1229" s="28"/>
      <c r="F1229" s="28"/>
    </row>
    <row r="1230" ht="22.5" customHeight="1">
      <c r="A1230" s="28"/>
      <c r="B1230" s="28"/>
      <c r="C1230" s="55"/>
      <c r="D1230" s="28"/>
      <c r="E1230" s="28"/>
      <c r="F1230" s="28"/>
    </row>
    <row r="1231" ht="22.5" customHeight="1">
      <c r="A1231" s="28"/>
      <c r="B1231" s="28"/>
      <c r="C1231" s="55"/>
      <c r="D1231" s="28"/>
      <c r="E1231" s="28"/>
      <c r="F1231" s="28"/>
    </row>
    <row r="1232" ht="22.5" customHeight="1">
      <c r="A1232" s="28"/>
      <c r="B1232" s="28"/>
      <c r="C1232" s="55"/>
      <c r="D1232" s="28"/>
      <c r="E1232" s="28"/>
      <c r="F1232" s="28"/>
    </row>
    <row r="1233" ht="22.5" customHeight="1">
      <c r="A1233" s="28"/>
      <c r="B1233" s="28"/>
      <c r="C1233" s="55"/>
      <c r="D1233" s="28"/>
      <c r="E1233" s="28"/>
      <c r="F1233" s="28"/>
    </row>
    <row r="1234" ht="22.5" customHeight="1">
      <c r="A1234" s="28"/>
      <c r="B1234" s="28"/>
      <c r="C1234" s="55"/>
      <c r="D1234" s="28"/>
      <c r="E1234" s="28"/>
      <c r="F1234" s="28"/>
    </row>
    <row r="1235" ht="22.5" customHeight="1">
      <c r="A1235" s="28"/>
      <c r="B1235" s="28"/>
      <c r="C1235" s="55"/>
      <c r="D1235" s="28"/>
      <c r="E1235" s="28"/>
      <c r="F1235" s="28"/>
    </row>
    <row r="1236" ht="22.5" customHeight="1">
      <c r="A1236" s="28"/>
      <c r="B1236" s="28"/>
      <c r="C1236" s="55"/>
      <c r="D1236" s="28"/>
      <c r="E1236" s="28"/>
      <c r="F1236" s="28"/>
    </row>
    <row r="1237" ht="22.5" customHeight="1">
      <c r="A1237" s="28"/>
      <c r="B1237" s="28"/>
      <c r="C1237" s="55"/>
      <c r="D1237" s="28"/>
      <c r="E1237" s="28"/>
      <c r="F1237" s="28"/>
    </row>
    <row r="1238" ht="22.5" customHeight="1">
      <c r="A1238" s="28"/>
      <c r="B1238" s="28"/>
      <c r="C1238" s="55"/>
      <c r="D1238" s="28"/>
      <c r="E1238" s="28"/>
      <c r="F1238" s="28"/>
    </row>
    <row r="1239" ht="22.5" customHeight="1">
      <c r="A1239" s="28"/>
      <c r="B1239" s="28"/>
      <c r="C1239" s="55"/>
      <c r="D1239" s="28"/>
      <c r="E1239" s="28"/>
      <c r="F1239" s="28"/>
    </row>
    <row r="1240" ht="22.5" customHeight="1">
      <c r="A1240" s="28"/>
      <c r="B1240" s="28"/>
      <c r="C1240" s="55"/>
      <c r="D1240" s="28"/>
      <c r="E1240" s="28"/>
      <c r="F1240" s="28"/>
    </row>
    <row r="1241" ht="22.5" customHeight="1">
      <c r="A1241" s="28"/>
      <c r="B1241" s="28"/>
      <c r="C1241" s="55"/>
      <c r="D1241" s="28"/>
      <c r="E1241" s="28"/>
      <c r="F1241" s="28"/>
    </row>
    <row r="1242" ht="22.5" customHeight="1">
      <c r="A1242" s="28"/>
      <c r="B1242" s="28"/>
      <c r="C1242" s="55"/>
      <c r="D1242" s="28"/>
      <c r="E1242" s="28"/>
      <c r="F1242" s="28"/>
    </row>
    <row r="1243" ht="22.5" customHeight="1">
      <c r="A1243" s="28"/>
      <c r="B1243" s="28"/>
      <c r="C1243" s="55"/>
      <c r="D1243" s="28"/>
      <c r="E1243" s="28"/>
      <c r="F1243" s="28"/>
    </row>
    <row r="1244" ht="22.5" customHeight="1">
      <c r="A1244" s="28"/>
      <c r="B1244" s="28"/>
      <c r="C1244" s="55"/>
      <c r="D1244" s="28"/>
      <c r="E1244" s="28"/>
      <c r="F1244" s="28"/>
    </row>
    <row r="1245" ht="22.5" customHeight="1">
      <c r="A1245" s="28"/>
      <c r="B1245" s="28"/>
      <c r="C1245" s="55"/>
      <c r="D1245" s="28"/>
      <c r="E1245" s="28"/>
      <c r="F1245" s="28"/>
    </row>
    <row r="1246" ht="22.5" customHeight="1">
      <c r="A1246" s="28"/>
      <c r="B1246" s="28"/>
      <c r="C1246" s="55"/>
      <c r="D1246" s="28"/>
      <c r="E1246" s="28"/>
      <c r="F1246" s="28"/>
    </row>
    <row r="1247" ht="22.5" customHeight="1">
      <c r="A1247" s="28"/>
      <c r="B1247" s="28"/>
      <c r="C1247" s="55"/>
      <c r="D1247" s="28"/>
      <c r="E1247" s="28"/>
      <c r="F1247" s="28"/>
    </row>
    <row r="1248" ht="22.5" customHeight="1">
      <c r="A1248" s="28"/>
      <c r="B1248" s="28"/>
      <c r="C1248" s="55"/>
      <c r="D1248" s="28"/>
      <c r="E1248" s="28"/>
      <c r="F1248" s="28"/>
    </row>
    <row r="1249" ht="22.5" customHeight="1">
      <c r="A1249" s="28"/>
      <c r="B1249" s="28"/>
      <c r="C1249" s="55"/>
      <c r="D1249" s="28"/>
      <c r="E1249" s="28"/>
      <c r="F1249" s="28"/>
    </row>
    <row r="1250" ht="22.5" customHeight="1">
      <c r="A1250" s="28"/>
      <c r="B1250" s="28"/>
      <c r="C1250" s="55"/>
      <c r="D1250" s="28"/>
      <c r="E1250" s="28"/>
      <c r="F1250" s="28"/>
    </row>
    <row r="1251" ht="22.5" customHeight="1">
      <c r="A1251" s="28"/>
      <c r="B1251" s="28"/>
      <c r="C1251" s="55"/>
      <c r="D1251" s="28"/>
      <c r="E1251" s="28"/>
      <c r="F1251" s="28"/>
    </row>
    <row r="1252" ht="22.5" customHeight="1">
      <c r="A1252" s="28"/>
      <c r="B1252" s="28"/>
      <c r="C1252" s="55"/>
      <c r="D1252" s="28"/>
      <c r="E1252" s="28"/>
      <c r="F1252" s="28"/>
    </row>
    <row r="1253" ht="22.5" customHeight="1">
      <c r="A1253" s="28"/>
      <c r="B1253" s="28"/>
      <c r="C1253" s="55"/>
      <c r="D1253" s="28"/>
      <c r="E1253" s="28"/>
      <c r="F1253" s="28"/>
    </row>
    <row r="1254" ht="22.5" customHeight="1">
      <c r="A1254" s="28"/>
      <c r="B1254" s="28"/>
      <c r="C1254" s="55"/>
      <c r="D1254" s="28"/>
      <c r="E1254" s="28"/>
      <c r="F1254" s="28"/>
    </row>
    <row r="1255" ht="22.5" customHeight="1">
      <c r="A1255" s="28"/>
      <c r="B1255" s="28"/>
      <c r="C1255" s="55"/>
      <c r="D1255" s="28"/>
      <c r="E1255" s="28"/>
      <c r="F1255" s="28"/>
    </row>
    <row r="1256" ht="22.5" customHeight="1">
      <c r="A1256" s="28"/>
      <c r="B1256" s="28"/>
      <c r="C1256" s="55"/>
      <c r="D1256" s="28"/>
      <c r="E1256" s="28"/>
      <c r="F1256" s="28"/>
    </row>
    <row r="1257" ht="22.5" customHeight="1">
      <c r="A1257" s="28"/>
      <c r="B1257" s="28"/>
      <c r="C1257" s="55"/>
      <c r="D1257" s="28"/>
      <c r="E1257" s="28"/>
      <c r="F1257" s="28"/>
    </row>
    <row r="1258" ht="22.5" customHeight="1">
      <c r="A1258" s="28"/>
      <c r="B1258" s="28"/>
      <c r="C1258" s="55"/>
      <c r="D1258" s="28"/>
      <c r="E1258" s="28"/>
      <c r="F1258" s="28"/>
    </row>
    <row r="1259" ht="22.5" customHeight="1">
      <c r="A1259" s="28"/>
      <c r="B1259" s="28"/>
      <c r="C1259" s="55"/>
      <c r="D1259" s="28"/>
      <c r="E1259" s="28"/>
      <c r="F1259" s="28"/>
    </row>
    <row r="1260" ht="22.5" customHeight="1">
      <c r="A1260" s="28"/>
      <c r="B1260" s="28"/>
      <c r="C1260" s="55"/>
      <c r="D1260" s="28"/>
      <c r="E1260" s="28"/>
      <c r="F1260" s="28"/>
    </row>
    <row r="1261" ht="22.5" customHeight="1">
      <c r="A1261" s="28"/>
      <c r="B1261" s="28"/>
      <c r="C1261" s="55"/>
      <c r="D1261" s="28"/>
      <c r="E1261" s="28"/>
      <c r="F1261" s="28"/>
    </row>
    <row r="1262" ht="22.5" customHeight="1">
      <c r="A1262" s="28"/>
      <c r="B1262" s="28"/>
      <c r="C1262" s="55"/>
      <c r="D1262" s="28"/>
      <c r="E1262" s="28"/>
      <c r="F1262" s="28"/>
    </row>
    <row r="1263" ht="22.5" customHeight="1">
      <c r="A1263" s="28"/>
      <c r="B1263" s="28"/>
      <c r="C1263" s="55"/>
      <c r="D1263" s="28"/>
      <c r="E1263" s="28"/>
      <c r="F1263" s="28"/>
    </row>
    <row r="1264" ht="22.5" customHeight="1">
      <c r="A1264" s="28"/>
      <c r="B1264" s="28"/>
      <c r="C1264" s="55"/>
      <c r="D1264" s="28"/>
      <c r="E1264" s="28"/>
      <c r="F1264" s="28"/>
    </row>
    <row r="1265" ht="22.5" customHeight="1">
      <c r="A1265" s="28"/>
      <c r="B1265" s="28"/>
      <c r="C1265" s="55"/>
      <c r="D1265" s="28"/>
      <c r="E1265" s="28"/>
      <c r="F1265" s="28"/>
    </row>
    <row r="1266" ht="22.5" customHeight="1">
      <c r="A1266" s="28"/>
      <c r="B1266" s="28"/>
      <c r="C1266" s="55"/>
      <c r="D1266" s="28"/>
      <c r="E1266" s="28"/>
      <c r="F1266" s="28"/>
    </row>
    <row r="1267" ht="22.5" customHeight="1">
      <c r="A1267" s="28"/>
      <c r="B1267" s="28"/>
      <c r="C1267" s="55"/>
      <c r="D1267" s="28"/>
      <c r="E1267" s="28"/>
      <c r="F1267" s="28"/>
    </row>
    <row r="1268" ht="22.5" customHeight="1">
      <c r="A1268" s="28"/>
      <c r="B1268" s="28"/>
      <c r="C1268" s="55"/>
      <c r="D1268" s="28"/>
      <c r="E1268" s="28"/>
      <c r="F1268" s="28"/>
    </row>
    <row r="1269" ht="22.5" customHeight="1">
      <c r="A1269" s="28"/>
      <c r="B1269" s="28"/>
      <c r="C1269" s="55"/>
      <c r="D1269" s="28"/>
      <c r="E1269" s="28"/>
      <c r="F1269" s="28"/>
    </row>
    <row r="1270" ht="22.5" customHeight="1">
      <c r="A1270" s="28"/>
      <c r="B1270" s="28"/>
      <c r="C1270" s="55"/>
      <c r="D1270" s="28"/>
      <c r="E1270" s="28"/>
      <c r="F1270" s="28"/>
    </row>
    <row r="1271" ht="22.5" customHeight="1">
      <c r="A1271" s="28"/>
      <c r="B1271" s="28"/>
      <c r="C1271" s="55"/>
      <c r="D1271" s="28"/>
      <c r="E1271" s="28"/>
      <c r="F1271" s="28"/>
    </row>
    <row r="1272" ht="22.5" customHeight="1">
      <c r="A1272" s="28"/>
      <c r="B1272" s="28"/>
      <c r="C1272" s="55"/>
      <c r="D1272" s="28"/>
      <c r="E1272" s="28"/>
      <c r="F1272" s="28"/>
    </row>
    <row r="1273" ht="22.5" customHeight="1">
      <c r="A1273" s="28"/>
      <c r="B1273" s="28"/>
      <c r="C1273" s="55"/>
      <c r="D1273" s="28"/>
      <c r="E1273" s="28"/>
      <c r="F1273" s="28"/>
    </row>
    <row r="1274" ht="22.5" customHeight="1">
      <c r="A1274" s="28"/>
      <c r="B1274" s="28"/>
      <c r="C1274" s="55"/>
      <c r="D1274" s="28"/>
      <c r="E1274" s="28"/>
      <c r="F1274" s="28"/>
    </row>
    <row r="1275" ht="22.5" customHeight="1">
      <c r="A1275" s="28"/>
      <c r="B1275" s="28"/>
      <c r="C1275" s="55"/>
      <c r="D1275" s="28"/>
      <c r="E1275" s="28"/>
      <c r="F1275" s="28"/>
    </row>
    <row r="1276" ht="22.5" customHeight="1">
      <c r="A1276" s="28"/>
      <c r="B1276" s="28"/>
      <c r="C1276" s="55"/>
      <c r="D1276" s="28"/>
      <c r="E1276" s="28"/>
      <c r="F1276" s="28"/>
    </row>
    <row r="1277" ht="22.5" customHeight="1">
      <c r="A1277" s="28"/>
      <c r="B1277" s="28"/>
      <c r="C1277" s="55"/>
      <c r="D1277" s="28"/>
      <c r="E1277" s="28"/>
      <c r="F1277" s="28"/>
    </row>
    <row r="1278" ht="22.5" customHeight="1">
      <c r="A1278" s="28"/>
      <c r="B1278" s="28"/>
      <c r="C1278" s="55"/>
      <c r="D1278" s="28"/>
      <c r="E1278" s="28"/>
      <c r="F1278" s="28"/>
    </row>
    <row r="1279" ht="22.5" customHeight="1">
      <c r="A1279" s="28"/>
      <c r="B1279" s="28"/>
      <c r="C1279" s="55"/>
      <c r="D1279" s="28"/>
      <c r="E1279" s="28"/>
      <c r="F1279" s="28"/>
    </row>
    <row r="1280" ht="22.5" customHeight="1">
      <c r="A1280" s="28"/>
      <c r="B1280" s="28"/>
      <c r="C1280" s="55"/>
      <c r="D1280" s="28"/>
      <c r="E1280" s="28"/>
      <c r="F1280" s="28"/>
    </row>
    <row r="1281" ht="22.5" customHeight="1">
      <c r="A1281" s="28"/>
      <c r="B1281" s="28"/>
      <c r="C1281" s="55"/>
      <c r="D1281" s="28"/>
      <c r="E1281" s="28"/>
      <c r="F1281" s="28"/>
    </row>
    <row r="1282" ht="22.5" customHeight="1">
      <c r="A1282" s="28"/>
      <c r="B1282" s="28"/>
      <c r="C1282" s="55"/>
      <c r="D1282" s="28"/>
      <c r="E1282" s="28"/>
      <c r="F1282" s="28"/>
    </row>
    <row r="1283" ht="22.5" customHeight="1">
      <c r="A1283" s="28"/>
      <c r="B1283" s="28"/>
      <c r="C1283" s="55"/>
      <c r="D1283" s="28"/>
      <c r="E1283" s="28"/>
      <c r="F1283" s="28"/>
    </row>
    <row r="1284" ht="22.5" customHeight="1">
      <c r="A1284" s="28"/>
      <c r="B1284" s="28"/>
      <c r="C1284" s="55"/>
      <c r="D1284" s="28"/>
      <c r="E1284" s="28"/>
      <c r="F1284" s="28"/>
    </row>
    <row r="1285" ht="22.5" customHeight="1">
      <c r="A1285" s="28"/>
      <c r="B1285" s="28"/>
      <c r="C1285" s="55"/>
      <c r="D1285" s="28"/>
      <c r="E1285" s="28"/>
      <c r="F1285" s="28"/>
    </row>
    <row r="1286" ht="22.5" customHeight="1">
      <c r="A1286" s="28"/>
      <c r="B1286" s="28"/>
      <c r="C1286" s="55"/>
      <c r="D1286" s="28"/>
      <c r="E1286" s="28"/>
      <c r="F1286" s="28"/>
    </row>
    <row r="1287" ht="22.5" customHeight="1">
      <c r="A1287" s="28"/>
      <c r="B1287" s="28"/>
      <c r="C1287" s="55"/>
      <c r="D1287" s="28"/>
      <c r="E1287" s="28"/>
      <c r="F1287" s="28"/>
    </row>
    <row r="1288" ht="22.5" customHeight="1">
      <c r="A1288" s="28"/>
      <c r="B1288" s="28"/>
      <c r="C1288" s="55"/>
      <c r="D1288" s="28"/>
      <c r="E1288" s="28"/>
      <c r="F1288" s="28"/>
    </row>
    <row r="1289" ht="22.5" customHeight="1">
      <c r="A1289" s="28"/>
      <c r="B1289" s="28"/>
      <c r="C1289" s="55"/>
      <c r="D1289" s="28"/>
      <c r="E1289" s="28"/>
      <c r="F1289" s="28"/>
    </row>
    <row r="1290" ht="22.5" customHeight="1">
      <c r="A1290" s="28"/>
      <c r="B1290" s="28"/>
      <c r="C1290" s="55"/>
      <c r="D1290" s="28"/>
      <c r="E1290" s="28"/>
      <c r="F1290" s="28"/>
    </row>
    <row r="1291" ht="22.5" customHeight="1">
      <c r="A1291" s="28"/>
      <c r="B1291" s="28"/>
      <c r="C1291" s="55"/>
      <c r="D1291" s="28"/>
      <c r="E1291" s="28"/>
      <c r="F1291" s="28"/>
    </row>
    <row r="1292" ht="22.5" customHeight="1">
      <c r="A1292" s="28"/>
      <c r="B1292" s="28"/>
      <c r="C1292" s="55"/>
      <c r="D1292" s="28"/>
      <c r="E1292" s="28"/>
      <c r="F1292" s="28"/>
    </row>
    <row r="1293" ht="22.5" customHeight="1">
      <c r="A1293" s="28"/>
      <c r="B1293" s="28"/>
      <c r="C1293" s="55"/>
      <c r="D1293" s="28"/>
      <c r="E1293" s="28"/>
      <c r="F1293" s="28"/>
    </row>
    <row r="1294" ht="22.5" customHeight="1">
      <c r="A1294" s="28"/>
      <c r="B1294" s="28"/>
      <c r="C1294" s="55"/>
      <c r="D1294" s="28"/>
      <c r="E1294" s="28"/>
      <c r="F1294" s="28"/>
    </row>
    <row r="1295" ht="22.5" customHeight="1">
      <c r="A1295" s="28"/>
      <c r="B1295" s="28"/>
      <c r="C1295" s="55"/>
      <c r="D1295" s="28"/>
      <c r="E1295" s="28"/>
      <c r="F1295" s="28"/>
    </row>
  </sheetData>
  <conditionalFormatting sqref="A2:F1295">
    <cfRule type="expression" dxfId="5" priority="1">
      <formula>$E2&lt;0</formula>
    </cfRule>
  </conditionalFormatting>
  <conditionalFormatting sqref="A2:F1295">
    <cfRule type="expression" dxfId="6" priority="2">
      <formula>AND($A2&lt;&gt;"", $E2=0)</formula>
    </cfRule>
  </conditionalFormatting>
  <conditionalFormatting sqref="E2:F1295">
    <cfRule type="notContainsBlanks" dxfId="7" priority="3">
      <formula>LEN(TRIM(E2))&gt;0</formula>
    </cfRule>
  </conditionalFormatting>
  <conditionalFormatting sqref="E2:F1295">
    <cfRule type="notContainsBlanks" dxfId="7" priority="4">
      <formula>LEN(TRIM(E2))&gt;0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17.13"/>
    <col customWidth="1" min="3" max="3" width="26.63"/>
    <col customWidth="1" min="4" max="4" width="19.13"/>
    <col customWidth="1" min="5" max="5" width="51.75"/>
    <col customWidth="1" min="6" max="6" width="17.5"/>
    <col customWidth="1" min="7" max="7" width="23.0"/>
    <col customWidth="1" min="8" max="8" width="9.25"/>
    <col customWidth="1" min="9" max="9" width="10.13"/>
    <col customWidth="1" min="10" max="10" width="19.5"/>
    <col customWidth="1" min="11" max="11" width="23.5"/>
    <col customWidth="1" min="12" max="12" width="18.5"/>
    <col hidden="1" min="13" max="31" width="12.63"/>
  </cols>
  <sheetData>
    <row r="1" ht="22.5" customHeight="1">
      <c r="A1" s="8" t="s">
        <v>9</v>
      </c>
      <c r="B1" s="9" t="s">
        <v>10</v>
      </c>
      <c r="C1" s="9" t="s">
        <v>12</v>
      </c>
      <c r="D1" s="11" t="s">
        <v>8</v>
      </c>
      <c r="E1" s="9" t="s">
        <v>11</v>
      </c>
      <c r="F1" s="9" t="s">
        <v>16</v>
      </c>
      <c r="G1" s="12" t="s">
        <v>19</v>
      </c>
      <c r="H1" s="9" t="s">
        <v>22</v>
      </c>
      <c r="I1" s="9" t="s">
        <v>14</v>
      </c>
      <c r="J1" s="15" t="s">
        <v>24</v>
      </c>
      <c r="K1" s="9" t="s">
        <v>25</v>
      </c>
      <c r="L1" s="9" t="s">
        <v>27</v>
      </c>
    </row>
    <row r="2" ht="22.5" customHeight="1">
      <c r="A2" s="17">
        <v>46113.0</v>
      </c>
      <c r="B2" s="19" t="s">
        <v>29</v>
      </c>
      <c r="C2" s="20" t="s">
        <v>30</v>
      </c>
      <c r="D2" s="23" t="s">
        <v>31</v>
      </c>
      <c r="E2" s="27" t="str">
        <f t="array" ref="E2">IF(D2="", "", XLOOKUP(D2, 'MASTER ITEM LIST'!A:A, 'MASTER ITEM LIST'!B:B, ""))</f>
        <v>EXTREME QDU MIXING 1L</v>
      </c>
      <c r="F2" s="19" t="s">
        <v>33</v>
      </c>
      <c r="G2" s="30" t="s">
        <v>34</v>
      </c>
      <c r="H2" s="19">
        <v>3.0</v>
      </c>
      <c r="I2" s="19" t="str">
        <f t="array" ref="I2">IFERROR(XLOOKUP(D2,'MASTER ITEM LIST'!A:A,'MASTER ITEM LIST'!D:D), "")</f>
        <v>LITER</v>
      </c>
      <c r="J2" s="34">
        <v>750.0</v>
      </c>
      <c r="K2" s="36">
        <f t="shared" ref="K2:K1142" si="1">IF(H2="", "", H2*J2)</f>
        <v>2250</v>
      </c>
      <c r="L2" s="38" t="s">
        <v>42</v>
      </c>
    </row>
    <row r="3" ht="22.5" customHeight="1">
      <c r="A3" s="17">
        <v>46113.0</v>
      </c>
      <c r="B3" s="19" t="s">
        <v>29</v>
      </c>
      <c r="C3" s="20" t="s">
        <v>30</v>
      </c>
      <c r="D3" s="23" t="s">
        <v>45</v>
      </c>
      <c r="E3" s="27" t="str">
        <f t="array" ref="E3">IF(D3="", "", XLOOKUP(D3, 'MASTER ITEM LIST'!A:A, 'MASTER ITEM LIST'!B:B, ""))</f>
        <v>POLYGLOSS PU JET BLACK 4L</v>
      </c>
      <c r="F3" s="19" t="s">
        <v>48</v>
      </c>
      <c r="G3" s="30" t="s">
        <v>34</v>
      </c>
      <c r="H3" s="19">
        <v>0.125</v>
      </c>
      <c r="I3" s="19" t="str">
        <f t="array" ref="I3">IFERROR(XLOOKUP(D3,'MASTER ITEM LIST'!A:A,'MASTER ITEM LIST'!D:D), "")</f>
        <v>GALON</v>
      </c>
      <c r="J3" s="34">
        <v>3200.0</v>
      </c>
      <c r="K3" s="36">
        <f t="shared" si="1"/>
        <v>400</v>
      </c>
      <c r="L3" s="38" t="s">
        <v>42</v>
      </c>
    </row>
    <row r="4" ht="22.5" customHeight="1">
      <c r="A4" s="17">
        <v>46113.0</v>
      </c>
      <c r="B4" s="19" t="s">
        <v>29</v>
      </c>
      <c r="C4" s="20" t="s">
        <v>30</v>
      </c>
      <c r="D4" s="23" t="s">
        <v>53</v>
      </c>
      <c r="E4" s="27" t="str">
        <f t="array" ref="E4">IF(D4="", "", XLOOKUP(D4, 'MASTER ITEM LIST'!A:A, 'MASTER ITEM LIST'!B:B, ""))</f>
        <v>NAX 108 CERAMIC 2K CLEAR WITH HARDENER 1L</v>
      </c>
      <c r="F4" s="50"/>
      <c r="G4" s="30" t="s">
        <v>34</v>
      </c>
      <c r="H4" s="19">
        <v>3.0</v>
      </c>
      <c r="I4" s="19" t="str">
        <f t="array" ref="I4">IFERROR(XLOOKUP(D4,'MASTER ITEM LIST'!A:A,'MASTER ITEM LIST'!D:D), "")</f>
        <v>LITER</v>
      </c>
      <c r="J4" s="34">
        <v>700.0</v>
      </c>
      <c r="K4" s="36">
        <f t="shared" si="1"/>
        <v>2100</v>
      </c>
      <c r="L4" s="38" t="s">
        <v>42</v>
      </c>
    </row>
    <row r="5" ht="22.5" customHeight="1">
      <c r="A5" s="17">
        <v>46113.0</v>
      </c>
      <c r="B5" s="19" t="s">
        <v>29</v>
      </c>
      <c r="C5" s="20" t="s">
        <v>30</v>
      </c>
      <c r="D5" s="23" t="s">
        <v>57</v>
      </c>
      <c r="E5" s="27" t="str">
        <f t="array" ref="E5">IF(D5="", "", XLOOKUP(D5, 'MASTER ITEM LIST'!A:A, 'MASTER ITEM LIST'!B:B, ""))</f>
        <v>DO IT URETHANE THINNER 4L</v>
      </c>
      <c r="F5" s="50"/>
      <c r="G5" s="30" t="s">
        <v>34</v>
      </c>
      <c r="H5" s="19">
        <v>1.5</v>
      </c>
      <c r="I5" s="19" t="str">
        <f t="array" ref="I5">IFERROR(XLOOKUP(D5,'MASTER ITEM LIST'!A:A,'MASTER ITEM LIST'!D:D), "")</f>
        <v>GAL/S</v>
      </c>
      <c r="J5" s="34">
        <v>720.0</v>
      </c>
      <c r="K5" s="36">
        <f t="shared" si="1"/>
        <v>1080</v>
      </c>
      <c r="L5" s="38" t="s">
        <v>42</v>
      </c>
    </row>
    <row r="6" ht="22.5" customHeight="1">
      <c r="A6" s="17">
        <v>46113.0</v>
      </c>
      <c r="B6" s="19" t="s">
        <v>29</v>
      </c>
      <c r="C6" s="20" t="s">
        <v>30</v>
      </c>
      <c r="D6" s="23" t="s">
        <v>63</v>
      </c>
      <c r="E6" s="27" t="str">
        <f t="array" ref="E6">IF(D6="", "", XLOOKUP(D6, 'MASTER ITEM LIST'!A:A, 'MASTER ITEM LIST'!B:B, ""))</f>
        <v>OLD NEWS</v>
      </c>
      <c r="F6" s="50"/>
      <c r="G6" s="30" t="s">
        <v>34</v>
      </c>
      <c r="H6" s="19">
        <v>1.0</v>
      </c>
      <c r="I6" s="19" t="str">
        <f t="array" ref="I6">IFERROR(XLOOKUP(D6,'MASTER ITEM LIST'!A:A,'MASTER ITEM LIST'!D:D), "")</f>
        <v>KG</v>
      </c>
      <c r="J6" s="34">
        <v>100.0</v>
      </c>
      <c r="K6" s="36">
        <f t="shared" si="1"/>
        <v>100</v>
      </c>
      <c r="L6" s="38" t="s">
        <v>42</v>
      </c>
    </row>
    <row r="7" ht="22.5" customHeight="1">
      <c r="A7" s="17">
        <v>46113.0</v>
      </c>
      <c r="B7" s="19" t="s">
        <v>70</v>
      </c>
      <c r="C7" s="20" t="s">
        <v>71</v>
      </c>
      <c r="D7" s="23" t="s">
        <v>72</v>
      </c>
      <c r="E7" s="27" t="str">
        <f t="array" ref="E7">IF(D7="", "", XLOOKUP(D7, 'MASTER ITEM LIST'!A:A, 'MASTER ITEM LIST'!B:B, ""))</f>
        <v>NIPPON EXTREME QDU BLACK 4L</v>
      </c>
      <c r="F7" s="19" t="s">
        <v>48</v>
      </c>
      <c r="G7" s="30" t="s">
        <v>34</v>
      </c>
      <c r="H7" s="19">
        <v>0.125</v>
      </c>
      <c r="I7" s="19" t="str">
        <f t="array" ref="I7">IFERROR(XLOOKUP(D7,'MASTER ITEM LIST'!A:A,'MASTER ITEM LIST'!D:D), "")</f>
        <v>GAL</v>
      </c>
      <c r="J7" s="34">
        <v>2800.0</v>
      </c>
      <c r="K7" s="36">
        <f t="shared" si="1"/>
        <v>350</v>
      </c>
      <c r="L7" s="38" t="s">
        <v>42</v>
      </c>
    </row>
    <row r="8" ht="22.5" customHeight="1">
      <c r="A8" s="17">
        <v>46113.0</v>
      </c>
      <c r="B8" s="19" t="s">
        <v>70</v>
      </c>
      <c r="C8" s="20" t="s">
        <v>71</v>
      </c>
      <c r="D8" s="23" t="s">
        <v>79</v>
      </c>
      <c r="E8" s="27" t="str">
        <f t="array" ref="E8">IF(D8="", "", XLOOKUP(D8, 'MASTER ITEM LIST'!A:A, 'MASTER ITEM LIST'!B:B, ""))</f>
        <v>CROCO MASKING TAPE 1/2 12MM (1X96)</v>
      </c>
      <c r="F8" s="50"/>
      <c r="G8" s="30" t="s">
        <v>34</v>
      </c>
      <c r="H8" s="19">
        <v>3.0</v>
      </c>
      <c r="I8" s="19" t="str">
        <f t="array" ref="I8">IFERROR(XLOOKUP(D8,'MASTER ITEM LIST'!A:A,'MASTER ITEM LIST'!D:D), "")</f>
        <v>PC/S</v>
      </c>
      <c r="J8" s="34">
        <v>25.0</v>
      </c>
      <c r="K8" s="36">
        <f t="shared" si="1"/>
        <v>75</v>
      </c>
      <c r="L8" s="38" t="s">
        <v>42</v>
      </c>
    </row>
    <row r="9" ht="22.5" customHeight="1">
      <c r="A9" s="17">
        <v>46114.0</v>
      </c>
      <c r="B9" s="19" t="s">
        <v>84</v>
      </c>
      <c r="C9" s="20" t="s">
        <v>85</v>
      </c>
      <c r="D9" s="23" t="s">
        <v>53</v>
      </c>
      <c r="E9" s="27" t="str">
        <f t="array" ref="E9">IF(D9="", "", XLOOKUP(D9, 'MASTER ITEM LIST'!A:A, 'MASTER ITEM LIST'!B:B, ""))</f>
        <v>NAX 108 CERAMIC 2K CLEAR WITH HARDENER 1L</v>
      </c>
      <c r="F9" s="19" t="s">
        <v>48</v>
      </c>
      <c r="G9" s="30" t="s">
        <v>34</v>
      </c>
      <c r="H9" s="19">
        <v>0.5</v>
      </c>
      <c r="I9" s="19" t="str">
        <f t="array" ref="I9">IFERROR(XLOOKUP(D9,'MASTER ITEM LIST'!A:A,'MASTER ITEM LIST'!D:D), "")</f>
        <v>LITER</v>
      </c>
      <c r="J9" s="34">
        <v>740.0</v>
      </c>
      <c r="K9" s="36">
        <f t="shared" si="1"/>
        <v>370</v>
      </c>
      <c r="L9" s="38" t="s">
        <v>42</v>
      </c>
    </row>
    <row r="10" ht="22.5" customHeight="1">
      <c r="A10" s="17">
        <v>46114.0</v>
      </c>
      <c r="B10" s="19" t="s">
        <v>92</v>
      </c>
      <c r="C10" s="20" t="s">
        <v>93</v>
      </c>
      <c r="D10" s="23" t="s">
        <v>94</v>
      </c>
      <c r="E10" s="27" t="str">
        <f t="array" ref="E10">IF(D10="", "", XLOOKUP(D10, 'MASTER ITEM LIST'!A:A, 'MASTER ITEM LIST'!B:B, ""))</f>
        <v>NAX NAT-990 TTC BLACK 4L</v>
      </c>
      <c r="F10" s="19" t="s">
        <v>48</v>
      </c>
      <c r="G10" s="53" t="s">
        <v>34</v>
      </c>
      <c r="H10" s="19">
        <v>0.5</v>
      </c>
      <c r="I10" s="19" t="str">
        <f t="array" ref="I10">IFERROR(XLOOKUP(D10,'MASTER ITEM LIST'!A:A,'MASTER ITEM LIST'!D:D), "")</f>
        <v>GAL</v>
      </c>
      <c r="J10" s="34">
        <v>4800.0</v>
      </c>
      <c r="K10" s="36">
        <f t="shared" si="1"/>
        <v>2400</v>
      </c>
      <c r="L10" s="38" t="s">
        <v>42</v>
      </c>
    </row>
    <row r="11" ht="22.5" customHeight="1">
      <c r="A11" s="17">
        <v>46118.0</v>
      </c>
      <c r="B11" s="19" t="s">
        <v>97</v>
      </c>
      <c r="C11" s="20" t="s">
        <v>98</v>
      </c>
      <c r="D11" s="23" t="s">
        <v>99</v>
      </c>
      <c r="E11" s="27" t="str">
        <f t="array" ref="E11">IF(D11="", "", XLOOKUP(D11, 'MASTER ITEM LIST'!A:A, 'MASTER ITEM LIST'!B:B, ""))</f>
        <v>BOYSEN LTC LAMP BLACK 1L</v>
      </c>
      <c r="F11" s="50"/>
      <c r="G11" s="30" t="s">
        <v>34</v>
      </c>
      <c r="H11" s="19">
        <v>4.0</v>
      </c>
      <c r="I11" s="19" t="str">
        <f t="array" ref="I11">IFERROR(XLOOKUP(D11,'MASTER ITEM LIST'!A:A,'MASTER ITEM LIST'!D:D), "")</f>
        <v>LITER</v>
      </c>
      <c r="J11" s="34">
        <v>240.0</v>
      </c>
      <c r="K11" s="36">
        <f t="shared" si="1"/>
        <v>960</v>
      </c>
      <c r="L11" s="38" t="s">
        <v>42</v>
      </c>
    </row>
    <row r="12" ht="22.5" customHeight="1">
      <c r="A12" s="17">
        <v>46118.0</v>
      </c>
      <c r="B12" s="19" t="s">
        <v>97</v>
      </c>
      <c r="C12" s="20" t="s">
        <v>98</v>
      </c>
      <c r="D12" s="23" t="s">
        <v>103</v>
      </c>
      <c r="E12" s="27" t="str">
        <f t="array" ref="E12">IF(D12="", "", XLOOKUP(D12, 'MASTER ITEM LIST'!A:A, 'MASTER ITEM LIST'!B:B, ""))</f>
        <v>RAIN OR SHINE WHITE 4L</v>
      </c>
      <c r="F12" s="50"/>
      <c r="G12" s="30" t="s">
        <v>34</v>
      </c>
      <c r="H12" s="19">
        <v>1.0</v>
      </c>
      <c r="I12" s="19" t="str">
        <f t="array" ref="I12">IFERROR(XLOOKUP(D12,'MASTER ITEM LIST'!A:A,'MASTER ITEM LIST'!D:D), "")</f>
        <v>GALON</v>
      </c>
      <c r="J12" s="34">
        <v>880.0</v>
      </c>
      <c r="K12" s="36">
        <f t="shared" si="1"/>
        <v>880</v>
      </c>
      <c r="L12" s="38" t="s">
        <v>42</v>
      </c>
    </row>
    <row r="13" ht="22.5" customHeight="1">
      <c r="A13" s="17">
        <v>46118.0</v>
      </c>
      <c r="B13" s="19" t="s">
        <v>97</v>
      </c>
      <c r="C13" s="20" t="s">
        <v>98</v>
      </c>
      <c r="D13" s="23" t="s">
        <v>107</v>
      </c>
      <c r="E13" s="27" t="str">
        <f t="array" ref="E13">IF(D13="", "", XLOOKUP(D13, 'MASTER ITEM LIST'!A:A, 'MASTER ITEM LIST'!B:B, ""))</f>
        <v>2B PAINT ROLLER #4</v>
      </c>
      <c r="F13" s="50"/>
      <c r="G13" s="30" t="s">
        <v>34</v>
      </c>
      <c r="H13" s="19">
        <v>2.0</v>
      </c>
      <c r="I13" s="19" t="str">
        <f t="array" ref="I13">IFERROR(XLOOKUP(D13,'MASTER ITEM LIST'!A:A,'MASTER ITEM LIST'!D:D), "")</f>
        <v>PC/S</v>
      </c>
      <c r="J13" s="34">
        <v>65.0</v>
      </c>
      <c r="K13" s="36">
        <f t="shared" si="1"/>
        <v>130</v>
      </c>
      <c r="L13" s="38" t="s">
        <v>42</v>
      </c>
    </row>
    <row r="14" ht="22.5" customHeight="1">
      <c r="A14" s="17">
        <v>46118.0</v>
      </c>
      <c r="B14" s="19" t="s">
        <v>97</v>
      </c>
      <c r="C14" s="20" t="s">
        <v>98</v>
      </c>
      <c r="D14" s="23" t="s">
        <v>112</v>
      </c>
      <c r="E14" s="27" t="str">
        <f t="array" ref="E14">IF(D14="", "", XLOOKUP(D14, 'MASTER ITEM LIST'!A:A, 'MASTER ITEM LIST'!B:B, ""))</f>
        <v>2B PAINT ROLLER #7</v>
      </c>
      <c r="F14" s="50"/>
      <c r="G14" s="30" t="s">
        <v>34</v>
      </c>
      <c r="H14" s="19">
        <v>1.0</v>
      </c>
      <c r="I14" s="19" t="str">
        <f t="array" ref="I14">IFERROR(XLOOKUP(D14,'MASTER ITEM LIST'!A:A,'MASTER ITEM LIST'!D:D), "")</f>
        <v>PC/S</v>
      </c>
      <c r="J14" s="34">
        <v>90.0</v>
      </c>
      <c r="K14" s="36">
        <f t="shared" si="1"/>
        <v>90</v>
      </c>
      <c r="L14" s="38" t="s">
        <v>42</v>
      </c>
    </row>
    <row r="15" ht="22.5" customHeight="1">
      <c r="A15" s="17">
        <v>46118.0</v>
      </c>
      <c r="B15" s="19" t="s">
        <v>97</v>
      </c>
      <c r="C15" s="20" t="s">
        <v>98</v>
      </c>
      <c r="D15" s="23" t="s">
        <v>117</v>
      </c>
      <c r="E15" s="27" t="str">
        <f t="array" ref="E15">IF(D15="", "", XLOOKUP(D15, 'MASTER ITEM LIST'!A:A, 'MASTER ITEM LIST'!B:B, ""))</f>
        <v>EAGLE SANDPAPER #120</v>
      </c>
      <c r="F15" s="50"/>
      <c r="G15" s="30" t="s">
        <v>34</v>
      </c>
      <c r="H15" s="19">
        <v>2.0</v>
      </c>
      <c r="I15" s="19" t="str">
        <f t="array" ref="I15">IFERROR(XLOOKUP(D15,'MASTER ITEM LIST'!A:A,'MASTER ITEM LIST'!D:D), "")</f>
        <v>PC/S</v>
      </c>
      <c r="J15" s="34">
        <v>25.0</v>
      </c>
      <c r="K15" s="36">
        <f t="shared" si="1"/>
        <v>50</v>
      </c>
      <c r="L15" s="38" t="s">
        <v>42</v>
      </c>
    </row>
    <row r="16" ht="22.5" customHeight="1">
      <c r="A16" s="17">
        <v>46118.0</v>
      </c>
      <c r="B16" s="19" t="s">
        <v>97</v>
      </c>
      <c r="C16" s="20" t="s">
        <v>98</v>
      </c>
      <c r="D16" s="23" t="s">
        <v>121</v>
      </c>
      <c r="E16" s="27" t="str">
        <f t="array" ref="E16">IF(D16="", "", XLOOKUP(D16, 'MASTER ITEM LIST'!A:A, 'MASTER ITEM LIST'!B:B, ""))</f>
        <v>DRAGONFLY PAINT BRUSH #1 1/2</v>
      </c>
      <c r="F16" s="50"/>
      <c r="G16" s="30" t="s">
        <v>34</v>
      </c>
      <c r="H16" s="19">
        <v>2.0</v>
      </c>
      <c r="I16" s="19" t="str">
        <f t="array" ref="I16">IFERROR(XLOOKUP(D16,'MASTER ITEM LIST'!A:A,'MASTER ITEM LIST'!D:D), "")</f>
        <v>PC/S</v>
      </c>
      <c r="J16" s="34">
        <v>40.0</v>
      </c>
      <c r="K16" s="36">
        <f t="shared" si="1"/>
        <v>80</v>
      </c>
      <c r="L16" s="38" t="s">
        <v>42</v>
      </c>
    </row>
    <row r="17" ht="22.5" customHeight="1">
      <c r="A17" s="17">
        <v>46118.0</v>
      </c>
      <c r="B17" s="19" t="s">
        <v>97</v>
      </c>
      <c r="C17" s="20" t="s">
        <v>98</v>
      </c>
      <c r="D17" s="23" t="s">
        <v>127</v>
      </c>
      <c r="E17" s="27" t="str">
        <f t="array" ref="E17">IF(D17="", "", XLOOKUP(D17, 'MASTER ITEM LIST'!A:A, 'MASTER ITEM LIST'!B:B, ""))</f>
        <v>JAPAN PUTTY KNIFE #4</v>
      </c>
      <c r="F17" s="50"/>
      <c r="G17" s="30" t="s">
        <v>34</v>
      </c>
      <c r="H17" s="19">
        <v>2.0</v>
      </c>
      <c r="I17" s="19" t="str">
        <f t="array" ref="I17">IFERROR(XLOOKUP(D17,'MASTER ITEM LIST'!A:A,'MASTER ITEM LIST'!D:D), "")</f>
        <v>PC/S</v>
      </c>
      <c r="J17" s="34">
        <v>25.0</v>
      </c>
      <c r="K17" s="36">
        <f t="shared" si="1"/>
        <v>50</v>
      </c>
      <c r="L17" s="38" t="s">
        <v>42</v>
      </c>
    </row>
    <row r="18" ht="22.5" customHeight="1">
      <c r="A18" s="17">
        <v>46118.0</v>
      </c>
      <c r="B18" s="19" t="s">
        <v>97</v>
      </c>
      <c r="C18" s="20" t="s">
        <v>98</v>
      </c>
      <c r="D18" s="23" t="s">
        <v>117</v>
      </c>
      <c r="E18" s="27" t="str">
        <f t="array" ref="E18">IF(D18="", "", XLOOKUP(D18, 'MASTER ITEM LIST'!A:A, 'MASTER ITEM LIST'!B:B, ""))</f>
        <v>EAGLE SANDPAPER #120</v>
      </c>
      <c r="F18" s="50"/>
      <c r="G18" s="30" t="s">
        <v>34</v>
      </c>
      <c r="H18" s="19">
        <v>2.0</v>
      </c>
      <c r="I18" s="19" t="str">
        <f t="array" ref="I18">IFERROR(XLOOKUP(D18,'MASTER ITEM LIST'!A:A,'MASTER ITEM LIST'!D:D), "")</f>
        <v>PC/S</v>
      </c>
      <c r="J18" s="34">
        <v>25.0</v>
      </c>
      <c r="K18" s="36">
        <f t="shared" si="1"/>
        <v>50</v>
      </c>
      <c r="L18" s="38" t="s">
        <v>42</v>
      </c>
    </row>
    <row r="19" ht="22.5" customHeight="1">
      <c r="A19" s="17">
        <v>46118.0</v>
      </c>
      <c r="B19" s="19" t="s">
        <v>97</v>
      </c>
      <c r="C19" s="20" t="s">
        <v>98</v>
      </c>
      <c r="D19" s="23" t="s">
        <v>136</v>
      </c>
      <c r="E19" s="27" t="str">
        <f t="array" ref="E19">IF(D19="", "", XLOOKUP(D19, 'MASTER ITEM LIST'!A:A, 'MASTER ITEM LIST'!B:B, ""))</f>
        <v>CROCO MASKING TAPE 3/4 18MM (1X64)</v>
      </c>
      <c r="F19" s="50"/>
      <c r="G19" s="30" t="s">
        <v>34</v>
      </c>
      <c r="H19" s="19">
        <v>2.0</v>
      </c>
      <c r="I19" s="19" t="str">
        <f t="array" ref="I19">IFERROR(XLOOKUP(D19,'MASTER ITEM LIST'!A:A,'MASTER ITEM LIST'!D:D), "")</f>
        <v>PC/S</v>
      </c>
      <c r="J19" s="34">
        <v>35.0</v>
      </c>
      <c r="K19" s="36">
        <f t="shared" si="1"/>
        <v>70</v>
      </c>
      <c r="L19" s="38" t="s">
        <v>42</v>
      </c>
    </row>
    <row r="20" ht="22.5" customHeight="1">
      <c r="A20" s="17">
        <v>46119.0</v>
      </c>
      <c r="B20" s="19" t="s">
        <v>140</v>
      </c>
      <c r="C20" s="20" t="s">
        <v>141</v>
      </c>
      <c r="D20" s="23" t="s">
        <v>142</v>
      </c>
      <c r="E20" s="27" t="str">
        <f t="array" ref="E20">IF(D20="", "", XLOOKUP(D20, 'MASTER ITEM LIST'!A:A, 'MASTER ITEM LIST'!B:B, ""))</f>
        <v>NIPPON CLEAR GLOSS VARNISH GAL</v>
      </c>
      <c r="F20" s="50"/>
      <c r="G20" s="30" t="s">
        <v>34</v>
      </c>
      <c r="H20" s="19">
        <v>1.0</v>
      </c>
      <c r="I20" s="19" t="str">
        <f t="array" ref="I20">IFERROR(XLOOKUP(D20,'MASTER ITEM LIST'!A:A,'MASTER ITEM LIST'!D:D), "")</f>
        <v>GAL</v>
      </c>
      <c r="J20" s="34">
        <v>1800.0</v>
      </c>
      <c r="K20" s="36">
        <f t="shared" si="1"/>
        <v>1800</v>
      </c>
      <c r="L20" s="38" t="s">
        <v>42</v>
      </c>
    </row>
    <row r="21" ht="22.5" customHeight="1">
      <c r="A21" s="17">
        <v>46120.0</v>
      </c>
      <c r="B21" s="19" t="s">
        <v>147</v>
      </c>
      <c r="C21" s="20" t="s">
        <v>148</v>
      </c>
      <c r="D21" s="23" t="s">
        <v>136</v>
      </c>
      <c r="E21" s="27" t="str">
        <f t="array" ref="E21">IF(D21="", "", XLOOKUP(D21, 'MASTER ITEM LIST'!A:A, 'MASTER ITEM LIST'!B:B, ""))</f>
        <v>CROCO MASKING TAPE 3/4 18MM (1X64)</v>
      </c>
      <c r="F21" s="50"/>
      <c r="G21" s="30" t="s">
        <v>34</v>
      </c>
      <c r="H21" s="19">
        <v>2.0</v>
      </c>
      <c r="I21" s="19" t="str">
        <f t="array" ref="I21">IFERROR(XLOOKUP(D21,'MASTER ITEM LIST'!A:A,'MASTER ITEM LIST'!D:D), "")</f>
        <v>PC/S</v>
      </c>
      <c r="J21" s="34">
        <v>35.0</v>
      </c>
      <c r="K21" s="36">
        <f t="shared" si="1"/>
        <v>70</v>
      </c>
      <c r="L21" s="38" t="s">
        <v>42</v>
      </c>
    </row>
    <row r="22" ht="22.5" customHeight="1">
      <c r="A22" s="17">
        <v>46120.0</v>
      </c>
      <c r="B22" s="19" t="s">
        <v>147</v>
      </c>
      <c r="C22" s="20" t="s">
        <v>148</v>
      </c>
      <c r="D22" s="23" t="s">
        <v>155</v>
      </c>
      <c r="E22" s="27" t="str">
        <f t="array" ref="E22">IF(D22="", "", XLOOKUP(D22, 'MASTER ITEM LIST'!A:A, 'MASTER ITEM LIST'!B:B, ""))</f>
        <v>TIMEOUT BODY FILLER WITH HARDENER 4L</v>
      </c>
      <c r="F22" s="50"/>
      <c r="G22" s="30" t="s">
        <v>34</v>
      </c>
      <c r="H22" s="19">
        <v>1.0</v>
      </c>
      <c r="I22" s="19" t="str">
        <f t="array" ref="I22">IFERROR(XLOOKUP(D22,'MASTER ITEM LIST'!A:A,'MASTER ITEM LIST'!D:D), "")</f>
        <v>GAL</v>
      </c>
      <c r="J22" s="34">
        <v>710.0</v>
      </c>
      <c r="K22" s="36">
        <f t="shared" si="1"/>
        <v>710</v>
      </c>
      <c r="L22" s="38" t="s">
        <v>42</v>
      </c>
    </row>
    <row r="23" ht="22.5" customHeight="1">
      <c r="A23" s="17">
        <v>46120.0</v>
      </c>
      <c r="B23" s="19" t="s">
        <v>147</v>
      </c>
      <c r="C23" s="20" t="s">
        <v>148</v>
      </c>
      <c r="D23" s="23" t="s">
        <v>160</v>
      </c>
      <c r="E23" s="27" t="str">
        <f t="array" ref="E23">IF(D23="", "", XLOOKUP(D23, 'MASTER ITEM LIST'!A:A, 'MASTER ITEM LIST'!B:B, ""))</f>
        <v>NAX 141 NAX MAXIMA URETHANE FD CLEAR WITH HARDENER 1L</v>
      </c>
      <c r="F23" s="50"/>
      <c r="G23" s="30" t="s">
        <v>34</v>
      </c>
      <c r="H23" s="19">
        <v>4.0</v>
      </c>
      <c r="I23" s="19" t="str">
        <f t="array" ref="I23">IFERROR(XLOOKUP(D23,'MASTER ITEM LIST'!A:A,'MASTER ITEM LIST'!D:D), "")</f>
        <v>LITER</v>
      </c>
      <c r="J23" s="34">
        <v>580.0</v>
      </c>
      <c r="K23" s="36">
        <f t="shared" si="1"/>
        <v>2320</v>
      </c>
      <c r="L23" s="38" t="s">
        <v>42</v>
      </c>
    </row>
    <row r="24" ht="22.5" customHeight="1">
      <c r="A24" s="17">
        <v>46120.0</v>
      </c>
      <c r="B24" s="19" t="s">
        <v>147</v>
      </c>
      <c r="C24" s="20" t="s">
        <v>148</v>
      </c>
      <c r="D24" s="23" t="s">
        <v>167</v>
      </c>
      <c r="E24" s="27" t="str">
        <f t="array" ref="E24">IF(D24="", "", XLOOKUP(D24, 'MASTER ITEM LIST'!A:A, 'MASTER ITEM LIST'!B:B, ""))</f>
        <v>NAX QDU MIX 1L</v>
      </c>
      <c r="F24" s="19" t="s">
        <v>169</v>
      </c>
      <c r="G24" s="30" t="s">
        <v>34</v>
      </c>
      <c r="H24" s="19">
        <v>2.0</v>
      </c>
      <c r="I24" s="19" t="str">
        <f t="array" ref="I24">IFERROR(XLOOKUP(D24,'MASTER ITEM LIST'!A:A,'MASTER ITEM LIST'!D:D), "")</f>
        <v>LITER</v>
      </c>
      <c r="J24" s="34">
        <v>800.0</v>
      </c>
      <c r="K24" s="36">
        <f t="shared" si="1"/>
        <v>1600</v>
      </c>
      <c r="L24" s="38" t="s">
        <v>42</v>
      </c>
    </row>
    <row r="25" ht="22.5" customHeight="1">
      <c r="A25" s="17">
        <v>46120.0</v>
      </c>
      <c r="B25" s="19" t="s">
        <v>147</v>
      </c>
      <c r="C25" s="20" t="s">
        <v>148</v>
      </c>
      <c r="D25" s="23" t="s">
        <v>167</v>
      </c>
      <c r="E25" s="27" t="str">
        <f t="array" ref="E25">IF(D25="", "", XLOOKUP(D25, 'MASTER ITEM LIST'!A:A, 'MASTER ITEM LIST'!B:B, ""))</f>
        <v>NAX QDU MIX 1L</v>
      </c>
      <c r="F25" s="19" t="s">
        <v>176</v>
      </c>
      <c r="G25" s="30" t="s">
        <v>34</v>
      </c>
      <c r="H25" s="19">
        <v>1.0</v>
      </c>
      <c r="I25" s="19" t="str">
        <f t="array" ref="I25">IFERROR(XLOOKUP(D25,'MASTER ITEM LIST'!A:A,'MASTER ITEM LIST'!D:D), "")</f>
        <v>LITER</v>
      </c>
      <c r="J25" s="34">
        <v>700.0</v>
      </c>
      <c r="K25" s="36">
        <f t="shared" si="1"/>
        <v>700</v>
      </c>
      <c r="L25" s="38" t="s">
        <v>42</v>
      </c>
    </row>
    <row r="26" ht="22.5" customHeight="1">
      <c r="A26" s="17">
        <v>46120.0</v>
      </c>
      <c r="B26" s="19" t="s">
        <v>147</v>
      </c>
      <c r="C26" s="20" t="s">
        <v>148</v>
      </c>
      <c r="D26" s="23" t="s">
        <v>167</v>
      </c>
      <c r="E26" s="27" t="str">
        <f t="array" ref="E26">IF(D26="", "", XLOOKUP(D26, 'MASTER ITEM LIST'!A:A, 'MASTER ITEM LIST'!B:B, ""))</f>
        <v>NAX QDU MIX 1L</v>
      </c>
      <c r="F26" s="19" t="s">
        <v>181</v>
      </c>
      <c r="G26" s="30" t="s">
        <v>34</v>
      </c>
      <c r="H26" s="19">
        <v>0.25</v>
      </c>
      <c r="I26" s="19" t="str">
        <f t="array" ref="I26">IFERROR(XLOOKUP(D26,'MASTER ITEM LIST'!A:A,'MASTER ITEM LIST'!D:D), "")</f>
        <v>LITER</v>
      </c>
      <c r="J26" s="34">
        <v>800.0</v>
      </c>
      <c r="K26" s="36">
        <f t="shared" si="1"/>
        <v>200</v>
      </c>
      <c r="L26" s="38" t="s">
        <v>42</v>
      </c>
    </row>
    <row r="27" ht="22.5" customHeight="1">
      <c r="A27" s="17">
        <v>46120.0</v>
      </c>
      <c r="B27" s="19" t="s">
        <v>185</v>
      </c>
      <c r="C27" s="20" t="s">
        <v>148</v>
      </c>
      <c r="D27" s="23" t="s">
        <v>186</v>
      </c>
      <c r="E27" s="27" t="str">
        <f t="array" ref="E27">IF(D27="", "", XLOOKUP(D27, 'MASTER ITEM LIST'!A:A, 'MASTER ITEM LIST'!B:B, ""))</f>
        <v>SAND PAPER #100</v>
      </c>
      <c r="F27" s="50"/>
      <c r="G27" s="30" t="s">
        <v>34</v>
      </c>
      <c r="H27" s="19">
        <v>3.0</v>
      </c>
      <c r="I27" s="19" t="str">
        <f t="array" ref="I27">IFERROR(XLOOKUP(D27,'MASTER ITEM LIST'!A:A,'MASTER ITEM LIST'!D:D), "")</f>
        <v>PC/S</v>
      </c>
      <c r="J27" s="34">
        <v>40.0</v>
      </c>
      <c r="K27" s="36">
        <f t="shared" si="1"/>
        <v>120</v>
      </c>
      <c r="L27" s="38" t="s">
        <v>42</v>
      </c>
    </row>
    <row r="28" ht="22.5" customHeight="1">
      <c r="A28" s="17">
        <v>46120.0</v>
      </c>
      <c r="B28" s="19" t="s">
        <v>185</v>
      </c>
      <c r="C28" s="20" t="s">
        <v>148</v>
      </c>
      <c r="D28" s="23" t="s">
        <v>117</v>
      </c>
      <c r="E28" s="27" t="str">
        <f t="array" ref="E28">IF(D28="", "", XLOOKUP(D28, 'MASTER ITEM LIST'!A:A, 'MASTER ITEM LIST'!B:B, ""))</f>
        <v>EAGLE SANDPAPER #120</v>
      </c>
      <c r="F28" s="50"/>
      <c r="G28" s="30" t="s">
        <v>34</v>
      </c>
      <c r="H28" s="19">
        <v>3.0</v>
      </c>
      <c r="I28" s="19" t="str">
        <f t="array" ref="I28">IFERROR(XLOOKUP(D28,'MASTER ITEM LIST'!A:A,'MASTER ITEM LIST'!D:D), "")</f>
        <v>PC/S</v>
      </c>
      <c r="J28" s="34">
        <v>25.0</v>
      </c>
      <c r="K28" s="36">
        <f t="shared" si="1"/>
        <v>75</v>
      </c>
      <c r="L28" s="38" t="s">
        <v>42</v>
      </c>
    </row>
    <row r="29" ht="22.5" customHeight="1">
      <c r="A29" s="17">
        <v>46120.0</v>
      </c>
      <c r="B29" s="19" t="s">
        <v>185</v>
      </c>
      <c r="C29" s="20" t="s">
        <v>148</v>
      </c>
      <c r="D29" s="23" t="s">
        <v>193</v>
      </c>
      <c r="E29" s="27" t="str">
        <f t="array" ref="E29">IF(D29="", "", XLOOKUP(D29, 'MASTER ITEM LIST'!A:A, 'MASTER ITEM LIST'!B:B, ""))</f>
        <v>EAGLE SANDPAPER #1500</v>
      </c>
      <c r="F29" s="50"/>
      <c r="G29" s="30" t="s">
        <v>34</v>
      </c>
      <c r="H29" s="19">
        <v>1.0</v>
      </c>
      <c r="I29" s="19" t="str">
        <f t="array" ref="I29">IFERROR(XLOOKUP(D29,'MASTER ITEM LIST'!A:A,'MASTER ITEM LIST'!D:D), "")</f>
        <v>PC/S</v>
      </c>
      <c r="J29" s="34">
        <v>35.0</v>
      </c>
      <c r="K29" s="36">
        <f t="shared" si="1"/>
        <v>35</v>
      </c>
      <c r="L29" s="38" t="s">
        <v>42</v>
      </c>
    </row>
    <row r="30" ht="22.5" customHeight="1">
      <c r="A30" s="17">
        <v>46120.0</v>
      </c>
      <c r="B30" s="19" t="s">
        <v>185</v>
      </c>
      <c r="C30" s="20" t="s">
        <v>148</v>
      </c>
      <c r="D30" s="23" t="s">
        <v>198</v>
      </c>
      <c r="E30" s="27" t="str">
        <f t="array" ref="E30">IF(D30="", "", XLOOKUP(D30, 'MASTER ITEM LIST'!A:A, 'MASTER ITEM LIST'!B:B, ""))</f>
        <v>EAGLE SANDPAPER #2000</v>
      </c>
      <c r="F30" s="50"/>
      <c r="G30" s="30" t="s">
        <v>34</v>
      </c>
      <c r="H30" s="19">
        <v>1.0</v>
      </c>
      <c r="I30" s="19" t="str">
        <f t="array" ref="I30">IFERROR(XLOOKUP(D30,'MASTER ITEM LIST'!A:A,'MASTER ITEM LIST'!D:D), "")</f>
        <v>PC/S</v>
      </c>
      <c r="J30" s="34">
        <v>35.0</v>
      </c>
      <c r="K30" s="36">
        <f t="shared" si="1"/>
        <v>35</v>
      </c>
      <c r="L30" s="38" t="s">
        <v>42</v>
      </c>
    </row>
    <row r="31" ht="22.5" customHeight="1">
      <c r="A31" s="17">
        <v>46120.0</v>
      </c>
      <c r="B31" s="19" t="s">
        <v>185</v>
      </c>
      <c r="C31" s="20" t="s">
        <v>148</v>
      </c>
      <c r="D31" s="23" t="s">
        <v>63</v>
      </c>
      <c r="E31" s="27" t="str">
        <f t="array" ref="E31">IF(D31="", "", XLOOKUP(D31, 'MASTER ITEM LIST'!A:A, 'MASTER ITEM LIST'!B:B, ""))</f>
        <v>OLD NEWS</v>
      </c>
      <c r="F31" s="50"/>
      <c r="G31" s="30" t="s">
        <v>34</v>
      </c>
      <c r="H31" s="19">
        <v>1.0</v>
      </c>
      <c r="I31" s="19" t="str">
        <f t="array" ref="I31">IFERROR(XLOOKUP(D31,'MASTER ITEM LIST'!A:A,'MASTER ITEM LIST'!D:D), "")</f>
        <v>KG</v>
      </c>
      <c r="J31" s="34">
        <v>100.0</v>
      </c>
      <c r="K31" s="36">
        <f t="shared" si="1"/>
        <v>100</v>
      </c>
      <c r="L31" s="38" t="s">
        <v>42</v>
      </c>
    </row>
    <row r="32" ht="22.5" customHeight="1">
      <c r="A32" s="17">
        <v>46120.0</v>
      </c>
      <c r="B32" s="19" t="s">
        <v>185</v>
      </c>
      <c r="C32" s="20" t="s">
        <v>148</v>
      </c>
      <c r="D32" s="23" t="s">
        <v>57</v>
      </c>
      <c r="E32" s="27" t="str">
        <f t="array" ref="E32">IF(D32="", "", XLOOKUP(D32, 'MASTER ITEM LIST'!A:A, 'MASTER ITEM LIST'!B:B, ""))</f>
        <v>DO IT URETHANE THINNER 4L</v>
      </c>
      <c r="F32" s="50"/>
      <c r="G32" s="30" t="s">
        <v>34</v>
      </c>
      <c r="H32" s="19">
        <v>2.0</v>
      </c>
      <c r="I32" s="19" t="str">
        <f t="array" ref="I32">IFERROR(XLOOKUP(D32,'MASTER ITEM LIST'!A:A,'MASTER ITEM LIST'!D:D), "")</f>
        <v>GAL/S</v>
      </c>
      <c r="J32" s="34">
        <v>710.0</v>
      </c>
      <c r="K32" s="36">
        <f t="shared" si="1"/>
        <v>1420</v>
      </c>
      <c r="L32" s="38" t="s">
        <v>42</v>
      </c>
    </row>
    <row r="33" ht="22.5" customHeight="1">
      <c r="A33" s="17">
        <v>46120.0</v>
      </c>
      <c r="B33" s="19" t="s">
        <v>211</v>
      </c>
      <c r="C33" s="20" t="s">
        <v>212</v>
      </c>
      <c r="D33" s="23" t="s">
        <v>213</v>
      </c>
      <c r="E33" s="27" t="str">
        <f t="array" ref="E33">IF(D33="", "", XLOOKUP(D33, 'MASTER ITEM LIST'!A:A, 'MASTER ITEM LIST'!B:B, ""))</f>
        <v>NAX PREMILA NP9200 2K CLEAR WITH HARDENER 1L</v>
      </c>
      <c r="F33" s="50"/>
      <c r="G33" s="30" t="s">
        <v>34</v>
      </c>
      <c r="H33" s="19">
        <v>1.0</v>
      </c>
      <c r="I33" s="19" t="str">
        <f t="array" ref="I33">IFERROR(XLOOKUP(D33,'MASTER ITEM LIST'!A:A,'MASTER ITEM LIST'!D:D), "")</f>
        <v>LITER</v>
      </c>
      <c r="J33" s="34">
        <v>1350.0</v>
      </c>
      <c r="K33" s="36">
        <f t="shared" si="1"/>
        <v>1350</v>
      </c>
      <c r="L33" s="38" t="s">
        <v>42</v>
      </c>
    </row>
    <row r="34" ht="22.5" customHeight="1">
      <c r="A34" s="17">
        <v>46120.0</v>
      </c>
      <c r="B34" s="19" t="s">
        <v>217</v>
      </c>
      <c r="C34" s="20" t="s">
        <v>219</v>
      </c>
      <c r="D34" s="23" t="s">
        <v>220</v>
      </c>
      <c r="E34" s="27" t="str">
        <f t="array" ref="E34">IF(D34="", "", XLOOKUP(D34, 'MASTER ITEM LIST'!A:A, 'MASTER ITEM LIST'!B:B, ""))</f>
        <v>PREMILA MIXING 1L</v>
      </c>
      <c r="F34" s="19" t="s">
        <v>222</v>
      </c>
      <c r="G34" s="30" t="s">
        <v>34</v>
      </c>
      <c r="H34" s="19">
        <v>0.2</v>
      </c>
      <c r="I34" s="19" t="str">
        <f t="array" ref="I34">IFERROR(XLOOKUP(D34,'MASTER ITEM LIST'!A:A,'MASTER ITEM LIST'!D:D), "")</f>
        <v>LITER</v>
      </c>
      <c r="J34" s="34">
        <v>2400.0</v>
      </c>
      <c r="K34" s="36">
        <f t="shared" si="1"/>
        <v>480</v>
      </c>
      <c r="L34" s="38" t="s">
        <v>42</v>
      </c>
    </row>
    <row r="35" ht="22.5" customHeight="1">
      <c r="A35" s="17">
        <v>46121.0</v>
      </c>
      <c r="B35" s="19" t="s">
        <v>225</v>
      </c>
      <c r="C35" s="20" t="s">
        <v>93</v>
      </c>
      <c r="D35" s="23" t="s">
        <v>53</v>
      </c>
      <c r="E35" s="27" t="str">
        <f t="array" ref="E35">IF(D35="", "", XLOOKUP(D35, 'MASTER ITEM LIST'!A:A, 'MASTER ITEM LIST'!B:B, ""))</f>
        <v>NAX 108 CERAMIC 2K CLEAR WITH HARDENER 1L</v>
      </c>
      <c r="F35" s="50"/>
      <c r="G35" s="30" t="s">
        <v>34</v>
      </c>
      <c r="H35" s="19">
        <v>12.0</v>
      </c>
      <c r="I35" s="19" t="str">
        <f t="array" ref="I35">IFERROR(XLOOKUP(D35,'MASTER ITEM LIST'!A:A,'MASTER ITEM LIST'!D:D), "")</f>
        <v>LITER</v>
      </c>
      <c r="J35" s="34">
        <v>680.0</v>
      </c>
      <c r="K35" s="36">
        <f t="shared" si="1"/>
        <v>8160</v>
      </c>
      <c r="L35" s="38" t="s">
        <v>42</v>
      </c>
    </row>
    <row r="36" ht="22.5" customHeight="1">
      <c r="A36" s="17">
        <v>46121.0</v>
      </c>
      <c r="B36" s="19" t="s">
        <v>225</v>
      </c>
      <c r="C36" s="20" t="s">
        <v>93</v>
      </c>
      <c r="D36" s="23" t="s">
        <v>233</v>
      </c>
      <c r="E36" s="27" t="str">
        <f t="array" ref="E36">IF(D36="", "", XLOOKUP(D36, 'MASTER ITEM LIST'!A:A, 'MASTER ITEM LIST'!B:B, ""))</f>
        <v>NAX ALPHA HB SPRAY FILLER GRAY WITH HARDENER 1L</v>
      </c>
      <c r="F36" s="50"/>
      <c r="G36" s="30" t="s">
        <v>34</v>
      </c>
      <c r="H36" s="19">
        <v>12.0</v>
      </c>
      <c r="I36" s="19" t="str">
        <f t="array" ref="I36">IFERROR(XLOOKUP(D36,'MASTER ITEM LIST'!A:A,'MASTER ITEM LIST'!D:D), "")</f>
        <v>LITER</v>
      </c>
      <c r="J36" s="34">
        <v>580.0</v>
      </c>
      <c r="K36" s="36">
        <f t="shared" si="1"/>
        <v>6960</v>
      </c>
      <c r="L36" s="38" t="s">
        <v>42</v>
      </c>
    </row>
    <row r="37" ht="22.5" customHeight="1">
      <c r="A37" s="17">
        <v>46121.0</v>
      </c>
      <c r="B37" s="19" t="s">
        <v>225</v>
      </c>
      <c r="C37" s="20" t="s">
        <v>93</v>
      </c>
      <c r="D37" s="23" t="s">
        <v>45</v>
      </c>
      <c r="E37" s="27" t="str">
        <f t="array" ref="E37">IF(D37="", "", XLOOKUP(D37, 'MASTER ITEM LIST'!A:A, 'MASTER ITEM LIST'!B:B, ""))</f>
        <v>POLYGLOSS PU JET BLACK 4L</v>
      </c>
      <c r="F37" s="50"/>
      <c r="G37" s="30" t="s">
        <v>34</v>
      </c>
      <c r="H37" s="19">
        <v>1.0</v>
      </c>
      <c r="I37" s="19" t="str">
        <f t="array" ref="I37">IFERROR(XLOOKUP(D37,'MASTER ITEM LIST'!A:A,'MASTER ITEM LIST'!D:D), "")</f>
        <v>GALON</v>
      </c>
      <c r="J37" s="34">
        <v>2600.0</v>
      </c>
      <c r="K37" s="36">
        <f t="shared" si="1"/>
        <v>2600</v>
      </c>
      <c r="L37" s="38" t="s">
        <v>42</v>
      </c>
    </row>
    <row r="38" ht="22.5" customHeight="1">
      <c r="A38" s="17">
        <v>46121.0</v>
      </c>
      <c r="B38" s="19" t="s">
        <v>225</v>
      </c>
      <c r="C38" s="20" t="s">
        <v>93</v>
      </c>
      <c r="D38" s="23" t="s">
        <v>241</v>
      </c>
      <c r="E38" s="27" t="str">
        <f t="array" ref="E38">IF(D38="", "", XLOOKUP(D38, 'MASTER ITEM LIST'!A:A, 'MASTER ITEM LIST'!B:B, ""))</f>
        <v>POLYGLOSS PU WHITE 4L</v>
      </c>
      <c r="F38" s="50"/>
      <c r="G38" s="30" t="s">
        <v>34</v>
      </c>
      <c r="H38" s="19">
        <v>1.0</v>
      </c>
      <c r="I38" s="19" t="str">
        <f t="array" ref="I38">IFERROR(XLOOKUP(D38,'MASTER ITEM LIST'!A:A,'MASTER ITEM LIST'!D:D), "")</f>
        <v>GALON</v>
      </c>
      <c r="J38" s="34">
        <v>2400.0</v>
      </c>
      <c r="K38" s="36">
        <f t="shared" si="1"/>
        <v>2400</v>
      </c>
      <c r="L38" s="38" t="s">
        <v>42</v>
      </c>
    </row>
    <row r="39" ht="22.5" customHeight="1">
      <c r="A39" s="17">
        <v>46121.0</v>
      </c>
      <c r="B39" s="19" t="s">
        <v>225</v>
      </c>
      <c r="C39" s="20" t="s">
        <v>93</v>
      </c>
      <c r="D39" s="23" t="s">
        <v>246</v>
      </c>
      <c r="E39" s="27" t="str">
        <f t="array" ref="E39">IF(D39="", "", XLOOKUP(D39, 'MASTER ITEM LIST'!A:A, 'MASTER ITEM LIST'!B:B, ""))</f>
        <v>DOMINO BODY FILTER WITH HARDENER 4L</v>
      </c>
      <c r="F39" s="50"/>
      <c r="G39" s="30" t="s">
        <v>34</v>
      </c>
      <c r="H39" s="19">
        <v>3.0</v>
      </c>
      <c r="I39" s="19" t="str">
        <f t="array" ref="I39">IFERROR(XLOOKUP(D39,'MASTER ITEM LIST'!A:A,'MASTER ITEM LIST'!D:D), "")</f>
        <v>GAL</v>
      </c>
      <c r="J39" s="34">
        <v>615.0</v>
      </c>
      <c r="K39" s="36">
        <f t="shared" si="1"/>
        <v>1845</v>
      </c>
      <c r="L39" s="38" t="s">
        <v>42</v>
      </c>
    </row>
    <row r="40" ht="22.5" customHeight="1">
      <c r="A40" s="17">
        <v>46121.0</v>
      </c>
      <c r="B40" s="19" t="s">
        <v>250</v>
      </c>
      <c r="C40" s="20" t="s">
        <v>93</v>
      </c>
      <c r="D40" s="23" t="s">
        <v>46</v>
      </c>
      <c r="E40" s="27" t="str">
        <f t="array" ref="E40">IF(D40="", "", XLOOKUP(D40, 'MASTER ITEM LIST'!A:A, 'MASTER ITEM LIST'!B:B, ""))</f>
        <v>POLYGLOSS URETHANE THINNER 4L</v>
      </c>
      <c r="F40" s="50"/>
      <c r="G40" s="30" t="s">
        <v>34</v>
      </c>
      <c r="H40" s="19">
        <v>6.0</v>
      </c>
      <c r="I40" s="19" t="str">
        <f t="array" ref="I40">IFERROR(XLOOKUP(D40,'MASTER ITEM LIST'!A:A,'MASTER ITEM LIST'!D:D), "")</f>
        <v>GALON</v>
      </c>
      <c r="J40" s="34">
        <v>800.0</v>
      </c>
      <c r="K40" s="36">
        <f t="shared" si="1"/>
        <v>4800</v>
      </c>
      <c r="L40" s="38" t="s">
        <v>42</v>
      </c>
    </row>
    <row r="41" ht="22.5" customHeight="1">
      <c r="A41" s="17">
        <v>46122.0</v>
      </c>
      <c r="B41" s="19" t="s">
        <v>257</v>
      </c>
      <c r="C41" s="20" t="s">
        <v>258</v>
      </c>
      <c r="D41" s="23" t="s">
        <v>259</v>
      </c>
      <c r="E41" s="27" t="str">
        <f t="array" ref="E41">IF(D41="", "", XLOOKUP(D41, 'MASTER ITEM LIST'!A:A, 'MASTER ITEM LIST'!B:B, ""))</f>
        <v>DRAGONFLY PAINT BRUSH #4</v>
      </c>
      <c r="F41" s="50"/>
      <c r="G41" s="30" t="s">
        <v>34</v>
      </c>
      <c r="H41" s="19">
        <v>3.0</v>
      </c>
      <c r="I41" s="19" t="str">
        <f t="array" ref="I41">IFERROR(XLOOKUP(D41,'MASTER ITEM LIST'!A:A,'MASTER ITEM LIST'!D:D), "")</f>
        <v>PC/S</v>
      </c>
      <c r="J41" s="34">
        <v>120.0</v>
      </c>
      <c r="K41" s="36">
        <f t="shared" si="1"/>
        <v>360</v>
      </c>
      <c r="L41" s="38" t="s">
        <v>42</v>
      </c>
    </row>
    <row r="42" ht="22.5" customHeight="1">
      <c r="A42" s="17">
        <v>46122.0</v>
      </c>
      <c r="B42" s="19" t="s">
        <v>262</v>
      </c>
      <c r="C42" s="20" t="s">
        <v>264</v>
      </c>
      <c r="D42" s="23" t="s">
        <v>167</v>
      </c>
      <c r="E42" s="27" t="str">
        <f t="array" ref="E42">IF(D42="", "", XLOOKUP(D42, 'MASTER ITEM LIST'!A:A, 'MASTER ITEM LIST'!B:B, ""))</f>
        <v>NAX QDU MIX 1L</v>
      </c>
      <c r="F42" s="19" t="s">
        <v>268</v>
      </c>
      <c r="G42" s="30" t="s">
        <v>34</v>
      </c>
      <c r="H42" s="19">
        <v>0.5</v>
      </c>
      <c r="I42" s="19" t="str">
        <f t="array" ref="I42">IFERROR(XLOOKUP(D42,'MASTER ITEM LIST'!A:A,'MASTER ITEM LIST'!D:D), "")</f>
        <v>LITER</v>
      </c>
      <c r="J42" s="34">
        <v>760.0</v>
      </c>
      <c r="K42" s="36">
        <f t="shared" si="1"/>
        <v>380</v>
      </c>
      <c r="L42" s="38" t="s">
        <v>42</v>
      </c>
    </row>
    <row r="43" ht="22.5" customHeight="1">
      <c r="A43" s="17">
        <v>46123.0</v>
      </c>
      <c r="B43" s="19" t="s">
        <v>271</v>
      </c>
      <c r="C43" s="20" t="s">
        <v>272</v>
      </c>
      <c r="D43" s="23" t="s">
        <v>182</v>
      </c>
      <c r="E43" s="27" t="str">
        <f t="array" ref="E43">IF(D43="", "", XLOOKUP(D43, 'MASTER ITEM LIST'!A:A, 'MASTER ITEM LIST'!B:B, ""))</f>
        <v>UNO LACQUER THINNER 4L</v>
      </c>
      <c r="F43" s="19" t="s">
        <v>48</v>
      </c>
      <c r="G43" s="30" t="s">
        <v>34</v>
      </c>
      <c r="H43" s="19">
        <v>0.5</v>
      </c>
      <c r="I43" s="19" t="str">
        <f t="array" ref="I43">IFERROR(XLOOKUP(D43,'MASTER ITEM LIST'!A:A,'MASTER ITEM LIST'!D:D), "")</f>
        <v>GAL/S</v>
      </c>
      <c r="J43" s="34">
        <v>600.0</v>
      </c>
      <c r="K43" s="36">
        <f t="shared" si="1"/>
        <v>300</v>
      </c>
      <c r="L43" s="38" t="s">
        <v>42</v>
      </c>
    </row>
    <row r="44" ht="22.5" customHeight="1">
      <c r="A44" s="17">
        <v>46123.0</v>
      </c>
      <c r="B44" s="19" t="s">
        <v>280</v>
      </c>
      <c r="C44" s="20" t="s">
        <v>281</v>
      </c>
      <c r="D44" s="23" t="s">
        <v>117</v>
      </c>
      <c r="E44" s="27" t="str">
        <f t="array" ref="E44">IF(D44="", "", XLOOKUP(D44, 'MASTER ITEM LIST'!A:A, 'MASTER ITEM LIST'!B:B, ""))</f>
        <v>EAGLE SANDPAPER #120</v>
      </c>
      <c r="F44" s="50"/>
      <c r="G44" s="30" t="s">
        <v>34</v>
      </c>
      <c r="H44" s="19">
        <v>20.0</v>
      </c>
      <c r="I44" s="19" t="str">
        <f t="array" ref="I44">IFERROR(XLOOKUP(D44,'MASTER ITEM LIST'!A:A,'MASTER ITEM LIST'!D:D), "")</f>
        <v>PC/S</v>
      </c>
      <c r="J44" s="34">
        <v>25.0</v>
      </c>
      <c r="K44" s="36">
        <f t="shared" si="1"/>
        <v>500</v>
      </c>
      <c r="L44" s="38" t="s">
        <v>42</v>
      </c>
    </row>
    <row r="45" ht="22.5" customHeight="1">
      <c r="A45" s="17">
        <v>46126.0</v>
      </c>
      <c r="B45" s="19" t="s">
        <v>286</v>
      </c>
      <c r="C45" s="20" t="s">
        <v>219</v>
      </c>
      <c r="D45" s="23" t="s">
        <v>220</v>
      </c>
      <c r="E45" s="27" t="str">
        <f t="array" ref="E45">IF(D45="", "", XLOOKUP(D45, 'MASTER ITEM LIST'!A:A, 'MASTER ITEM LIST'!B:B, ""))</f>
        <v>PREMILA MIXING 1L</v>
      </c>
      <c r="F45" s="19" t="s">
        <v>288</v>
      </c>
      <c r="G45" s="30" t="s">
        <v>34</v>
      </c>
      <c r="H45" s="19">
        <v>0.2</v>
      </c>
      <c r="I45" s="19" t="str">
        <f t="array" ref="I45">IFERROR(XLOOKUP(D45,'MASTER ITEM LIST'!A:A,'MASTER ITEM LIST'!D:D), "")</f>
        <v>LITER</v>
      </c>
      <c r="J45" s="34">
        <v>2600.0</v>
      </c>
      <c r="K45" s="36">
        <f t="shared" si="1"/>
        <v>520</v>
      </c>
      <c r="L45" s="38" t="s">
        <v>42</v>
      </c>
    </row>
    <row r="46" ht="22.5" customHeight="1">
      <c r="A46" s="17">
        <v>46126.0</v>
      </c>
      <c r="B46" s="19" t="s">
        <v>291</v>
      </c>
      <c r="C46" s="20" t="s">
        <v>219</v>
      </c>
      <c r="D46" s="23" t="s">
        <v>220</v>
      </c>
      <c r="E46" s="27" t="str">
        <f t="array" ref="E46">IF(D46="", "", XLOOKUP(D46, 'MASTER ITEM LIST'!A:A, 'MASTER ITEM LIST'!B:B, ""))</f>
        <v>PREMILA MIXING 1L</v>
      </c>
      <c r="F46" s="19" t="s">
        <v>294</v>
      </c>
      <c r="G46" s="30" t="s">
        <v>34</v>
      </c>
      <c r="H46" s="19">
        <v>0.3</v>
      </c>
      <c r="I46" s="19" t="str">
        <f t="array" ref="I46">IFERROR(XLOOKUP(D46,'MASTER ITEM LIST'!A:A,'MASTER ITEM LIST'!D:D), "")</f>
        <v>LITER</v>
      </c>
      <c r="J46" s="34">
        <v>2600.0</v>
      </c>
      <c r="K46" s="36">
        <f t="shared" si="1"/>
        <v>780</v>
      </c>
      <c r="L46" s="38" t="s">
        <v>42</v>
      </c>
    </row>
    <row r="47" ht="22.5" customHeight="1">
      <c r="A47" s="17">
        <v>46126.0</v>
      </c>
      <c r="B47" s="19" t="s">
        <v>291</v>
      </c>
      <c r="C47" s="20" t="s">
        <v>219</v>
      </c>
      <c r="D47" s="23" t="s">
        <v>220</v>
      </c>
      <c r="E47" s="27" t="str">
        <f t="array" ref="E47">IF(D47="", "", XLOOKUP(D47, 'MASTER ITEM LIST'!A:A, 'MASTER ITEM LIST'!B:B, ""))</f>
        <v>PREMILA MIXING 1L</v>
      </c>
      <c r="F47" s="19" t="s">
        <v>298</v>
      </c>
      <c r="G47" s="30" t="s">
        <v>34</v>
      </c>
      <c r="H47" s="19">
        <v>0.3</v>
      </c>
      <c r="I47" s="19" t="str">
        <f t="array" ref="I47">IFERROR(XLOOKUP(D47,'MASTER ITEM LIST'!A:A,'MASTER ITEM LIST'!D:D), "")</f>
        <v>LITER</v>
      </c>
      <c r="J47" s="34">
        <v>1900.0</v>
      </c>
      <c r="K47" s="36">
        <f t="shared" si="1"/>
        <v>570</v>
      </c>
      <c r="L47" s="38" t="s">
        <v>42</v>
      </c>
    </row>
    <row r="48" ht="22.5" customHeight="1">
      <c r="A48" s="17">
        <v>46126.0</v>
      </c>
      <c r="B48" s="19" t="s">
        <v>291</v>
      </c>
      <c r="C48" s="20" t="s">
        <v>219</v>
      </c>
      <c r="D48" s="23" t="s">
        <v>304</v>
      </c>
      <c r="E48" s="27" t="str">
        <f t="array" ref="E48">IF(D48="", "", XLOOKUP(D48, 'MASTER ITEM LIST'!A:A, 'MASTER ITEM LIST'!B:B, ""))</f>
        <v>NAX NAT-100 TTC WHITE 4L</v>
      </c>
      <c r="F48" s="19" t="s">
        <v>48</v>
      </c>
      <c r="G48" s="30" t="s">
        <v>34</v>
      </c>
      <c r="H48" s="19">
        <v>0.0625</v>
      </c>
      <c r="I48" s="19" t="str">
        <f t="array" ref="I48">IFERROR(XLOOKUP(D48,'MASTER ITEM LIST'!A:A,'MASTER ITEM LIST'!D:D), "")</f>
        <v>GAL</v>
      </c>
      <c r="J48" s="34">
        <v>2880.0</v>
      </c>
      <c r="K48" s="36">
        <f t="shared" si="1"/>
        <v>180</v>
      </c>
      <c r="L48" s="38" t="s">
        <v>42</v>
      </c>
    </row>
    <row r="49" ht="22.5" customHeight="1">
      <c r="A49" s="17">
        <v>46126.0</v>
      </c>
      <c r="B49" s="19" t="s">
        <v>291</v>
      </c>
      <c r="C49" s="20" t="s">
        <v>219</v>
      </c>
      <c r="D49" s="23" t="s">
        <v>57</v>
      </c>
      <c r="E49" s="27" t="str">
        <f t="array" ref="E49">IF(D49="", "", XLOOKUP(D49, 'MASTER ITEM LIST'!A:A, 'MASTER ITEM LIST'!B:B, ""))</f>
        <v>DO IT URETHANE THINNER 4L</v>
      </c>
      <c r="F49" s="50"/>
      <c r="G49" s="30" t="s">
        <v>34</v>
      </c>
      <c r="H49" s="19">
        <v>2.0</v>
      </c>
      <c r="I49" s="19" t="str">
        <f t="array" ref="I49">IFERROR(XLOOKUP(D49,'MASTER ITEM LIST'!A:A,'MASTER ITEM LIST'!D:D), "")</f>
        <v>GAL/S</v>
      </c>
      <c r="J49" s="34">
        <v>700.0</v>
      </c>
      <c r="K49" s="36">
        <f t="shared" si="1"/>
        <v>1400</v>
      </c>
      <c r="L49" s="38" t="s">
        <v>42</v>
      </c>
    </row>
    <row r="50" ht="22.5" customHeight="1">
      <c r="A50" s="17">
        <v>46126.0</v>
      </c>
      <c r="B50" s="19" t="s">
        <v>313</v>
      </c>
      <c r="C50" s="20" t="s">
        <v>314</v>
      </c>
      <c r="D50" s="23" t="s">
        <v>315</v>
      </c>
      <c r="E50" s="27" t="str">
        <f t="array" ref="E50">IF(D50="", "", XLOOKUP(D50, 'MASTER ITEM LIST'!A:A, 'MASTER ITEM LIST'!B:B, ""))</f>
        <v>CUMI SUPREME FLOOR SANDING 60</v>
      </c>
      <c r="F50" s="50"/>
      <c r="G50" s="30" t="s">
        <v>34</v>
      </c>
      <c r="H50" s="19">
        <v>1.0</v>
      </c>
      <c r="I50" s="19" t="str">
        <f t="array" ref="I50">IFERROR(XLOOKUP(D50,'MASTER ITEM LIST'!A:A,'MASTER ITEM LIST'!D:D), "")</f>
        <v>FT</v>
      </c>
      <c r="J50" s="34">
        <v>95.0</v>
      </c>
      <c r="K50" s="36">
        <f t="shared" si="1"/>
        <v>95</v>
      </c>
      <c r="L50" s="38" t="s">
        <v>42</v>
      </c>
    </row>
    <row r="51" ht="22.5" customHeight="1">
      <c r="A51" s="17">
        <v>46126.0</v>
      </c>
      <c r="B51" s="19" t="s">
        <v>313</v>
      </c>
      <c r="C51" s="20" t="s">
        <v>314</v>
      </c>
      <c r="D51" s="23" t="s">
        <v>220</v>
      </c>
      <c r="E51" s="27" t="str">
        <f t="array" ref="E51">IF(D51="", "", XLOOKUP(D51, 'MASTER ITEM LIST'!A:A, 'MASTER ITEM LIST'!B:B, ""))</f>
        <v>PREMILA MIXING 1L</v>
      </c>
      <c r="F51" s="19" t="s">
        <v>321</v>
      </c>
      <c r="G51" s="30" t="s">
        <v>34</v>
      </c>
      <c r="H51" s="19">
        <v>0.125</v>
      </c>
      <c r="I51" s="19" t="str">
        <f t="array" ref="I51">IFERROR(XLOOKUP(D51,'MASTER ITEM LIST'!A:A,'MASTER ITEM LIST'!D:D), "")</f>
        <v>LITER</v>
      </c>
      <c r="J51" s="34">
        <v>2880.0</v>
      </c>
      <c r="K51" s="36">
        <f t="shared" si="1"/>
        <v>360</v>
      </c>
      <c r="L51" s="38" t="s">
        <v>42</v>
      </c>
    </row>
    <row r="52" ht="22.5" customHeight="1">
      <c r="A52" s="17">
        <v>46128.0</v>
      </c>
      <c r="B52" s="19" t="s">
        <v>325</v>
      </c>
      <c r="C52" s="20" t="s">
        <v>93</v>
      </c>
      <c r="D52" s="23" t="s">
        <v>326</v>
      </c>
      <c r="E52" s="27" t="str">
        <f t="array" ref="E52">IF(D52="", "", XLOOKUP(D52, 'MASTER ITEM LIST'!A:A, 'MASTER ITEM LIST'!B:B, ""))</f>
        <v>EAGLE SANDPAPER #1200</v>
      </c>
      <c r="F52" s="50"/>
      <c r="G52" s="30" t="s">
        <v>34</v>
      </c>
      <c r="H52" s="19">
        <v>5.0</v>
      </c>
      <c r="I52" s="19" t="str">
        <f t="array" ref="I52">IFERROR(XLOOKUP(D52,'MASTER ITEM LIST'!A:A,'MASTER ITEM LIST'!D:D), "")</f>
        <v>PC/S</v>
      </c>
      <c r="J52" s="34">
        <v>25.0</v>
      </c>
      <c r="K52" s="36">
        <f t="shared" si="1"/>
        <v>125</v>
      </c>
      <c r="L52" s="38" t="s">
        <v>42</v>
      </c>
    </row>
    <row r="53" ht="22.5" customHeight="1">
      <c r="A53" s="17">
        <v>46128.0</v>
      </c>
      <c r="B53" s="19" t="s">
        <v>331</v>
      </c>
      <c r="C53" s="20" t="s">
        <v>333</v>
      </c>
      <c r="D53" s="23" t="s">
        <v>334</v>
      </c>
      <c r="E53" s="27" t="str">
        <f t="array" ref="E53">IF(D53="", "", XLOOKUP(D53, 'MASTER ITEM LIST'!A:A, 'MASTER ITEM LIST'!B:B, ""))</f>
        <v>PLATONE QDE BLACK 4L</v>
      </c>
      <c r="F53" s="19" t="s">
        <v>48</v>
      </c>
      <c r="G53" s="30" t="s">
        <v>34</v>
      </c>
      <c r="H53" s="19">
        <v>0.25</v>
      </c>
      <c r="I53" s="19" t="str">
        <f t="array" ref="I53">IFERROR(XLOOKUP(D53,'MASTER ITEM LIST'!A:A,'MASTER ITEM LIST'!D:D), "")</f>
        <v>GAL</v>
      </c>
      <c r="J53" s="34">
        <v>920.0</v>
      </c>
      <c r="K53" s="36">
        <f t="shared" si="1"/>
        <v>230</v>
      </c>
      <c r="L53" s="38" t="s">
        <v>42</v>
      </c>
    </row>
    <row r="54" ht="22.5" customHeight="1">
      <c r="A54" s="17">
        <v>46129.0</v>
      </c>
      <c r="B54" s="19" t="s">
        <v>337</v>
      </c>
      <c r="C54" s="20" t="s">
        <v>339</v>
      </c>
      <c r="D54" s="23" t="s">
        <v>340</v>
      </c>
      <c r="E54" s="27" t="str">
        <f t="array" ref="E54">IF(D54="", "", XLOOKUP(D54, 'MASTER ITEM LIST'!A:A, 'MASTER ITEM LIST'!B:B, ""))</f>
        <v>PYLOX LAZER GLOSS BLACK 48</v>
      </c>
      <c r="F54" s="50"/>
      <c r="G54" s="30" t="s">
        <v>34</v>
      </c>
      <c r="H54" s="19">
        <v>1.0</v>
      </c>
      <c r="I54" s="19" t="str">
        <f t="array" ref="I54">IFERROR(XLOOKUP(D54,'MASTER ITEM LIST'!A:A,'MASTER ITEM LIST'!D:D), "")</f>
        <v>CAN</v>
      </c>
      <c r="J54" s="34">
        <v>140.0</v>
      </c>
      <c r="K54" s="36">
        <f t="shared" si="1"/>
        <v>140</v>
      </c>
      <c r="L54" s="38" t="s">
        <v>42</v>
      </c>
    </row>
    <row r="55" ht="22.5" customHeight="1">
      <c r="A55" s="17">
        <v>46129.0</v>
      </c>
      <c r="B55" s="19" t="s">
        <v>337</v>
      </c>
      <c r="C55" s="20" t="s">
        <v>339</v>
      </c>
      <c r="D55" s="23" t="s">
        <v>117</v>
      </c>
      <c r="E55" s="27" t="str">
        <f t="array" ref="E55">IF(D55="", "", XLOOKUP(D55, 'MASTER ITEM LIST'!A:A, 'MASTER ITEM LIST'!B:B, ""))</f>
        <v>EAGLE SANDPAPER #120</v>
      </c>
      <c r="F55" s="50"/>
      <c r="G55" s="30" t="s">
        <v>34</v>
      </c>
      <c r="H55" s="19">
        <v>1.0</v>
      </c>
      <c r="I55" s="19" t="str">
        <f t="array" ref="I55">IFERROR(XLOOKUP(D55,'MASTER ITEM LIST'!A:A,'MASTER ITEM LIST'!D:D), "")</f>
        <v>PC/S</v>
      </c>
      <c r="J55" s="34">
        <v>40.0</v>
      </c>
      <c r="K55" s="36">
        <f t="shared" si="1"/>
        <v>40</v>
      </c>
      <c r="L55" s="38" t="s">
        <v>42</v>
      </c>
    </row>
    <row r="56" ht="22.5" customHeight="1">
      <c r="A56" s="17">
        <v>46129.0</v>
      </c>
      <c r="B56" s="19" t="s">
        <v>349</v>
      </c>
      <c r="C56" s="20" t="s">
        <v>350</v>
      </c>
      <c r="D56" s="23" t="s">
        <v>167</v>
      </c>
      <c r="E56" s="27" t="str">
        <f t="array" ref="E56">IF(D56="", "", XLOOKUP(D56, 'MASTER ITEM LIST'!A:A, 'MASTER ITEM LIST'!B:B, ""))</f>
        <v>NAX QDU MIX 1L</v>
      </c>
      <c r="F56" s="19" t="s">
        <v>351</v>
      </c>
      <c r="G56" s="30" t="s">
        <v>34</v>
      </c>
      <c r="H56" s="19">
        <v>0.5</v>
      </c>
      <c r="I56" s="19" t="str">
        <f t="array" ref="I56">IFERROR(XLOOKUP(D56,'MASTER ITEM LIST'!A:A,'MASTER ITEM LIST'!D:D), "")</f>
        <v>LITER</v>
      </c>
      <c r="J56" s="34">
        <v>1000.0</v>
      </c>
      <c r="K56" s="36">
        <f t="shared" si="1"/>
        <v>500</v>
      </c>
      <c r="L56" s="38" t="s">
        <v>42</v>
      </c>
    </row>
    <row r="57" ht="22.5" customHeight="1">
      <c r="A57" s="17">
        <v>46129.0</v>
      </c>
      <c r="B57" s="19" t="s">
        <v>349</v>
      </c>
      <c r="C57" s="20" t="s">
        <v>350</v>
      </c>
      <c r="D57" s="23" t="s">
        <v>94</v>
      </c>
      <c r="E57" s="27" t="str">
        <f t="array" ref="E57">IF(D57="", "", XLOOKUP(D57, 'MASTER ITEM LIST'!A:A, 'MASTER ITEM LIST'!B:B, ""))</f>
        <v>NAX NAT-990 TTC BLACK 4L</v>
      </c>
      <c r="F57" s="50"/>
      <c r="G57" s="30" t="s">
        <v>34</v>
      </c>
      <c r="H57" s="19">
        <v>0.125</v>
      </c>
      <c r="I57" s="19" t="str">
        <f t="array" ref="I57">IFERROR(XLOOKUP(D57,'MASTER ITEM LIST'!A:A,'MASTER ITEM LIST'!D:D), "")</f>
        <v>GAL</v>
      </c>
      <c r="J57" s="34">
        <v>4000.0</v>
      </c>
      <c r="K57" s="36">
        <f t="shared" si="1"/>
        <v>500</v>
      </c>
      <c r="L57" s="38" t="s">
        <v>42</v>
      </c>
    </row>
    <row r="58" ht="22.5" customHeight="1">
      <c r="A58" s="17">
        <v>46129.0</v>
      </c>
      <c r="B58" s="19" t="s">
        <v>360</v>
      </c>
      <c r="C58" s="20" t="s">
        <v>93</v>
      </c>
      <c r="D58" s="23" t="s">
        <v>63</v>
      </c>
      <c r="E58" s="27" t="str">
        <f t="array" ref="E58">IF(D58="", "", XLOOKUP(D58, 'MASTER ITEM LIST'!A:A, 'MASTER ITEM LIST'!B:B, ""))</f>
        <v>OLD NEWS</v>
      </c>
      <c r="F58" s="50"/>
      <c r="G58" s="30" t="s">
        <v>34</v>
      </c>
      <c r="H58" s="19">
        <v>2.0</v>
      </c>
      <c r="I58" s="19" t="str">
        <f t="array" ref="I58">IFERROR(XLOOKUP(D58,'MASTER ITEM LIST'!A:A,'MASTER ITEM LIST'!D:D), "")</f>
        <v>KG</v>
      </c>
      <c r="J58" s="34">
        <v>100.0</v>
      </c>
      <c r="K58" s="36">
        <f t="shared" si="1"/>
        <v>200</v>
      </c>
      <c r="L58" s="38" t="s">
        <v>42</v>
      </c>
    </row>
    <row r="59" ht="22.5" customHeight="1">
      <c r="A59" s="17">
        <v>46129.0</v>
      </c>
      <c r="B59" s="19" t="s">
        <v>368</v>
      </c>
      <c r="C59" s="20" t="s">
        <v>370</v>
      </c>
      <c r="D59" s="23" t="s">
        <v>371</v>
      </c>
      <c r="E59" s="27" t="str">
        <f t="array" ref="E59">IF(D59="", "", XLOOKUP(D59, 'MASTER ITEM LIST'!A:A, 'MASTER ITEM LIST'!B:B, ""))</f>
        <v>LATEX NP, ALPHA CHROMA, DAVIES, BOYSEN, WC 1L</v>
      </c>
      <c r="F59" s="19" t="s">
        <v>372</v>
      </c>
      <c r="G59" s="30" t="s">
        <v>34</v>
      </c>
      <c r="H59" s="19">
        <v>0.25</v>
      </c>
      <c r="I59" s="19" t="str">
        <f t="array" ref="I59">IFERROR(XLOOKUP(D59,'MASTER ITEM LIST'!A:A,'MASTER ITEM LIST'!D:D), "")</f>
        <v>LITER</v>
      </c>
      <c r="J59" s="34">
        <v>340.0</v>
      </c>
      <c r="K59" s="36">
        <f t="shared" si="1"/>
        <v>85</v>
      </c>
      <c r="L59" s="38" t="s">
        <v>42</v>
      </c>
    </row>
    <row r="60" ht="22.5" customHeight="1">
      <c r="A60" s="17">
        <v>46129.0</v>
      </c>
      <c r="B60" s="19" t="s">
        <v>368</v>
      </c>
      <c r="C60" s="20" t="s">
        <v>370</v>
      </c>
      <c r="D60" s="23" t="s">
        <v>371</v>
      </c>
      <c r="E60" s="27" t="str">
        <f t="array" ref="E60">IF(D60="", "", XLOOKUP(D60, 'MASTER ITEM LIST'!A:A, 'MASTER ITEM LIST'!B:B, ""))</f>
        <v>LATEX NP, ALPHA CHROMA, DAVIES, BOYSEN, WC 1L</v>
      </c>
      <c r="F60" s="19" t="s">
        <v>378</v>
      </c>
      <c r="G60" s="30" t="s">
        <v>34</v>
      </c>
      <c r="H60" s="19">
        <v>0.25</v>
      </c>
      <c r="I60" s="19" t="str">
        <f t="array" ref="I60">IFERROR(XLOOKUP(D60,'MASTER ITEM LIST'!A:A,'MASTER ITEM LIST'!D:D), "")</f>
        <v>LITER</v>
      </c>
      <c r="J60" s="34">
        <v>340.0</v>
      </c>
      <c r="K60" s="36">
        <f t="shared" si="1"/>
        <v>85</v>
      </c>
      <c r="L60" s="38" t="s">
        <v>42</v>
      </c>
    </row>
    <row r="61" ht="22.5" customHeight="1">
      <c r="A61" s="17">
        <v>46129.0</v>
      </c>
      <c r="B61" s="19" t="s">
        <v>368</v>
      </c>
      <c r="C61" s="20" t="s">
        <v>370</v>
      </c>
      <c r="D61" s="23" t="s">
        <v>384</v>
      </c>
      <c r="E61" s="27" t="str">
        <f t="array" ref="E61">IF(D61="", "", XLOOKUP(D61, 'MASTER ITEM LIST'!A:A, 'MASTER ITEM LIST'!B:B, ""))</f>
        <v>PAINT BRUSH 2B #1</v>
      </c>
      <c r="F61" s="50"/>
      <c r="G61" s="30" t="s">
        <v>34</v>
      </c>
      <c r="H61" s="19">
        <v>2.0</v>
      </c>
      <c r="I61" s="19" t="str">
        <f t="array" ref="I61">IFERROR(XLOOKUP(D61,'MASTER ITEM LIST'!A:A,'MASTER ITEM LIST'!D:D), "")</f>
        <v>PC/S</v>
      </c>
      <c r="J61" s="34">
        <v>25.0</v>
      </c>
      <c r="K61" s="36">
        <f t="shared" si="1"/>
        <v>50</v>
      </c>
      <c r="L61" s="38" t="s">
        <v>42</v>
      </c>
    </row>
    <row r="62" ht="22.5" customHeight="1">
      <c r="A62" s="17">
        <v>46129.0</v>
      </c>
      <c r="B62" s="19" t="s">
        <v>388</v>
      </c>
      <c r="C62" s="20" t="s">
        <v>389</v>
      </c>
      <c r="D62" s="23" t="s">
        <v>390</v>
      </c>
      <c r="E62" s="27" t="str">
        <f t="array" ref="E62">IF(D62="", "", XLOOKUP(D62, 'MASTER ITEM LIST'!A:A, 'MASTER ITEM LIST'!B:B, ""))</f>
        <v>NIPPON EPOXY THINNER 4L</v>
      </c>
      <c r="F62" s="50"/>
      <c r="G62" s="30" t="s">
        <v>34</v>
      </c>
      <c r="H62" s="19">
        <v>0.5</v>
      </c>
      <c r="I62" s="19" t="str">
        <f t="array" ref="I62">IFERROR(XLOOKUP(D62,'MASTER ITEM LIST'!A:A,'MASTER ITEM LIST'!D:D), "")</f>
        <v>GAL/S</v>
      </c>
      <c r="J62" s="34">
        <v>720.0</v>
      </c>
      <c r="K62" s="36">
        <f t="shared" si="1"/>
        <v>360</v>
      </c>
      <c r="L62" s="38" t="s">
        <v>42</v>
      </c>
    </row>
    <row r="63" ht="22.5" customHeight="1">
      <c r="A63" s="17">
        <v>46130.0</v>
      </c>
      <c r="B63" s="19" t="s">
        <v>395</v>
      </c>
      <c r="C63" s="20" t="s">
        <v>396</v>
      </c>
      <c r="D63" s="23" t="s">
        <v>397</v>
      </c>
      <c r="E63" s="27" t="str">
        <f t="array" ref="E63">IF(D63="", "", XLOOKUP(D63, 'MASTER ITEM LIST'!A:A, 'MASTER ITEM LIST'!B:B, ""))</f>
        <v>NIPPON HS FILLER 1L</v>
      </c>
      <c r="F63" s="50"/>
      <c r="G63" s="30" t="s">
        <v>34</v>
      </c>
      <c r="H63" s="19">
        <v>1.0</v>
      </c>
      <c r="I63" s="19" t="str">
        <f t="array" ref="I63">IFERROR(XLOOKUP(D63,'MASTER ITEM LIST'!A:A,'MASTER ITEM LIST'!D:D), "")</f>
        <v>LITER</v>
      </c>
      <c r="J63" s="34">
        <v>800.0</v>
      </c>
      <c r="K63" s="36">
        <f t="shared" si="1"/>
        <v>800</v>
      </c>
      <c r="L63" s="38" t="s">
        <v>42</v>
      </c>
    </row>
    <row r="64" ht="22.5" customHeight="1">
      <c r="A64" s="17">
        <v>46130.0</v>
      </c>
      <c r="B64" s="19" t="s">
        <v>402</v>
      </c>
      <c r="C64" s="20" t="s">
        <v>396</v>
      </c>
      <c r="D64" s="23" t="s">
        <v>167</v>
      </c>
      <c r="E64" s="27" t="str">
        <f t="array" ref="E64">IF(D64="", "", XLOOKUP(D64, 'MASTER ITEM LIST'!A:A, 'MASTER ITEM LIST'!B:B, ""))</f>
        <v>NAX QDU MIX 1L</v>
      </c>
      <c r="F64" s="19" t="s">
        <v>405</v>
      </c>
      <c r="G64" s="30" t="s">
        <v>34</v>
      </c>
      <c r="H64" s="19">
        <v>2.0</v>
      </c>
      <c r="I64" s="19" t="str">
        <f t="array" ref="I64">IFERROR(XLOOKUP(D64,'MASTER ITEM LIST'!A:A,'MASTER ITEM LIST'!D:D), "")</f>
        <v>LITER</v>
      </c>
      <c r="J64" s="34">
        <v>1500.0</v>
      </c>
      <c r="K64" s="36">
        <f t="shared" si="1"/>
        <v>3000</v>
      </c>
      <c r="L64" s="38" t="s">
        <v>42</v>
      </c>
    </row>
    <row r="65" ht="22.5" customHeight="1">
      <c r="A65" s="17">
        <v>46130.0</v>
      </c>
      <c r="B65" s="19" t="s">
        <v>408</v>
      </c>
      <c r="C65" s="20" t="s">
        <v>396</v>
      </c>
      <c r="D65" s="23" t="s">
        <v>410</v>
      </c>
      <c r="E65" s="27" t="str">
        <f t="array" ref="E65">IF(D65="", "", XLOOKUP(D65, 'MASTER ITEM LIST'!A:A, 'MASTER ITEM LIST'!B:B, ""))</f>
        <v>NAX NAX21 URETHANE HAEDENER</v>
      </c>
      <c r="F65" s="50"/>
      <c r="G65" s="30" t="s">
        <v>34</v>
      </c>
      <c r="H65" s="19">
        <v>2.0</v>
      </c>
      <c r="I65" s="19" t="str">
        <f t="array" ref="I65">IFERROR(XLOOKUP(D65,'MASTER ITEM LIST'!A:A,'MASTER ITEM LIST'!D:D), "")</f>
        <v>CANS</v>
      </c>
      <c r="J65" s="34">
        <v>240.0</v>
      </c>
      <c r="K65" s="36">
        <f t="shared" si="1"/>
        <v>480</v>
      </c>
      <c r="L65" s="38" t="s">
        <v>42</v>
      </c>
    </row>
    <row r="66" ht="22.5" customHeight="1">
      <c r="A66" s="17">
        <v>46130.0</v>
      </c>
      <c r="B66" s="19" t="s">
        <v>408</v>
      </c>
      <c r="C66" s="20" t="s">
        <v>396</v>
      </c>
      <c r="D66" s="23" t="s">
        <v>415</v>
      </c>
      <c r="E66" s="27" t="str">
        <f t="array" ref="E66">IF(D66="", "", XLOOKUP(D66, 'MASTER ITEM LIST'!A:A, 'MASTER ITEM LIST'!B:B, ""))</f>
        <v>NAX PREMILA NP9700 HS 2K CLEAR WITH HARDENER 1L</v>
      </c>
      <c r="F66" s="50"/>
      <c r="G66" s="30" t="s">
        <v>34</v>
      </c>
      <c r="H66" s="19">
        <v>2.0</v>
      </c>
      <c r="I66" s="19" t="str">
        <f t="array" ref="I66">IFERROR(XLOOKUP(D66,'MASTER ITEM LIST'!A:A,'MASTER ITEM LIST'!D:D), "")</f>
        <v>LITER</v>
      </c>
      <c r="J66" s="34">
        <v>1550.0</v>
      </c>
      <c r="K66" s="36">
        <f t="shared" si="1"/>
        <v>3100</v>
      </c>
      <c r="L66" s="38" t="s">
        <v>42</v>
      </c>
    </row>
    <row r="67" ht="22.5" customHeight="1">
      <c r="A67" s="17">
        <v>46130.0</v>
      </c>
      <c r="B67" s="19" t="s">
        <v>408</v>
      </c>
      <c r="C67" s="20" t="s">
        <v>396</v>
      </c>
      <c r="D67" s="23" t="s">
        <v>136</v>
      </c>
      <c r="E67" s="27" t="str">
        <f t="array" ref="E67">IF(D67="", "", XLOOKUP(D67, 'MASTER ITEM LIST'!A:A, 'MASTER ITEM LIST'!B:B, ""))</f>
        <v>CROCO MASKING TAPE 3/4 18MM (1X64)</v>
      </c>
      <c r="F67" s="50"/>
      <c r="G67" s="30" t="s">
        <v>34</v>
      </c>
      <c r="H67" s="19">
        <v>5.0</v>
      </c>
      <c r="I67" s="19" t="str">
        <f t="array" ref="I67">IFERROR(XLOOKUP(D67,'MASTER ITEM LIST'!A:A,'MASTER ITEM LIST'!D:D), "")</f>
        <v>PC/S</v>
      </c>
      <c r="J67" s="34">
        <v>35.0</v>
      </c>
      <c r="K67" s="36">
        <f t="shared" si="1"/>
        <v>175</v>
      </c>
      <c r="L67" s="38" t="s">
        <v>42</v>
      </c>
    </row>
    <row r="68" ht="22.5" customHeight="1">
      <c r="A68" s="17">
        <v>46130.0</v>
      </c>
      <c r="B68" s="19" t="s">
        <v>408</v>
      </c>
      <c r="C68" s="20" t="s">
        <v>396</v>
      </c>
      <c r="D68" s="23" t="s">
        <v>186</v>
      </c>
      <c r="E68" s="27" t="str">
        <f t="array" ref="E68">IF(D68="", "", XLOOKUP(D68, 'MASTER ITEM LIST'!A:A, 'MASTER ITEM LIST'!B:B, ""))</f>
        <v>SAND PAPER #100</v>
      </c>
      <c r="F68" s="50"/>
      <c r="G68" s="30" t="s">
        <v>34</v>
      </c>
      <c r="H68" s="19">
        <v>2.0</v>
      </c>
      <c r="I68" s="19" t="str">
        <f t="array" ref="I68">IFERROR(XLOOKUP(D68,'MASTER ITEM LIST'!A:A,'MASTER ITEM LIST'!D:D), "")</f>
        <v>PC/S</v>
      </c>
      <c r="J68" s="34">
        <v>40.0</v>
      </c>
      <c r="K68" s="36">
        <f t="shared" si="1"/>
        <v>80</v>
      </c>
      <c r="L68" s="38" t="s">
        <v>42</v>
      </c>
    </row>
    <row r="69" ht="22.5" customHeight="1">
      <c r="A69" s="17">
        <v>46130.0</v>
      </c>
      <c r="B69" s="19" t="s">
        <v>408</v>
      </c>
      <c r="C69" s="20" t="s">
        <v>396</v>
      </c>
      <c r="D69" s="23" t="s">
        <v>426</v>
      </c>
      <c r="E69" s="27" t="str">
        <f t="array" ref="E69">IF(D69="", "", XLOOKUP(D69, 'MASTER ITEM LIST'!A:A, 'MASTER ITEM LIST'!B:B, ""))</f>
        <v>EAGLE SAND PAPER #320</v>
      </c>
      <c r="F69" s="50"/>
      <c r="G69" s="30" t="s">
        <v>34</v>
      </c>
      <c r="H69" s="19">
        <v>5.0</v>
      </c>
      <c r="I69" s="19" t="str">
        <f t="array" ref="I69">IFERROR(XLOOKUP(D69,'MASTER ITEM LIST'!A:A,'MASTER ITEM LIST'!D:D), "")</f>
        <v>PCS</v>
      </c>
      <c r="J69" s="34">
        <v>25.0</v>
      </c>
      <c r="K69" s="36">
        <f t="shared" si="1"/>
        <v>125</v>
      </c>
      <c r="L69" s="38" t="s">
        <v>42</v>
      </c>
    </row>
    <row r="70" ht="22.5" customHeight="1">
      <c r="A70" s="17">
        <v>46130.0</v>
      </c>
      <c r="B70" s="19" t="s">
        <v>408</v>
      </c>
      <c r="C70" s="20" t="s">
        <v>396</v>
      </c>
      <c r="D70" s="23" t="s">
        <v>432</v>
      </c>
      <c r="E70" s="27" t="str">
        <f t="array" ref="E70">IF(D70="", "", XLOOKUP(D70, 'MASTER ITEM LIST'!A:A, 'MASTER ITEM LIST'!B:B, ""))</f>
        <v>EAGLE SANDPAPER #600</v>
      </c>
      <c r="F70" s="50"/>
      <c r="G70" s="30" t="s">
        <v>34</v>
      </c>
      <c r="H70" s="19">
        <v>5.0</v>
      </c>
      <c r="I70" s="19" t="str">
        <f t="array" ref="I70">IFERROR(XLOOKUP(D70,'MASTER ITEM LIST'!A:A,'MASTER ITEM LIST'!D:D), "")</f>
        <v>PCS</v>
      </c>
      <c r="J70" s="34">
        <v>25.0</v>
      </c>
      <c r="K70" s="36">
        <f t="shared" si="1"/>
        <v>125</v>
      </c>
      <c r="L70" s="38" t="s">
        <v>42</v>
      </c>
    </row>
    <row r="71" ht="22.5" customHeight="1">
      <c r="A71" s="17">
        <v>46130.0</v>
      </c>
      <c r="B71" s="19" t="s">
        <v>408</v>
      </c>
      <c r="C71" s="20" t="s">
        <v>396</v>
      </c>
      <c r="D71" s="23" t="s">
        <v>63</v>
      </c>
      <c r="E71" s="27" t="str">
        <f t="array" ref="E71">IF(D71="", "", XLOOKUP(D71, 'MASTER ITEM LIST'!A:A, 'MASTER ITEM LIST'!B:B, ""))</f>
        <v>OLD NEWS</v>
      </c>
      <c r="F71" s="50"/>
      <c r="G71" s="30" t="s">
        <v>34</v>
      </c>
      <c r="H71" s="19">
        <v>0.5</v>
      </c>
      <c r="I71" s="19" t="str">
        <f t="array" ref="I71">IFERROR(XLOOKUP(D71,'MASTER ITEM LIST'!A:A,'MASTER ITEM LIST'!D:D), "")</f>
        <v>KG</v>
      </c>
      <c r="J71" s="34">
        <v>100.0</v>
      </c>
      <c r="K71" s="36">
        <f t="shared" si="1"/>
        <v>50</v>
      </c>
      <c r="L71" s="38" t="s">
        <v>42</v>
      </c>
    </row>
    <row r="72" ht="22.5" customHeight="1">
      <c r="A72" s="17">
        <v>46132.0</v>
      </c>
      <c r="B72" s="19" t="s">
        <v>439</v>
      </c>
      <c r="C72" s="20" t="s">
        <v>440</v>
      </c>
      <c r="D72" s="23" t="s">
        <v>340</v>
      </c>
      <c r="E72" s="27" t="str">
        <f t="array" ref="E72">IF(D72="", "", XLOOKUP(D72, 'MASTER ITEM LIST'!A:A, 'MASTER ITEM LIST'!B:B, ""))</f>
        <v>PYLOX LAZER GLOSS BLACK 48</v>
      </c>
      <c r="F72" s="50"/>
      <c r="G72" s="30" t="s">
        <v>34</v>
      </c>
      <c r="H72" s="19">
        <v>1.0</v>
      </c>
      <c r="I72" s="19" t="str">
        <f t="array" ref="I72">IFERROR(XLOOKUP(D72,'MASTER ITEM LIST'!A:A,'MASTER ITEM LIST'!D:D), "")</f>
        <v>CAN</v>
      </c>
      <c r="J72" s="34">
        <v>145.0</v>
      </c>
      <c r="K72" s="36">
        <f t="shared" si="1"/>
        <v>145</v>
      </c>
      <c r="L72" s="38" t="s">
        <v>42</v>
      </c>
    </row>
    <row r="73" ht="22.5" customHeight="1">
      <c r="A73" s="17">
        <v>46132.0</v>
      </c>
      <c r="B73" s="19" t="s">
        <v>444</v>
      </c>
      <c r="C73" s="20" t="s">
        <v>370</v>
      </c>
      <c r="D73" s="23" t="s">
        <v>371</v>
      </c>
      <c r="E73" s="27" t="str">
        <f t="array" ref="E73">IF(D73="", "", XLOOKUP(D73, 'MASTER ITEM LIST'!A:A, 'MASTER ITEM LIST'!B:B, ""))</f>
        <v>LATEX NP, ALPHA CHROMA, DAVIES, BOYSEN, WC 1L</v>
      </c>
      <c r="F73" s="19" t="s">
        <v>48</v>
      </c>
      <c r="G73" s="30" t="s">
        <v>34</v>
      </c>
      <c r="H73" s="19">
        <v>0.25</v>
      </c>
      <c r="I73" s="19" t="str">
        <f t="array" ref="I73">IFERROR(XLOOKUP(D73,'MASTER ITEM LIST'!A:A,'MASTER ITEM LIST'!D:D), "")</f>
        <v>LITER</v>
      </c>
      <c r="J73" s="34">
        <v>280.0</v>
      </c>
      <c r="K73" s="36">
        <f t="shared" si="1"/>
        <v>70</v>
      </c>
      <c r="L73" s="38" t="s">
        <v>42</v>
      </c>
    </row>
    <row r="74" ht="22.5" customHeight="1">
      <c r="A74" s="17">
        <v>46132.0</v>
      </c>
      <c r="B74" s="19" t="s">
        <v>450</v>
      </c>
      <c r="C74" s="20" t="s">
        <v>451</v>
      </c>
      <c r="D74" s="23" t="s">
        <v>452</v>
      </c>
      <c r="E74" s="27" t="str">
        <f t="array" ref="E74">IF(D74="", "", XLOOKUP(D74, 'MASTER ITEM LIST'!A:A, 'MASTER ITEM LIST'!B:B, ""))</f>
        <v>NIPPON DOU CLASSIC SG 715 WHITE 5L</v>
      </c>
      <c r="F74" s="50"/>
      <c r="G74" s="30" t="s">
        <v>34</v>
      </c>
      <c r="H74" s="19">
        <v>1.0</v>
      </c>
      <c r="I74" s="19" t="str">
        <f t="array" ref="I74">IFERROR(XLOOKUP(D74,'MASTER ITEM LIST'!A:A,'MASTER ITEM LIST'!D:D), "")</f>
        <v>GAL</v>
      </c>
      <c r="J74" s="34">
        <v>1100.0</v>
      </c>
      <c r="K74" s="36">
        <f t="shared" si="1"/>
        <v>1100</v>
      </c>
      <c r="L74" s="38" t="s">
        <v>42</v>
      </c>
    </row>
    <row r="75" ht="22.5" customHeight="1">
      <c r="A75" s="17">
        <v>46133.0</v>
      </c>
      <c r="B75" s="19" t="s">
        <v>456</v>
      </c>
      <c r="C75" s="20" t="s">
        <v>457</v>
      </c>
      <c r="D75" s="23" t="s">
        <v>292</v>
      </c>
      <c r="E75" s="27" t="str">
        <f t="array" ref="E75">IF(D75="", "", XLOOKUP(D75, 'MASTER ITEM LIST'!A:A, 'MASTER ITEM LIST'!B:B, ""))</f>
        <v>RAIN OR SHINE ROS-629 TULIPS 4L</v>
      </c>
      <c r="F75" s="50"/>
      <c r="G75" s="30" t="s">
        <v>34</v>
      </c>
      <c r="H75" s="19">
        <v>1.0</v>
      </c>
      <c r="I75" s="19" t="str">
        <f t="array" ref="I75">IFERROR(XLOOKUP(D75,'MASTER ITEM LIST'!A:A,'MASTER ITEM LIST'!D:D), "")</f>
        <v>GALON</v>
      </c>
      <c r="J75" s="34">
        <v>880.0</v>
      </c>
      <c r="K75" s="36">
        <f t="shared" si="1"/>
        <v>880</v>
      </c>
      <c r="L75" s="38" t="s">
        <v>42</v>
      </c>
    </row>
    <row r="76" ht="22.5" customHeight="1">
      <c r="A76" s="17">
        <v>46133.0</v>
      </c>
      <c r="B76" s="19" t="s">
        <v>456</v>
      </c>
      <c r="C76" s="20" t="s">
        <v>457</v>
      </c>
      <c r="D76" s="23" t="s">
        <v>112</v>
      </c>
      <c r="E76" s="27" t="str">
        <f t="array" ref="E76">IF(D76="", "", XLOOKUP(D76, 'MASTER ITEM LIST'!A:A, 'MASTER ITEM LIST'!B:B, ""))</f>
        <v>2B PAINT ROLLER #7</v>
      </c>
      <c r="F76" s="50"/>
      <c r="G76" s="30" t="s">
        <v>34</v>
      </c>
      <c r="H76" s="19">
        <v>1.0</v>
      </c>
      <c r="I76" s="19" t="str">
        <f t="array" ref="I76">IFERROR(XLOOKUP(D76,'MASTER ITEM LIST'!A:A,'MASTER ITEM LIST'!D:D), "")</f>
        <v>PC/S</v>
      </c>
      <c r="J76" s="34">
        <v>85.0</v>
      </c>
      <c r="K76" s="36">
        <f t="shared" si="1"/>
        <v>85</v>
      </c>
      <c r="L76" s="38" t="s">
        <v>42</v>
      </c>
    </row>
    <row r="77" ht="22.5" customHeight="1">
      <c r="A77" s="17">
        <v>46133.0</v>
      </c>
      <c r="B77" s="19" t="s">
        <v>463</v>
      </c>
      <c r="C77" s="20" t="s">
        <v>464</v>
      </c>
      <c r="D77" s="23" t="s">
        <v>390</v>
      </c>
      <c r="E77" s="27" t="str">
        <f t="array" ref="E77">IF(D77="", "", XLOOKUP(D77, 'MASTER ITEM LIST'!A:A, 'MASTER ITEM LIST'!B:B, ""))</f>
        <v>NIPPON EPOXY THINNER 4L</v>
      </c>
      <c r="F77" s="50"/>
      <c r="G77" s="30" t="s">
        <v>34</v>
      </c>
      <c r="H77" s="19">
        <v>1.0</v>
      </c>
      <c r="I77" s="19" t="str">
        <f t="array" ref="I77">IFERROR(XLOOKUP(D77,'MASTER ITEM LIST'!A:A,'MASTER ITEM LIST'!D:D), "")</f>
        <v>GAL/S</v>
      </c>
      <c r="J77" s="34">
        <v>700.0</v>
      </c>
      <c r="K77" s="36">
        <f t="shared" si="1"/>
        <v>700</v>
      </c>
      <c r="L77" s="38" t="s">
        <v>42</v>
      </c>
    </row>
    <row r="78" ht="22.5" customHeight="1">
      <c r="A78" s="17">
        <v>46134.0</v>
      </c>
      <c r="B78" s="19" t="s">
        <v>470</v>
      </c>
      <c r="C78" s="20" t="s">
        <v>219</v>
      </c>
      <c r="D78" s="23" t="s">
        <v>53</v>
      </c>
      <c r="E78" s="27" t="str">
        <f t="array" ref="E78">IF(D78="", "", XLOOKUP(D78, 'MASTER ITEM LIST'!A:A, 'MASTER ITEM LIST'!B:B, ""))</f>
        <v>NAX 108 CERAMIC 2K CLEAR WITH HARDENER 1L</v>
      </c>
      <c r="F78" s="50"/>
      <c r="G78" s="30" t="s">
        <v>34</v>
      </c>
      <c r="H78" s="19">
        <v>2.0</v>
      </c>
      <c r="I78" s="19" t="str">
        <f t="array" ref="I78">IFERROR(XLOOKUP(D78,'MASTER ITEM LIST'!A:A,'MASTER ITEM LIST'!D:D), "")</f>
        <v>LITER</v>
      </c>
      <c r="J78" s="34">
        <v>680.0</v>
      </c>
      <c r="K78" s="36">
        <f t="shared" si="1"/>
        <v>1360</v>
      </c>
      <c r="L78" s="38" t="s">
        <v>42</v>
      </c>
    </row>
    <row r="79" ht="22.5" customHeight="1">
      <c r="A79" s="17">
        <v>46134.0</v>
      </c>
      <c r="B79" s="19" t="s">
        <v>470</v>
      </c>
      <c r="C79" s="20" t="s">
        <v>219</v>
      </c>
      <c r="D79" s="23" t="s">
        <v>220</v>
      </c>
      <c r="E79" s="27" t="str">
        <f t="array" ref="E79">IF(D79="", "", XLOOKUP(D79, 'MASTER ITEM LIST'!A:A, 'MASTER ITEM LIST'!B:B, ""))</f>
        <v>PREMILA MIXING 1L</v>
      </c>
      <c r="F79" s="19" t="s">
        <v>477</v>
      </c>
      <c r="G79" s="30" t="s">
        <v>34</v>
      </c>
      <c r="H79" s="19">
        <v>0.4</v>
      </c>
      <c r="I79" s="19" t="str">
        <f t="array" ref="I79">IFERROR(XLOOKUP(D79,'MASTER ITEM LIST'!A:A,'MASTER ITEM LIST'!D:D), "")</f>
        <v>LITER</v>
      </c>
      <c r="J79" s="34">
        <v>2900.0</v>
      </c>
      <c r="K79" s="36">
        <f t="shared" si="1"/>
        <v>1160</v>
      </c>
      <c r="L79" s="38" t="s">
        <v>42</v>
      </c>
    </row>
    <row r="80" ht="22.5" customHeight="1">
      <c r="A80" s="17">
        <v>46134.0</v>
      </c>
      <c r="B80" s="19" t="s">
        <v>480</v>
      </c>
      <c r="C80" s="20" t="s">
        <v>93</v>
      </c>
      <c r="D80" s="23" t="s">
        <v>167</v>
      </c>
      <c r="E80" s="27" t="str">
        <f t="array" ref="E80">IF(D80="", "", XLOOKUP(D80, 'MASTER ITEM LIST'!A:A, 'MASTER ITEM LIST'!B:B, ""))</f>
        <v>NAX QDU MIX 1L</v>
      </c>
      <c r="F80" s="19" t="s">
        <v>482</v>
      </c>
      <c r="G80" s="30" t="s">
        <v>34</v>
      </c>
      <c r="H80" s="19">
        <v>0.125</v>
      </c>
      <c r="I80" s="19" t="str">
        <f t="array" ref="I80">IFERROR(XLOOKUP(D80,'MASTER ITEM LIST'!A:A,'MASTER ITEM LIST'!D:D), "")</f>
        <v>LITER</v>
      </c>
      <c r="J80" s="34">
        <v>1920.0</v>
      </c>
      <c r="K80" s="36">
        <f t="shared" si="1"/>
        <v>240</v>
      </c>
      <c r="L80" s="38" t="s">
        <v>42</v>
      </c>
    </row>
    <row r="81" ht="22.5" customHeight="1">
      <c r="A81" s="17">
        <v>46134.0</v>
      </c>
      <c r="B81" s="19" t="s">
        <v>480</v>
      </c>
      <c r="C81" s="20" t="s">
        <v>93</v>
      </c>
      <c r="D81" s="23" t="s">
        <v>167</v>
      </c>
      <c r="E81" s="27" t="str">
        <f t="array" ref="E81">IF(D81="", "", XLOOKUP(D81, 'MASTER ITEM LIST'!A:A, 'MASTER ITEM LIST'!B:B, ""))</f>
        <v>NAX QDU MIX 1L</v>
      </c>
      <c r="F81" s="19" t="s">
        <v>486</v>
      </c>
      <c r="G81" s="30" t="s">
        <v>34</v>
      </c>
      <c r="H81" s="19">
        <v>0.125</v>
      </c>
      <c r="I81" s="19" t="str">
        <f t="array" ref="I81">IFERROR(XLOOKUP(D81,'MASTER ITEM LIST'!A:A,'MASTER ITEM LIST'!D:D), "")</f>
        <v>LITER</v>
      </c>
      <c r="J81" s="34">
        <v>1680.0</v>
      </c>
      <c r="K81" s="36">
        <f t="shared" si="1"/>
        <v>210</v>
      </c>
      <c r="L81" s="38" t="s">
        <v>42</v>
      </c>
    </row>
    <row r="82" ht="22.5" customHeight="1">
      <c r="A82" s="17">
        <v>46134.0</v>
      </c>
      <c r="B82" s="19" t="s">
        <v>480</v>
      </c>
      <c r="C82" s="20" t="s">
        <v>93</v>
      </c>
      <c r="D82" s="23" t="s">
        <v>79</v>
      </c>
      <c r="E82" s="27" t="str">
        <f t="array" ref="E82">IF(D82="", "", XLOOKUP(D82, 'MASTER ITEM LIST'!A:A, 'MASTER ITEM LIST'!B:B, ""))</f>
        <v>CROCO MASKING TAPE 1/2 12MM (1X96)</v>
      </c>
      <c r="F82" s="50"/>
      <c r="G82" s="30" t="s">
        <v>34</v>
      </c>
      <c r="H82" s="19">
        <v>48.0</v>
      </c>
      <c r="I82" s="19" t="str">
        <f t="array" ref="I82">IFERROR(XLOOKUP(D82,'MASTER ITEM LIST'!A:A,'MASTER ITEM LIST'!D:D), "")</f>
        <v>PC/S</v>
      </c>
      <c r="J82" s="34">
        <v>25.0</v>
      </c>
      <c r="K82" s="36">
        <f t="shared" si="1"/>
        <v>1200</v>
      </c>
      <c r="L82" s="38" t="s">
        <v>42</v>
      </c>
    </row>
    <row r="83" ht="22.5" customHeight="1">
      <c r="A83" s="17">
        <v>46134.0</v>
      </c>
      <c r="B83" s="19" t="s">
        <v>480</v>
      </c>
      <c r="C83" s="20" t="s">
        <v>93</v>
      </c>
      <c r="D83" s="23" t="s">
        <v>63</v>
      </c>
      <c r="E83" s="27" t="str">
        <f t="array" ref="E83">IF(D83="", "", XLOOKUP(D83, 'MASTER ITEM LIST'!A:A, 'MASTER ITEM LIST'!B:B, ""))</f>
        <v>OLD NEWS</v>
      </c>
      <c r="F83" s="50"/>
      <c r="G83" s="30" t="s">
        <v>34</v>
      </c>
      <c r="H83" s="19">
        <v>1.0</v>
      </c>
      <c r="I83" s="19" t="str">
        <f t="array" ref="I83">IFERROR(XLOOKUP(D83,'MASTER ITEM LIST'!A:A,'MASTER ITEM LIST'!D:D), "")</f>
        <v>KG</v>
      </c>
      <c r="J83" s="34">
        <v>100.0</v>
      </c>
      <c r="K83" s="36">
        <f t="shared" si="1"/>
        <v>100</v>
      </c>
      <c r="L83" s="38" t="s">
        <v>42</v>
      </c>
    </row>
    <row r="84" ht="22.5" customHeight="1">
      <c r="A84" s="17">
        <v>46135.0</v>
      </c>
      <c r="B84" s="19" t="s">
        <v>497</v>
      </c>
      <c r="C84" s="20" t="s">
        <v>498</v>
      </c>
      <c r="D84" s="23" t="s">
        <v>315</v>
      </c>
      <c r="E84" s="27" t="str">
        <f t="array" ref="E84">IF(D84="", "", XLOOKUP(D84, 'MASTER ITEM LIST'!A:A, 'MASTER ITEM LIST'!B:B, ""))</f>
        <v>CUMI SUPREME FLOOR SANDING 60</v>
      </c>
      <c r="F84" s="50"/>
      <c r="G84" s="30" t="s">
        <v>34</v>
      </c>
      <c r="H84" s="19">
        <v>10.0</v>
      </c>
      <c r="I84" s="19" t="str">
        <f t="array" ref="I84">IFERROR(XLOOKUP(D84,'MASTER ITEM LIST'!A:A,'MASTER ITEM LIST'!D:D), "")</f>
        <v>FT</v>
      </c>
      <c r="J84" s="34">
        <v>95.0</v>
      </c>
      <c r="K84" s="36">
        <f t="shared" si="1"/>
        <v>950</v>
      </c>
      <c r="L84" s="38" t="s">
        <v>42</v>
      </c>
    </row>
    <row r="85" ht="22.5" customHeight="1">
      <c r="A85" s="17">
        <v>46136.0</v>
      </c>
      <c r="B85" s="19" t="s">
        <v>502</v>
      </c>
      <c r="C85" s="20" t="s">
        <v>272</v>
      </c>
      <c r="D85" s="23" t="s">
        <v>246</v>
      </c>
      <c r="E85" s="27" t="str">
        <f t="array" ref="E85">IF(D85="", "", XLOOKUP(D85, 'MASTER ITEM LIST'!A:A, 'MASTER ITEM LIST'!B:B, ""))</f>
        <v>DOMINO BODY FILTER WITH HARDENER 4L</v>
      </c>
      <c r="F85" s="50"/>
      <c r="G85" s="30" t="s">
        <v>34</v>
      </c>
      <c r="H85" s="19">
        <v>1.0</v>
      </c>
      <c r="I85" s="19" t="str">
        <f t="array" ref="I85">IFERROR(XLOOKUP(D85,'MASTER ITEM LIST'!A:A,'MASTER ITEM LIST'!D:D), "")</f>
        <v>GAL</v>
      </c>
      <c r="J85" s="34">
        <v>615.0</v>
      </c>
      <c r="K85" s="36">
        <f t="shared" si="1"/>
        <v>615</v>
      </c>
      <c r="L85" s="38" t="s">
        <v>42</v>
      </c>
    </row>
    <row r="86" ht="22.5" customHeight="1">
      <c r="A86" s="17">
        <v>46136.0</v>
      </c>
      <c r="B86" s="19" t="s">
        <v>507</v>
      </c>
      <c r="C86" s="20" t="s">
        <v>509</v>
      </c>
      <c r="D86" s="23" t="s">
        <v>53</v>
      </c>
      <c r="E86" s="27" t="str">
        <f t="array" ref="E86">IF(D86="", "", XLOOKUP(D86, 'MASTER ITEM LIST'!A:A, 'MASTER ITEM LIST'!B:B, ""))</f>
        <v>NAX 108 CERAMIC 2K CLEAR WITH HARDENER 1L</v>
      </c>
      <c r="F86" s="50"/>
      <c r="G86" s="30" t="s">
        <v>34</v>
      </c>
      <c r="H86" s="19">
        <v>1.0</v>
      </c>
      <c r="I86" s="19" t="str">
        <f t="array" ref="I86">IFERROR(XLOOKUP(D86,'MASTER ITEM LIST'!A:A,'MASTER ITEM LIST'!D:D), "")</f>
        <v>LITER</v>
      </c>
      <c r="J86" s="34">
        <v>700.0</v>
      </c>
      <c r="K86" s="36">
        <f t="shared" si="1"/>
        <v>700</v>
      </c>
      <c r="L86" s="38" t="s">
        <v>42</v>
      </c>
    </row>
    <row r="87" ht="22.5" customHeight="1">
      <c r="A87" s="17">
        <v>46136.0</v>
      </c>
      <c r="B87" s="19" t="s">
        <v>507</v>
      </c>
      <c r="C87" s="20" t="s">
        <v>509</v>
      </c>
      <c r="D87" s="23" t="s">
        <v>220</v>
      </c>
      <c r="E87" s="27" t="str">
        <f t="array" ref="E87">IF(D87="", "", XLOOKUP(D87, 'MASTER ITEM LIST'!A:A, 'MASTER ITEM LIST'!B:B, ""))</f>
        <v>PREMILA MIXING 1L</v>
      </c>
      <c r="F87" s="19" t="s">
        <v>512</v>
      </c>
      <c r="G87" s="30" t="s">
        <v>34</v>
      </c>
      <c r="H87" s="19">
        <v>1.0</v>
      </c>
      <c r="I87" s="19" t="str">
        <f t="array" ref="I87">IFERROR(XLOOKUP(D87,'MASTER ITEM LIST'!A:A,'MASTER ITEM LIST'!D:D), "")</f>
        <v>LITER</v>
      </c>
      <c r="J87" s="34">
        <v>2700.0</v>
      </c>
      <c r="K87" s="36">
        <f t="shared" si="1"/>
        <v>2700</v>
      </c>
      <c r="L87" s="38" t="s">
        <v>42</v>
      </c>
    </row>
    <row r="88" ht="22.5" customHeight="1">
      <c r="A88" s="17">
        <v>46136.0</v>
      </c>
      <c r="B88" s="19" t="s">
        <v>514</v>
      </c>
      <c r="C88" s="20" t="s">
        <v>509</v>
      </c>
      <c r="D88" s="23" t="s">
        <v>516</v>
      </c>
      <c r="E88" s="27" t="str">
        <f t="array" ref="E88">IF(D88="", "", XLOOKUP(D88, 'MASTER ITEM LIST'!A:A, 'MASTER ITEM LIST'!B:B, ""))</f>
        <v>EAGLE SANDPAPER #1500</v>
      </c>
      <c r="F88" s="50"/>
      <c r="G88" s="30" t="s">
        <v>34</v>
      </c>
      <c r="H88" s="19">
        <v>10.0</v>
      </c>
      <c r="I88" s="19" t="str">
        <f t="array" ref="I88">IFERROR(XLOOKUP(D88,'MASTER ITEM LIST'!A:A,'MASTER ITEM LIST'!D:D), "")</f>
        <v>PC/S</v>
      </c>
      <c r="J88" s="34">
        <v>35.0</v>
      </c>
      <c r="K88" s="36">
        <f t="shared" si="1"/>
        <v>350</v>
      </c>
      <c r="L88" s="38" t="s">
        <v>42</v>
      </c>
    </row>
    <row r="89" ht="22.5" customHeight="1">
      <c r="A89" s="17">
        <v>46136.0</v>
      </c>
      <c r="B89" s="19" t="s">
        <v>514</v>
      </c>
      <c r="C89" s="20" t="s">
        <v>509</v>
      </c>
      <c r="D89" s="23" t="s">
        <v>198</v>
      </c>
      <c r="E89" s="27" t="str">
        <f t="array" ref="E89">IF(D89="", "", XLOOKUP(D89, 'MASTER ITEM LIST'!A:A, 'MASTER ITEM LIST'!B:B, ""))</f>
        <v>EAGLE SANDPAPER #2000</v>
      </c>
      <c r="F89" s="50"/>
      <c r="G89" s="30" t="s">
        <v>34</v>
      </c>
      <c r="H89" s="19">
        <v>10.0</v>
      </c>
      <c r="I89" s="19" t="str">
        <f t="array" ref="I89">IFERROR(XLOOKUP(D89,'MASTER ITEM LIST'!A:A,'MASTER ITEM LIST'!D:D), "")</f>
        <v>PC/S</v>
      </c>
      <c r="J89" s="34">
        <v>35.0</v>
      </c>
      <c r="K89" s="36">
        <f t="shared" si="1"/>
        <v>350</v>
      </c>
      <c r="L89" s="38" t="s">
        <v>42</v>
      </c>
    </row>
    <row r="90" ht="22.5" customHeight="1">
      <c r="A90" s="17">
        <v>46136.0</v>
      </c>
      <c r="B90" s="19" t="s">
        <v>514</v>
      </c>
      <c r="C90" s="20" t="s">
        <v>509</v>
      </c>
      <c r="D90" s="23" t="s">
        <v>63</v>
      </c>
      <c r="E90" s="27" t="str">
        <f t="array" ref="E90">IF(D90="", "", XLOOKUP(D90, 'MASTER ITEM LIST'!A:A, 'MASTER ITEM LIST'!B:B, ""))</f>
        <v>OLD NEWS</v>
      </c>
      <c r="F90" s="50"/>
      <c r="G90" s="30" t="s">
        <v>34</v>
      </c>
      <c r="H90" s="19">
        <v>3.0</v>
      </c>
      <c r="I90" s="19" t="str">
        <f t="array" ref="I90">IFERROR(XLOOKUP(D90,'MASTER ITEM LIST'!A:A,'MASTER ITEM LIST'!D:D), "")</f>
        <v>KG</v>
      </c>
      <c r="J90" s="34">
        <v>100.0</v>
      </c>
      <c r="K90" s="36">
        <f t="shared" si="1"/>
        <v>300</v>
      </c>
      <c r="L90" s="38" t="s">
        <v>42</v>
      </c>
    </row>
    <row r="91" ht="22.5" customHeight="1">
      <c r="A91" s="17">
        <v>46136.0</v>
      </c>
      <c r="B91" s="19" t="s">
        <v>514</v>
      </c>
      <c r="C91" s="20" t="s">
        <v>509</v>
      </c>
      <c r="D91" s="23" t="s">
        <v>136</v>
      </c>
      <c r="E91" s="27" t="str">
        <f t="array" ref="E91">IF(D91="", "", XLOOKUP(D91, 'MASTER ITEM LIST'!A:A, 'MASTER ITEM LIST'!B:B, ""))</f>
        <v>CROCO MASKING TAPE 3/4 18MM (1X64)</v>
      </c>
      <c r="F91" s="50"/>
      <c r="G91" s="30" t="s">
        <v>34</v>
      </c>
      <c r="H91" s="19">
        <v>8.0</v>
      </c>
      <c r="I91" s="19" t="str">
        <f t="array" ref="I91">IFERROR(XLOOKUP(D91,'MASTER ITEM LIST'!A:A,'MASTER ITEM LIST'!D:D), "")</f>
        <v>PC/S</v>
      </c>
      <c r="J91" s="34">
        <v>35.0</v>
      </c>
      <c r="K91" s="36">
        <f t="shared" si="1"/>
        <v>280</v>
      </c>
      <c r="L91" s="38" t="s">
        <v>42</v>
      </c>
    </row>
    <row r="92" ht="22.5" customHeight="1">
      <c r="A92" s="17">
        <v>46136.0</v>
      </c>
      <c r="B92" s="19" t="s">
        <v>514</v>
      </c>
      <c r="C92" s="20" t="s">
        <v>509</v>
      </c>
      <c r="D92" s="23" t="s">
        <v>253</v>
      </c>
      <c r="E92" s="27" t="str">
        <f t="array" ref="E92">IF(D92="", "", XLOOKUP(D92, 'MASTER ITEM LIST'!A:A, 'MASTER ITEM LIST'!B:B, ""))</f>
        <v>ROBERLO RUBBING COMPOUND 1KG</v>
      </c>
      <c r="F92" s="50"/>
      <c r="G92" s="30" t="s">
        <v>34</v>
      </c>
      <c r="H92" s="19">
        <v>1.0</v>
      </c>
      <c r="I92" s="19" t="str">
        <f t="array" ref="I92">IFERROR(XLOOKUP(D92,'MASTER ITEM LIST'!A:A,'MASTER ITEM LIST'!D:D), "")</f>
        <v>KG</v>
      </c>
      <c r="J92" s="34">
        <v>1000.0</v>
      </c>
      <c r="K92" s="36">
        <f t="shared" si="1"/>
        <v>1000</v>
      </c>
      <c r="L92" s="38" t="s">
        <v>42</v>
      </c>
    </row>
    <row r="93" ht="22.5" customHeight="1">
      <c r="A93" s="17">
        <v>46136.0</v>
      </c>
      <c r="B93" s="19" t="s">
        <v>514</v>
      </c>
      <c r="C93" s="20" t="s">
        <v>509</v>
      </c>
      <c r="D93" s="23" t="s">
        <v>535</v>
      </c>
      <c r="E93" s="27" t="str">
        <f t="array" ref="E93">IF(D93="", "", XLOOKUP(D93, 'MASTER ITEM LIST'!A:A, 'MASTER ITEM LIST'!B:B, ""))</f>
        <v>FRANELLA CLOTH 1YARD</v>
      </c>
      <c r="F93" s="50"/>
      <c r="G93" s="30" t="s">
        <v>34</v>
      </c>
      <c r="H93" s="19">
        <v>5.0</v>
      </c>
      <c r="I93" s="19" t="str">
        <f t="array" ref="I93">IFERROR(XLOOKUP(D93,'MASTER ITEM LIST'!A:A,'MASTER ITEM LIST'!D:D), "")</f>
        <v>1YRD</v>
      </c>
      <c r="J93" s="34">
        <v>100.0</v>
      </c>
      <c r="K93" s="36">
        <f t="shared" si="1"/>
        <v>500</v>
      </c>
      <c r="L93" s="38" t="s">
        <v>42</v>
      </c>
    </row>
    <row r="94" ht="22.5" customHeight="1">
      <c r="A94" s="17">
        <v>46136.0</v>
      </c>
      <c r="B94" s="19" t="s">
        <v>539</v>
      </c>
      <c r="C94" s="20" t="s">
        <v>509</v>
      </c>
      <c r="D94" s="23" t="s">
        <v>246</v>
      </c>
      <c r="E94" s="27" t="str">
        <f t="array" ref="E94">IF(D94="", "", XLOOKUP(D94, 'MASTER ITEM LIST'!A:A, 'MASTER ITEM LIST'!B:B, ""))</f>
        <v>DOMINO BODY FILTER WITH HARDENER 4L</v>
      </c>
      <c r="F94" s="50"/>
      <c r="G94" s="30" t="s">
        <v>34</v>
      </c>
      <c r="H94" s="19">
        <v>1.0</v>
      </c>
      <c r="I94" s="19" t="str">
        <f t="array" ref="I94">IFERROR(XLOOKUP(D94,'MASTER ITEM LIST'!A:A,'MASTER ITEM LIST'!D:D), "")</f>
        <v>GAL</v>
      </c>
      <c r="J94" s="34">
        <v>615.0</v>
      </c>
      <c r="K94" s="36">
        <f t="shared" si="1"/>
        <v>615</v>
      </c>
      <c r="L94" s="38" t="s">
        <v>42</v>
      </c>
    </row>
    <row r="95" ht="22.5" customHeight="1">
      <c r="A95" s="17">
        <v>46136.0</v>
      </c>
      <c r="B95" s="19" t="s">
        <v>539</v>
      </c>
      <c r="C95" s="20" t="s">
        <v>509</v>
      </c>
      <c r="D95" s="23" t="s">
        <v>117</v>
      </c>
      <c r="E95" s="27" t="str">
        <f t="array" ref="E95">IF(D95="", "", XLOOKUP(D95, 'MASTER ITEM LIST'!A:A, 'MASTER ITEM LIST'!B:B, ""))</f>
        <v>EAGLE SANDPAPER #120</v>
      </c>
      <c r="F95" s="50"/>
      <c r="G95" s="30" t="s">
        <v>34</v>
      </c>
      <c r="H95" s="19">
        <v>15.0</v>
      </c>
      <c r="I95" s="19" t="str">
        <f t="array" ref="I95">IFERROR(XLOOKUP(D95,'MASTER ITEM LIST'!A:A,'MASTER ITEM LIST'!D:D), "")</f>
        <v>PC/S</v>
      </c>
      <c r="J95" s="34">
        <v>25.0</v>
      </c>
      <c r="K95" s="36">
        <f t="shared" si="1"/>
        <v>375</v>
      </c>
      <c r="L95" s="38" t="s">
        <v>42</v>
      </c>
    </row>
    <row r="96" ht="22.5" customHeight="1">
      <c r="A96" s="17">
        <v>46136.0</v>
      </c>
      <c r="B96" s="19" t="s">
        <v>539</v>
      </c>
      <c r="C96" s="20" t="s">
        <v>509</v>
      </c>
      <c r="D96" s="23" t="s">
        <v>548</v>
      </c>
      <c r="E96" s="27" t="str">
        <f t="array" ref="E96">IF(D96="", "", XLOOKUP(D96, 'MASTER ITEM LIST'!A:A, 'MASTER ITEM LIST'!B:B, ""))</f>
        <v>EAGLE SANDPAPER #240</v>
      </c>
      <c r="F96" s="50"/>
      <c r="G96" s="30" t="s">
        <v>34</v>
      </c>
      <c r="H96" s="19">
        <v>10.0</v>
      </c>
      <c r="I96" s="19" t="str">
        <f t="array" ref="I96">IFERROR(XLOOKUP(D96,'MASTER ITEM LIST'!A:A,'MASTER ITEM LIST'!D:D), "")</f>
        <v>PC/S</v>
      </c>
      <c r="J96" s="34">
        <v>25.0</v>
      </c>
      <c r="K96" s="36">
        <f t="shared" si="1"/>
        <v>250</v>
      </c>
      <c r="L96" s="38" t="s">
        <v>42</v>
      </c>
    </row>
    <row r="97" ht="22.5" customHeight="1">
      <c r="A97" s="17">
        <v>46136.0</v>
      </c>
      <c r="B97" s="19" t="s">
        <v>539</v>
      </c>
      <c r="C97" s="20" t="s">
        <v>509</v>
      </c>
      <c r="D97" s="23" t="s">
        <v>554</v>
      </c>
      <c r="E97" s="27" t="str">
        <f t="array" ref="E97">IF(D97="", "", XLOOKUP(D97, 'MASTER ITEM LIST'!A:A, 'MASTER ITEM LIST'!B:B, ""))</f>
        <v>EAGLE SANDPAPER #400</v>
      </c>
      <c r="F97" s="50"/>
      <c r="G97" s="30" t="s">
        <v>34</v>
      </c>
      <c r="H97" s="19">
        <v>10.0</v>
      </c>
      <c r="I97" s="19" t="str">
        <f t="array" ref="I97">IFERROR(XLOOKUP(D97,'MASTER ITEM LIST'!A:A,'MASTER ITEM LIST'!D:D), "")</f>
        <v>PC/S</v>
      </c>
      <c r="J97" s="34">
        <v>25.0</v>
      </c>
      <c r="K97" s="36">
        <f t="shared" si="1"/>
        <v>250</v>
      </c>
      <c r="L97" s="38" t="s">
        <v>42</v>
      </c>
    </row>
    <row r="98" ht="22.5" customHeight="1">
      <c r="A98" s="17">
        <v>46136.0</v>
      </c>
      <c r="B98" s="19" t="s">
        <v>539</v>
      </c>
      <c r="C98" s="20" t="s">
        <v>509</v>
      </c>
      <c r="D98" s="23" t="s">
        <v>567</v>
      </c>
      <c r="E98" s="27" t="str">
        <f t="array" ref="E98">IF(D98="", "", XLOOKUP(D98, 'MASTER ITEM LIST'!A:A, 'MASTER ITEM LIST'!B:B, ""))</f>
        <v>EAGLE SANDPAPER #800</v>
      </c>
      <c r="F98" s="50"/>
      <c r="G98" s="30" t="s">
        <v>34</v>
      </c>
      <c r="H98" s="19">
        <v>10.0</v>
      </c>
      <c r="I98" s="19" t="str">
        <f t="array" ref="I98">IFERROR(XLOOKUP(D98,'MASTER ITEM LIST'!A:A,'MASTER ITEM LIST'!D:D), "")</f>
        <v>PC/S</v>
      </c>
      <c r="J98" s="34">
        <v>25.0</v>
      </c>
      <c r="K98" s="36">
        <f t="shared" si="1"/>
        <v>250</v>
      </c>
      <c r="L98" s="38" t="s">
        <v>42</v>
      </c>
    </row>
    <row r="99" ht="22.5" customHeight="1">
      <c r="A99" s="17">
        <v>46136.0</v>
      </c>
      <c r="B99" s="19" t="s">
        <v>539</v>
      </c>
      <c r="C99" s="20" t="s">
        <v>509</v>
      </c>
      <c r="D99" s="23" t="s">
        <v>326</v>
      </c>
      <c r="E99" s="27" t="str">
        <f t="array" ref="E99">IF(D99="", "", XLOOKUP(D99, 'MASTER ITEM LIST'!A:A, 'MASTER ITEM LIST'!B:B, ""))</f>
        <v>EAGLE SANDPAPER #1200</v>
      </c>
      <c r="F99" s="50"/>
      <c r="G99" s="30" t="s">
        <v>34</v>
      </c>
      <c r="H99" s="19">
        <v>10.0</v>
      </c>
      <c r="I99" s="19" t="str">
        <f t="array" ref="I99">IFERROR(XLOOKUP(D99,'MASTER ITEM LIST'!A:A,'MASTER ITEM LIST'!D:D), "")</f>
        <v>PC/S</v>
      </c>
      <c r="J99" s="34">
        <v>25.0</v>
      </c>
      <c r="K99" s="36">
        <f t="shared" si="1"/>
        <v>250</v>
      </c>
      <c r="L99" s="38" t="s">
        <v>42</v>
      </c>
    </row>
    <row r="100" ht="22.5" customHeight="1">
      <c r="A100" s="17">
        <v>46137.0</v>
      </c>
      <c r="B100" s="19" t="s">
        <v>576</v>
      </c>
      <c r="C100" s="20" t="s">
        <v>577</v>
      </c>
      <c r="D100" s="23" t="s">
        <v>112</v>
      </c>
      <c r="E100" s="27" t="str">
        <f t="array" ref="E100">IF(D100="", "", XLOOKUP(D100, 'MASTER ITEM LIST'!A:A, 'MASTER ITEM LIST'!B:B, ""))</f>
        <v>2B PAINT ROLLER #7</v>
      </c>
      <c r="F100" s="50"/>
      <c r="G100" s="30" t="s">
        <v>34</v>
      </c>
      <c r="H100" s="19">
        <v>1.0</v>
      </c>
      <c r="I100" s="19" t="str">
        <f t="array" ref="I100">IFERROR(XLOOKUP(D100,'MASTER ITEM LIST'!A:A,'MASTER ITEM LIST'!D:D), "")</f>
        <v>PC/S</v>
      </c>
      <c r="J100" s="34">
        <v>85.0</v>
      </c>
      <c r="K100" s="36">
        <f t="shared" si="1"/>
        <v>85</v>
      </c>
      <c r="L100" s="38" t="s">
        <v>42</v>
      </c>
    </row>
    <row r="101" ht="22.5" customHeight="1">
      <c r="A101" s="17">
        <v>46137.0</v>
      </c>
      <c r="B101" s="19" t="s">
        <v>583</v>
      </c>
      <c r="C101" s="20" t="s">
        <v>577</v>
      </c>
      <c r="D101" s="23" t="s">
        <v>292</v>
      </c>
      <c r="E101" s="27" t="str">
        <f t="array" ref="E101">IF(D101="", "", XLOOKUP(D101, 'MASTER ITEM LIST'!A:A, 'MASTER ITEM LIST'!B:B, ""))</f>
        <v>RAIN OR SHINE ROS-629 TULIPS 4L</v>
      </c>
      <c r="F101" s="50"/>
      <c r="G101" s="30" t="s">
        <v>34</v>
      </c>
      <c r="H101" s="19">
        <v>0.5</v>
      </c>
      <c r="I101" s="19" t="str">
        <f t="array" ref="I101">IFERROR(XLOOKUP(D101,'MASTER ITEM LIST'!A:A,'MASTER ITEM LIST'!D:D), "")</f>
        <v>GALON</v>
      </c>
      <c r="J101" s="34">
        <v>3520.0</v>
      </c>
      <c r="K101" s="36">
        <f t="shared" si="1"/>
        <v>1760</v>
      </c>
      <c r="L101" s="38" t="s">
        <v>42</v>
      </c>
    </row>
    <row r="102" ht="22.5" customHeight="1">
      <c r="A102" s="17">
        <v>46137.0</v>
      </c>
      <c r="B102" s="19" t="s">
        <v>587</v>
      </c>
      <c r="C102" s="20" t="s">
        <v>588</v>
      </c>
      <c r="D102" s="23" t="s">
        <v>195</v>
      </c>
      <c r="E102" s="27" t="str">
        <f t="array" ref="E102">IF(D102="", "", XLOOKUP(D102, 'MASTER ITEM LIST'!A:A, 'MASTER ITEM LIST'!B:B, ""))</f>
        <v>TIMEOUT BODY FILLER WITH HARDENER 1L</v>
      </c>
      <c r="F102" s="50"/>
      <c r="G102" s="30" t="s">
        <v>34</v>
      </c>
      <c r="H102" s="19">
        <v>1.0</v>
      </c>
      <c r="I102" s="19" t="str">
        <f t="array" ref="I102">IFERROR(XLOOKUP(D102,'MASTER ITEM LIST'!A:A,'MASTER ITEM LIST'!D:D), "")</f>
        <v>LTR</v>
      </c>
      <c r="J102" s="34">
        <v>240.0</v>
      </c>
      <c r="K102" s="36">
        <f t="shared" si="1"/>
        <v>240</v>
      </c>
      <c r="L102" s="38" t="s">
        <v>42</v>
      </c>
    </row>
    <row r="103" ht="22.5" customHeight="1">
      <c r="A103" s="17">
        <v>46139.0</v>
      </c>
      <c r="B103" s="19" t="s">
        <v>593</v>
      </c>
      <c r="C103" s="20" t="s">
        <v>93</v>
      </c>
      <c r="D103" s="23" t="s">
        <v>326</v>
      </c>
      <c r="E103" s="27" t="str">
        <f t="array" ref="E103">IF(D103="", "", XLOOKUP(D103, 'MASTER ITEM LIST'!A:A, 'MASTER ITEM LIST'!B:B, ""))</f>
        <v>EAGLE SANDPAPER #1200</v>
      </c>
      <c r="F103" s="50"/>
      <c r="G103" s="30" t="s">
        <v>34</v>
      </c>
      <c r="H103" s="19">
        <v>4.0</v>
      </c>
      <c r="I103" s="19" t="str">
        <f t="array" ref="I103">IFERROR(XLOOKUP(D103,'MASTER ITEM LIST'!A:A,'MASTER ITEM LIST'!D:D), "")</f>
        <v>PC/S</v>
      </c>
      <c r="J103" s="34">
        <v>25.0</v>
      </c>
      <c r="K103" s="36">
        <f t="shared" si="1"/>
        <v>100</v>
      </c>
      <c r="L103" s="38" t="s">
        <v>42</v>
      </c>
    </row>
    <row r="104" ht="22.5" customHeight="1">
      <c r="A104" s="17">
        <v>46139.0</v>
      </c>
      <c r="B104" s="19" t="s">
        <v>597</v>
      </c>
      <c r="C104" s="20" t="s">
        <v>598</v>
      </c>
      <c r="D104" s="23" t="s">
        <v>599</v>
      </c>
      <c r="E104" s="27" t="str">
        <f t="array" ref="E104">IF(D104="", "", XLOOKUP(D104, 'MASTER ITEM LIST'!A:A, 'MASTER ITEM LIST'!B:B, ""))</f>
        <v>ACRYLIC NP, TIMEOUT 1L</v>
      </c>
      <c r="F104" s="50"/>
      <c r="G104" s="30" t="s">
        <v>34</v>
      </c>
      <c r="H104" s="19">
        <v>1.5</v>
      </c>
      <c r="I104" s="19" t="s">
        <v>39</v>
      </c>
      <c r="J104" s="34">
        <v>550.0</v>
      </c>
      <c r="K104" s="36">
        <f t="shared" si="1"/>
        <v>825</v>
      </c>
      <c r="L104" s="38" t="s">
        <v>42</v>
      </c>
    </row>
    <row r="105" ht="22.5" customHeight="1">
      <c r="A105" s="17">
        <v>46139.0</v>
      </c>
      <c r="B105" s="19" t="s">
        <v>597</v>
      </c>
      <c r="C105" s="20" t="s">
        <v>598</v>
      </c>
      <c r="D105" s="23" t="s">
        <v>604</v>
      </c>
      <c r="E105" s="27" t="str">
        <f t="array" ref="E105">IF(D105="", "", XLOOKUP(D105, 'MASTER ITEM LIST'!A:A, 'MASTER ITEM LIST'!B:B, ""))</f>
        <v>METALGUARD EPOXY PRIMER WHITE WITH HARDENER 4L</v>
      </c>
      <c r="F105" s="50"/>
      <c r="G105" s="30" t="s">
        <v>34</v>
      </c>
      <c r="H105" s="19">
        <v>0.125</v>
      </c>
      <c r="I105" s="19" t="str">
        <f t="array" ref="I105">IFERROR(XLOOKUP(D105,'MASTER ITEM LIST'!A:A,'MASTER ITEM LIST'!D:D), "")</f>
        <v>GAL</v>
      </c>
      <c r="J105" s="34">
        <v>1280.0</v>
      </c>
      <c r="K105" s="36">
        <f t="shared" si="1"/>
        <v>160</v>
      </c>
      <c r="L105" s="38" t="s">
        <v>42</v>
      </c>
    </row>
    <row r="106" ht="22.5" customHeight="1">
      <c r="A106" s="17">
        <v>46140.0</v>
      </c>
      <c r="B106" s="19" t="s">
        <v>608</v>
      </c>
      <c r="C106" s="20" t="s">
        <v>272</v>
      </c>
      <c r="D106" s="23" t="s">
        <v>334</v>
      </c>
      <c r="E106" s="27" t="str">
        <f t="array" ref="E106">IF(D106="", "", XLOOKUP(D106, 'MASTER ITEM LIST'!A:A, 'MASTER ITEM LIST'!B:B, ""))</f>
        <v>PLATONE QDE BLACK 4L</v>
      </c>
      <c r="F106" s="50"/>
      <c r="G106" s="30" t="s">
        <v>34</v>
      </c>
      <c r="H106" s="19">
        <v>1.0</v>
      </c>
      <c r="I106" s="19" t="str">
        <f t="array" ref="I106">IFERROR(XLOOKUP(D106,'MASTER ITEM LIST'!A:A,'MASTER ITEM LIST'!D:D), "")</f>
        <v>GAL</v>
      </c>
      <c r="J106" s="34">
        <v>880.0</v>
      </c>
      <c r="K106" s="36">
        <f t="shared" si="1"/>
        <v>880</v>
      </c>
      <c r="L106" s="38" t="s">
        <v>42</v>
      </c>
    </row>
    <row r="107" ht="22.5" customHeight="1">
      <c r="A107" s="17">
        <v>46140.0</v>
      </c>
      <c r="B107" s="19" t="s">
        <v>614</v>
      </c>
      <c r="C107" s="20" t="s">
        <v>93</v>
      </c>
      <c r="D107" s="23" t="s">
        <v>63</v>
      </c>
      <c r="E107" s="27" t="str">
        <f t="array" ref="E107">IF(D107="", "", XLOOKUP(D107, 'MASTER ITEM LIST'!A:A, 'MASTER ITEM LIST'!B:B, ""))</f>
        <v>OLD NEWS</v>
      </c>
      <c r="F107" s="50"/>
      <c r="G107" s="30" t="s">
        <v>34</v>
      </c>
      <c r="H107" s="19">
        <v>3.0</v>
      </c>
      <c r="I107" s="19" t="str">
        <f t="array" ref="I107">IFERROR(XLOOKUP(D107,'MASTER ITEM LIST'!A:A,'MASTER ITEM LIST'!D:D), "")</f>
        <v>KG</v>
      </c>
      <c r="J107" s="34">
        <v>100.0</v>
      </c>
      <c r="K107" s="36">
        <f t="shared" si="1"/>
        <v>300</v>
      </c>
      <c r="L107" s="38" t="s">
        <v>42</v>
      </c>
    </row>
    <row r="108" ht="22.5" customHeight="1">
      <c r="A108" s="17">
        <v>46140.0</v>
      </c>
      <c r="B108" s="19" t="s">
        <v>618</v>
      </c>
      <c r="C108" s="20" t="s">
        <v>621</v>
      </c>
      <c r="D108" s="23" t="s">
        <v>53</v>
      </c>
      <c r="E108" s="27" t="str">
        <f t="array" ref="E108">IF(D108="", "", XLOOKUP(D108, 'MASTER ITEM LIST'!A:A, 'MASTER ITEM LIST'!B:B, ""))</f>
        <v>NAX 108 CERAMIC 2K CLEAR WITH HARDENER 1L</v>
      </c>
      <c r="F108" s="50"/>
      <c r="G108" s="30" t="s">
        <v>34</v>
      </c>
      <c r="H108" s="19">
        <v>1.0</v>
      </c>
      <c r="I108" s="19" t="str">
        <f t="array" ref="I108">IFERROR(XLOOKUP(D108,'MASTER ITEM LIST'!A:A,'MASTER ITEM LIST'!D:D), "")</f>
        <v>LITER</v>
      </c>
      <c r="J108" s="34">
        <v>680.0</v>
      </c>
      <c r="K108" s="36">
        <f t="shared" si="1"/>
        <v>680</v>
      </c>
      <c r="L108" s="38" t="s">
        <v>42</v>
      </c>
    </row>
    <row r="109" ht="22.5" customHeight="1">
      <c r="A109" s="17">
        <v>46141.0</v>
      </c>
      <c r="B109" s="19" t="s">
        <v>626</v>
      </c>
      <c r="C109" s="20" t="s">
        <v>93</v>
      </c>
      <c r="D109" s="23" t="s">
        <v>220</v>
      </c>
      <c r="E109" s="27" t="str">
        <f t="array" ref="E109">IF(D109="", "", XLOOKUP(D109, 'MASTER ITEM LIST'!A:A, 'MASTER ITEM LIST'!B:B, ""))</f>
        <v>PREMILA MIXING 1L</v>
      </c>
      <c r="F109" s="19" t="s">
        <v>627</v>
      </c>
      <c r="G109" s="30" t="s">
        <v>34</v>
      </c>
      <c r="H109" s="19">
        <v>0.5</v>
      </c>
      <c r="I109" s="19" t="str">
        <f t="array" ref="I109">IFERROR(XLOOKUP(D109,'MASTER ITEM LIST'!A:A,'MASTER ITEM LIST'!D:D), "")</f>
        <v>LITER</v>
      </c>
      <c r="J109" s="34">
        <v>2900.0</v>
      </c>
      <c r="K109" s="36">
        <f t="shared" si="1"/>
        <v>1450</v>
      </c>
      <c r="L109" s="38" t="s">
        <v>42</v>
      </c>
    </row>
    <row r="110" ht="22.5" customHeight="1">
      <c r="A110" s="17">
        <v>46141.0</v>
      </c>
      <c r="B110" s="19" t="s">
        <v>633</v>
      </c>
      <c r="C110" s="20" t="s">
        <v>634</v>
      </c>
      <c r="D110" s="23" t="s">
        <v>63</v>
      </c>
      <c r="E110" s="27" t="str">
        <f t="array" ref="E110">IF(D110="", "", XLOOKUP(D110, 'MASTER ITEM LIST'!A:A, 'MASTER ITEM LIST'!B:B, ""))</f>
        <v>OLD NEWS</v>
      </c>
      <c r="F110" s="50"/>
      <c r="G110" s="30" t="s">
        <v>34</v>
      </c>
      <c r="H110" s="19">
        <v>1.0</v>
      </c>
      <c r="I110" s="19" t="str">
        <f t="array" ref="I110">IFERROR(XLOOKUP(D110,'MASTER ITEM LIST'!A:A,'MASTER ITEM LIST'!D:D), "")</f>
        <v>KG</v>
      </c>
      <c r="J110" s="34">
        <v>100.0</v>
      </c>
      <c r="K110" s="36">
        <f t="shared" si="1"/>
        <v>100</v>
      </c>
      <c r="L110" s="38" t="s">
        <v>42</v>
      </c>
    </row>
    <row r="111" ht="22.5" customHeight="1">
      <c r="A111" s="17">
        <v>46141.0</v>
      </c>
      <c r="B111" s="19" t="s">
        <v>633</v>
      </c>
      <c r="C111" s="20" t="s">
        <v>634</v>
      </c>
      <c r="D111" s="23" t="s">
        <v>233</v>
      </c>
      <c r="E111" s="27" t="str">
        <f t="array" ref="E111">IF(D111="", "", XLOOKUP(D111, 'MASTER ITEM LIST'!A:A, 'MASTER ITEM LIST'!B:B, ""))</f>
        <v>NAX ALPHA HB SPRAY FILLER GRAY WITH HARDENER 1L</v>
      </c>
      <c r="F111" s="50"/>
      <c r="G111" s="30" t="s">
        <v>34</v>
      </c>
      <c r="H111" s="19">
        <v>0.25</v>
      </c>
      <c r="I111" s="19" t="str">
        <f t="array" ref="I111">IFERROR(XLOOKUP(D111,'MASTER ITEM LIST'!A:A,'MASTER ITEM LIST'!D:D), "")</f>
        <v>LITER</v>
      </c>
      <c r="J111" s="34">
        <v>640.0</v>
      </c>
      <c r="K111" s="36">
        <f t="shared" si="1"/>
        <v>160</v>
      </c>
      <c r="L111" s="38" t="s">
        <v>42</v>
      </c>
    </row>
    <row r="112" ht="22.5" customHeight="1">
      <c r="A112" s="17">
        <v>46141.0</v>
      </c>
      <c r="B112" s="19" t="s">
        <v>633</v>
      </c>
      <c r="C112" s="20" t="s">
        <v>634</v>
      </c>
      <c r="D112" s="23" t="s">
        <v>220</v>
      </c>
      <c r="E112" s="27" t="str">
        <f t="array" ref="E112">IF(D112="", "", XLOOKUP(D112, 'MASTER ITEM LIST'!A:A, 'MASTER ITEM LIST'!B:B, ""))</f>
        <v>PREMILA MIXING 1L</v>
      </c>
      <c r="F112" s="19" t="s">
        <v>645</v>
      </c>
      <c r="G112" s="30" t="s">
        <v>34</v>
      </c>
      <c r="H112" s="19">
        <v>0.25</v>
      </c>
      <c r="I112" s="19" t="str">
        <f t="array" ref="I112">IFERROR(XLOOKUP(D112,'MASTER ITEM LIST'!A:A,'MASTER ITEM LIST'!D:D), "")</f>
        <v>LITER</v>
      </c>
      <c r="J112" s="34">
        <v>2600.0</v>
      </c>
      <c r="K112" s="36">
        <f t="shared" si="1"/>
        <v>650</v>
      </c>
      <c r="L112" s="38" t="s">
        <v>42</v>
      </c>
    </row>
    <row r="113" ht="22.5" customHeight="1">
      <c r="A113" s="17">
        <v>46141.0</v>
      </c>
      <c r="B113" s="19" t="s">
        <v>633</v>
      </c>
      <c r="C113" s="20" t="s">
        <v>634</v>
      </c>
      <c r="D113" s="23" t="s">
        <v>136</v>
      </c>
      <c r="E113" s="27" t="str">
        <f t="array" ref="E113">IF(D113="", "", XLOOKUP(D113, 'MASTER ITEM LIST'!A:A, 'MASTER ITEM LIST'!B:B, ""))</f>
        <v>CROCO MASKING TAPE 3/4 18MM (1X64)</v>
      </c>
      <c r="F113" s="50"/>
      <c r="G113" s="30" t="s">
        <v>34</v>
      </c>
      <c r="H113" s="19">
        <v>6.0</v>
      </c>
      <c r="I113" s="19" t="str">
        <f t="array" ref="I113">IFERROR(XLOOKUP(D113,'MASTER ITEM LIST'!A:A,'MASTER ITEM LIST'!D:D), "")</f>
        <v>PC/S</v>
      </c>
      <c r="J113" s="34">
        <v>35.0</v>
      </c>
      <c r="K113" s="36">
        <f t="shared" si="1"/>
        <v>210</v>
      </c>
      <c r="L113" s="38" t="s">
        <v>42</v>
      </c>
    </row>
    <row r="114" ht="22.5" customHeight="1">
      <c r="A114" s="17">
        <v>46141.0</v>
      </c>
      <c r="B114" s="19" t="s">
        <v>669</v>
      </c>
      <c r="C114" s="20" t="s">
        <v>634</v>
      </c>
      <c r="D114" s="23" t="s">
        <v>53</v>
      </c>
      <c r="E114" s="27" t="str">
        <f t="array" ref="E114">IF(D114="", "", XLOOKUP(D114, 'MASTER ITEM LIST'!A:A, 'MASTER ITEM LIST'!B:B, ""))</f>
        <v>NAX 108 CERAMIC 2K CLEAR WITH HARDENER 1L</v>
      </c>
      <c r="F114" s="50"/>
      <c r="G114" s="30" t="s">
        <v>34</v>
      </c>
      <c r="H114" s="19">
        <v>1.0</v>
      </c>
      <c r="I114" s="19" t="str">
        <f t="array" ref="I114">IFERROR(XLOOKUP(D114,'MASTER ITEM LIST'!A:A,'MASTER ITEM LIST'!D:D), "")</f>
        <v>LITER</v>
      </c>
      <c r="J114" s="34">
        <v>690.0</v>
      </c>
      <c r="K114" s="36">
        <f t="shared" si="1"/>
        <v>690</v>
      </c>
      <c r="L114" s="38" t="s">
        <v>42</v>
      </c>
    </row>
    <row r="115" ht="22.5" customHeight="1">
      <c r="A115" s="17">
        <v>46141.0</v>
      </c>
      <c r="B115" s="19" t="s">
        <v>669</v>
      </c>
      <c r="C115" s="20" t="s">
        <v>634</v>
      </c>
      <c r="D115" s="23" t="s">
        <v>674</v>
      </c>
      <c r="E115" s="27" t="str">
        <f t="array" ref="E115">IF(D115="", "", XLOOKUP(D115, 'MASTER ITEM LIST'!A:A, 'MASTER ITEM LIST'!B:B, ""))</f>
        <v>DOMINO BODY FILTER WITH HARDENER 1L</v>
      </c>
      <c r="F115" s="50"/>
      <c r="G115" s="30" t="s">
        <v>34</v>
      </c>
      <c r="H115" s="19">
        <v>1.0</v>
      </c>
      <c r="I115" s="19" t="str">
        <f t="array" ref="I115">IFERROR(XLOOKUP(D115,'MASTER ITEM LIST'!A:A,'MASTER ITEM LIST'!D:D), "")</f>
        <v>LITER</v>
      </c>
      <c r="J115" s="34">
        <v>215.0</v>
      </c>
      <c r="K115" s="36">
        <f t="shared" si="1"/>
        <v>215</v>
      </c>
      <c r="L115" s="38" t="s">
        <v>42</v>
      </c>
    </row>
    <row r="116" ht="22.5" customHeight="1">
      <c r="A116" s="17">
        <v>46141.0</v>
      </c>
      <c r="B116" s="19" t="s">
        <v>669</v>
      </c>
      <c r="C116" s="20" t="s">
        <v>634</v>
      </c>
      <c r="D116" s="23" t="s">
        <v>117</v>
      </c>
      <c r="E116" s="27" t="str">
        <f t="array" ref="E116">IF(D116="", "", XLOOKUP(D116, 'MASTER ITEM LIST'!A:A, 'MASTER ITEM LIST'!B:B, ""))</f>
        <v>EAGLE SANDPAPER #120</v>
      </c>
      <c r="F116" s="50"/>
      <c r="G116" s="30" t="s">
        <v>34</v>
      </c>
      <c r="H116" s="19">
        <v>1.0</v>
      </c>
      <c r="I116" s="19" t="str">
        <f t="array" ref="I116">IFERROR(XLOOKUP(D116,'MASTER ITEM LIST'!A:A,'MASTER ITEM LIST'!D:D), "")</f>
        <v>PC/S</v>
      </c>
      <c r="J116" s="34">
        <v>25.0</v>
      </c>
      <c r="K116" s="36">
        <f t="shared" si="1"/>
        <v>25</v>
      </c>
      <c r="L116" s="38" t="s">
        <v>42</v>
      </c>
    </row>
    <row r="117" ht="22.5" customHeight="1">
      <c r="A117" s="17">
        <v>46141.0</v>
      </c>
      <c r="B117" s="19" t="s">
        <v>669</v>
      </c>
      <c r="C117" s="20" t="s">
        <v>634</v>
      </c>
      <c r="D117" s="23" t="s">
        <v>548</v>
      </c>
      <c r="E117" s="27" t="str">
        <f t="array" ref="E117">IF(D117="", "", XLOOKUP(D117, 'MASTER ITEM LIST'!A:A, 'MASTER ITEM LIST'!B:B, ""))</f>
        <v>EAGLE SANDPAPER #240</v>
      </c>
      <c r="F117" s="50"/>
      <c r="G117" s="30" t="s">
        <v>34</v>
      </c>
      <c r="H117" s="19">
        <v>1.0</v>
      </c>
      <c r="I117" s="19" t="str">
        <f t="array" ref="I117">IFERROR(XLOOKUP(D117,'MASTER ITEM LIST'!A:A,'MASTER ITEM LIST'!D:D), "")</f>
        <v>PC/S</v>
      </c>
      <c r="J117" s="34">
        <v>25.0</v>
      </c>
      <c r="K117" s="36">
        <f t="shared" si="1"/>
        <v>25</v>
      </c>
      <c r="L117" s="38" t="s">
        <v>42</v>
      </c>
    </row>
    <row r="118" ht="22.5" customHeight="1">
      <c r="A118" s="17">
        <v>46141.0</v>
      </c>
      <c r="B118" s="19" t="s">
        <v>669</v>
      </c>
      <c r="C118" s="20" t="s">
        <v>634</v>
      </c>
      <c r="D118" s="23" t="s">
        <v>432</v>
      </c>
      <c r="E118" s="27" t="str">
        <f t="array" ref="E118">IF(D118="", "", XLOOKUP(D118, 'MASTER ITEM LIST'!A:A, 'MASTER ITEM LIST'!B:B, ""))</f>
        <v>EAGLE SANDPAPER #600</v>
      </c>
      <c r="F118" s="50"/>
      <c r="G118" s="30" t="s">
        <v>34</v>
      </c>
      <c r="H118" s="19">
        <v>1.0</v>
      </c>
      <c r="I118" s="19" t="str">
        <f t="array" ref="I118">IFERROR(XLOOKUP(D118,'MASTER ITEM LIST'!A:A,'MASTER ITEM LIST'!D:D), "")</f>
        <v>PCS</v>
      </c>
      <c r="J118" s="34">
        <v>25.0</v>
      </c>
      <c r="K118" s="36">
        <f t="shared" si="1"/>
        <v>25</v>
      </c>
      <c r="L118" s="38" t="s">
        <v>42</v>
      </c>
    </row>
    <row r="119" ht="22.5" customHeight="1">
      <c r="A119" s="17">
        <v>46142.0</v>
      </c>
      <c r="B119" s="19" t="s">
        <v>692</v>
      </c>
      <c r="C119" s="20" t="s">
        <v>693</v>
      </c>
      <c r="D119" s="23" t="s">
        <v>53</v>
      </c>
      <c r="E119" s="27" t="str">
        <f t="array" ref="E119">IF(D119="", "", XLOOKUP(D119, 'MASTER ITEM LIST'!A:A, 'MASTER ITEM LIST'!B:B, ""))</f>
        <v>NAX 108 CERAMIC 2K CLEAR WITH HARDENER 1L</v>
      </c>
      <c r="F119" s="50"/>
      <c r="G119" s="30" t="s">
        <v>34</v>
      </c>
      <c r="H119" s="19">
        <v>1.0</v>
      </c>
      <c r="I119" s="19" t="str">
        <f t="array" ref="I119">IFERROR(XLOOKUP(D119,'MASTER ITEM LIST'!A:A,'MASTER ITEM LIST'!D:D), "")</f>
        <v>LITER</v>
      </c>
      <c r="J119" s="34">
        <v>680.0</v>
      </c>
      <c r="K119" s="36">
        <f t="shared" si="1"/>
        <v>680</v>
      </c>
      <c r="L119" s="38" t="s">
        <v>42</v>
      </c>
    </row>
    <row r="120" ht="22.5" customHeight="1">
      <c r="A120" s="17">
        <v>46142.0</v>
      </c>
      <c r="B120" s="19" t="s">
        <v>699</v>
      </c>
      <c r="C120" s="20" t="s">
        <v>700</v>
      </c>
      <c r="D120" s="23" t="s">
        <v>701</v>
      </c>
      <c r="E120" s="27" t="str">
        <f t="array" ref="E120">IF(D120="", "", XLOOKUP(D120, 'MASTER ITEM LIST'!A:A, 'MASTER ITEM LIST'!B:B, ""))</f>
        <v>QDE NP, ALPHA CHROMA, DAVIES, BOYSEN 4L</v>
      </c>
      <c r="F120" s="50"/>
      <c r="G120" s="30" t="s">
        <v>34</v>
      </c>
      <c r="H120" s="19">
        <v>1.0</v>
      </c>
      <c r="I120" s="19" t="str">
        <f t="array" ref="I120">IFERROR(XLOOKUP(D120,'MASTER ITEM LIST'!A:A,'MASTER ITEM LIST'!D:D), "")</f>
        <v>GALON</v>
      </c>
      <c r="J120" s="34">
        <v>1000.0</v>
      </c>
      <c r="K120" s="36">
        <f t="shared" si="1"/>
        <v>1000</v>
      </c>
      <c r="L120" s="38" t="s">
        <v>42</v>
      </c>
    </row>
    <row r="121" ht="22.5" customHeight="1">
      <c r="A121" s="17">
        <v>46142.0</v>
      </c>
      <c r="B121" s="19" t="s">
        <v>707</v>
      </c>
      <c r="C121" s="20" t="s">
        <v>212</v>
      </c>
      <c r="D121" s="23" t="s">
        <v>233</v>
      </c>
      <c r="E121" s="27" t="str">
        <f t="array" ref="E121">IF(D121="", "", XLOOKUP(D121, 'MASTER ITEM LIST'!A:A, 'MASTER ITEM LIST'!B:B, ""))</f>
        <v>NAX ALPHA HB SPRAY FILLER GRAY WITH HARDENER 1L</v>
      </c>
      <c r="F121" s="50"/>
      <c r="G121" s="30" t="s">
        <v>34</v>
      </c>
      <c r="H121" s="19">
        <v>1.0</v>
      </c>
      <c r="I121" s="19" t="str">
        <f t="array" ref="I121">IFERROR(XLOOKUP(D121,'MASTER ITEM LIST'!A:A,'MASTER ITEM LIST'!D:D), "")</f>
        <v>LITER</v>
      </c>
      <c r="J121" s="34">
        <v>550.0</v>
      </c>
      <c r="K121" s="36">
        <f t="shared" si="1"/>
        <v>550</v>
      </c>
      <c r="L121" s="38" t="s">
        <v>42</v>
      </c>
    </row>
    <row r="122" ht="22.5" customHeight="1">
      <c r="A122" s="17">
        <v>46113.0</v>
      </c>
      <c r="B122" s="50"/>
      <c r="C122" s="20" t="s">
        <v>711</v>
      </c>
      <c r="D122" s="23" t="s">
        <v>167</v>
      </c>
      <c r="E122" s="27" t="str">
        <f t="array" ref="E122">IF(D122="", "", XLOOKUP(D122, 'MASTER ITEM LIST'!A:A, 'MASTER ITEM LIST'!B:B, ""))</f>
        <v>NAX QDU MIX 1L</v>
      </c>
      <c r="F122" s="19" t="s">
        <v>713</v>
      </c>
      <c r="G122" s="30" t="s">
        <v>34</v>
      </c>
      <c r="H122" s="19">
        <v>0.5</v>
      </c>
      <c r="I122" s="19" t="str">
        <f t="array" ref="I122">IFERROR(XLOOKUP(D122,'MASTER ITEM LIST'!A:A,'MASTER ITEM LIST'!D:D), "")</f>
        <v>LITER</v>
      </c>
      <c r="J122" s="34">
        <v>1700.0</v>
      </c>
      <c r="K122" s="36">
        <f t="shared" si="1"/>
        <v>850</v>
      </c>
      <c r="L122" s="38" t="s">
        <v>42</v>
      </c>
    </row>
    <row r="123" ht="22.5" customHeight="1">
      <c r="A123" s="17">
        <v>46113.0</v>
      </c>
      <c r="B123" s="50"/>
      <c r="C123" s="20" t="s">
        <v>711</v>
      </c>
      <c r="D123" s="23" t="s">
        <v>717</v>
      </c>
      <c r="E123" s="27" t="str">
        <f t="array" ref="E123">IF(D123="", "", XLOOKUP(D123, 'MASTER ITEM LIST'!A:A, 'MASTER ITEM LIST'!B:B, ""))</f>
        <v>CROCO MASKING TAPE #1</v>
      </c>
      <c r="F123" s="50"/>
      <c r="G123" s="30" t="s">
        <v>34</v>
      </c>
      <c r="H123" s="19">
        <v>3.0</v>
      </c>
      <c r="I123" s="19" t="str">
        <f t="array" ref="I123">IFERROR(XLOOKUP(D123,'MASTER ITEM LIST'!A:A,'MASTER ITEM LIST'!D:D), "")</f>
        <v>PCS</v>
      </c>
      <c r="J123" s="34">
        <v>40.0</v>
      </c>
      <c r="K123" s="36">
        <f t="shared" si="1"/>
        <v>120</v>
      </c>
      <c r="L123" s="38" t="s">
        <v>42</v>
      </c>
    </row>
    <row r="124" ht="22.5" customHeight="1">
      <c r="A124" s="17">
        <v>46113.0</v>
      </c>
      <c r="B124" s="50"/>
      <c r="C124" s="20" t="s">
        <v>711</v>
      </c>
      <c r="D124" s="23" t="s">
        <v>31</v>
      </c>
      <c r="E124" s="27" t="str">
        <f t="array" ref="E124">IF(D124="", "", XLOOKUP(D124, 'MASTER ITEM LIST'!A:A, 'MASTER ITEM LIST'!B:B, ""))</f>
        <v>EXTREME QDU MIXING 1L</v>
      </c>
      <c r="F124" s="19" t="s">
        <v>181</v>
      </c>
      <c r="G124" s="30" t="s">
        <v>34</v>
      </c>
      <c r="H124" s="19">
        <v>0.25</v>
      </c>
      <c r="I124" s="19" t="str">
        <f t="array" ref="I124">IFERROR(XLOOKUP(D124,'MASTER ITEM LIST'!A:A,'MASTER ITEM LIST'!D:D), "")</f>
        <v>LITER</v>
      </c>
      <c r="J124" s="34">
        <v>800.0</v>
      </c>
      <c r="K124" s="36">
        <f t="shared" si="1"/>
        <v>200</v>
      </c>
      <c r="L124" s="38" t="s">
        <v>42</v>
      </c>
    </row>
    <row r="125" ht="22.5" customHeight="1">
      <c r="A125" s="17">
        <v>46113.0</v>
      </c>
      <c r="B125" s="50"/>
      <c r="C125" s="20" t="s">
        <v>711</v>
      </c>
      <c r="D125" s="23" t="s">
        <v>167</v>
      </c>
      <c r="E125" s="27" t="str">
        <f t="array" ref="E125">IF(D125="", "", XLOOKUP(D125, 'MASTER ITEM LIST'!A:A, 'MASTER ITEM LIST'!B:B, ""))</f>
        <v>NAX QDU MIX 1L</v>
      </c>
      <c r="F125" s="19" t="s">
        <v>351</v>
      </c>
      <c r="G125" s="30" t="s">
        <v>34</v>
      </c>
      <c r="H125" s="19">
        <v>0.25</v>
      </c>
      <c r="I125" s="19" t="str">
        <f t="array" ref="I125">IFERROR(XLOOKUP(D125,'MASTER ITEM LIST'!A:A,'MASTER ITEM LIST'!D:D), "")</f>
        <v>LITER</v>
      </c>
      <c r="J125" s="34">
        <v>1520.0</v>
      </c>
      <c r="K125" s="36">
        <f t="shared" si="1"/>
        <v>380</v>
      </c>
      <c r="L125" s="38" t="s">
        <v>42</v>
      </c>
    </row>
    <row r="126" ht="22.5" customHeight="1">
      <c r="A126" s="17">
        <v>46113.0</v>
      </c>
      <c r="B126" s="50"/>
      <c r="C126" s="20" t="s">
        <v>711</v>
      </c>
      <c r="D126" s="23" t="s">
        <v>136</v>
      </c>
      <c r="E126" s="27" t="str">
        <f t="array" ref="E126">IF(D126="", "", XLOOKUP(D126, 'MASTER ITEM LIST'!A:A, 'MASTER ITEM LIST'!B:B, ""))</f>
        <v>CROCO MASKING TAPE 3/4 18MM (1X64)</v>
      </c>
      <c r="F126" s="50"/>
      <c r="G126" s="30" t="s">
        <v>34</v>
      </c>
      <c r="H126" s="19">
        <v>5.0</v>
      </c>
      <c r="I126" s="19" t="str">
        <f t="array" ref="I126">IFERROR(XLOOKUP(D126,'MASTER ITEM LIST'!A:A,'MASTER ITEM LIST'!D:D), "")</f>
        <v>PC/S</v>
      </c>
      <c r="J126" s="34">
        <v>35.0</v>
      </c>
      <c r="K126" s="36">
        <f t="shared" si="1"/>
        <v>175</v>
      </c>
      <c r="L126" s="38" t="s">
        <v>42</v>
      </c>
    </row>
    <row r="127" ht="22.5" customHeight="1">
      <c r="A127" s="17">
        <v>46113.0</v>
      </c>
      <c r="B127" s="50"/>
      <c r="C127" s="20" t="s">
        <v>711</v>
      </c>
      <c r="D127" s="23" t="s">
        <v>117</v>
      </c>
      <c r="E127" s="27" t="str">
        <f t="array" ref="E127">IF(D127="", "", XLOOKUP(D127, 'MASTER ITEM LIST'!A:A, 'MASTER ITEM LIST'!B:B, ""))</f>
        <v>EAGLE SANDPAPER #120</v>
      </c>
      <c r="F127" s="50"/>
      <c r="G127" s="30" t="s">
        <v>34</v>
      </c>
      <c r="H127" s="19">
        <v>5.0</v>
      </c>
      <c r="I127" s="19" t="str">
        <f t="array" ref="I127">IFERROR(XLOOKUP(D127,'MASTER ITEM LIST'!A:A,'MASTER ITEM LIST'!D:D), "")</f>
        <v>PC/S</v>
      </c>
      <c r="J127" s="34">
        <v>25.0</v>
      </c>
      <c r="K127" s="36">
        <f t="shared" si="1"/>
        <v>125</v>
      </c>
      <c r="L127" s="38" t="s">
        <v>42</v>
      </c>
    </row>
    <row r="128" ht="22.5" customHeight="1">
      <c r="A128" s="17">
        <v>46113.0</v>
      </c>
      <c r="B128" s="50"/>
      <c r="C128" s="20" t="s">
        <v>711</v>
      </c>
      <c r="D128" s="23" t="s">
        <v>432</v>
      </c>
      <c r="E128" s="27" t="str">
        <f t="array" ref="E128">IF(D128="", "", XLOOKUP(D128, 'MASTER ITEM LIST'!A:A, 'MASTER ITEM LIST'!B:B, ""))</f>
        <v>EAGLE SANDPAPER #600</v>
      </c>
      <c r="F128" s="50"/>
      <c r="G128" s="30" t="s">
        <v>34</v>
      </c>
      <c r="H128" s="19">
        <v>2.0</v>
      </c>
      <c r="I128" s="19" t="str">
        <f t="array" ref="I128">IFERROR(XLOOKUP(D128,'MASTER ITEM LIST'!A:A,'MASTER ITEM LIST'!D:D), "")</f>
        <v>PCS</v>
      </c>
      <c r="J128" s="34">
        <v>25.0</v>
      </c>
      <c r="K128" s="36">
        <f t="shared" si="1"/>
        <v>50</v>
      </c>
      <c r="L128" s="38" t="s">
        <v>42</v>
      </c>
    </row>
    <row r="129" ht="22.5" customHeight="1">
      <c r="A129" s="17">
        <v>46113.0</v>
      </c>
      <c r="B129" s="50"/>
      <c r="C129" s="20" t="s">
        <v>711</v>
      </c>
      <c r="D129" s="23" t="s">
        <v>53</v>
      </c>
      <c r="E129" s="27" t="str">
        <f t="array" ref="E129">IF(D129="", "", XLOOKUP(D129, 'MASTER ITEM LIST'!A:A, 'MASTER ITEM LIST'!B:B, ""))</f>
        <v>NAX 108 CERAMIC 2K CLEAR WITH HARDENER 1L</v>
      </c>
      <c r="F129" s="50"/>
      <c r="G129" s="30" t="s">
        <v>34</v>
      </c>
      <c r="H129" s="19">
        <v>1.0</v>
      </c>
      <c r="I129" s="19" t="str">
        <f t="array" ref="I129">IFERROR(XLOOKUP(D129,'MASTER ITEM LIST'!A:A,'MASTER ITEM LIST'!D:D), "")</f>
        <v>LITER</v>
      </c>
      <c r="J129" s="34">
        <v>700.0</v>
      </c>
      <c r="K129" s="36">
        <f t="shared" si="1"/>
        <v>700</v>
      </c>
      <c r="L129" s="38" t="s">
        <v>42</v>
      </c>
    </row>
    <row r="130" ht="22.5" customHeight="1">
      <c r="A130" s="17">
        <v>46114.0</v>
      </c>
      <c r="B130" s="50"/>
      <c r="C130" s="20" t="s">
        <v>711</v>
      </c>
      <c r="D130" s="23" t="s">
        <v>563</v>
      </c>
      <c r="E130" s="27" t="str">
        <f t="array" ref="E130">IF(D130="", "", XLOOKUP(D130, 'MASTER ITEM LIST'!A:A, 'MASTER ITEM LIST'!B:B, ""))</f>
        <v>NIPPON EXTREME QDU WHITE 4L</v>
      </c>
      <c r="F130" s="50"/>
      <c r="G130" s="30" t="s">
        <v>34</v>
      </c>
      <c r="H130" s="19">
        <v>1.0</v>
      </c>
      <c r="I130" s="19" t="str">
        <f t="array" ref="I130">IFERROR(XLOOKUP(D130,'MASTER ITEM LIST'!A:A,'MASTER ITEM LIST'!D:D), "")</f>
        <v>GAL</v>
      </c>
      <c r="J130" s="34">
        <v>2300.0</v>
      </c>
      <c r="K130" s="36">
        <f t="shared" si="1"/>
        <v>2300</v>
      </c>
      <c r="L130" s="38" t="s">
        <v>42</v>
      </c>
    </row>
    <row r="131" ht="22.5" customHeight="1">
      <c r="A131" s="17">
        <v>46114.0</v>
      </c>
      <c r="B131" s="50"/>
      <c r="C131" s="20" t="s">
        <v>711</v>
      </c>
      <c r="D131" s="23" t="s">
        <v>57</v>
      </c>
      <c r="E131" s="27" t="str">
        <f t="array" ref="E131">IF(D131="", "", XLOOKUP(D131, 'MASTER ITEM LIST'!A:A, 'MASTER ITEM LIST'!B:B, ""))</f>
        <v>DO IT URETHANE THINNER 4L</v>
      </c>
      <c r="F131" s="50"/>
      <c r="G131" s="30" t="s">
        <v>34</v>
      </c>
      <c r="H131" s="19">
        <v>2.0</v>
      </c>
      <c r="I131" s="19" t="str">
        <f t="array" ref="I131">IFERROR(XLOOKUP(D131,'MASTER ITEM LIST'!A:A,'MASTER ITEM LIST'!D:D), "")</f>
        <v>GAL/S</v>
      </c>
      <c r="J131" s="34">
        <v>700.0</v>
      </c>
      <c r="K131" s="36">
        <f t="shared" si="1"/>
        <v>1400</v>
      </c>
      <c r="L131" s="38" t="s">
        <v>42</v>
      </c>
    </row>
    <row r="132" ht="22.5" customHeight="1">
      <c r="A132" s="17">
        <v>46114.0</v>
      </c>
      <c r="B132" s="50"/>
      <c r="C132" s="20" t="s">
        <v>711</v>
      </c>
      <c r="D132" s="23" t="s">
        <v>53</v>
      </c>
      <c r="E132" s="27" t="str">
        <f t="array" ref="E132">IF(D132="", "", XLOOKUP(D132, 'MASTER ITEM LIST'!A:A, 'MASTER ITEM LIST'!B:B, ""))</f>
        <v>NAX 108 CERAMIC 2K CLEAR WITH HARDENER 1L</v>
      </c>
      <c r="F132" s="50"/>
      <c r="G132" s="30" t="s">
        <v>34</v>
      </c>
      <c r="H132" s="19">
        <v>2.0</v>
      </c>
      <c r="I132" s="19" t="str">
        <f t="array" ref="I132">IFERROR(XLOOKUP(D132,'MASTER ITEM LIST'!A:A,'MASTER ITEM LIST'!D:D), "")</f>
        <v>LITER</v>
      </c>
      <c r="J132" s="34">
        <v>700.0</v>
      </c>
      <c r="K132" s="36">
        <f t="shared" si="1"/>
        <v>1400</v>
      </c>
      <c r="L132" s="38" t="s">
        <v>42</v>
      </c>
    </row>
    <row r="133" ht="22.5" customHeight="1">
      <c r="A133" s="17">
        <v>46114.0</v>
      </c>
      <c r="B133" s="50"/>
      <c r="C133" s="20" t="s">
        <v>711</v>
      </c>
      <c r="D133" s="23" t="s">
        <v>410</v>
      </c>
      <c r="E133" s="27" t="str">
        <f t="array" ref="E133">IF(D133="", "", XLOOKUP(D133, 'MASTER ITEM LIST'!A:A, 'MASTER ITEM LIST'!B:B, ""))</f>
        <v>NAX NAX21 URETHANE HAEDENER</v>
      </c>
      <c r="F133" s="50"/>
      <c r="G133" s="30" t="s">
        <v>34</v>
      </c>
      <c r="H133" s="19">
        <v>2.0</v>
      </c>
      <c r="I133" s="19" t="str">
        <f t="array" ref="I133">IFERROR(XLOOKUP(D133,'MASTER ITEM LIST'!A:A,'MASTER ITEM LIST'!D:D), "")</f>
        <v>CANS</v>
      </c>
      <c r="J133" s="34">
        <v>220.0</v>
      </c>
      <c r="K133" s="36">
        <f t="shared" si="1"/>
        <v>440</v>
      </c>
      <c r="L133" s="38" t="s">
        <v>42</v>
      </c>
    </row>
    <row r="134" ht="22.5" customHeight="1">
      <c r="A134" s="17">
        <v>46114.0</v>
      </c>
      <c r="B134" s="50"/>
      <c r="C134" s="20" t="s">
        <v>711</v>
      </c>
      <c r="D134" s="23" t="s">
        <v>567</v>
      </c>
      <c r="E134" s="27" t="str">
        <f t="array" ref="E134">IF(D134="", "", XLOOKUP(D134, 'MASTER ITEM LIST'!A:A, 'MASTER ITEM LIST'!B:B, ""))</f>
        <v>EAGLE SANDPAPER #800</v>
      </c>
      <c r="F134" s="50"/>
      <c r="G134" s="30" t="s">
        <v>34</v>
      </c>
      <c r="H134" s="19">
        <v>5.0</v>
      </c>
      <c r="I134" s="19" t="str">
        <f t="array" ref="I134">IFERROR(XLOOKUP(D134,'MASTER ITEM LIST'!A:A,'MASTER ITEM LIST'!D:D), "")</f>
        <v>PC/S</v>
      </c>
      <c r="J134" s="34">
        <v>25.0</v>
      </c>
      <c r="K134" s="36">
        <f t="shared" si="1"/>
        <v>125</v>
      </c>
      <c r="L134" s="38" t="s">
        <v>42</v>
      </c>
    </row>
    <row r="135" ht="22.5" customHeight="1">
      <c r="A135" s="17">
        <v>46114.0</v>
      </c>
      <c r="B135" s="50"/>
      <c r="C135" s="20" t="s">
        <v>711</v>
      </c>
      <c r="D135" s="23" t="s">
        <v>326</v>
      </c>
      <c r="E135" s="27" t="str">
        <f t="array" ref="E135">IF(D135="", "", XLOOKUP(D135, 'MASTER ITEM LIST'!A:A, 'MASTER ITEM LIST'!B:B, ""))</f>
        <v>EAGLE SANDPAPER #1200</v>
      </c>
      <c r="F135" s="50"/>
      <c r="G135" s="30" t="s">
        <v>34</v>
      </c>
      <c r="H135" s="19">
        <v>5.0</v>
      </c>
      <c r="I135" s="19" t="str">
        <f t="array" ref="I135">IFERROR(XLOOKUP(D135,'MASTER ITEM LIST'!A:A,'MASTER ITEM LIST'!D:D), "")</f>
        <v>PC/S</v>
      </c>
      <c r="J135" s="34">
        <v>25.0</v>
      </c>
      <c r="K135" s="36">
        <f t="shared" si="1"/>
        <v>125</v>
      </c>
      <c r="L135" s="38" t="s">
        <v>42</v>
      </c>
    </row>
    <row r="136" ht="22.5" customHeight="1">
      <c r="A136" s="17">
        <v>46114.0</v>
      </c>
      <c r="B136" s="50"/>
      <c r="C136" s="20" t="s">
        <v>711</v>
      </c>
      <c r="D136" s="23" t="s">
        <v>198</v>
      </c>
      <c r="E136" s="27" t="str">
        <f t="array" ref="E136">IF(D136="", "", XLOOKUP(D136, 'MASTER ITEM LIST'!A:A, 'MASTER ITEM LIST'!B:B, ""))</f>
        <v>EAGLE SANDPAPER #2000</v>
      </c>
      <c r="F136" s="50"/>
      <c r="G136" s="30" t="s">
        <v>34</v>
      </c>
      <c r="H136" s="19">
        <v>5.0</v>
      </c>
      <c r="I136" s="19" t="str">
        <f t="array" ref="I136">IFERROR(XLOOKUP(D136,'MASTER ITEM LIST'!A:A,'MASTER ITEM LIST'!D:D), "")</f>
        <v>PC/S</v>
      </c>
      <c r="J136" s="34">
        <v>35.0</v>
      </c>
      <c r="K136" s="36">
        <f t="shared" si="1"/>
        <v>175</v>
      </c>
      <c r="L136" s="38" t="s">
        <v>42</v>
      </c>
    </row>
    <row r="137" ht="22.5" customHeight="1">
      <c r="A137" s="17">
        <v>46114.0</v>
      </c>
      <c r="B137" s="50"/>
      <c r="C137" s="20" t="s">
        <v>711</v>
      </c>
      <c r="D137" s="23" t="s">
        <v>31</v>
      </c>
      <c r="E137" s="27" t="str">
        <f t="array" ref="E137">IF(D137="", "", XLOOKUP(D137, 'MASTER ITEM LIST'!A:A, 'MASTER ITEM LIST'!B:B, ""))</f>
        <v>EXTREME QDU MIXING 1L</v>
      </c>
      <c r="F137" s="19" t="s">
        <v>760</v>
      </c>
      <c r="G137" s="30" t="s">
        <v>34</v>
      </c>
      <c r="H137" s="19">
        <v>1.0</v>
      </c>
      <c r="I137" s="19" t="str">
        <f t="array" ref="I137">IFERROR(XLOOKUP(D137,'MASTER ITEM LIST'!A:A,'MASTER ITEM LIST'!D:D), "")</f>
        <v>LITER</v>
      </c>
      <c r="J137" s="34">
        <v>700.0</v>
      </c>
      <c r="K137" s="36">
        <f t="shared" si="1"/>
        <v>700</v>
      </c>
      <c r="L137" s="38" t="s">
        <v>42</v>
      </c>
    </row>
    <row r="138" ht="22.5" customHeight="1">
      <c r="A138" s="17">
        <v>46114.0</v>
      </c>
      <c r="B138" s="50"/>
      <c r="C138" s="20" t="s">
        <v>711</v>
      </c>
      <c r="D138" s="23" t="s">
        <v>53</v>
      </c>
      <c r="E138" s="27" t="str">
        <f t="array" ref="E138">IF(D138="", "", XLOOKUP(D138, 'MASTER ITEM LIST'!A:A, 'MASTER ITEM LIST'!B:B, ""))</f>
        <v>NAX 108 CERAMIC 2K CLEAR WITH HARDENER 1L</v>
      </c>
      <c r="F138" s="50"/>
      <c r="G138" s="30" t="s">
        <v>34</v>
      </c>
      <c r="H138" s="19">
        <v>5.0</v>
      </c>
      <c r="I138" s="19" t="str">
        <f t="array" ref="I138">IFERROR(XLOOKUP(D138,'MASTER ITEM LIST'!A:A,'MASTER ITEM LIST'!D:D), "")</f>
        <v>LITER</v>
      </c>
      <c r="J138" s="34">
        <v>650.0</v>
      </c>
      <c r="K138" s="36">
        <f t="shared" si="1"/>
        <v>3250</v>
      </c>
      <c r="L138" s="38" t="s">
        <v>42</v>
      </c>
    </row>
    <row r="139" ht="22.5" customHeight="1">
      <c r="A139" s="17">
        <v>46114.0</v>
      </c>
      <c r="B139" s="50"/>
      <c r="C139" s="20" t="s">
        <v>711</v>
      </c>
      <c r="D139" s="23" t="s">
        <v>253</v>
      </c>
      <c r="E139" s="27" t="str">
        <f t="array" ref="E139">IF(D139="", "", XLOOKUP(D139, 'MASTER ITEM LIST'!A:A, 'MASTER ITEM LIST'!B:B, ""))</f>
        <v>ROBERLO RUBBING COMPOUND 1KG</v>
      </c>
      <c r="F139" s="19" t="s">
        <v>48</v>
      </c>
      <c r="G139" s="30" t="s">
        <v>34</v>
      </c>
      <c r="H139" s="19">
        <v>0.5</v>
      </c>
      <c r="I139" s="19" t="str">
        <f t="array" ref="I139">IFERROR(XLOOKUP(D139,'MASTER ITEM LIST'!A:A,'MASTER ITEM LIST'!D:D), "")</f>
        <v>KG</v>
      </c>
      <c r="J139" s="34">
        <v>1000.0</v>
      </c>
      <c r="K139" s="36">
        <f t="shared" si="1"/>
        <v>500</v>
      </c>
      <c r="L139" s="38" t="s">
        <v>42</v>
      </c>
    </row>
    <row r="140" ht="22.5" customHeight="1">
      <c r="A140" s="17">
        <v>46114.0</v>
      </c>
      <c r="B140" s="50"/>
      <c r="C140" s="20" t="s">
        <v>711</v>
      </c>
      <c r="D140" s="23" t="s">
        <v>31</v>
      </c>
      <c r="E140" s="27" t="str">
        <f t="array" ref="E140">IF(D140="", "", XLOOKUP(D140, 'MASTER ITEM LIST'!A:A, 'MASTER ITEM LIST'!B:B, ""))</f>
        <v>EXTREME QDU MIXING 1L</v>
      </c>
      <c r="F140" s="19" t="s">
        <v>768</v>
      </c>
      <c r="G140" s="30" t="s">
        <v>34</v>
      </c>
      <c r="H140" s="19">
        <v>1.0</v>
      </c>
      <c r="I140" s="19" t="str">
        <f t="array" ref="I140">IFERROR(XLOOKUP(D140,'MASTER ITEM LIST'!A:A,'MASTER ITEM LIST'!D:D), "")</f>
        <v>LITER</v>
      </c>
      <c r="J140" s="34">
        <v>620.0</v>
      </c>
      <c r="K140" s="36">
        <f t="shared" si="1"/>
        <v>620</v>
      </c>
      <c r="L140" s="38" t="s">
        <v>42</v>
      </c>
    </row>
    <row r="141" ht="22.5" customHeight="1">
      <c r="A141" s="17">
        <v>46114.0</v>
      </c>
      <c r="B141" s="50"/>
      <c r="C141" s="20" t="s">
        <v>711</v>
      </c>
      <c r="D141" s="23" t="s">
        <v>205</v>
      </c>
      <c r="E141" s="27" t="str">
        <f t="array" ref="E141">IF(D141="", "", XLOOKUP(D141, 'MASTER ITEM LIST'!A:A, 'MASTER ITEM LIST'!B:B, ""))</f>
        <v>TIMELESS PREMIUM LIQUID WAX 5OML</v>
      </c>
      <c r="F141" s="50"/>
      <c r="G141" s="30" t="s">
        <v>34</v>
      </c>
      <c r="H141" s="19">
        <v>2.0</v>
      </c>
      <c r="I141" s="19" t="str">
        <f t="array" ref="I141">IFERROR(XLOOKUP(D141,'MASTER ITEM LIST'!A:A,'MASTER ITEM LIST'!D:D), "")</f>
        <v>PC/S</v>
      </c>
      <c r="J141" s="34">
        <v>100.0</v>
      </c>
      <c r="K141" s="36">
        <f t="shared" si="1"/>
        <v>200</v>
      </c>
      <c r="L141" s="38" t="s">
        <v>42</v>
      </c>
    </row>
    <row r="142" ht="22.5" customHeight="1">
      <c r="A142" s="17">
        <v>46114.0</v>
      </c>
      <c r="B142" s="50"/>
      <c r="C142" s="20" t="s">
        <v>711</v>
      </c>
      <c r="D142" s="23" t="s">
        <v>57</v>
      </c>
      <c r="E142" s="27" t="str">
        <f t="array" ref="E142">IF(D142="", "", XLOOKUP(D142, 'MASTER ITEM LIST'!A:A, 'MASTER ITEM LIST'!B:B, ""))</f>
        <v>DO IT URETHANE THINNER 4L</v>
      </c>
      <c r="F142" s="50"/>
      <c r="G142" s="30" t="s">
        <v>34</v>
      </c>
      <c r="H142" s="19">
        <v>1.0</v>
      </c>
      <c r="I142" s="19" t="str">
        <f t="array" ref="I142">IFERROR(XLOOKUP(D142,'MASTER ITEM LIST'!A:A,'MASTER ITEM LIST'!D:D), "")</f>
        <v>GAL/S</v>
      </c>
      <c r="J142" s="34">
        <v>700.0</v>
      </c>
      <c r="K142" s="36">
        <f t="shared" si="1"/>
        <v>700</v>
      </c>
      <c r="L142" s="38" t="s">
        <v>42</v>
      </c>
    </row>
    <row r="143" ht="22.5" customHeight="1">
      <c r="A143" s="17">
        <v>46114.0</v>
      </c>
      <c r="B143" s="50"/>
      <c r="C143" s="20" t="s">
        <v>711</v>
      </c>
      <c r="D143" s="23" t="s">
        <v>777</v>
      </c>
      <c r="E143" s="27" t="str">
        <f t="array" ref="E143">IF(D143="", "", XLOOKUP(D143, 'MASTER ITEM LIST'!A:A, 'MASTER ITEM LIST'!B:B, ""))</f>
        <v>COCONUT ELASTOMERIC WATER FROOFING PAINT ROS-739 RAIN OR SHINE 4L</v>
      </c>
      <c r="F143" s="50"/>
      <c r="G143" s="30" t="s">
        <v>34</v>
      </c>
      <c r="H143" s="19">
        <v>1.0</v>
      </c>
      <c r="I143" s="19" t="str">
        <f t="array" ref="I143">IFERROR(XLOOKUP(D143,'MASTER ITEM LIST'!A:A,'MASTER ITEM LIST'!D:D), "")</f>
        <v>4L</v>
      </c>
      <c r="J143" s="34">
        <v>900.0</v>
      </c>
      <c r="K143" s="36">
        <f t="shared" si="1"/>
        <v>900</v>
      </c>
      <c r="L143" s="38" t="s">
        <v>42</v>
      </c>
    </row>
    <row r="144" ht="22.5" customHeight="1">
      <c r="A144" s="17">
        <v>46114.0</v>
      </c>
      <c r="B144" s="50"/>
      <c r="C144" s="20" t="s">
        <v>711</v>
      </c>
      <c r="D144" s="23" t="s">
        <v>296</v>
      </c>
      <c r="E144" s="27" t="str">
        <f t="array" ref="E144">IF(D144="", "", XLOOKUP(D144, 'MASTER ITEM LIST'!A:A, 'MASTER ITEM LIST'!B:B, ""))</f>
        <v>RAIN OR SHINE PREPA WHITE 4L</v>
      </c>
      <c r="F144" s="50"/>
      <c r="G144" s="30" t="s">
        <v>34</v>
      </c>
      <c r="H144" s="19">
        <v>1.0</v>
      </c>
      <c r="I144" s="19" t="str">
        <f t="array" ref="I144">IFERROR(XLOOKUP(D144,'MASTER ITEM LIST'!A:A,'MASTER ITEM LIST'!D:D), "")</f>
        <v>GALON</v>
      </c>
      <c r="J144" s="34">
        <v>720.0</v>
      </c>
      <c r="K144" s="36">
        <f t="shared" si="1"/>
        <v>720</v>
      </c>
      <c r="L144" s="38" t="s">
        <v>42</v>
      </c>
    </row>
    <row r="145" ht="22.5" customHeight="1">
      <c r="A145" s="17">
        <v>46114.0</v>
      </c>
      <c r="B145" s="50"/>
      <c r="C145" s="20" t="s">
        <v>711</v>
      </c>
      <c r="D145" s="23" t="s">
        <v>112</v>
      </c>
      <c r="E145" s="27" t="str">
        <f t="array" ref="E145">IF(D145="", "", XLOOKUP(D145, 'MASTER ITEM LIST'!A:A, 'MASTER ITEM LIST'!B:B, ""))</f>
        <v>2B PAINT ROLLER #7</v>
      </c>
      <c r="F145" s="50"/>
      <c r="G145" s="30" t="s">
        <v>34</v>
      </c>
      <c r="H145" s="19">
        <v>1.0</v>
      </c>
      <c r="I145" s="19" t="str">
        <f t="array" ref="I145">IFERROR(XLOOKUP(D145,'MASTER ITEM LIST'!A:A,'MASTER ITEM LIST'!D:D), "")</f>
        <v>PC/S</v>
      </c>
      <c r="J145" s="34">
        <v>85.0</v>
      </c>
      <c r="K145" s="36">
        <f t="shared" si="1"/>
        <v>85</v>
      </c>
      <c r="L145" s="38" t="s">
        <v>42</v>
      </c>
    </row>
    <row r="146" ht="22.5" customHeight="1">
      <c r="A146" s="17">
        <v>46114.0</v>
      </c>
      <c r="B146" s="50"/>
      <c r="C146" s="20" t="s">
        <v>711</v>
      </c>
      <c r="D146" s="23" t="s">
        <v>40</v>
      </c>
      <c r="E146" s="27" t="str">
        <f t="array" ref="E146">IF(D146="", "", XLOOKUP(D146, 'MASTER ITEM LIST'!A:A, 'MASTER ITEM LIST'!B:B, ""))</f>
        <v>2B PAINT BRUSH #2</v>
      </c>
      <c r="F146" s="50"/>
      <c r="G146" s="30" t="s">
        <v>34</v>
      </c>
      <c r="H146" s="19">
        <v>1.0</v>
      </c>
      <c r="I146" s="19" t="str">
        <f t="array" ref="I146">IFERROR(XLOOKUP(D146,'MASTER ITEM LIST'!A:A,'MASTER ITEM LIST'!D:D), "")</f>
        <v>PC/S</v>
      </c>
      <c r="J146" s="34">
        <v>50.0</v>
      </c>
      <c r="K146" s="36">
        <f t="shared" si="1"/>
        <v>50</v>
      </c>
      <c r="L146" s="38" t="s">
        <v>42</v>
      </c>
    </row>
    <row r="147" ht="22.5" customHeight="1">
      <c r="A147" s="17">
        <v>46114.0</v>
      </c>
      <c r="B147" s="50"/>
      <c r="C147" s="20" t="s">
        <v>711</v>
      </c>
      <c r="D147" s="23" t="s">
        <v>355</v>
      </c>
      <c r="E147" s="27" t="str">
        <f t="array" ref="E147">IF(D147="", "", XLOOKUP(D147, 'MASTER ITEM LIST'!A:A, 'MASTER ITEM LIST'!B:B, ""))</f>
        <v>PYLOX LAZER SILVER 42</v>
      </c>
      <c r="F147" s="50"/>
      <c r="G147" s="30" t="s">
        <v>34</v>
      </c>
      <c r="H147" s="19">
        <v>2.0</v>
      </c>
      <c r="I147" s="19" t="str">
        <f t="array" ref="I147">IFERROR(XLOOKUP(D147,'MASTER ITEM LIST'!A:A,'MASTER ITEM LIST'!D:D), "")</f>
        <v>CAN</v>
      </c>
      <c r="J147" s="34">
        <v>145.0</v>
      </c>
      <c r="K147" s="36">
        <f t="shared" si="1"/>
        <v>290</v>
      </c>
      <c r="L147" s="38" t="s">
        <v>42</v>
      </c>
    </row>
    <row r="148" ht="22.5" customHeight="1">
      <c r="A148" s="17">
        <v>46118.0</v>
      </c>
      <c r="B148" s="50"/>
      <c r="C148" s="20" t="s">
        <v>711</v>
      </c>
      <c r="D148" s="23" t="s">
        <v>79</v>
      </c>
      <c r="E148" s="27" t="str">
        <f t="array" ref="E148">IF(D148="", "", XLOOKUP(D148, 'MASTER ITEM LIST'!A:A, 'MASTER ITEM LIST'!B:B, ""))</f>
        <v>CROCO MASKING TAPE 1/2 12MM (1X96)</v>
      </c>
      <c r="F148" s="50"/>
      <c r="G148" s="30" t="s">
        <v>34</v>
      </c>
      <c r="H148" s="19">
        <v>1.0</v>
      </c>
      <c r="I148" s="19" t="str">
        <f t="array" ref="I148">IFERROR(XLOOKUP(D148,'MASTER ITEM LIST'!A:A,'MASTER ITEM LIST'!D:D), "")</f>
        <v>PC/S</v>
      </c>
      <c r="J148" s="34">
        <v>25.0</v>
      </c>
      <c r="K148" s="36">
        <f t="shared" si="1"/>
        <v>25</v>
      </c>
      <c r="L148" s="38" t="s">
        <v>42</v>
      </c>
    </row>
    <row r="149" ht="22.5" customHeight="1">
      <c r="A149" s="17">
        <v>46119.0</v>
      </c>
      <c r="B149" s="50"/>
      <c r="C149" s="20" t="s">
        <v>711</v>
      </c>
      <c r="D149" s="23" t="s">
        <v>63</v>
      </c>
      <c r="E149" s="27" t="str">
        <f t="array" ref="E149">IF(D149="", "", XLOOKUP(D149, 'MASTER ITEM LIST'!A:A, 'MASTER ITEM LIST'!B:B, ""))</f>
        <v>OLD NEWS</v>
      </c>
      <c r="F149" s="50"/>
      <c r="G149" s="30" t="s">
        <v>34</v>
      </c>
      <c r="H149" s="19">
        <v>1.0</v>
      </c>
      <c r="I149" s="19" t="str">
        <f t="array" ref="I149">IFERROR(XLOOKUP(D149,'MASTER ITEM LIST'!A:A,'MASTER ITEM LIST'!D:D), "")</f>
        <v>KG</v>
      </c>
      <c r="J149" s="34">
        <v>100.0</v>
      </c>
      <c r="K149" s="36">
        <f t="shared" si="1"/>
        <v>100</v>
      </c>
      <c r="L149" s="38" t="s">
        <v>42</v>
      </c>
    </row>
    <row r="150" ht="22.5" customHeight="1">
      <c r="A150" s="17">
        <v>46119.0</v>
      </c>
      <c r="B150" s="50"/>
      <c r="C150" s="20" t="s">
        <v>711</v>
      </c>
      <c r="D150" s="23" t="s">
        <v>72</v>
      </c>
      <c r="E150" s="27" t="str">
        <f t="array" ref="E150">IF(D150="", "", XLOOKUP(D150, 'MASTER ITEM LIST'!A:A, 'MASTER ITEM LIST'!B:B, ""))</f>
        <v>NIPPON EXTREME QDU BLACK 4L</v>
      </c>
      <c r="F150" s="19" t="s">
        <v>48</v>
      </c>
      <c r="G150" s="30" t="s">
        <v>34</v>
      </c>
      <c r="H150" s="19">
        <v>0.03125</v>
      </c>
      <c r="I150" s="19" t="str">
        <f t="array" ref="I150">IFERROR(XLOOKUP(D150,'MASTER ITEM LIST'!A:A,'MASTER ITEM LIST'!D:D), "")</f>
        <v>GAL</v>
      </c>
      <c r="J150" s="34">
        <v>5120.0</v>
      </c>
      <c r="K150" s="36">
        <f t="shared" si="1"/>
        <v>160</v>
      </c>
      <c r="L150" s="38" t="s">
        <v>42</v>
      </c>
    </row>
    <row r="151" ht="22.5" customHeight="1">
      <c r="A151" s="17">
        <v>46119.0</v>
      </c>
      <c r="B151" s="50"/>
      <c r="C151" s="20" t="s">
        <v>711</v>
      </c>
      <c r="D151" s="23" t="s">
        <v>79</v>
      </c>
      <c r="E151" s="27" t="str">
        <f t="array" ref="E151">IF(D151="", "", XLOOKUP(D151, 'MASTER ITEM LIST'!A:A, 'MASTER ITEM LIST'!B:B, ""))</f>
        <v>CROCO MASKING TAPE 1/2 12MM (1X96)</v>
      </c>
      <c r="F151" s="50"/>
      <c r="G151" s="30" t="s">
        <v>34</v>
      </c>
      <c r="H151" s="19">
        <v>1.0</v>
      </c>
      <c r="I151" s="19" t="str">
        <f t="array" ref="I151">IFERROR(XLOOKUP(D151,'MASTER ITEM LIST'!A:A,'MASTER ITEM LIST'!D:D), "")</f>
        <v>PC/S</v>
      </c>
      <c r="J151" s="34">
        <v>25.0</v>
      </c>
      <c r="K151" s="36">
        <f t="shared" si="1"/>
        <v>25</v>
      </c>
      <c r="L151" s="38" t="s">
        <v>42</v>
      </c>
    </row>
    <row r="152" ht="22.5" customHeight="1">
      <c r="A152" s="17">
        <v>46119.0</v>
      </c>
      <c r="B152" s="50"/>
      <c r="C152" s="20" t="s">
        <v>711</v>
      </c>
      <c r="D152" s="23" t="s">
        <v>117</v>
      </c>
      <c r="E152" s="27" t="str">
        <f t="array" ref="E152">IF(D152="", "", XLOOKUP(D152, 'MASTER ITEM LIST'!A:A, 'MASTER ITEM LIST'!B:B, ""))</f>
        <v>EAGLE SANDPAPER #120</v>
      </c>
      <c r="F152" s="50"/>
      <c r="G152" s="30" t="s">
        <v>34</v>
      </c>
      <c r="H152" s="19">
        <v>1.0</v>
      </c>
      <c r="I152" s="19" t="str">
        <f t="array" ref="I152">IFERROR(XLOOKUP(D152,'MASTER ITEM LIST'!A:A,'MASTER ITEM LIST'!D:D), "")</f>
        <v>PC/S</v>
      </c>
      <c r="J152" s="34">
        <v>25.0</v>
      </c>
      <c r="K152" s="36">
        <f t="shared" si="1"/>
        <v>25</v>
      </c>
      <c r="L152" s="38" t="s">
        <v>42</v>
      </c>
    </row>
    <row r="153" ht="22.5" customHeight="1">
      <c r="A153" s="17">
        <v>46119.0</v>
      </c>
      <c r="B153" s="50"/>
      <c r="C153" s="20" t="s">
        <v>711</v>
      </c>
      <c r="D153" s="23" t="s">
        <v>127</v>
      </c>
      <c r="E153" s="27" t="str">
        <f t="array" ref="E153">IF(D153="", "", XLOOKUP(D153, 'MASTER ITEM LIST'!A:A, 'MASTER ITEM LIST'!B:B, ""))</f>
        <v>JAPAN PUTTY KNIFE #4</v>
      </c>
      <c r="F153" s="50"/>
      <c r="G153" s="30" t="s">
        <v>34</v>
      </c>
      <c r="H153" s="19">
        <v>4.0</v>
      </c>
      <c r="I153" s="19" t="str">
        <f t="array" ref="I153">IFERROR(XLOOKUP(D153,'MASTER ITEM LIST'!A:A,'MASTER ITEM LIST'!D:D), "")</f>
        <v>PC/S</v>
      </c>
      <c r="J153" s="34">
        <v>25.0</v>
      </c>
      <c r="K153" s="36">
        <f t="shared" si="1"/>
        <v>100</v>
      </c>
      <c r="L153" s="38" t="s">
        <v>42</v>
      </c>
    </row>
    <row r="154" ht="22.5" customHeight="1">
      <c r="A154" s="17">
        <v>46119.0</v>
      </c>
      <c r="B154" s="50"/>
      <c r="C154" s="20" t="s">
        <v>711</v>
      </c>
      <c r="D154" s="23" t="s">
        <v>798</v>
      </c>
      <c r="E154" s="27" t="str">
        <f t="array" ref="E154">IF(D154="", "", XLOOKUP(D154, 'MASTER ITEM LIST'!A:A, 'MASTER ITEM LIST'!B:B, ""))</f>
        <v>GLAZER AUTO ENAMEL MIX 4L</v>
      </c>
      <c r="F154" s="19" t="s">
        <v>799</v>
      </c>
      <c r="G154" s="30" t="s">
        <v>34</v>
      </c>
      <c r="H154" s="19">
        <v>1.0</v>
      </c>
      <c r="I154" s="19" t="str">
        <f t="array" ref="I154">IFERROR(XLOOKUP(D154,'MASTER ITEM LIST'!A:A,'MASTER ITEM LIST'!D:D), "")</f>
        <v>GAL</v>
      </c>
      <c r="J154" s="34">
        <v>1027.0</v>
      </c>
      <c r="K154" s="36">
        <f t="shared" si="1"/>
        <v>1027</v>
      </c>
      <c r="L154" s="38" t="s">
        <v>42</v>
      </c>
    </row>
    <row r="155" ht="22.5" customHeight="1">
      <c r="A155" s="17">
        <v>46119.0</v>
      </c>
      <c r="B155" s="50"/>
      <c r="C155" s="20" t="s">
        <v>711</v>
      </c>
      <c r="D155" s="23" t="s">
        <v>121</v>
      </c>
      <c r="E155" s="27" t="str">
        <f t="array" ref="E155">IF(D155="", "", XLOOKUP(D155, 'MASTER ITEM LIST'!A:A, 'MASTER ITEM LIST'!B:B, ""))</f>
        <v>DRAGONFLY PAINT BRUSH #1 1/2</v>
      </c>
      <c r="F155" s="50"/>
      <c r="G155" s="30" t="s">
        <v>34</v>
      </c>
      <c r="H155" s="19">
        <v>3.0</v>
      </c>
      <c r="I155" s="19" t="str">
        <f t="array" ref="I155">IFERROR(XLOOKUP(D155,'MASTER ITEM LIST'!A:A,'MASTER ITEM LIST'!D:D), "")</f>
        <v>PC/S</v>
      </c>
      <c r="J155" s="34">
        <v>35.0</v>
      </c>
      <c r="K155" s="36">
        <f t="shared" si="1"/>
        <v>105</v>
      </c>
      <c r="L155" s="38" t="s">
        <v>42</v>
      </c>
    </row>
    <row r="156" ht="22.5" customHeight="1">
      <c r="A156" s="17">
        <v>46119.0</v>
      </c>
      <c r="B156" s="50"/>
      <c r="C156" s="20" t="s">
        <v>711</v>
      </c>
      <c r="D156" s="23" t="s">
        <v>107</v>
      </c>
      <c r="E156" s="27" t="str">
        <f t="array" ref="E156">IF(D156="", "", XLOOKUP(D156, 'MASTER ITEM LIST'!A:A, 'MASTER ITEM LIST'!B:B, ""))</f>
        <v>2B PAINT ROLLER #4</v>
      </c>
      <c r="F156" s="50"/>
      <c r="G156" s="30" t="s">
        <v>34</v>
      </c>
      <c r="H156" s="19">
        <v>2.0</v>
      </c>
      <c r="I156" s="19" t="str">
        <f t="array" ref="I156">IFERROR(XLOOKUP(D156,'MASTER ITEM LIST'!A:A,'MASTER ITEM LIST'!D:D), "")</f>
        <v>PC/S</v>
      </c>
      <c r="J156" s="34">
        <v>65.0</v>
      </c>
      <c r="K156" s="36">
        <f t="shared" si="1"/>
        <v>130</v>
      </c>
      <c r="L156" s="38" t="s">
        <v>42</v>
      </c>
    </row>
    <row r="157" ht="22.5" customHeight="1">
      <c r="A157" s="17">
        <v>46119.0</v>
      </c>
      <c r="B157" s="50"/>
      <c r="C157" s="20" t="s">
        <v>711</v>
      </c>
      <c r="D157" s="23" t="s">
        <v>674</v>
      </c>
      <c r="E157" s="27" t="str">
        <f t="array" ref="E157">IF(D157="", "", XLOOKUP(D157, 'MASTER ITEM LIST'!A:A, 'MASTER ITEM LIST'!B:B, ""))</f>
        <v>DOMINO BODY FILTER WITH HARDENER 1L</v>
      </c>
      <c r="F157" s="50"/>
      <c r="G157" s="30" t="s">
        <v>34</v>
      </c>
      <c r="H157" s="19">
        <v>1.0</v>
      </c>
      <c r="I157" s="19" t="str">
        <f t="array" ref="I157">IFERROR(XLOOKUP(D157,'MASTER ITEM LIST'!A:A,'MASTER ITEM LIST'!D:D), "")</f>
        <v>LITER</v>
      </c>
      <c r="J157" s="34">
        <v>220.0</v>
      </c>
      <c r="K157" s="36">
        <f t="shared" si="1"/>
        <v>220</v>
      </c>
      <c r="L157" s="38" t="s">
        <v>42</v>
      </c>
    </row>
    <row r="158" ht="22.5" customHeight="1">
      <c r="A158" s="17">
        <v>46119.0</v>
      </c>
      <c r="B158" s="50"/>
      <c r="C158" s="20" t="s">
        <v>711</v>
      </c>
      <c r="D158" s="23" t="s">
        <v>31</v>
      </c>
      <c r="E158" s="27" t="str">
        <f t="array" ref="E158">IF(D158="", "", XLOOKUP(D158, 'MASTER ITEM LIST'!A:A, 'MASTER ITEM LIST'!B:B, ""))</f>
        <v>EXTREME QDU MIXING 1L</v>
      </c>
      <c r="F158" s="19" t="s">
        <v>808</v>
      </c>
      <c r="G158" s="30" t="s">
        <v>34</v>
      </c>
      <c r="H158" s="19">
        <v>0.25</v>
      </c>
      <c r="I158" s="19" t="str">
        <f t="array" ref="I158">IFERROR(XLOOKUP(D158,'MASTER ITEM LIST'!A:A,'MASTER ITEM LIST'!D:D), "")</f>
        <v>LITER</v>
      </c>
      <c r="J158" s="34">
        <v>800.0</v>
      </c>
      <c r="K158" s="36">
        <f t="shared" si="1"/>
        <v>200</v>
      </c>
      <c r="L158" s="38" t="s">
        <v>42</v>
      </c>
    </row>
    <row r="159" ht="22.5" customHeight="1">
      <c r="A159" s="17">
        <v>46119.0</v>
      </c>
      <c r="B159" s="50"/>
      <c r="C159" s="20" t="s">
        <v>711</v>
      </c>
      <c r="D159" s="23" t="s">
        <v>57</v>
      </c>
      <c r="E159" s="27" t="str">
        <f t="array" ref="E159">IF(D159="", "", XLOOKUP(D159, 'MASTER ITEM LIST'!A:A, 'MASTER ITEM LIST'!B:B, ""))</f>
        <v>DO IT URETHANE THINNER 4L</v>
      </c>
      <c r="F159" s="19" t="s">
        <v>48</v>
      </c>
      <c r="G159" s="30" t="s">
        <v>34</v>
      </c>
      <c r="H159" s="19">
        <v>0.25</v>
      </c>
      <c r="I159" s="19" t="str">
        <f t="array" ref="I159">IFERROR(XLOOKUP(D159,'MASTER ITEM LIST'!A:A,'MASTER ITEM LIST'!D:D), "")</f>
        <v>GAL/S</v>
      </c>
      <c r="J159" s="34">
        <v>720.0</v>
      </c>
      <c r="K159" s="36">
        <f t="shared" si="1"/>
        <v>180</v>
      </c>
      <c r="L159" s="38" t="s">
        <v>42</v>
      </c>
    </row>
    <row r="160" ht="22.5" customHeight="1">
      <c r="A160" s="17">
        <v>46119.0</v>
      </c>
      <c r="B160" s="50"/>
      <c r="C160" s="20" t="s">
        <v>711</v>
      </c>
      <c r="D160" s="23" t="s">
        <v>117</v>
      </c>
      <c r="E160" s="27" t="str">
        <f t="array" ref="E160">IF(D160="", "", XLOOKUP(D160, 'MASTER ITEM LIST'!A:A, 'MASTER ITEM LIST'!B:B, ""))</f>
        <v>EAGLE SANDPAPER #120</v>
      </c>
      <c r="F160" s="50"/>
      <c r="G160" s="30" t="s">
        <v>34</v>
      </c>
      <c r="H160" s="19">
        <v>2.0</v>
      </c>
      <c r="I160" s="19" t="str">
        <f t="array" ref="I160">IFERROR(XLOOKUP(D160,'MASTER ITEM LIST'!A:A,'MASTER ITEM LIST'!D:D), "")</f>
        <v>PC/S</v>
      </c>
      <c r="J160" s="34">
        <v>25.0</v>
      </c>
      <c r="K160" s="36">
        <f t="shared" si="1"/>
        <v>50</v>
      </c>
      <c r="L160" s="38" t="s">
        <v>42</v>
      </c>
    </row>
    <row r="161" ht="22.5" customHeight="1">
      <c r="A161" s="17">
        <v>46119.0</v>
      </c>
      <c r="B161" s="50"/>
      <c r="C161" s="20" t="s">
        <v>711</v>
      </c>
      <c r="D161" s="23" t="s">
        <v>548</v>
      </c>
      <c r="E161" s="27" t="str">
        <f t="array" ref="E161">IF(D161="", "", XLOOKUP(D161, 'MASTER ITEM LIST'!A:A, 'MASTER ITEM LIST'!B:B, ""))</f>
        <v>EAGLE SANDPAPER #240</v>
      </c>
      <c r="F161" s="50"/>
      <c r="G161" s="30" t="s">
        <v>34</v>
      </c>
      <c r="H161" s="19">
        <v>1.0</v>
      </c>
      <c r="I161" s="19" t="str">
        <f t="array" ref="I161">IFERROR(XLOOKUP(D161,'MASTER ITEM LIST'!A:A,'MASTER ITEM LIST'!D:D), "")</f>
        <v>PC/S</v>
      </c>
      <c r="J161" s="34">
        <v>25.0</v>
      </c>
      <c r="K161" s="36">
        <f t="shared" si="1"/>
        <v>25</v>
      </c>
      <c r="L161" s="38" t="s">
        <v>42</v>
      </c>
    </row>
    <row r="162" ht="22.5" customHeight="1">
      <c r="A162" s="17">
        <v>46119.0</v>
      </c>
      <c r="B162" s="50"/>
      <c r="C162" s="20" t="s">
        <v>711</v>
      </c>
      <c r="D162" s="23" t="s">
        <v>568</v>
      </c>
      <c r="E162" s="27" t="str">
        <f t="array" ref="E162">IF(D162="", "", XLOOKUP(D162, 'MASTER ITEM LIST'!A:A, 'MASTER ITEM LIST'!B:B, ""))</f>
        <v>NIPPON EXTREME QDU SILVER 4L</v>
      </c>
      <c r="F162" s="19" t="s">
        <v>48</v>
      </c>
      <c r="G162" s="30" t="s">
        <v>34</v>
      </c>
      <c r="H162" s="19">
        <v>0.0625</v>
      </c>
      <c r="I162" s="19" t="str">
        <f t="array" ref="I162">IFERROR(XLOOKUP(D162,'MASTER ITEM LIST'!A:A,'MASTER ITEM LIST'!D:D), "")</f>
        <v>GAL</v>
      </c>
      <c r="J162" s="34">
        <v>3200.0</v>
      </c>
      <c r="K162" s="36">
        <f t="shared" si="1"/>
        <v>200</v>
      </c>
      <c r="L162" s="38" t="s">
        <v>42</v>
      </c>
    </row>
    <row r="163" ht="22.5" customHeight="1">
      <c r="A163" s="17">
        <v>46120.0</v>
      </c>
      <c r="B163" s="50"/>
      <c r="C163" s="20" t="s">
        <v>711</v>
      </c>
      <c r="D163" s="23" t="s">
        <v>63</v>
      </c>
      <c r="E163" s="27" t="str">
        <f t="array" ref="E163">IF(D163="", "", XLOOKUP(D163, 'MASTER ITEM LIST'!A:A, 'MASTER ITEM LIST'!B:B, ""))</f>
        <v>OLD NEWS</v>
      </c>
      <c r="F163" s="50"/>
      <c r="G163" s="30" t="s">
        <v>34</v>
      </c>
      <c r="H163" s="19">
        <v>0.5</v>
      </c>
      <c r="I163" s="19" t="str">
        <f t="array" ref="I163">IFERROR(XLOOKUP(D163,'MASTER ITEM LIST'!A:A,'MASTER ITEM LIST'!D:D), "")</f>
        <v>KG</v>
      </c>
      <c r="J163" s="34">
        <v>100.0</v>
      </c>
      <c r="K163" s="36">
        <f t="shared" si="1"/>
        <v>50</v>
      </c>
      <c r="L163" s="38" t="s">
        <v>42</v>
      </c>
    </row>
    <row r="164" ht="22.5" customHeight="1">
      <c r="A164" s="17">
        <v>46120.0</v>
      </c>
      <c r="B164" s="50"/>
      <c r="C164" s="20" t="s">
        <v>711</v>
      </c>
      <c r="D164" s="23" t="s">
        <v>136</v>
      </c>
      <c r="E164" s="27" t="str">
        <f t="array" ref="E164">IF(D164="", "", XLOOKUP(D164, 'MASTER ITEM LIST'!A:A, 'MASTER ITEM LIST'!B:B, ""))</f>
        <v>CROCO MASKING TAPE 3/4 18MM (1X64)</v>
      </c>
      <c r="F164" s="50"/>
      <c r="G164" s="30" t="s">
        <v>34</v>
      </c>
      <c r="H164" s="19">
        <v>2.0</v>
      </c>
      <c r="I164" s="19" t="str">
        <f t="array" ref="I164">IFERROR(XLOOKUP(D164,'MASTER ITEM LIST'!A:A,'MASTER ITEM LIST'!D:D), "")</f>
        <v>PC/S</v>
      </c>
      <c r="J164" s="34">
        <v>35.0</v>
      </c>
      <c r="K164" s="36">
        <f t="shared" si="1"/>
        <v>70</v>
      </c>
      <c r="L164" s="38" t="s">
        <v>42</v>
      </c>
    </row>
    <row r="165" ht="22.5" customHeight="1">
      <c r="A165" s="17">
        <v>46120.0</v>
      </c>
      <c r="B165" s="50"/>
      <c r="C165" s="20" t="s">
        <v>711</v>
      </c>
      <c r="D165" s="23" t="s">
        <v>818</v>
      </c>
      <c r="E165" s="27" t="str">
        <f t="array" ref="E165">IF(D165="", "", XLOOKUP(D165, 'MASTER ITEM LIST'!A:A, 'MASTER ITEM LIST'!B:B, ""))</f>
        <v>NAX NAT-3974 QDU FLAT BLACK 1L</v>
      </c>
      <c r="F165" s="19" t="s">
        <v>48</v>
      </c>
      <c r="G165" s="30" t="s">
        <v>34</v>
      </c>
      <c r="H165" s="19">
        <v>0.5</v>
      </c>
      <c r="I165" s="19" t="str">
        <f t="array" ref="I165">IFERROR(XLOOKUP(D165,'MASTER ITEM LIST'!A:A,'MASTER ITEM LIST'!D:D), "")</f>
        <v>LITER</v>
      </c>
      <c r="J165" s="34">
        <v>800.0</v>
      </c>
      <c r="K165" s="36">
        <f t="shared" si="1"/>
        <v>400</v>
      </c>
      <c r="L165" s="38" t="s">
        <v>42</v>
      </c>
    </row>
    <row r="166" ht="22.5" customHeight="1">
      <c r="A166" s="17">
        <v>46120.0</v>
      </c>
      <c r="B166" s="50"/>
      <c r="C166" s="20" t="s">
        <v>711</v>
      </c>
      <c r="D166" s="23" t="s">
        <v>205</v>
      </c>
      <c r="E166" s="27" t="str">
        <f t="array" ref="E166">IF(D166="", "", XLOOKUP(D166, 'MASTER ITEM LIST'!A:A, 'MASTER ITEM LIST'!B:B, ""))</f>
        <v>TIMELESS PREMIUM LIQUID WAX 5OML</v>
      </c>
      <c r="F166" s="50"/>
      <c r="G166" s="30" t="s">
        <v>34</v>
      </c>
      <c r="H166" s="19">
        <v>1.0</v>
      </c>
      <c r="I166" s="19" t="str">
        <f t="array" ref="I166">IFERROR(XLOOKUP(D166,'MASTER ITEM LIST'!A:A,'MASTER ITEM LIST'!D:D), "")</f>
        <v>PC/S</v>
      </c>
      <c r="J166" s="34">
        <v>100.0</v>
      </c>
      <c r="K166" s="36">
        <f t="shared" si="1"/>
        <v>100</v>
      </c>
      <c r="L166" s="38" t="s">
        <v>42</v>
      </c>
    </row>
    <row r="167" ht="22.5" customHeight="1">
      <c r="A167" s="17">
        <v>46120.0</v>
      </c>
      <c r="B167" s="50"/>
      <c r="C167" s="20" t="s">
        <v>711</v>
      </c>
      <c r="D167" s="23" t="s">
        <v>136</v>
      </c>
      <c r="E167" s="27" t="str">
        <f t="array" ref="E167">IF(D167="", "", XLOOKUP(D167, 'MASTER ITEM LIST'!A:A, 'MASTER ITEM LIST'!B:B, ""))</f>
        <v>CROCO MASKING TAPE 3/4 18MM (1X64)</v>
      </c>
      <c r="F167" s="50"/>
      <c r="G167" s="30" t="s">
        <v>34</v>
      </c>
      <c r="H167" s="19">
        <v>2.0</v>
      </c>
      <c r="I167" s="19" t="str">
        <f t="array" ref="I167">IFERROR(XLOOKUP(D167,'MASTER ITEM LIST'!A:A,'MASTER ITEM LIST'!D:D), "")</f>
        <v>PC/S</v>
      </c>
      <c r="J167" s="34">
        <v>35.0</v>
      </c>
      <c r="K167" s="36">
        <f t="shared" si="1"/>
        <v>70</v>
      </c>
      <c r="L167" s="38" t="s">
        <v>42</v>
      </c>
    </row>
    <row r="168" ht="22.5" customHeight="1">
      <c r="A168" s="17">
        <v>46120.0</v>
      </c>
      <c r="B168" s="50"/>
      <c r="C168" s="20" t="s">
        <v>711</v>
      </c>
      <c r="D168" s="23" t="s">
        <v>326</v>
      </c>
      <c r="E168" s="27" t="str">
        <f t="array" ref="E168">IF(D168="", "", XLOOKUP(D168, 'MASTER ITEM LIST'!A:A, 'MASTER ITEM LIST'!B:B, ""))</f>
        <v>EAGLE SANDPAPER #1200</v>
      </c>
      <c r="F168" s="50"/>
      <c r="G168" s="30" t="s">
        <v>34</v>
      </c>
      <c r="H168" s="19">
        <v>3.0</v>
      </c>
      <c r="I168" s="19" t="str">
        <f t="array" ref="I168">IFERROR(XLOOKUP(D168,'MASTER ITEM LIST'!A:A,'MASTER ITEM LIST'!D:D), "")</f>
        <v>PC/S</v>
      </c>
      <c r="J168" s="34">
        <v>25.0</v>
      </c>
      <c r="K168" s="36">
        <f t="shared" si="1"/>
        <v>75</v>
      </c>
      <c r="L168" s="38" t="s">
        <v>42</v>
      </c>
    </row>
    <row r="169" ht="22.5" customHeight="1">
      <c r="A169" s="17">
        <v>46120.0</v>
      </c>
      <c r="B169" s="50"/>
      <c r="C169" s="20" t="s">
        <v>711</v>
      </c>
      <c r="D169" s="23" t="s">
        <v>334</v>
      </c>
      <c r="E169" s="27" t="str">
        <f t="array" ref="E169">IF(D169="", "", XLOOKUP(D169, 'MASTER ITEM LIST'!A:A, 'MASTER ITEM LIST'!B:B, ""))</f>
        <v>PLATONE QDE BLACK 4L</v>
      </c>
      <c r="F169" s="19" t="s">
        <v>48</v>
      </c>
      <c r="G169" s="30" t="s">
        <v>34</v>
      </c>
      <c r="H169" s="19">
        <v>0.25</v>
      </c>
      <c r="I169" s="19" t="str">
        <f t="array" ref="I169">IFERROR(XLOOKUP(D169,'MASTER ITEM LIST'!A:A,'MASTER ITEM LIST'!D:D), "")</f>
        <v>GAL</v>
      </c>
      <c r="J169" s="34">
        <v>920.0</v>
      </c>
      <c r="K169" s="36">
        <f t="shared" si="1"/>
        <v>230</v>
      </c>
      <c r="L169" s="38" t="s">
        <v>42</v>
      </c>
    </row>
    <row r="170" ht="22.5" customHeight="1">
      <c r="A170" s="17">
        <v>46120.0</v>
      </c>
      <c r="B170" s="50"/>
      <c r="C170" s="20" t="s">
        <v>711</v>
      </c>
      <c r="D170" s="23" t="s">
        <v>198</v>
      </c>
      <c r="E170" s="27" t="str">
        <f t="array" ref="E170">IF(D170="", "", XLOOKUP(D170, 'MASTER ITEM LIST'!A:A, 'MASTER ITEM LIST'!B:B, ""))</f>
        <v>EAGLE SANDPAPER #2000</v>
      </c>
      <c r="F170" s="50"/>
      <c r="G170" s="30" t="s">
        <v>34</v>
      </c>
      <c r="H170" s="19">
        <v>1.0</v>
      </c>
      <c r="I170" s="19" t="str">
        <f t="array" ref="I170">IFERROR(XLOOKUP(D170,'MASTER ITEM LIST'!A:A,'MASTER ITEM LIST'!D:D), "")</f>
        <v>PC/S</v>
      </c>
      <c r="J170" s="34">
        <v>35.0</v>
      </c>
      <c r="K170" s="36">
        <f t="shared" si="1"/>
        <v>35</v>
      </c>
      <c r="L170" s="38" t="s">
        <v>42</v>
      </c>
    </row>
    <row r="171" ht="22.5" customHeight="1">
      <c r="A171" s="17">
        <v>46120.0</v>
      </c>
      <c r="B171" s="50"/>
      <c r="C171" s="20" t="s">
        <v>711</v>
      </c>
      <c r="D171" s="23" t="s">
        <v>213</v>
      </c>
      <c r="E171" s="27" t="str">
        <f t="array" ref="E171">IF(D171="", "", XLOOKUP(D171, 'MASTER ITEM LIST'!A:A, 'MASTER ITEM LIST'!B:B, ""))</f>
        <v>NAX PREMILA NP9200 2K CLEAR WITH HARDENER 1L</v>
      </c>
      <c r="F171" s="50"/>
      <c r="G171" s="30" t="s">
        <v>34</v>
      </c>
      <c r="H171" s="19">
        <v>2.0</v>
      </c>
      <c r="I171" s="19" t="str">
        <f t="array" ref="I171">IFERROR(XLOOKUP(D171,'MASTER ITEM LIST'!A:A,'MASTER ITEM LIST'!D:D), "")</f>
        <v>LITER</v>
      </c>
      <c r="J171" s="34">
        <v>1350.0</v>
      </c>
      <c r="K171" s="36">
        <f t="shared" si="1"/>
        <v>2700</v>
      </c>
      <c r="L171" s="38" t="s">
        <v>42</v>
      </c>
    </row>
    <row r="172" ht="22.5" customHeight="1">
      <c r="A172" s="17">
        <v>46120.0</v>
      </c>
      <c r="B172" s="50"/>
      <c r="C172" s="20" t="s">
        <v>711</v>
      </c>
      <c r="D172" s="23" t="s">
        <v>220</v>
      </c>
      <c r="E172" s="27" t="str">
        <f t="array" ref="E172">IF(D172="", "", XLOOKUP(D172, 'MASTER ITEM LIST'!A:A, 'MASTER ITEM LIST'!B:B, ""))</f>
        <v>PREMILA MIXING 1L</v>
      </c>
      <c r="F172" s="19" t="s">
        <v>834</v>
      </c>
      <c r="G172" s="30" t="s">
        <v>34</v>
      </c>
      <c r="H172" s="19">
        <v>0.5</v>
      </c>
      <c r="I172" s="19" t="str">
        <f t="array" ref="I172">IFERROR(XLOOKUP(D172,'MASTER ITEM LIST'!A:A,'MASTER ITEM LIST'!D:D), "")</f>
        <v>LITER</v>
      </c>
      <c r="J172" s="34">
        <v>2000.0</v>
      </c>
      <c r="K172" s="36">
        <f t="shared" si="1"/>
        <v>1000</v>
      </c>
      <c r="L172" s="38" t="s">
        <v>42</v>
      </c>
    </row>
    <row r="173" ht="22.5" customHeight="1">
      <c r="A173" s="17">
        <v>46120.0</v>
      </c>
      <c r="B173" s="50"/>
      <c r="C173" s="20" t="s">
        <v>711</v>
      </c>
      <c r="D173" s="23" t="s">
        <v>57</v>
      </c>
      <c r="E173" s="27" t="str">
        <f t="array" ref="E173">IF(D173="", "", XLOOKUP(D173, 'MASTER ITEM LIST'!A:A, 'MASTER ITEM LIST'!B:B, ""))</f>
        <v>DO IT URETHANE THINNER 4L</v>
      </c>
      <c r="F173" s="50"/>
      <c r="G173" s="30" t="s">
        <v>34</v>
      </c>
      <c r="H173" s="19">
        <v>1.0</v>
      </c>
      <c r="I173" s="19" t="str">
        <f t="array" ref="I173">IFERROR(XLOOKUP(D173,'MASTER ITEM LIST'!A:A,'MASTER ITEM LIST'!D:D), "")</f>
        <v>GAL/S</v>
      </c>
      <c r="J173" s="34">
        <v>720.0</v>
      </c>
      <c r="K173" s="36">
        <f t="shared" si="1"/>
        <v>720</v>
      </c>
      <c r="L173" s="38" t="s">
        <v>42</v>
      </c>
    </row>
    <row r="174" ht="22.5" customHeight="1">
      <c r="A174" s="17">
        <v>46120.0</v>
      </c>
      <c r="B174" s="50"/>
      <c r="C174" s="20" t="s">
        <v>711</v>
      </c>
      <c r="D174" s="23" t="s">
        <v>167</v>
      </c>
      <c r="E174" s="27" t="str">
        <f t="array" ref="E174">IF(D174="", "", XLOOKUP(D174, 'MASTER ITEM LIST'!A:A, 'MASTER ITEM LIST'!B:B, ""))</f>
        <v>NAX QDU MIX 1L</v>
      </c>
      <c r="F174" s="19" t="s">
        <v>713</v>
      </c>
      <c r="G174" s="30" t="s">
        <v>34</v>
      </c>
      <c r="H174" s="19">
        <v>0.125</v>
      </c>
      <c r="I174" s="19" t="str">
        <f t="array" ref="I174">IFERROR(XLOOKUP(D174,'MASTER ITEM LIST'!A:A,'MASTER ITEM LIST'!D:D), "")</f>
        <v>LITER</v>
      </c>
      <c r="J174" s="34">
        <v>1840.0</v>
      </c>
      <c r="K174" s="36">
        <f t="shared" si="1"/>
        <v>230</v>
      </c>
      <c r="L174" s="38" t="s">
        <v>42</v>
      </c>
    </row>
    <row r="175" ht="22.5" customHeight="1">
      <c r="A175" s="17">
        <v>46120.0</v>
      </c>
      <c r="B175" s="50"/>
      <c r="C175" s="20" t="s">
        <v>711</v>
      </c>
      <c r="D175" s="23" t="s">
        <v>31</v>
      </c>
      <c r="E175" s="27" t="str">
        <f t="array" ref="E175">IF(D175="", "", XLOOKUP(D175, 'MASTER ITEM LIST'!A:A, 'MASTER ITEM LIST'!B:B, ""))</f>
        <v>EXTREME QDU MIXING 1L</v>
      </c>
      <c r="F175" s="19" t="s">
        <v>842</v>
      </c>
      <c r="G175" s="30" t="s">
        <v>34</v>
      </c>
      <c r="H175" s="19">
        <v>2.0</v>
      </c>
      <c r="I175" s="19" t="str">
        <f t="array" ref="I175">IFERROR(XLOOKUP(D175,'MASTER ITEM LIST'!A:A,'MASTER ITEM LIST'!D:D), "")</f>
        <v>LITER</v>
      </c>
      <c r="J175" s="34">
        <v>700.0</v>
      </c>
      <c r="K175" s="36">
        <f t="shared" si="1"/>
        <v>1400</v>
      </c>
      <c r="L175" s="38" t="s">
        <v>42</v>
      </c>
    </row>
    <row r="176" ht="22.5" customHeight="1">
      <c r="A176" s="17">
        <v>46121.0</v>
      </c>
      <c r="B176" s="50"/>
      <c r="C176" s="20" t="s">
        <v>711</v>
      </c>
      <c r="D176" s="23" t="s">
        <v>53</v>
      </c>
      <c r="E176" s="27" t="str">
        <f t="array" ref="E176">IF(D176="", "", XLOOKUP(D176, 'MASTER ITEM LIST'!A:A, 'MASTER ITEM LIST'!B:B, ""))</f>
        <v>NAX 108 CERAMIC 2K CLEAR WITH HARDENER 1L</v>
      </c>
      <c r="F176" s="50"/>
      <c r="G176" s="30" t="s">
        <v>34</v>
      </c>
      <c r="H176" s="19">
        <v>3.0</v>
      </c>
      <c r="I176" s="19" t="str">
        <f t="array" ref="I176">IFERROR(XLOOKUP(D176,'MASTER ITEM LIST'!A:A,'MASTER ITEM LIST'!D:D), "")</f>
        <v>LITER</v>
      </c>
      <c r="J176" s="34">
        <v>700.0</v>
      </c>
      <c r="K176" s="36">
        <f t="shared" si="1"/>
        <v>2100</v>
      </c>
      <c r="L176" s="38" t="s">
        <v>42</v>
      </c>
    </row>
    <row r="177" ht="22.5" customHeight="1">
      <c r="A177" s="17">
        <v>46121.0</v>
      </c>
      <c r="B177" s="50"/>
      <c r="C177" s="20" t="s">
        <v>711</v>
      </c>
      <c r="D177" s="23" t="s">
        <v>776</v>
      </c>
      <c r="E177" s="27" t="str">
        <f t="array" ref="E177">IF(D177="", "", XLOOKUP(D177, 'MASTER ITEM LIST'!A:A, 'MASTER ITEM LIST'!B:B, ""))</f>
        <v>METALGUARD EPOXY PRIMER BLACK WITH HARDENER 4L</v>
      </c>
      <c r="F177" s="19" t="s">
        <v>48</v>
      </c>
      <c r="G177" s="30" t="s">
        <v>34</v>
      </c>
      <c r="H177" s="19">
        <v>0.25</v>
      </c>
      <c r="I177" s="19" t="str">
        <f t="array" ref="I177">IFERROR(XLOOKUP(D177,'MASTER ITEM LIST'!A:A,'MASTER ITEM LIST'!D:D), "")</f>
        <v>GAL</v>
      </c>
      <c r="J177" s="34">
        <v>1040.0</v>
      </c>
      <c r="K177" s="36">
        <f t="shared" si="1"/>
        <v>260</v>
      </c>
      <c r="L177" s="38" t="s">
        <v>42</v>
      </c>
    </row>
    <row r="178" ht="22.5" customHeight="1">
      <c r="A178" s="17">
        <v>46121.0</v>
      </c>
      <c r="B178" s="50"/>
      <c r="C178" s="20" t="s">
        <v>711</v>
      </c>
      <c r="D178" s="23" t="s">
        <v>40</v>
      </c>
      <c r="E178" s="27" t="str">
        <f t="array" ref="E178">IF(D178="", "", XLOOKUP(D178, 'MASTER ITEM LIST'!A:A, 'MASTER ITEM LIST'!B:B, ""))</f>
        <v>2B PAINT BRUSH #2</v>
      </c>
      <c r="F178" s="50"/>
      <c r="G178" s="30" t="s">
        <v>34</v>
      </c>
      <c r="H178" s="19">
        <v>1.0</v>
      </c>
      <c r="I178" s="19" t="str">
        <f t="array" ref="I178">IFERROR(XLOOKUP(D178,'MASTER ITEM LIST'!A:A,'MASTER ITEM LIST'!D:D), "")</f>
        <v>PC/S</v>
      </c>
      <c r="J178" s="34">
        <v>50.0</v>
      </c>
      <c r="K178" s="36">
        <f t="shared" si="1"/>
        <v>50</v>
      </c>
      <c r="L178" s="38" t="s">
        <v>42</v>
      </c>
    </row>
    <row r="179" ht="22.5" customHeight="1">
      <c r="A179" s="17">
        <v>46121.0</v>
      </c>
      <c r="B179" s="50"/>
      <c r="C179" s="20" t="s">
        <v>711</v>
      </c>
      <c r="D179" s="23" t="s">
        <v>117</v>
      </c>
      <c r="E179" s="27" t="str">
        <f t="array" ref="E179">IF(D179="", "", XLOOKUP(D179, 'MASTER ITEM LIST'!A:A, 'MASTER ITEM LIST'!B:B, ""))</f>
        <v>EAGLE SANDPAPER #120</v>
      </c>
      <c r="F179" s="50"/>
      <c r="G179" s="30" t="s">
        <v>34</v>
      </c>
      <c r="H179" s="19">
        <v>1.0</v>
      </c>
      <c r="I179" s="19" t="str">
        <f t="array" ref="I179">IFERROR(XLOOKUP(D179,'MASTER ITEM LIST'!A:A,'MASTER ITEM LIST'!D:D), "")</f>
        <v>PC/S</v>
      </c>
      <c r="J179" s="34">
        <v>25.0</v>
      </c>
      <c r="K179" s="36">
        <f t="shared" si="1"/>
        <v>25</v>
      </c>
      <c r="L179" s="38" t="s">
        <v>42</v>
      </c>
    </row>
    <row r="180" ht="22.5" customHeight="1">
      <c r="A180" s="17">
        <v>46121.0</v>
      </c>
      <c r="B180" s="50"/>
      <c r="C180" s="20" t="s">
        <v>711</v>
      </c>
      <c r="D180" s="23" t="s">
        <v>390</v>
      </c>
      <c r="E180" s="27" t="str">
        <f t="array" ref="E180">IF(D180="", "", XLOOKUP(D180, 'MASTER ITEM LIST'!A:A, 'MASTER ITEM LIST'!B:B, ""))</f>
        <v>NIPPON EPOXY THINNER 4L</v>
      </c>
      <c r="F180" s="19" t="s">
        <v>48</v>
      </c>
      <c r="G180" s="30" t="s">
        <v>34</v>
      </c>
      <c r="H180" s="19">
        <v>0.125</v>
      </c>
      <c r="I180" s="19" t="str">
        <f t="array" ref="I180">IFERROR(XLOOKUP(D180,'MASTER ITEM LIST'!A:A,'MASTER ITEM LIST'!D:D), "")</f>
        <v>GAL/S</v>
      </c>
      <c r="J180" s="34">
        <v>760.0</v>
      </c>
      <c r="K180" s="36">
        <f t="shared" si="1"/>
        <v>95</v>
      </c>
      <c r="L180" s="38" t="s">
        <v>42</v>
      </c>
    </row>
    <row r="181" ht="22.5" customHeight="1">
      <c r="A181" s="17">
        <v>46121.0</v>
      </c>
      <c r="B181" s="50"/>
      <c r="C181" s="20" t="s">
        <v>711</v>
      </c>
      <c r="D181" s="23" t="s">
        <v>426</v>
      </c>
      <c r="E181" s="27" t="str">
        <f t="array" ref="E181">IF(D181="", "", XLOOKUP(D181, 'MASTER ITEM LIST'!A:A, 'MASTER ITEM LIST'!B:B, ""))</f>
        <v>EAGLE SAND PAPER #320</v>
      </c>
      <c r="F181" s="50"/>
      <c r="G181" s="30" t="s">
        <v>34</v>
      </c>
      <c r="H181" s="19">
        <v>1.0</v>
      </c>
      <c r="I181" s="19" t="str">
        <f t="array" ref="I181">IFERROR(XLOOKUP(D181,'MASTER ITEM LIST'!A:A,'MASTER ITEM LIST'!D:D), "")</f>
        <v>PCS</v>
      </c>
      <c r="J181" s="34">
        <v>25.0</v>
      </c>
      <c r="K181" s="36">
        <f t="shared" si="1"/>
        <v>25</v>
      </c>
      <c r="L181" s="38" t="s">
        <v>42</v>
      </c>
    </row>
    <row r="182" ht="22.5" customHeight="1">
      <c r="A182" s="17">
        <v>46121.0</v>
      </c>
      <c r="B182" s="50"/>
      <c r="C182" s="20" t="s">
        <v>711</v>
      </c>
      <c r="D182" s="23" t="s">
        <v>567</v>
      </c>
      <c r="E182" s="27" t="str">
        <f t="array" ref="E182">IF(D182="", "", XLOOKUP(D182, 'MASTER ITEM LIST'!A:A, 'MASTER ITEM LIST'!B:B, ""))</f>
        <v>EAGLE SANDPAPER #800</v>
      </c>
      <c r="F182" s="50"/>
      <c r="G182" s="30" t="s">
        <v>34</v>
      </c>
      <c r="H182" s="19">
        <v>1.0</v>
      </c>
      <c r="I182" s="19" t="str">
        <f t="array" ref="I182">IFERROR(XLOOKUP(D182,'MASTER ITEM LIST'!A:A,'MASTER ITEM LIST'!D:D), "")</f>
        <v>PC/S</v>
      </c>
      <c r="J182" s="34">
        <v>25.0</v>
      </c>
      <c r="K182" s="36">
        <f t="shared" si="1"/>
        <v>25</v>
      </c>
      <c r="L182" s="38" t="s">
        <v>42</v>
      </c>
    </row>
    <row r="183" ht="22.5" customHeight="1">
      <c r="A183" s="17">
        <v>46121.0</v>
      </c>
      <c r="B183" s="50"/>
      <c r="C183" s="20" t="s">
        <v>711</v>
      </c>
      <c r="D183" s="23" t="s">
        <v>31</v>
      </c>
      <c r="E183" s="27" t="str">
        <f t="array" ref="E183">IF(D183="", "", XLOOKUP(D183, 'MASTER ITEM LIST'!A:A, 'MASTER ITEM LIST'!B:B, ""))</f>
        <v>EXTREME QDU MIXING 1L</v>
      </c>
      <c r="F183" s="19" t="s">
        <v>760</v>
      </c>
      <c r="G183" s="30" t="s">
        <v>34</v>
      </c>
      <c r="H183" s="19">
        <v>0.25</v>
      </c>
      <c r="I183" s="19" t="str">
        <f t="array" ref="I183">IFERROR(XLOOKUP(D183,'MASTER ITEM LIST'!A:A,'MASTER ITEM LIST'!D:D), "")</f>
        <v>LITER</v>
      </c>
      <c r="J183" s="34">
        <v>1000.0</v>
      </c>
      <c r="K183" s="36">
        <f t="shared" si="1"/>
        <v>250</v>
      </c>
      <c r="L183" s="38" t="s">
        <v>42</v>
      </c>
    </row>
    <row r="184" ht="22.5" customHeight="1">
      <c r="A184" s="17">
        <v>46121.0</v>
      </c>
      <c r="B184" s="50"/>
      <c r="C184" s="20" t="s">
        <v>711</v>
      </c>
      <c r="D184" s="23" t="s">
        <v>516</v>
      </c>
      <c r="E184" s="27" t="str">
        <f t="array" ref="E184">IF(D184="", "", XLOOKUP(D184, 'MASTER ITEM LIST'!A:A, 'MASTER ITEM LIST'!B:B, ""))</f>
        <v>EAGLE SANDPAPER #1500</v>
      </c>
      <c r="F184" s="50"/>
      <c r="G184" s="30" t="s">
        <v>34</v>
      </c>
      <c r="H184" s="19">
        <v>3.0</v>
      </c>
      <c r="I184" s="19" t="str">
        <f t="array" ref="I184">IFERROR(XLOOKUP(D184,'MASTER ITEM LIST'!A:A,'MASTER ITEM LIST'!D:D), "")</f>
        <v>PC/S</v>
      </c>
      <c r="J184" s="34">
        <v>35.0</v>
      </c>
      <c r="K184" s="36">
        <f t="shared" si="1"/>
        <v>105</v>
      </c>
      <c r="L184" s="38" t="s">
        <v>42</v>
      </c>
    </row>
    <row r="185" ht="22.5" customHeight="1">
      <c r="A185" s="17">
        <v>46121.0</v>
      </c>
      <c r="B185" s="50"/>
      <c r="C185" s="20" t="s">
        <v>711</v>
      </c>
      <c r="D185" s="23" t="s">
        <v>198</v>
      </c>
      <c r="E185" s="27" t="str">
        <f t="array" ref="E185">IF(D185="", "", XLOOKUP(D185, 'MASTER ITEM LIST'!A:A, 'MASTER ITEM LIST'!B:B, ""))</f>
        <v>EAGLE SANDPAPER #2000</v>
      </c>
      <c r="F185" s="50"/>
      <c r="G185" s="30" t="s">
        <v>34</v>
      </c>
      <c r="H185" s="19">
        <v>3.0</v>
      </c>
      <c r="I185" s="19" t="str">
        <f t="array" ref="I185">IFERROR(XLOOKUP(D185,'MASTER ITEM LIST'!A:A,'MASTER ITEM LIST'!D:D), "")</f>
        <v>PC/S</v>
      </c>
      <c r="J185" s="34">
        <v>35.0</v>
      </c>
      <c r="K185" s="36">
        <f t="shared" si="1"/>
        <v>105</v>
      </c>
      <c r="L185" s="38" t="s">
        <v>42</v>
      </c>
    </row>
    <row r="186" ht="22.5" customHeight="1">
      <c r="A186" s="17">
        <v>46121.0</v>
      </c>
      <c r="B186" s="50"/>
      <c r="C186" s="20" t="s">
        <v>711</v>
      </c>
      <c r="D186" s="23" t="s">
        <v>205</v>
      </c>
      <c r="E186" s="27" t="str">
        <f t="array" ref="E186">IF(D186="", "", XLOOKUP(D186, 'MASTER ITEM LIST'!A:A, 'MASTER ITEM LIST'!B:B, ""))</f>
        <v>TIMELESS PREMIUM LIQUID WAX 5OML</v>
      </c>
      <c r="F186" s="50"/>
      <c r="G186" s="30" t="s">
        <v>34</v>
      </c>
      <c r="H186" s="19">
        <v>2.0</v>
      </c>
      <c r="I186" s="19" t="str">
        <f t="array" ref="I186">IFERROR(XLOOKUP(D186,'MASTER ITEM LIST'!A:A,'MASTER ITEM LIST'!D:D), "")</f>
        <v>PC/S</v>
      </c>
      <c r="J186" s="34">
        <v>100.0</v>
      </c>
      <c r="K186" s="36">
        <f t="shared" si="1"/>
        <v>200</v>
      </c>
      <c r="L186" s="38" t="s">
        <v>42</v>
      </c>
    </row>
    <row r="187" ht="22.5" customHeight="1">
      <c r="A187" s="17">
        <v>46121.0</v>
      </c>
      <c r="B187" s="50"/>
      <c r="C187" s="20" t="s">
        <v>711</v>
      </c>
      <c r="D187" s="23" t="s">
        <v>505</v>
      </c>
      <c r="E187" s="27" t="str">
        <f t="array" ref="E187">IF(D187="", "", XLOOKUP(D187, 'MASTER ITEM LIST'!A:A, 'MASTER ITEM LIST'!B:B, ""))</f>
        <v>PAINT ROLLER TRAY</v>
      </c>
      <c r="F187" s="50"/>
      <c r="G187" s="30" t="s">
        <v>34</v>
      </c>
      <c r="H187" s="19">
        <v>1.0</v>
      </c>
      <c r="I187" s="19" t="str">
        <f t="array" ref="I187">IFERROR(XLOOKUP(D187,'MASTER ITEM LIST'!A:A,'MASTER ITEM LIST'!D:D), "")</f>
        <v>PC/S</v>
      </c>
      <c r="J187" s="34">
        <v>80.0</v>
      </c>
      <c r="K187" s="36">
        <f t="shared" si="1"/>
        <v>80</v>
      </c>
      <c r="L187" s="38" t="s">
        <v>42</v>
      </c>
    </row>
    <row r="188" ht="22.5" customHeight="1">
      <c r="A188" s="17">
        <v>46121.0</v>
      </c>
      <c r="B188" s="50"/>
      <c r="C188" s="20" t="s">
        <v>711</v>
      </c>
      <c r="D188" s="23" t="s">
        <v>117</v>
      </c>
      <c r="E188" s="27" t="str">
        <f t="array" ref="E188">IF(D188="", "", XLOOKUP(D188, 'MASTER ITEM LIST'!A:A, 'MASTER ITEM LIST'!B:B, ""))</f>
        <v>EAGLE SANDPAPER #120</v>
      </c>
      <c r="F188" s="50"/>
      <c r="G188" s="30" t="s">
        <v>34</v>
      </c>
      <c r="H188" s="19">
        <v>1.0</v>
      </c>
      <c r="I188" s="19" t="str">
        <f t="array" ref="I188">IFERROR(XLOOKUP(D188,'MASTER ITEM LIST'!A:A,'MASTER ITEM LIST'!D:D), "")</f>
        <v>PC/S</v>
      </c>
      <c r="J188" s="34">
        <v>25.0</v>
      </c>
      <c r="K188" s="36">
        <f t="shared" si="1"/>
        <v>25</v>
      </c>
      <c r="L188" s="38" t="s">
        <v>42</v>
      </c>
    </row>
    <row r="189" ht="22.5" customHeight="1">
      <c r="A189" s="17">
        <v>46121.0</v>
      </c>
      <c r="B189" s="50"/>
      <c r="C189" s="20" t="s">
        <v>711</v>
      </c>
      <c r="D189" s="23" t="s">
        <v>326</v>
      </c>
      <c r="E189" s="27" t="str">
        <f t="array" ref="E189">IF(D189="", "", XLOOKUP(D189, 'MASTER ITEM LIST'!A:A, 'MASTER ITEM LIST'!B:B, ""))</f>
        <v>EAGLE SANDPAPER #1200</v>
      </c>
      <c r="F189" s="50"/>
      <c r="G189" s="30" t="s">
        <v>34</v>
      </c>
      <c r="H189" s="19">
        <v>1.0</v>
      </c>
      <c r="I189" s="19" t="str">
        <f t="array" ref="I189">IFERROR(XLOOKUP(D189,'MASTER ITEM LIST'!A:A,'MASTER ITEM LIST'!D:D), "")</f>
        <v>PC/S</v>
      </c>
      <c r="J189" s="34">
        <v>25.0</v>
      </c>
      <c r="K189" s="36">
        <f t="shared" si="1"/>
        <v>25</v>
      </c>
      <c r="L189" s="38" t="s">
        <v>42</v>
      </c>
    </row>
    <row r="190" ht="22.5" customHeight="1">
      <c r="A190" s="17">
        <v>46121.0</v>
      </c>
      <c r="B190" s="50"/>
      <c r="C190" s="20" t="s">
        <v>711</v>
      </c>
      <c r="D190" s="23" t="s">
        <v>205</v>
      </c>
      <c r="E190" s="27" t="str">
        <f t="array" ref="E190">IF(D190="", "", XLOOKUP(D190, 'MASTER ITEM LIST'!A:A, 'MASTER ITEM LIST'!B:B, ""))</f>
        <v>TIMELESS PREMIUM LIQUID WAX 5OML</v>
      </c>
      <c r="F190" s="50"/>
      <c r="G190" s="30" t="s">
        <v>34</v>
      </c>
      <c r="H190" s="19">
        <v>1.0</v>
      </c>
      <c r="I190" s="19" t="str">
        <f t="array" ref="I190">IFERROR(XLOOKUP(D190,'MASTER ITEM LIST'!A:A,'MASTER ITEM LIST'!D:D), "")</f>
        <v>PC/S</v>
      </c>
      <c r="J190" s="34">
        <v>100.0</v>
      </c>
      <c r="K190" s="36">
        <f t="shared" si="1"/>
        <v>100</v>
      </c>
      <c r="L190" s="38" t="s">
        <v>42</v>
      </c>
    </row>
    <row r="191" ht="22.5" customHeight="1">
      <c r="A191" s="17">
        <v>46122.0</v>
      </c>
      <c r="B191" s="50"/>
      <c r="C191" s="20" t="s">
        <v>711</v>
      </c>
      <c r="D191" s="23" t="s">
        <v>31</v>
      </c>
      <c r="E191" s="27" t="str">
        <f t="array" ref="E191">IF(D191="", "", XLOOKUP(D191, 'MASTER ITEM LIST'!A:A, 'MASTER ITEM LIST'!B:B, ""))</f>
        <v>EXTREME QDU MIXING 1L</v>
      </c>
      <c r="F191" s="19" t="s">
        <v>176</v>
      </c>
      <c r="G191" s="30" t="s">
        <v>34</v>
      </c>
      <c r="H191" s="19">
        <v>0.25</v>
      </c>
      <c r="I191" s="19" t="str">
        <f t="array" ref="I191">IFERROR(XLOOKUP(D191,'MASTER ITEM LIST'!A:A,'MASTER ITEM LIST'!D:D), "")</f>
        <v>LITER</v>
      </c>
      <c r="J191" s="34">
        <v>720.0</v>
      </c>
      <c r="K191" s="36">
        <f t="shared" si="1"/>
        <v>180</v>
      </c>
      <c r="L191" s="38" t="s">
        <v>42</v>
      </c>
    </row>
    <row r="192" ht="22.5" customHeight="1">
      <c r="A192" s="17">
        <v>46122.0</v>
      </c>
      <c r="B192" s="50"/>
      <c r="C192" s="20" t="s">
        <v>711</v>
      </c>
      <c r="D192" s="23" t="s">
        <v>136</v>
      </c>
      <c r="E192" s="27" t="str">
        <f t="array" ref="E192">IF(D192="", "", XLOOKUP(D192, 'MASTER ITEM LIST'!A:A, 'MASTER ITEM LIST'!B:B, ""))</f>
        <v>CROCO MASKING TAPE 3/4 18MM (1X64)</v>
      </c>
      <c r="F192" s="50"/>
      <c r="G192" s="30" t="s">
        <v>34</v>
      </c>
      <c r="H192" s="19">
        <v>10.0</v>
      </c>
      <c r="I192" s="19" t="str">
        <f t="array" ref="I192">IFERROR(XLOOKUP(D192,'MASTER ITEM LIST'!A:A,'MASTER ITEM LIST'!D:D), "")</f>
        <v>PC/S</v>
      </c>
      <c r="J192" s="34">
        <v>35.0</v>
      </c>
      <c r="K192" s="36">
        <f t="shared" si="1"/>
        <v>350</v>
      </c>
      <c r="L192" s="38" t="s">
        <v>42</v>
      </c>
    </row>
    <row r="193" ht="22.5" customHeight="1">
      <c r="A193" s="17">
        <v>46122.0</v>
      </c>
      <c r="B193" s="50"/>
      <c r="C193" s="20" t="s">
        <v>711</v>
      </c>
      <c r="D193" s="23" t="s">
        <v>134</v>
      </c>
      <c r="E193" s="27" t="str">
        <f t="array" ref="E193">IF(D193="", "", XLOOKUP(D193, 'MASTER ITEM LIST'!A:A, 'MASTER ITEM LIST'!B:B, ""))</f>
        <v>QDE MIXING NP, DAVIES, BOYSEN, ALPHA CHROMA, WC 1L</v>
      </c>
      <c r="F193" s="19" t="s">
        <v>886</v>
      </c>
      <c r="G193" s="30" t="s">
        <v>34</v>
      </c>
      <c r="H193" s="19">
        <v>0.125</v>
      </c>
      <c r="I193" s="19" t="str">
        <f t="array" ref="I193">IFERROR(XLOOKUP(D193,'MASTER ITEM LIST'!A:A,'MASTER ITEM LIST'!D:D), "")</f>
        <v>LITER</v>
      </c>
      <c r="J193" s="34">
        <v>280.0</v>
      </c>
      <c r="K193" s="36">
        <f t="shared" si="1"/>
        <v>35</v>
      </c>
      <c r="L193" s="38" t="s">
        <v>42</v>
      </c>
    </row>
    <row r="194" ht="22.5" customHeight="1">
      <c r="A194" s="17">
        <v>46122.0</v>
      </c>
      <c r="B194" s="50"/>
      <c r="C194" s="20" t="s">
        <v>711</v>
      </c>
      <c r="D194" s="23" t="s">
        <v>134</v>
      </c>
      <c r="E194" s="27" t="str">
        <f t="array" ref="E194">IF(D194="", "", XLOOKUP(D194, 'MASTER ITEM LIST'!A:A, 'MASTER ITEM LIST'!B:B, ""))</f>
        <v>QDE MIXING NP, DAVIES, BOYSEN, ALPHA CHROMA, WC 1L</v>
      </c>
      <c r="F194" s="19" t="s">
        <v>886</v>
      </c>
      <c r="G194" s="30" t="s">
        <v>34</v>
      </c>
      <c r="H194" s="19">
        <v>0.125</v>
      </c>
      <c r="I194" s="19" t="str">
        <f t="array" ref="I194">IFERROR(XLOOKUP(D194,'MASTER ITEM LIST'!A:A,'MASTER ITEM LIST'!D:D), "")</f>
        <v>LITER</v>
      </c>
      <c r="J194" s="34">
        <v>280.0</v>
      </c>
      <c r="K194" s="36">
        <f t="shared" si="1"/>
        <v>35</v>
      </c>
      <c r="L194" s="38" t="s">
        <v>42</v>
      </c>
    </row>
    <row r="195" ht="22.5" customHeight="1">
      <c r="A195" s="17">
        <v>46122.0</v>
      </c>
      <c r="B195" s="50"/>
      <c r="C195" s="20" t="s">
        <v>711</v>
      </c>
      <c r="D195" s="23" t="s">
        <v>53</v>
      </c>
      <c r="E195" s="27" t="str">
        <f t="array" ref="E195">IF(D195="", "", XLOOKUP(D195, 'MASTER ITEM LIST'!A:A, 'MASTER ITEM LIST'!B:B, ""))</f>
        <v>NAX 108 CERAMIC 2K CLEAR WITH HARDENER 1L</v>
      </c>
      <c r="F195" s="50"/>
      <c r="G195" s="30" t="s">
        <v>34</v>
      </c>
      <c r="H195" s="19">
        <v>3.0</v>
      </c>
      <c r="I195" s="19" t="str">
        <f t="array" ref="I195">IFERROR(XLOOKUP(D195,'MASTER ITEM LIST'!A:A,'MASTER ITEM LIST'!D:D), "")</f>
        <v>LITER</v>
      </c>
      <c r="J195" s="34">
        <v>680.0</v>
      </c>
      <c r="K195" s="36">
        <f t="shared" si="1"/>
        <v>2040</v>
      </c>
      <c r="L195" s="38" t="s">
        <v>42</v>
      </c>
    </row>
    <row r="196" ht="22.5" customHeight="1">
      <c r="A196" s="17">
        <v>46122.0</v>
      </c>
      <c r="B196" s="50"/>
      <c r="C196" s="20" t="s">
        <v>711</v>
      </c>
      <c r="D196" s="23" t="s">
        <v>397</v>
      </c>
      <c r="E196" s="27" t="str">
        <f t="array" ref="E196">IF(D196="", "", XLOOKUP(D196, 'MASTER ITEM LIST'!A:A, 'MASTER ITEM LIST'!B:B, ""))</f>
        <v>NIPPON HS FILLER 1L</v>
      </c>
      <c r="F196" s="50"/>
      <c r="G196" s="30" t="s">
        <v>34</v>
      </c>
      <c r="H196" s="19">
        <v>1.0</v>
      </c>
      <c r="I196" s="19" t="str">
        <f t="array" ref="I196">IFERROR(XLOOKUP(D196,'MASTER ITEM LIST'!A:A,'MASTER ITEM LIST'!D:D), "")</f>
        <v>LITER</v>
      </c>
      <c r="J196" s="34">
        <v>780.0</v>
      </c>
      <c r="K196" s="36">
        <f t="shared" si="1"/>
        <v>780</v>
      </c>
      <c r="L196" s="38" t="s">
        <v>42</v>
      </c>
    </row>
    <row r="197" ht="22.5" customHeight="1">
      <c r="A197" s="17">
        <v>46122.0</v>
      </c>
      <c r="B197" s="50"/>
      <c r="C197" s="20" t="s">
        <v>711</v>
      </c>
      <c r="D197" s="23" t="s">
        <v>57</v>
      </c>
      <c r="E197" s="27" t="str">
        <f t="array" ref="E197">IF(D197="", "", XLOOKUP(D197, 'MASTER ITEM LIST'!A:A, 'MASTER ITEM LIST'!B:B, ""))</f>
        <v>DO IT URETHANE THINNER 4L</v>
      </c>
      <c r="F197" s="50"/>
      <c r="G197" s="30" t="s">
        <v>34</v>
      </c>
      <c r="H197" s="19">
        <v>1.0</v>
      </c>
      <c r="I197" s="19" t="str">
        <f t="array" ref="I197">IFERROR(XLOOKUP(D197,'MASTER ITEM LIST'!A:A,'MASTER ITEM LIST'!D:D), "")</f>
        <v>GAL/S</v>
      </c>
      <c r="J197" s="34">
        <v>700.0</v>
      </c>
      <c r="K197" s="36">
        <f t="shared" si="1"/>
        <v>700</v>
      </c>
      <c r="L197" s="38" t="s">
        <v>42</v>
      </c>
    </row>
    <row r="198" ht="22.5" customHeight="1">
      <c r="A198" s="17">
        <v>46122.0</v>
      </c>
      <c r="B198" s="50"/>
      <c r="C198" s="20" t="s">
        <v>711</v>
      </c>
      <c r="D198" s="23" t="s">
        <v>45</v>
      </c>
      <c r="E198" s="27" t="str">
        <f t="array" ref="E198">IF(D198="", "", XLOOKUP(D198, 'MASTER ITEM LIST'!A:A, 'MASTER ITEM LIST'!B:B, ""))</f>
        <v>POLYGLOSS PU JET BLACK 4L</v>
      </c>
      <c r="F198" s="19" t="s">
        <v>48</v>
      </c>
      <c r="G198" s="30" t="s">
        <v>34</v>
      </c>
      <c r="H198" s="19">
        <v>0.0625</v>
      </c>
      <c r="I198" s="19" t="str">
        <f t="array" ref="I198">IFERROR(XLOOKUP(D198,'MASTER ITEM LIST'!A:A,'MASTER ITEM LIST'!D:D), "")</f>
        <v>GALON</v>
      </c>
      <c r="J198" s="34">
        <v>3040.0</v>
      </c>
      <c r="K198" s="36">
        <f t="shared" si="1"/>
        <v>190</v>
      </c>
      <c r="L198" s="38" t="s">
        <v>42</v>
      </c>
    </row>
    <row r="199" ht="22.5" customHeight="1">
      <c r="A199" s="17">
        <v>46122.0</v>
      </c>
      <c r="B199" s="50"/>
      <c r="C199" s="20" t="s">
        <v>711</v>
      </c>
      <c r="D199" s="23" t="s">
        <v>64</v>
      </c>
      <c r="E199" s="27" t="str">
        <f t="array" ref="E199">IF(D199="", "", XLOOKUP(D199, 'MASTER ITEM LIST'!A:A, 'MASTER ITEM LIST'!B:B, ""))</f>
        <v>POLYGLOSS PU FLAT BLACK 4L</v>
      </c>
      <c r="F199" s="19" t="s">
        <v>48</v>
      </c>
      <c r="G199" s="30" t="s">
        <v>34</v>
      </c>
      <c r="H199" s="19">
        <v>0.03125</v>
      </c>
      <c r="I199" s="19" t="str">
        <f t="array" ref="I199">IFERROR(XLOOKUP(D199,'MASTER ITEM LIST'!A:A,'MASTER ITEM LIST'!D:D), "")</f>
        <v>GALON</v>
      </c>
      <c r="J199" s="34">
        <v>2880.0</v>
      </c>
      <c r="K199" s="36">
        <f t="shared" si="1"/>
        <v>90</v>
      </c>
      <c r="L199" s="38" t="s">
        <v>42</v>
      </c>
    </row>
    <row r="200" ht="22.5" customHeight="1">
      <c r="A200" s="17">
        <v>46122.0</v>
      </c>
      <c r="B200" s="50"/>
      <c r="C200" s="20" t="s">
        <v>711</v>
      </c>
      <c r="D200" s="23" t="s">
        <v>241</v>
      </c>
      <c r="E200" s="27" t="str">
        <f t="array" ref="E200">IF(D200="", "", XLOOKUP(D200, 'MASTER ITEM LIST'!A:A, 'MASTER ITEM LIST'!B:B, ""))</f>
        <v>POLYGLOSS PU WHITE 4L</v>
      </c>
      <c r="F200" s="19" t="s">
        <v>48</v>
      </c>
      <c r="G200" s="30" t="s">
        <v>34</v>
      </c>
      <c r="H200" s="19">
        <v>0.03125</v>
      </c>
      <c r="I200" s="19" t="str">
        <f t="array" ref="I200">IFERROR(XLOOKUP(D200,'MASTER ITEM LIST'!A:A,'MASTER ITEM LIST'!D:D), "")</f>
        <v>GALON</v>
      </c>
      <c r="J200" s="34">
        <v>2880.0</v>
      </c>
      <c r="K200" s="36">
        <f t="shared" si="1"/>
        <v>90</v>
      </c>
      <c r="L200" s="38" t="s">
        <v>42</v>
      </c>
    </row>
    <row r="201" ht="22.5" customHeight="1">
      <c r="A201" s="17">
        <v>46122.0</v>
      </c>
      <c r="B201" s="50"/>
      <c r="C201" s="20" t="s">
        <v>711</v>
      </c>
      <c r="D201" s="23" t="s">
        <v>108</v>
      </c>
      <c r="E201" s="27" t="str">
        <f t="array" ref="E201">IF(D201="", "", XLOOKUP(D201, 'MASTER ITEM LIST'!A:A, 'MASTER ITEM LIST'!B:B, ""))</f>
        <v>URETHANE MIXING POLYGLOSS, DO IT 1L</v>
      </c>
      <c r="F201" s="19" t="s">
        <v>901</v>
      </c>
      <c r="G201" s="30" t="s">
        <v>34</v>
      </c>
      <c r="H201" s="19">
        <v>0.25</v>
      </c>
      <c r="I201" s="19" t="str">
        <f t="array" ref="I201">IFERROR(XLOOKUP(D201,'MASTER ITEM LIST'!A:A,'MASTER ITEM LIST'!D:D), "")</f>
        <v>LITER</v>
      </c>
      <c r="J201" s="34">
        <v>900.0</v>
      </c>
      <c r="K201" s="36">
        <f t="shared" si="1"/>
        <v>225</v>
      </c>
      <c r="L201" s="38" t="s">
        <v>42</v>
      </c>
    </row>
    <row r="202" ht="22.5" customHeight="1">
      <c r="A202" s="17">
        <v>46122.0</v>
      </c>
      <c r="B202" s="50"/>
      <c r="C202" s="20" t="s">
        <v>711</v>
      </c>
      <c r="D202" s="23" t="s">
        <v>167</v>
      </c>
      <c r="E202" s="27" t="str">
        <f t="array" ref="E202">IF(D202="", "", XLOOKUP(D202, 'MASTER ITEM LIST'!A:A, 'MASTER ITEM LIST'!B:B, ""))</f>
        <v>NAX QDU MIX 1L</v>
      </c>
      <c r="F202" s="19" t="s">
        <v>904</v>
      </c>
      <c r="G202" s="30" t="s">
        <v>34</v>
      </c>
      <c r="H202" s="19">
        <v>0.125</v>
      </c>
      <c r="I202" s="19" t="str">
        <f t="array" ref="I202">IFERROR(XLOOKUP(D202,'MASTER ITEM LIST'!A:A,'MASTER ITEM LIST'!D:D), "")</f>
        <v>LITER</v>
      </c>
      <c r="J202" s="34">
        <v>1440.0</v>
      </c>
      <c r="K202" s="36">
        <f t="shared" si="1"/>
        <v>180</v>
      </c>
      <c r="L202" s="38" t="s">
        <v>42</v>
      </c>
    </row>
    <row r="203" ht="22.5" customHeight="1">
      <c r="A203" s="17">
        <v>46122.0</v>
      </c>
      <c r="B203" s="50"/>
      <c r="C203" s="20" t="s">
        <v>711</v>
      </c>
      <c r="D203" s="23" t="s">
        <v>554</v>
      </c>
      <c r="E203" s="27" t="str">
        <f t="array" ref="E203">IF(D203="", "", XLOOKUP(D203, 'MASTER ITEM LIST'!A:A, 'MASTER ITEM LIST'!B:B, ""))</f>
        <v>EAGLE SANDPAPER #400</v>
      </c>
      <c r="F203" s="50"/>
      <c r="G203" s="30" t="s">
        <v>34</v>
      </c>
      <c r="H203" s="19">
        <v>2.0</v>
      </c>
      <c r="I203" s="19" t="str">
        <f t="array" ref="I203">IFERROR(XLOOKUP(D203,'MASTER ITEM LIST'!A:A,'MASTER ITEM LIST'!D:D), "")</f>
        <v>PC/S</v>
      </c>
      <c r="J203" s="34">
        <v>25.0</v>
      </c>
      <c r="K203" s="36">
        <f t="shared" si="1"/>
        <v>50</v>
      </c>
      <c r="L203" s="38" t="s">
        <v>42</v>
      </c>
    </row>
    <row r="204" ht="22.5" customHeight="1">
      <c r="A204" s="17">
        <v>46122.0</v>
      </c>
      <c r="B204" s="50"/>
      <c r="C204" s="20" t="s">
        <v>711</v>
      </c>
      <c r="D204" s="23" t="s">
        <v>567</v>
      </c>
      <c r="E204" s="27" t="str">
        <f t="array" ref="E204">IF(D204="", "", XLOOKUP(D204, 'MASTER ITEM LIST'!A:A, 'MASTER ITEM LIST'!B:B, ""))</f>
        <v>EAGLE SANDPAPER #800</v>
      </c>
      <c r="F204" s="50"/>
      <c r="G204" s="30" t="s">
        <v>34</v>
      </c>
      <c r="H204" s="19">
        <v>1.0</v>
      </c>
      <c r="I204" s="19" t="str">
        <f t="array" ref="I204">IFERROR(XLOOKUP(D204,'MASTER ITEM LIST'!A:A,'MASTER ITEM LIST'!D:D), "")</f>
        <v>PC/S</v>
      </c>
      <c r="J204" s="34">
        <v>25.0</v>
      </c>
      <c r="K204" s="36">
        <f t="shared" si="1"/>
        <v>25</v>
      </c>
      <c r="L204" s="38" t="s">
        <v>42</v>
      </c>
    </row>
    <row r="205" ht="22.5" customHeight="1">
      <c r="A205" s="17">
        <v>46122.0</v>
      </c>
      <c r="B205" s="50"/>
      <c r="C205" s="20" t="s">
        <v>711</v>
      </c>
      <c r="D205" s="23" t="s">
        <v>79</v>
      </c>
      <c r="E205" s="27" t="str">
        <f t="array" ref="E205">IF(D205="", "", XLOOKUP(D205, 'MASTER ITEM LIST'!A:A, 'MASTER ITEM LIST'!B:B, ""))</f>
        <v>CROCO MASKING TAPE 1/2 12MM (1X96)</v>
      </c>
      <c r="F205" s="50"/>
      <c r="G205" s="30" t="s">
        <v>34</v>
      </c>
      <c r="H205" s="19">
        <v>1.0</v>
      </c>
      <c r="I205" s="19" t="str">
        <f t="array" ref="I205">IFERROR(XLOOKUP(D205,'MASTER ITEM LIST'!A:A,'MASTER ITEM LIST'!D:D), "")</f>
        <v>PC/S</v>
      </c>
      <c r="J205" s="34">
        <v>25.0</v>
      </c>
      <c r="K205" s="36">
        <f t="shared" si="1"/>
        <v>25</v>
      </c>
      <c r="L205" s="38" t="s">
        <v>42</v>
      </c>
    </row>
    <row r="206" ht="22.5" customHeight="1">
      <c r="A206" s="17">
        <v>46122.0</v>
      </c>
      <c r="B206" s="50"/>
      <c r="C206" s="20" t="s">
        <v>711</v>
      </c>
      <c r="D206" s="23" t="s">
        <v>220</v>
      </c>
      <c r="E206" s="27" t="str">
        <f t="array" ref="E206">IF(D206="", "", XLOOKUP(D206, 'MASTER ITEM LIST'!A:A, 'MASTER ITEM LIST'!B:B, ""))</f>
        <v>PREMILA MIXING 1L</v>
      </c>
      <c r="F206" s="19" t="s">
        <v>912</v>
      </c>
      <c r="G206" s="30" t="s">
        <v>34</v>
      </c>
      <c r="H206" s="19">
        <v>0.25</v>
      </c>
      <c r="I206" s="19" t="str">
        <f t="array" ref="I206">IFERROR(XLOOKUP(D206,'MASTER ITEM LIST'!A:A,'MASTER ITEM LIST'!D:D), "")</f>
        <v>LITER</v>
      </c>
      <c r="J206" s="34">
        <v>2800.0</v>
      </c>
      <c r="K206" s="36">
        <f t="shared" si="1"/>
        <v>700</v>
      </c>
      <c r="L206" s="38" t="s">
        <v>42</v>
      </c>
    </row>
    <row r="207" ht="22.5" customHeight="1">
      <c r="A207" s="17">
        <v>46122.0</v>
      </c>
      <c r="B207" s="50"/>
      <c r="C207" s="20" t="s">
        <v>711</v>
      </c>
      <c r="D207" s="23" t="s">
        <v>253</v>
      </c>
      <c r="E207" s="27" t="str">
        <f t="array" ref="E207">IF(D207="", "", XLOOKUP(D207, 'MASTER ITEM LIST'!A:A, 'MASTER ITEM LIST'!B:B, ""))</f>
        <v>ROBERLO RUBBING COMPOUND 1KG</v>
      </c>
      <c r="F207" s="50"/>
      <c r="G207" s="30" t="s">
        <v>34</v>
      </c>
      <c r="H207" s="19">
        <v>1.0</v>
      </c>
      <c r="I207" s="19" t="str">
        <f t="array" ref="I207">IFERROR(XLOOKUP(D207,'MASTER ITEM LIST'!A:A,'MASTER ITEM LIST'!D:D), "")</f>
        <v>KG</v>
      </c>
      <c r="J207" s="34">
        <v>1000.0</v>
      </c>
      <c r="K207" s="36">
        <f t="shared" si="1"/>
        <v>1000</v>
      </c>
      <c r="L207" s="38" t="s">
        <v>42</v>
      </c>
    </row>
    <row r="208" ht="22.5" customHeight="1">
      <c r="A208" s="17">
        <v>46122.0</v>
      </c>
      <c r="B208" s="50"/>
      <c r="C208" s="20" t="s">
        <v>711</v>
      </c>
      <c r="D208" s="23" t="s">
        <v>384</v>
      </c>
      <c r="E208" s="27" t="str">
        <f t="array" ref="E208">IF(D208="", "", XLOOKUP(D208, 'MASTER ITEM LIST'!A:A, 'MASTER ITEM LIST'!B:B, ""))</f>
        <v>PAINT BRUSH 2B #1</v>
      </c>
      <c r="F208" s="50"/>
      <c r="G208" s="30" t="s">
        <v>34</v>
      </c>
      <c r="H208" s="19">
        <v>1.0</v>
      </c>
      <c r="I208" s="19" t="str">
        <f t="array" ref="I208">IFERROR(XLOOKUP(D208,'MASTER ITEM LIST'!A:A,'MASTER ITEM LIST'!D:D), "")</f>
        <v>PC/S</v>
      </c>
      <c r="J208" s="34">
        <v>25.0</v>
      </c>
      <c r="K208" s="36">
        <f t="shared" si="1"/>
        <v>25</v>
      </c>
      <c r="L208" s="38" t="s">
        <v>42</v>
      </c>
    </row>
    <row r="209" ht="22.5" customHeight="1">
      <c r="A209" s="17">
        <v>46122.0</v>
      </c>
      <c r="B209" s="50"/>
      <c r="C209" s="20" t="s">
        <v>711</v>
      </c>
      <c r="D209" s="23" t="s">
        <v>40</v>
      </c>
      <c r="E209" s="27" t="str">
        <f t="array" ref="E209">IF(D209="", "", XLOOKUP(D209, 'MASTER ITEM LIST'!A:A, 'MASTER ITEM LIST'!B:B, ""))</f>
        <v>2B PAINT BRUSH #2</v>
      </c>
      <c r="F209" s="50"/>
      <c r="G209" s="30" t="s">
        <v>34</v>
      </c>
      <c r="H209" s="19">
        <v>1.0</v>
      </c>
      <c r="I209" s="19" t="str">
        <f t="array" ref="I209">IFERROR(XLOOKUP(D209,'MASTER ITEM LIST'!A:A,'MASTER ITEM LIST'!D:D), "")</f>
        <v>PC/S</v>
      </c>
      <c r="J209" s="34">
        <v>50.0</v>
      </c>
      <c r="K209" s="36">
        <f t="shared" si="1"/>
        <v>50</v>
      </c>
      <c r="L209" s="38" t="s">
        <v>42</v>
      </c>
    </row>
    <row r="210" ht="22.5" customHeight="1">
      <c r="A210" s="17">
        <v>46122.0</v>
      </c>
      <c r="B210" s="50"/>
      <c r="C210" s="20" t="s">
        <v>711</v>
      </c>
      <c r="D210" s="23" t="s">
        <v>397</v>
      </c>
      <c r="E210" s="27" t="str">
        <f t="array" ref="E210">IF(D210="", "", XLOOKUP(D210, 'MASTER ITEM LIST'!A:A, 'MASTER ITEM LIST'!B:B, ""))</f>
        <v>NIPPON HS FILLER 1L</v>
      </c>
      <c r="F210" s="50"/>
      <c r="G210" s="30" t="s">
        <v>34</v>
      </c>
      <c r="H210" s="19">
        <v>1.0</v>
      </c>
      <c r="I210" s="19" t="str">
        <f t="array" ref="I210">IFERROR(XLOOKUP(D210,'MASTER ITEM LIST'!A:A,'MASTER ITEM LIST'!D:D), "")</f>
        <v>LITER</v>
      </c>
      <c r="J210" s="34">
        <v>800.0</v>
      </c>
      <c r="K210" s="36">
        <f t="shared" si="1"/>
        <v>800</v>
      </c>
      <c r="L210" s="38" t="s">
        <v>42</v>
      </c>
    </row>
    <row r="211" ht="22.5" customHeight="1">
      <c r="A211" s="17">
        <v>46123.0</v>
      </c>
      <c r="B211" s="50"/>
      <c r="C211" s="20" t="s">
        <v>711</v>
      </c>
      <c r="D211" s="23" t="s">
        <v>53</v>
      </c>
      <c r="E211" s="27" t="str">
        <f t="array" ref="E211">IF(D211="", "", XLOOKUP(D211, 'MASTER ITEM LIST'!A:A, 'MASTER ITEM LIST'!B:B, ""))</f>
        <v>NAX 108 CERAMIC 2K CLEAR WITH HARDENER 1L</v>
      </c>
      <c r="F211" s="50"/>
      <c r="G211" s="30" t="s">
        <v>34</v>
      </c>
      <c r="H211" s="19">
        <v>3.0</v>
      </c>
      <c r="I211" s="19" t="str">
        <f t="array" ref="I211">IFERROR(XLOOKUP(D211,'MASTER ITEM LIST'!A:A,'MASTER ITEM LIST'!D:D), "")</f>
        <v>LITER</v>
      </c>
      <c r="J211" s="34">
        <v>680.0</v>
      </c>
      <c r="K211" s="36">
        <f t="shared" si="1"/>
        <v>2040</v>
      </c>
      <c r="L211" s="38" t="s">
        <v>42</v>
      </c>
    </row>
    <row r="212" ht="22.5" customHeight="1">
      <c r="A212" s="17">
        <v>46123.0</v>
      </c>
      <c r="B212" s="50"/>
      <c r="C212" s="20" t="s">
        <v>711</v>
      </c>
      <c r="D212" s="23" t="s">
        <v>45</v>
      </c>
      <c r="E212" s="27" t="str">
        <f t="array" ref="E212">IF(D212="", "", XLOOKUP(D212, 'MASTER ITEM LIST'!A:A, 'MASTER ITEM LIST'!B:B, ""))</f>
        <v>POLYGLOSS PU JET BLACK 4L</v>
      </c>
      <c r="F212" s="19" t="s">
        <v>48</v>
      </c>
      <c r="G212" s="30" t="s">
        <v>34</v>
      </c>
      <c r="H212" s="19">
        <v>0.375</v>
      </c>
      <c r="I212" s="19" t="str">
        <f t="array" ref="I212">IFERROR(XLOOKUP(D212,'MASTER ITEM LIST'!A:A,'MASTER ITEM LIST'!D:D), "")</f>
        <v>GALON</v>
      </c>
      <c r="J212" s="34">
        <v>3200.0</v>
      </c>
      <c r="K212" s="36">
        <f t="shared" si="1"/>
        <v>1200</v>
      </c>
      <c r="L212" s="38" t="s">
        <v>42</v>
      </c>
    </row>
    <row r="213" ht="22.5" customHeight="1">
      <c r="A213" s="17">
        <v>46123.0</v>
      </c>
      <c r="B213" s="50"/>
      <c r="C213" s="20" t="s">
        <v>711</v>
      </c>
      <c r="D213" s="23" t="s">
        <v>31</v>
      </c>
      <c r="E213" s="27" t="str">
        <f t="array" ref="E213">IF(D213="", "", XLOOKUP(D213, 'MASTER ITEM LIST'!A:A, 'MASTER ITEM LIST'!B:B, ""))</f>
        <v>EXTREME QDU MIXING 1L</v>
      </c>
      <c r="F213" s="19" t="s">
        <v>181</v>
      </c>
      <c r="G213" s="30" t="s">
        <v>34</v>
      </c>
      <c r="H213" s="19">
        <v>2.0</v>
      </c>
      <c r="I213" s="19" t="str">
        <f t="array" ref="I213">IFERROR(XLOOKUP(D213,'MASTER ITEM LIST'!A:A,'MASTER ITEM LIST'!D:D), "")</f>
        <v>LITER</v>
      </c>
      <c r="J213" s="34">
        <v>700.0</v>
      </c>
      <c r="K213" s="36">
        <f t="shared" si="1"/>
        <v>1400</v>
      </c>
      <c r="L213" s="38" t="s">
        <v>42</v>
      </c>
    </row>
    <row r="214" ht="22.5" customHeight="1">
      <c r="A214" s="17">
        <v>46123.0</v>
      </c>
      <c r="B214" s="50"/>
      <c r="C214" s="20" t="s">
        <v>711</v>
      </c>
      <c r="D214" s="23" t="s">
        <v>112</v>
      </c>
      <c r="E214" s="27" t="str">
        <f t="array" ref="E214">IF(D214="", "", XLOOKUP(D214, 'MASTER ITEM LIST'!A:A, 'MASTER ITEM LIST'!B:B, ""))</f>
        <v>2B PAINT ROLLER #7</v>
      </c>
      <c r="F214" s="50"/>
      <c r="G214" s="30" t="s">
        <v>34</v>
      </c>
      <c r="H214" s="19">
        <v>1.0</v>
      </c>
      <c r="I214" s="19" t="str">
        <f t="array" ref="I214">IFERROR(XLOOKUP(D214,'MASTER ITEM LIST'!A:A,'MASTER ITEM LIST'!D:D), "")</f>
        <v>PC/S</v>
      </c>
      <c r="J214" s="34">
        <v>85.0</v>
      </c>
      <c r="K214" s="36">
        <f t="shared" si="1"/>
        <v>85</v>
      </c>
      <c r="L214" s="38" t="s">
        <v>42</v>
      </c>
    </row>
    <row r="215" ht="22.5" customHeight="1">
      <c r="A215" s="17">
        <v>46123.0</v>
      </c>
      <c r="B215" s="50"/>
      <c r="C215" s="20" t="s">
        <v>711</v>
      </c>
      <c r="D215" s="23" t="s">
        <v>384</v>
      </c>
      <c r="E215" s="27" t="str">
        <f t="array" ref="E215">IF(D215="", "", XLOOKUP(D215, 'MASTER ITEM LIST'!A:A, 'MASTER ITEM LIST'!B:B, ""))</f>
        <v>PAINT BRUSH 2B #1</v>
      </c>
      <c r="F215" s="50"/>
      <c r="G215" s="30" t="s">
        <v>34</v>
      </c>
      <c r="H215" s="19">
        <v>1.0</v>
      </c>
      <c r="I215" s="19" t="str">
        <f t="array" ref="I215">IFERROR(XLOOKUP(D215,'MASTER ITEM LIST'!A:A,'MASTER ITEM LIST'!D:D), "")</f>
        <v>PC/S</v>
      </c>
      <c r="J215" s="34">
        <v>25.0</v>
      </c>
      <c r="K215" s="36">
        <f t="shared" si="1"/>
        <v>25</v>
      </c>
      <c r="L215" s="38" t="s">
        <v>42</v>
      </c>
    </row>
    <row r="216" ht="22.5" customHeight="1">
      <c r="A216" s="17">
        <v>46125.0</v>
      </c>
      <c r="B216" s="50"/>
      <c r="C216" s="20" t="s">
        <v>711</v>
      </c>
      <c r="D216" s="23" t="s">
        <v>563</v>
      </c>
      <c r="E216" s="27" t="str">
        <f t="array" ref="E216">IF(D216="", "", XLOOKUP(D216, 'MASTER ITEM LIST'!A:A, 'MASTER ITEM LIST'!B:B, ""))</f>
        <v>NIPPON EXTREME QDU WHITE 4L</v>
      </c>
      <c r="F216" s="19" t="s">
        <v>48</v>
      </c>
      <c r="G216" s="30" t="s">
        <v>34</v>
      </c>
      <c r="H216" s="19">
        <v>0.75</v>
      </c>
      <c r="I216" s="19" t="str">
        <f t="array" ref="I216">IFERROR(XLOOKUP(D216,'MASTER ITEM LIST'!A:A,'MASTER ITEM LIST'!D:D), "")</f>
        <v>GAL</v>
      </c>
      <c r="J216" s="34">
        <v>2600.0</v>
      </c>
      <c r="K216" s="36">
        <f t="shared" si="1"/>
        <v>1950</v>
      </c>
      <c r="L216" s="38" t="s">
        <v>42</v>
      </c>
    </row>
    <row r="217" ht="22.5" customHeight="1">
      <c r="A217" s="17">
        <v>46125.0</v>
      </c>
      <c r="B217" s="50"/>
      <c r="C217" s="20" t="s">
        <v>711</v>
      </c>
      <c r="D217" s="23" t="s">
        <v>31</v>
      </c>
      <c r="E217" s="27" t="str">
        <f t="array" ref="E217">IF(D217="", "", XLOOKUP(D217, 'MASTER ITEM LIST'!A:A, 'MASTER ITEM LIST'!B:B, ""))</f>
        <v>EXTREME QDU MIXING 1L</v>
      </c>
      <c r="F217" s="19" t="s">
        <v>760</v>
      </c>
      <c r="G217" s="30" t="s">
        <v>34</v>
      </c>
      <c r="H217" s="19">
        <v>2.0</v>
      </c>
      <c r="I217" s="19" t="str">
        <f t="array" ref="I217">IFERROR(XLOOKUP(D217,'MASTER ITEM LIST'!A:A,'MASTER ITEM LIST'!D:D), "")</f>
        <v>LITER</v>
      </c>
      <c r="J217" s="34">
        <v>800.0</v>
      </c>
      <c r="K217" s="36">
        <f t="shared" si="1"/>
        <v>1600</v>
      </c>
      <c r="L217" s="38" t="s">
        <v>42</v>
      </c>
    </row>
    <row r="218" ht="22.5" customHeight="1">
      <c r="A218" s="17">
        <v>46125.0</v>
      </c>
      <c r="B218" s="50"/>
      <c r="C218" s="20" t="s">
        <v>711</v>
      </c>
      <c r="D218" s="23" t="s">
        <v>57</v>
      </c>
      <c r="E218" s="27" t="str">
        <f t="array" ref="E218">IF(D218="", "", XLOOKUP(D218, 'MASTER ITEM LIST'!A:A, 'MASTER ITEM LIST'!B:B, ""))</f>
        <v>DO IT URETHANE THINNER 4L</v>
      </c>
      <c r="F218" s="50"/>
      <c r="G218" s="30" t="s">
        <v>34</v>
      </c>
      <c r="H218" s="19">
        <v>1.0</v>
      </c>
      <c r="I218" s="19" t="str">
        <f t="array" ref="I218">IFERROR(XLOOKUP(D218,'MASTER ITEM LIST'!A:A,'MASTER ITEM LIST'!D:D), "")</f>
        <v>GAL/S</v>
      </c>
      <c r="J218" s="34">
        <v>700.0</v>
      </c>
      <c r="K218" s="36">
        <f t="shared" si="1"/>
        <v>700</v>
      </c>
      <c r="L218" s="38" t="s">
        <v>42</v>
      </c>
    </row>
    <row r="219" ht="22.5" customHeight="1">
      <c r="A219" s="17">
        <v>46125.0</v>
      </c>
      <c r="B219" s="50"/>
      <c r="C219" s="20" t="s">
        <v>711</v>
      </c>
      <c r="D219" s="23" t="s">
        <v>167</v>
      </c>
      <c r="E219" s="27" t="str">
        <f t="array" ref="E219">IF(D219="", "", XLOOKUP(D219, 'MASTER ITEM LIST'!A:A, 'MASTER ITEM LIST'!B:B, ""))</f>
        <v>NAX QDU MIX 1L</v>
      </c>
      <c r="F219" s="19" t="s">
        <v>938</v>
      </c>
      <c r="G219" s="30" t="s">
        <v>34</v>
      </c>
      <c r="H219" s="19">
        <v>0.125</v>
      </c>
      <c r="I219" s="19" t="str">
        <f t="array" ref="I219">IFERROR(XLOOKUP(D219,'MASTER ITEM LIST'!A:A,'MASTER ITEM LIST'!D:D), "")</f>
        <v>LITER</v>
      </c>
      <c r="J219" s="34">
        <v>1600.0</v>
      </c>
      <c r="K219" s="36">
        <f t="shared" si="1"/>
        <v>200</v>
      </c>
      <c r="L219" s="38" t="s">
        <v>42</v>
      </c>
    </row>
    <row r="220" ht="22.5" customHeight="1">
      <c r="A220" s="17">
        <v>46125.0</v>
      </c>
      <c r="B220" s="50"/>
      <c r="C220" s="20" t="s">
        <v>711</v>
      </c>
      <c r="D220" s="23" t="s">
        <v>220</v>
      </c>
      <c r="E220" s="27" t="str">
        <f t="array" ref="E220">IF(D220="", "", XLOOKUP(D220, 'MASTER ITEM LIST'!A:A, 'MASTER ITEM LIST'!B:B, ""))</f>
        <v>PREMILA MIXING 1L</v>
      </c>
      <c r="F220" s="19" t="s">
        <v>940</v>
      </c>
      <c r="G220" s="30" t="s">
        <v>34</v>
      </c>
      <c r="H220" s="19">
        <v>0.1</v>
      </c>
      <c r="I220" s="19" t="str">
        <f t="array" ref="I220">IFERROR(XLOOKUP(D220,'MASTER ITEM LIST'!A:A,'MASTER ITEM LIST'!D:D), "")</f>
        <v>LITER</v>
      </c>
      <c r="J220" s="34">
        <v>2400.0</v>
      </c>
      <c r="K220" s="36">
        <f t="shared" si="1"/>
        <v>240</v>
      </c>
      <c r="L220" s="38" t="s">
        <v>42</v>
      </c>
    </row>
    <row r="221" ht="22.5" customHeight="1">
      <c r="A221" s="17">
        <v>46125.0</v>
      </c>
      <c r="B221" s="50"/>
      <c r="C221" s="20" t="s">
        <v>711</v>
      </c>
      <c r="D221" s="23" t="s">
        <v>567</v>
      </c>
      <c r="E221" s="27" t="str">
        <f t="array" ref="E221">IF(D221="", "", XLOOKUP(D221, 'MASTER ITEM LIST'!A:A, 'MASTER ITEM LIST'!B:B, ""))</f>
        <v>EAGLE SANDPAPER #800</v>
      </c>
      <c r="F221" s="50"/>
      <c r="G221" s="30" t="s">
        <v>34</v>
      </c>
      <c r="H221" s="19">
        <v>1.0</v>
      </c>
      <c r="I221" s="19" t="str">
        <f t="array" ref="I221">IFERROR(XLOOKUP(D221,'MASTER ITEM LIST'!A:A,'MASTER ITEM LIST'!D:D), "")</f>
        <v>PC/S</v>
      </c>
      <c r="J221" s="34">
        <v>25.0</v>
      </c>
      <c r="K221" s="36">
        <f t="shared" si="1"/>
        <v>25</v>
      </c>
      <c r="L221" s="38" t="s">
        <v>42</v>
      </c>
    </row>
    <row r="222" ht="22.5" customHeight="1">
      <c r="A222" s="17">
        <v>46125.0</v>
      </c>
      <c r="B222" s="50"/>
      <c r="C222" s="20" t="s">
        <v>711</v>
      </c>
      <c r="D222" s="23" t="s">
        <v>53</v>
      </c>
      <c r="E222" s="27" t="str">
        <f t="array" ref="E222">IF(D222="", "", XLOOKUP(D222, 'MASTER ITEM LIST'!A:A, 'MASTER ITEM LIST'!B:B, ""))</f>
        <v>NAX 108 CERAMIC 2K CLEAR WITH HARDENER 1L</v>
      </c>
      <c r="F222" s="50"/>
      <c r="G222" s="30" t="s">
        <v>34</v>
      </c>
      <c r="H222" s="19">
        <v>1.0</v>
      </c>
      <c r="I222" s="19" t="str">
        <f t="array" ref="I222">IFERROR(XLOOKUP(D222,'MASTER ITEM LIST'!A:A,'MASTER ITEM LIST'!D:D), "")</f>
        <v>LITER</v>
      </c>
      <c r="J222" s="34">
        <v>680.0</v>
      </c>
      <c r="K222" s="36">
        <f t="shared" si="1"/>
        <v>680</v>
      </c>
      <c r="L222" s="38" t="s">
        <v>42</v>
      </c>
    </row>
    <row r="223" ht="22.5" customHeight="1">
      <c r="A223" s="17">
        <v>46125.0</v>
      </c>
      <c r="B223" s="50"/>
      <c r="C223" s="20" t="s">
        <v>711</v>
      </c>
      <c r="D223" s="23" t="s">
        <v>233</v>
      </c>
      <c r="E223" s="27" t="str">
        <f t="array" ref="E223">IF(D223="", "", XLOOKUP(D223, 'MASTER ITEM LIST'!A:A, 'MASTER ITEM LIST'!B:B, ""))</f>
        <v>NAX ALPHA HB SPRAY FILLER GRAY WITH HARDENER 1L</v>
      </c>
      <c r="F223" s="50"/>
      <c r="G223" s="30" t="s">
        <v>34</v>
      </c>
      <c r="H223" s="19">
        <v>1.0</v>
      </c>
      <c r="I223" s="19" t="str">
        <f t="array" ref="I223">IFERROR(XLOOKUP(D223,'MASTER ITEM LIST'!A:A,'MASTER ITEM LIST'!D:D), "")</f>
        <v>LITER</v>
      </c>
      <c r="J223" s="34">
        <v>580.0</v>
      </c>
      <c r="K223" s="36">
        <f t="shared" si="1"/>
        <v>580</v>
      </c>
      <c r="L223" s="38" t="s">
        <v>42</v>
      </c>
    </row>
    <row r="224" ht="22.5" customHeight="1">
      <c r="A224" s="17">
        <v>46125.0</v>
      </c>
      <c r="B224" s="50"/>
      <c r="C224" s="20" t="s">
        <v>711</v>
      </c>
      <c r="D224" s="23" t="s">
        <v>136</v>
      </c>
      <c r="E224" s="27" t="str">
        <f t="array" ref="E224">IF(D224="", "", XLOOKUP(D224, 'MASTER ITEM LIST'!A:A, 'MASTER ITEM LIST'!B:B, ""))</f>
        <v>CROCO MASKING TAPE 3/4 18MM (1X64)</v>
      </c>
      <c r="F224" s="50"/>
      <c r="G224" s="30" t="s">
        <v>34</v>
      </c>
      <c r="H224" s="19">
        <v>4.0</v>
      </c>
      <c r="I224" s="19" t="str">
        <f t="array" ref="I224">IFERROR(XLOOKUP(D224,'MASTER ITEM LIST'!A:A,'MASTER ITEM LIST'!D:D), "")</f>
        <v>PC/S</v>
      </c>
      <c r="J224" s="34">
        <v>35.0</v>
      </c>
      <c r="K224" s="36">
        <f t="shared" si="1"/>
        <v>140</v>
      </c>
      <c r="L224" s="38" t="s">
        <v>42</v>
      </c>
    </row>
    <row r="225" ht="22.5" customHeight="1">
      <c r="A225" s="17">
        <v>46125.0</v>
      </c>
      <c r="B225" s="50"/>
      <c r="C225" s="20" t="s">
        <v>711</v>
      </c>
      <c r="D225" s="23" t="s">
        <v>563</v>
      </c>
      <c r="E225" s="27" t="str">
        <f t="array" ref="E225">IF(D225="", "", XLOOKUP(D225, 'MASTER ITEM LIST'!A:A, 'MASTER ITEM LIST'!B:B, ""))</f>
        <v>NIPPON EXTREME QDU WHITE 4L</v>
      </c>
      <c r="F225" s="19" t="s">
        <v>48</v>
      </c>
      <c r="G225" s="30" t="s">
        <v>34</v>
      </c>
      <c r="H225" s="19">
        <v>0.25</v>
      </c>
      <c r="I225" s="19" t="str">
        <f t="array" ref="I225">IFERROR(XLOOKUP(D225,'MASTER ITEM LIST'!A:A,'MASTER ITEM LIST'!D:D), "")</f>
        <v>GAL</v>
      </c>
      <c r="J225" s="34">
        <v>2400.0</v>
      </c>
      <c r="K225" s="36">
        <f t="shared" si="1"/>
        <v>600</v>
      </c>
      <c r="L225" s="38" t="s">
        <v>42</v>
      </c>
    </row>
    <row r="226" ht="22.5" customHeight="1">
      <c r="A226" s="17">
        <v>46126.0</v>
      </c>
      <c r="B226" s="50"/>
      <c r="C226" s="20" t="s">
        <v>711</v>
      </c>
      <c r="D226" s="23" t="s">
        <v>57</v>
      </c>
      <c r="E226" s="27" t="str">
        <f t="array" ref="E226">IF(D226="", "", XLOOKUP(D226, 'MASTER ITEM LIST'!A:A, 'MASTER ITEM LIST'!B:B, ""))</f>
        <v>DO IT URETHANE THINNER 4L</v>
      </c>
      <c r="F226" s="19" t="s">
        <v>48</v>
      </c>
      <c r="G226" s="30" t="s">
        <v>34</v>
      </c>
      <c r="H226" s="19">
        <v>0.5</v>
      </c>
      <c r="I226" s="19" t="str">
        <f t="array" ref="I226">IFERROR(XLOOKUP(D226,'MASTER ITEM LIST'!A:A,'MASTER ITEM LIST'!D:D), "")</f>
        <v>GAL/S</v>
      </c>
      <c r="J226" s="34">
        <v>720.0</v>
      </c>
      <c r="K226" s="36">
        <f t="shared" si="1"/>
        <v>360</v>
      </c>
      <c r="L226" s="38" t="s">
        <v>42</v>
      </c>
    </row>
    <row r="227" ht="22.5" customHeight="1">
      <c r="A227" s="17">
        <v>46126.0</v>
      </c>
      <c r="B227" s="50"/>
      <c r="C227" s="20" t="s">
        <v>711</v>
      </c>
      <c r="D227" s="23" t="s">
        <v>233</v>
      </c>
      <c r="E227" s="27" t="str">
        <f t="array" ref="E227">IF(D227="", "", XLOOKUP(D227, 'MASTER ITEM LIST'!A:A, 'MASTER ITEM LIST'!B:B, ""))</f>
        <v>NAX ALPHA HB SPRAY FILLER GRAY WITH HARDENER 1L</v>
      </c>
      <c r="F227" s="19" t="s">
        <v>48</v>
      </c>
      <c r="G227" s="30" t="s">
        <v>34</v>
      </c>
      <c r="H227" s="19">
        <v>0.125</v>
      </c>
      <c r="I227" s="19" t="str">
        <f t="array" ref="I227">IFERROR(XLOOKUP(D227,'MASTER ITEM LIST'!A:A,'MASTER ITEM LIST'!D:D), "")</f>
        <v>LITER</v>
      </c>
      <c r="J227" s="34">
        <v>640.0</v>
      </c>
      <c r="K227" s="36">
        <f t="shared" si="1"/>
        <v>80</v>
      </c>
      <c r="L227" s="38" t="s">
        <v>42</v>
      </c>
    </row>
    <row r="228" ht="22.5" customHeight="1">
      <c r="A228" s="17">
        <v>46126.0</v>
      </c>
      <c r="B228" s="50"/>
      <c r="C228" s="20" t="s">
        <v>711</v>
      </c>
      <c r="D228" s="23" t="s">
        <v>108</v>
      </c>
      <c r="E228" s="27" t="str">
        <f t="array" ref="E228">IF(D228="", "", XLOOKUP(D228, 'MASTER ITEM LIST'!A:A, 'MASTER ITEM LIST'!B:B, ""))</f>
        <v>URETHANE MIXING POLYGLOSS, DO IT 1L</v>
      </c>
      <c r="F228" s="19" t="s">
        <v>962</v>
      </c>
      <c r="G228" s="30" t="s">
        <v>34</v>
      </c>
      <c r="H228" s="19">
        <v>0.25</v>
      </c>
      <c r="I228" s="19" t="str">
        <f t="array" ref="I228">IFERROR(XLOOKUP(D228,'MASTER ITEM LIST'!A:A,'MASTER ITEM LIST'!D:D), "")</f>
        <v>LITER</v>
      </c>
      <c r="J228" s="34">
        <v>1040.0</v>
      </c>
      <c r="K228" s="36">
        <f t="shared" si="1"/>
        <v>260</v>
      </c>
      <c r="L228" s="38" t="s">
        <v>42</v>
      </c>
    </row>
    <row r="229" ht="22.5" customHeight="1">
      <c r="A229" s="17">
        <v>46127.0</v>
      </c>
      <c r="B229" s="50"/>
      <c r="C229" s="20" t="s">
        <v>711</v>
      </c>
      <c r="D229" s="23" t="s">
        <v>241</v>
      </c>
      <c r="E229" s="27" t="str">
        <f t="array" ref="E229">IF(D229="", "", XLOOKUP(D229, 'MASTER ITEM LIST'!A:A, 'MASTER ITEM LIST'!B:B, ""))</f>
        <v>POLYGLOSS PU WHITE 4L</v>
      </c>
      <c r="F229" s="19" t="s">
        <v>48</v>
      </c>
      <c r="G229" s="30" t="s">
        <v>34</v>
      </c>
      <c r="H229" s="19">
        <v>0.0625</v>
      </c>
      <c r="I229" s="19" t="str">
        <f t="array" ref="I229">IFERROR(XLOOKUP(D229,'MASTER ITEM LIST'!A:A,'MASTER ITEM LIST'!D:D), "")</f>
        <v>GALON</v>
      </c>
      <c r="J229" s="34">
        <v>3200.0</v>
      </c>
      <c r="K229" s="36">
        <f t="shared" si="1"/>
        <v>200</v>
      </c>
      <c r="L229" s="38" t="s">
        <v>42</v>
      </c>
    </row>
    <row r="230" ht="22.5" customHeight="1">
      <c r="A230" s="17">
        <v>46127.0</v>
      </c>
      <c r="B230" s="50"/>
      <c r="C230" s="20" t="s">
        <v>711</v>
      </c>
      <c r="D230" s="23" t="s">
        <v>57</v>
      </c>
      <c r="E230" s="27" t="str">
        <f t="array" ref="E230">IF(D230="", "", XLOOKUP(D230, 'MASTER ITEM LIST'!A:A, 'MASTER ITEM LIST'!B:B, ""))</f>
        <v>DO IT URETHANE THINNER 4L</v>
      </c>
      <c r="F230" s="50"/>
      <c r="G230" s="30" t="s">
        <v>34</v>
      </c>
      <c r="H230" s="19">
        <v>2.0</v>
      </c>
      <c r="I230" s="19" t="str">
        <f t="array" ref="I230">IFERROR(XLOOKUP(D230,'MASTER ITEM LIST'!A:A,'MASTER ITEM LIST'!D:D), "")</f>
        <v>GAL/S</v>
      </c>
      <c r="J230" s="34">
        <v>700.0</v>
      </c>
      <c r="K230" s="36">
        <f t="shared" si="1"/>
        <v>1400</v>
      </c>
      <c r="L230" s="38" t="s">
        <v>42</v>
      </c>
    </row>
    <row r="231" ht="22.5" customHeight="1">
      <c r="A231" s="17">
        <v>46127.0</v>
      </c>
      <c r="B231" s="50"/>
      <c r="C231" s="20" t="s">
        <v>711</v>
      </c>
      <c r="D231" s="23" t="s">
        <v>674</v>
      </c>
      <c r="E231" s="27" t="str">
        <f t="array" ref="E231">IF(D231="", "", XLOOKUP(D231, 'MASTER ITEM LIST'!A:A, 'MASTER ITEM LIST'!B:B, ""))</f>
        <v>DOMINO BODY FILTER WITH HARDENER 1L</v>
      </c>
      <c r="F231" s="50"/>
      <c r="G231" s="30" t="s">
        <v>34</v>
      </c>
      <c r="H231" s="19">
        <v>1.0</v>
      </c>
      <c r="I231" s="19" t="str">
        <f t="array" ref="I231">IFERROR(XLOOKUP(D231,'MASTER ITEM LIST'!A:A,'MASTER ITEM LIST'!D:D), "")</f>
        <v>LITER</v>
      </c>
      <c r="J231" s="34">
        <v>190.0</v>
      </c>
      <c r="K231" s="36">
        <f t="shared" si="1"/>
        <v>190</v>
      </c>
      <c r="L231" s="38" t="s">
        <v>42</v>
      </c>
    </row>
    <row r="232" ht="22.5" customHeight="1">
      <c r="A232" s="17">
        <v>46127.0</v>
      </c>
      <c r="B232" s="50"/>
      <c r="C232" s="20" t="s">
        <v>711</v>
      </c>
      <c r="D232" s="23" t="s">
        <v>220</v>
      </c>
      <c r="E232" s="27" t="str">
        <f t="array" ref="E232">IF(D232="", "", XLOOKUP(D232, 'MASTER ITEM LIST'!A:A, 'MASTER ITEM LIST'!B:B, ""))</f>
        <v>PREMILA MIXING 1L</v>
      </c>
      <c r="F232" s="19" t="s">
        <v>974</v>
      </c>
      <c r="G232" s="30" t="s">
        <v>34</v>
      </c>
      <c r="H232" s="19">
        <v>0.25</v>
      </c>
      <c r="I232" s="19" t="str">
        <f t="array" ref="I232">IFERROR(XLOOKUP(D232,'MASTER ITEM LIST'!A:A,'MASTER ITEM LIST'!D:D), "")</f>
        <v>LITER</v>
      </c>
      <c r="J232" s="34">
        <v>2880.0</v>
      </c>
      <c r="K232" s="36">
        <f t="shared" si="1"/>
        <v>720</v>
      </c>
      <c r="L232" s="38" t="s">
        <v>42</v>
      </c>
    </row>
    <row r="233" ht="22.5" customHeight="1">
      <c r="A233" s="17">
        <v>46128.0</v>
      </c>
      <c r="B233" s="50"/>
      <c r="C233" s="20" t="s">
        <v>711</v>
      </c>
      <c r="D233" s="23" t="s">
        <v>213</v>
      </c>
      <c r="E233" s="27" t="str">
        <f t="array" ref="E233">IF(D233="", "", XLOOKUP(D233, 'MASTER ITEM LIST'!A:A, 'MASTER ITEM LIST'!B:B, ""))</f>
        <v>NAX PREMILA NP9200 2K CLEAR WITH HARDENER 1L</v>
      </c>
      <c r="F233" s="19" t="s">
        <v>48</v>
      </c>
      <c r="G233" s="30" t="s">
        <v>34</v>
      </c>
      <c r="H233" s="19">
        <v>0.25</v>
      </c>
      <c r="I233" s="19" t="str">
        <f t="array" ref="I233">IFERROR(XLOOKUP(D233,'MASTER ITEM LIST'!A:A,'MASTER ITEM LIST'!D:D), "")</f>
        <v>LITER</v>
      </c>
      <c r="J233" s="34">
        <v>1360.0</v>
      </c>
      <c r="K233" s="36">
        <f t="shared" si="1"/>
        <v>340</v>
      </c>
      <c r="L233" s="38" t="s">
        <v>42</v>
      </c>
    </row>
    <row r="234" ht="22.5" customHeight="1">
      <c r="A234" s="17">
        <v>46128.0</v>
      </c>
      <c r="B234" s="50"/>
      <c r="C234" s="20" t="s">
        <v>711</v>
      </c>
      <c r="D234" s="23" t="s">
        <v>326</v>
      </c>
      <c r="E234" s="27" t="str">
        <f t="array" ref="E234">IF(D234="", "", XLOOKUP(D234, 'MASTER ITEM LIST'!A:A, 'MASTER ITEM LIST'!B:B, ""))</f>
        <v>EAGLE SANDPAPER #1200</v>
      </c>
      <c r="F234" s="50"/>
      <c r="G234" s="30" t="s">
        <v>34</v>
      </c>
      <c r="H234" s="19">
        <v>5.0</v>
      </c>
      <c r="I234" s="19" t="str">
        <f t="array" ref="I234">IFERROR(XLOOKUP(D234,'MASTER ITEM LIST'!A:A,'MASTER ITEM LIST'!D:D), "")</f>
        <v>PC/S</v>
      </c>
      <c r="J234" s="34">
        <v>25.0</v>
      </c>
      <c r="K234" s="36">
        <f t="shared" si="1"/>
        <v>125</v>
      </c>
      <c r="L234" s="38" t="s">
        <v>42</v>
      </c>
    </row>
    <row r="235" ht="22.5" customHeight="1">
      <c r="A235" s="17">
        <v>46130.0</v>
      </c>
      <c r="B235" s="50"/>
      <c r="C235" s="20" t="s">
        <v>711</v>
      </c>
      <c r="D235" s="23" t="s">
        <v>160</v>
      </c>
      <c r="E235" s="27" t="str">
        <f t="array" ref="E235">IF(D235="", "", XLOOKUP(D235, 'MASTER ITEM LIST'!A:A, 'MASTER ITEM LIST'!B:B, ""))</f>
        <v>NAX 141 NAX MAXIMA URETHANE FD CLEAR WITH HARDENER 1L</v>
      </c>
      <c r="F235" s="50"/>
      <c r="G235" s="30" t="s">
        <v>34</v>
      </c>
      <c r="H235" s="19">
        <v>1.0</v>
      </c>
      <c r="I235" s="19" t="str">
        <f t="array" ref="I235">IFERROR(XLOOKUP(D235,'MASTER ITEM LIST'!A:A,'MASTER ITEM LIST'!D:D), "")</f>
        <v>LITER</v>
      </c>
      <c r="J235" s="34">
        <v>580.0</v>
      </c>
      <c r="K235" s="36">
        <f t="shared" si="1"/>
        <v>580</v>
      </c>
      <c r="L235" s="38" t="s">
        <v>42</v>
      </c>
    </row>
    <row r="236" ht="22.5" customHeight="1">
      <c r="A236" s="17">
        <v>46130.0</v>
      </c>
      <c r="B236" s="50"/>
      <c r="C236" s="20" t="s">
        <v>711</v>
      </c>
      <c r="D236" s="23" t="s">
        <v>167</v>
      </c>
      <c r="E236" s="27" t="str">
        <f t="array" ref="E236">IF(D236="", "", XLOOKUP(D236, 'MASTER ITEM LIST'!A:A, 'MASTER ITEM LIST'!B:B, ""))</f>
        <v>NAX QDU MIX 1L</v>
      </c>
      <c r="F236" s="19" t="s">
        <v>991</v>
      </c>
      <c r="G236" s="30" t="s">
        <v>34</v>
      </c>
      <c r="H236" s="19">
        <v>0.25</v>
      </c>
      <c r="I236" s="19" t="str">
        <f t="array" ref="I236">IFERROR(XLOOKUP(D236,'MASTER ITEM LIST'!A:A,'MASTER ITEM LIST'!D:D), "")</f>
        <v>LITER</v>
      </c>
      <c r="J236" s="34">
        <v>1400.0</v>
      </c>
      <c r="K236" s="36">
        <f t="shared" si="1"/>
        <v>350</v>
      </c>
      <c r="L236" s="38" t="s">
        <v>42</v>
      </c>
    </row>
    <row r="237" ht="22.5" customHeight="1">
      <c r="A237" s="17">
        <v>46130.0</v>
      </c>
      <c r="B237" s="50"/>
      <c r="C237" s="20" t="s">
        <v>711</v>
      </c>
      <c r="D237" s="23" t="s">
        <v>167</v>
      </c>
      <c r="E237" s="27" t="str">
        <f t="array" ref="E237">IF(D237="", "", XLOOKUP(D237, 'MASTER ITEM LIST'!A:A, 'MASTER ITEM LIST'!B:B, ""))</f>
        <v>NAX QDU MIX 1L</v>
      </c>
      <c r="F237" s="19" t="s">
        <v>994</v>
      </c>
      <c r="G237" s="30" t="s">
        <v>34</v>
      </c>
      <c r="H237" s="19">
        <v>0.25</v>
      </c>
      <c r="I237" s="19" t="str">
        <f t="array" ref="I237">IFERROR(XLOOKUP(D237,'MASTER ITEM LIST'!A:A,'MASTER ITEM LIST'!D:D), "")</f>
        <v>LITER</v>
      </c>
      <c r="J237" s="34">
        <v>1400.0</v>
      </c>
      <c r="K237" s="36">
        <f t="shared" si="1"/>
        <v>350</v>
      </c>
      <c r="L237" s="38" t="s">
        <v>42</v>
      </c>
    </row>
    <row r="238" ht="22.5" customHeight="1">
      <c r="A238" s="17">
        <v>46130.0</v>
      </c>
      <c r="B238" s="50"/>
      <c r="C238" s="20" t="s">
        <v>711</v>
      </c>
      <c r="D238" s="23" t="s">
        <v>167</v>
      </c>
      <c r="E238" s="27" t="str">
        <f t="array" ref="E238">IF(D238="", "", XLOOKUP(D238, 'MASTER ITEM LIST'!A:A, 'MASTER ITEM LIST'!B:B, ""))</f>
        <v>NAX QDU MIX 1L</v>
      </c>
      <c r="F238" s="19" t="s">
        <v>997</v>
      </c>
      <c r="G238" s="30" t="s">
        <v>34</v>
      </c>
      <c r="H238" s="19">
        <v>0.25</v>
      </c>
      <c r="I238" s="19" t="str">
        <f t="array" ref="I238">IFERROR(XLOOKUP(D238,'MASTER ITEM LIST'!A:A,'MASTER ITEM LIST'!D:D), "")</f>
        <v>LITER</v>
      </c>
      <c r="J238" s="34">
        <v>1400.0</v>
      </c>
      <c r="K238" s="36">
        <f t="shared" si="1"/>
        <v>350</v>
      </c>
      <c r="L238" s="38" t="s">
        <v>42</v>
      </c>
    </row>
    <row r="239" ht="22.5" customHeight="1">
      <c r="A239" s="17">
        <v>46130.0</v>
      </c>
      <c r="B239" s="50"/>
      <c r="C239" s="20" t="s">
        <v>711</v>
      </c>
      <c r="D239" s="23" t="s">
        <v>253</v>
      </c>
      <c r="E239" s="27" t="str">
        <f t="array" ref="E239">IF(D239="", "", XLOOKUP(D239, 'MASTER ITEM LIST'!A:A, 'MASTER ITEM LIST'!B:B, ""))</f>
        <v>ROBERLO RUBBING COMPOUND 1KG</v>
      </c>
      <c r="F239" s="50"/>
      <c r="G239" s="30" t="s">
        <v>34</v>
      </c>
      <c r="H239" s="19">
        <v>0.5</v>
      </c>
      <c r="I239" s="19" t="str">
        <f t="array" ref="I239">IFERROR(XLOOKUP(D239,'MASTER ITEM LIST'!A:A,'MASTER ITEM LIST'!D:D), "")</f>
        <v>KG</v>
      </c>
      <c r="J239" s="34">
        <v>1000.0</v>
      </c>
      <c r="K239" s="36">
        <f t="shared" si="1"/>
        <v>500</v>
      </c>
      <c r="L239" s="38" t="s">
        <v>42</v>
      </c>
    </row>
    <row r="240" ht="22.5" customHeight="1">
      <c r="A240" s="17">
        <v>46130.0</v>
      </c>
      <c r="B240" s="50"/>
      <c r="C240" s="20" t="s">
        <v>711</v>
      </c>
      <c r="D240" s="23" t="s">
        <v>64</v>
      </c>
      <c r="E240" s="27" t="str">
        <f t="array" ref="E240">IF(D240="", "", XLOOKUP(D240, 'MASTER ITEM LIST'!A:A, 'MASTER ITEM LIST'!B:B, ""))</f>
        <v>POLYGLOSS PU FLAT BLACK 4L</v>
      </c>
      <c r="F240" s="19" t="s">
        <v>48</v>
      </c>
      <c r="G240" s="30" t="s">
        <v>34</v>
      </c>
      <c r="H240" s="19">
        <v>0.1875</v>
      </c>
      <c r="I240" s="19" t="str">
        <f t="array" ref="I240">IFERROR(XLOOKUP(D240,'MASTER ITEM LIST'!A:A,'MASTER ITEM LIST'!D:D), "")</f>
        <v>GALON</v>
      </c>
      <c r="J240" s="34">
        <v>2880.0</v>
      </c>
      <c r="K240" s="36">
        <f t="shared" si="1"/>
        <v>540</v>
      </c>
      <c r="L240" s="38" t="s">
        <v>42</v>
      </c>
    </row>
    <row r="241" ht="22.5" customHeight="1">
      <c r="A241" s="17">
        <v>46133.0</v>
      </c>
      <c r="B241" s="50"/>
      <c r="C241" s="20" t="s">
        <v>711</v>
      </c>
      <c r="D241" s="23" t="s">
        <v>46</v>
      </c>
      <c r="E241" s="27" t="str">
        <f t="array" ref="E241">IF(D241="", "", XLOOKUP(D241, 'MASTER ITEM LIST'!A:A, 'MASTER ITEM LIST'!B:B, ""))</f>
        <v>POLYGLOSS URETHANE THINNER 4L</v>
      </c>
      <c r="F241" s="50"/>
      <c r="G241" s="30" t="s">
        <v>34</v>
      </c>
      <c r="H241" s="19">
        <v>1.0</v>
      </c>
      <c r="I241" s="19" t="str">
        <f t="array" ref="I241">IFERROR(XLOOKUP(D241,'MASTER ITEM LIST'!A:A,'MASTER ITEM LIST'!D:D), "")</f>
        <v>GALON</v>
      </c>
      <c r="J241" s="34">
        <v>800.0</v>
      </c>
      <c r="K241" s="36">
        <f t="shared" si="1"/>
        <v>800</v>
      </c>
      <c r="L241" s="38" t="s">
        <v>42</v>
      </c>
    </row>
    <row r="242" ht="22.5" customHeight="1">
      <c r="A242" s="17">
        <v>46133.0</v>
      </c>
      <c r="B242" s="50"/>
      <c r="C242" s="20" t="s">
        <v>711</v>
      </c>
      <c r="D242" s="23" t="s">
        <v>136</v>
      </c>
      <c r="E242" s="27" t="str">
        <f t="array" ref="E242">IF(D242="", "", XLOOKUP(D242, 'MASTER ITEM LIST'!A:A, 'MASTER ITEM LIST'!B:B, ""))</f>
        <v>CROCO MASKING TAPE 3/4 18MM (1X64)</v>
      </c>
      <c r="F242" s="50"/>
      <c r="G242" s="30" t="s">
        <v>34</v>
      </c>
      <c r="H242" s="19">
        <v>2.0</v>
      </c>
      <c r="I242" s="19" t="str">
        <f t="array" ref="I242">IFERROR(XLOOKUP(D242,'MASTER ITEM LIST'!A:A,'MASTER ITEM LIST'!D:D), "")</f>
        <v>PC/S</v>
      </c>
      <c r="J242" s="34">
        <v>35.0</v>
      </c>
      <c r="K242" s="36">
        <f t="shared" si="1"/>
        <v>70</v>
      </c>
      <c r="L242" s="38" t="s">
        <v>42</v>
      </c>
    </row>
    <row r="243" ht="22.5" customHeight="1">
      <c r="A243" s="17">
        <v>46133.0</v>
      </c>
      <c r="B243" s="50"/>
      <c r="C243" s="20" t="s">
        <v>711</v>
      </c>
      <c r="D243" s="23" t="s">
        <v>167</v>
      </c>
      <c r="E243" s="27" t="str">
        <f t="array" ref="E243">IF(D243="", "", XLOOKUP(D243, 'MASTER ITEM LIST'!A:A, 'MASTER ITEM LIST'!B:B, ""))</f>
        <v>NAX QDU MIX 1L</v>
      </c>
      <c r="F243" s="19" t="s">
        <v>1016</v>
      </c>
      <c r="G243" s="30" t="s">
        <v>34</v>
      </c>
      <c r="H243" s="19">
        <v>0.25</v>
      </c>
      <c r="I243" s="19" t="str">
        <f t="array" ref="I243">IFERROR(XLOOKUP(D243,'MASTER ITEM LIST'!A:A,'MASTER ITEM LIST'!D:D), "")</f>
        <v>LITER</v>
      </c>
      <c r="J243" s="34">
        <v>1400.0</v>
      </c>
      <c r="K243" s="36">
        <f t="shared" si="1"/>
        <v>350</v>
      </c>
      <c r="L243" s="38" t="s">
        <v>42</v>
      </c>
    </row>
    <row r="244" ht="22.5" customHeight="1">
      <c r="A244" s="17">
        <v>46133.0</v>
      </c>
      <c r="B244" s="50"/>
      <c r="C244" s="20" t="s">
        <v>711</v>
      </c>
      <c r="D244" s="23" t="s">
        <v>330</v>
      </c>
      <c r="E244" s="27" t="str">
        <f t="array" ref="E244">IF(D244="", "", XLOOKUP(D244, 'MASTER ITEM LIST'!A:A, 'MASTER ITEM LIST'!B:B, ""))</f>
        <v>Q-SHIELD EXTRA HG-710 GLOSS WHITE 5L</v>
      </c>
      <c r="F244" s="50"/>
      <c r="G244" s="30" t="s">
        <v>34</v>
      </c>
      <c r="H244" s="19">
        <v>1.0</v>
      </c>
      <c r="I244" s="19" t="str">
        <f t="array" ref="I244">IFERROR(XLOOKUP(D244,'MASTER ITEM LIST'!A:A,'MASTER ITEM LIST'!D:D), "")</f>
        <v>GAL</v>
      </c>
      <c r="J244" s="34">
        <v>1100.0</v>
      </c>
      <c r="K244" s="36">
        <f t="shared" si="1"/>
        <v>1100</v>
      </c>
      <c r="L244" s="38" t="s">
        <v>42</v>
      </c>
    </row>
    <row r="245" ht="22.5" customHeight="1">
      <c r="A245" s="17">
        <v>46133.0</v>
      </c>
      <c r="B245" s="50"/>
      <c r="C245" s="20" t="s">
        <v>711</v>
      </c>
      <c r="D245" s="23" t="s">
        <v>1023</v>
      </c>
      <c r="E245" s="27" t="str">
        <f t="array" ref="E245">IF(D245="", "", XLOOKUP(D245, 'MASTER ITEM LIST'!A:A, 'MASTER ITEM LIST'!B:B, ""))</f>
        <v>DAVIES QDE WHITE 4L</v>
      </c>
      <c r="F245" s="19" t="s">
        <v>48</v>
      </c>
      <c r="G245" s="30" t="s">
        <v>34</v>
      </c>
      <c r="H245" s="19">
        <v>0.5</v>
      </c>
      <c r="I245" s="19" t="str">
        <f t="array" ref="I245">IFERROR(XLOOKUP(D245,'MASTER ITEM LIST'!A:A,'MASTER ITEM LIST'!D:D), "")</f>
        <v>GALON</v>
      </c>
      <c r="J245" s="34">
        <v>1100.0</v>
      </c>
      <c r="K245" s="36">
        <f t="shared" si="1"/>
        <v>550</v>
      </c>
      <c r="L245" s="38" t="s">
        <v>42</v>
      </c>
    </row>
    <row r="246" ht="22.5" customHeight="1">
      <c r="A246" s="17">
        <v>46133.0</v>
      </c>
      <c r="B246" s="50"/>
      <c r="C246" s="20" t="s">
        <v>711</v>
      </c>
      <c r="D246" s="23" t="s">
        <v>177</v>
      </c>
      <c r="E246" s="27" t="str">
        <f t="array" ref="E246">IF(D246="", "", XLOOKUP(D246, 'MASTER ITEM LIST'!A:A, 'MASTER ITEM LIST'!B:B, ""))</f>
        <v>UNO LACQUER THINNER BOT</v>
      </c>
      <c r="F246" s="50"/>
      <c r="G246" s="30" t="s">
        <v>34</v>
      </c>
      <c r="H246" s="19">
        <v>1.0</v>
      </c>
      <c r="I246" s="19" t="str">
        <f t="array" ref="I246">IFERROR(XLOOKUP(D246,'MASTER ITEM LIST'!A:A,'MASTER ITEM LIST'!D:D), "")</f>
        <v>BOT</v>
      </c>
      <c r="J246" s="34">
        <v>75.0</v>
      </c>
      <c r="K246" s="36">
        <f t="shared" si="1"/>
        <v>75</v>
      </c>
      <c r="L246" s="38" t="s">
        <v>42</v>
      </c>
    </row>
    <row r="247" ht="22.5" customHeight="1">
      <c r="A247" s="17">
        <v>46133.0</v>
      </c>
      <c r="B247" s="50"/>
      <c r="C247" s="20" t="s">
        <v>711</v>
      </c>
      <c r="D247" s="23" t="s">
        <v>1033</v>
      </c>
      <c r="E247" s="27" t="str">
        <f t="array" ref="E247">IF(D247="", "", XLOOKUP(D247, 'MASTER ITEM LIST'!A:A, 'MASTER ITEM LIST'!B:B, ""))</f>
        <v>CUMI SUPREME FLOOR SANDING 80</v>
      </c>
      <c r="F247" s="50"/>
      <c r="G247" s="30" t="s">
        <v>34</v>
      </c>
      <c r="H247" s="19">
        <v>1.0</v>
      </c>
      <c r="I247" s="19" t="str">
        <f t="array" ref="I247">IFERROR(XLOOKUP(D247,'MASTER ITEM LIST'!A:A,'MASTER ITEM LIST'!D:D), "")</f>
        <v>FT</v>
      </c>
      <c r="J247" s="34">
        <v>120.0</v>
      </c>
      <c r="K247" s="36">
        <f t="shared" si="1"/>
        <v>120</v>
      </c>
      <c r="L247" s="38" t="s">
        <v>42</v>
      </c>
    </row>
    <row r="248" ht="22.5" customHeight="1">
      <c r="A248" s="17">
        <v>46134.0</v>
      </c>
      <c r="B248" s="50"/>
      <c r="C248" s="20" t="s">
        <v>711</v>
      </c>
      <c r="D248" s="23" t="s">
        <v>46</v>
      </c>
      <c r="E248" s="27" t="str">
        <f t="array" ref="E248">IF(D248="", "", XLOOKUP(D248, 'MASTER ITEM LIST'!A:A, 'MASTER ITEM LIST'!B:B, ""))</f>
        <v>POLYGLOSS URETHANE THINNER 4L</v>
      </c>
      <c r="F248" s="50"/>
      <c r="G248" s="30" t="s">
        <v>34</v>
      </c>
      <c r="H248" s="19">
        <v>1.0</v>
      </c>
      <c r="I248" s="19" t="str">
        <f t="array" ref="I248">IFERROR(XLOOKUP(D248,'MASTER ITEM LIST'!A:A,'MASTER ITEM LIST'!D:D), "")</f>
        <v>GALON</v>
      </c>
      <c r="J248" s="34">
        <v>800.0</v>
      </c>
      <c r="K248" s="36">
        <f t="shared" si="1"/>
        <v>800</v>
      </c>
      <c r="L248" s="38" t="s">
        <v>42</v>
      </c>
    </row>
    <row r="249" ht="22.5" customHeight="1">
      <c r="A249" s="17">
        <v>46134.0</v>
      </c>
      <c r="B249" s="50"/>
      <c r="C249" s="20" t="s">
        <v>711</v>
      </c>
      <c r="D249" s="23" t="s">
        <v>53</v>
      </c>
      <c r="E249" s="27" t="str">
        <f t="array" ref="E249">IF(D249="", "", XLOOKUP(D249, 'MASTER ITEM LIST'!A:A, 'MASTER ITEM LIST'!B:B, ""))</f>
        <v>NAX 108 CERAMIC 2K CLEAR WITH HARDENER 1L</v>
      </c>
      <c r="F249" s="50"/>
      <c r="G249" s="30" t="s">
        <v>34</v>
      </c>
      <c r="H249" s="19">
        <v>1.0</v>
      </c>
      <c r="I249" s="19" t="str">
        <f t="array" ref="I249">IFERROR(XLOOKUP(D249,'MASTER ITEM LIST'!A:A,'MASTER ITEM LIST'!D:D), "")</f>
        <v>LITER</v>
      </c>
      <c r="J249" s="34">
        <v>700.0</v>
      </c>
      <c r="K249" s="36">
        <f t="shared" si="1"/>
        <v>700</v>
      </c>
      <c r="L249" s="38" t="s">
        <v>42</v>
      </c>
    </row>
    <row r="250" ht="22.5" customHeight="1">
      <c r="A250" s="17">
        <v>46134.0</v>
      </c>
      <c r="B250" s="50"/>
      <c r="C250" s="20" t="s">
        <v>711</v>
      </c>
      <c r="D250" s="23" t="s">
        <v>554</v>
      </c>
      <c r="E250" s="27" t="str">
        <f t="array" ref="E250">IF(D250="", "", XLOOKUP(D250, 'MASTER ITEM LIST'!A:A, 'MASTER ITEM LIST'!B:B, ""))</f>
        <v>EAGLE SANDPAPER #400</v>
      </c>
      <c r="F250" s="50"/>
      <c r="G250" s="30" t="s">
        <v>34</v>
      </c>
      <c r="H250" s="19">
        <v>2.0</v>
      </c>
      <c r="I250" s="19" t="str">
        <f t="array" ref="I250">IFERROR(XLOOKUP(D250,'MASTER ITEM LIST'!A:A,'MASTER ITEM LIST'!D:D), "")</f>
        <v>PC/S</v>
      </c>
      <c r="J250" s="34">
        <v>25.0</v>
      </c>
      <c r="K250" s="36">
        <f t="shared" si="1"/>
        <v>50</v>
      </c>
      <c r="L250" s="38" t="s">
        <v>42</v>
      </c>
    </row>
    <row r="251" ht="22.5" customHeight="1">
      <c r="A251" s="17">
        <v>46134.0</v>
      </c>
      <c r="B251" s="50"/>
      <c r="C251" s="20" t="s">
        <v>711</v>
      </c>
      <c r="D251" s="23" t="s">
        <v>432</v>
      </c>
      <c r="E251" s="27" t="str">
        <f t="array" ref="E251">IF(D251="", "", XLOOKUP(D251, 'MASTER ITEM LIST'!A:A, 'MASTER ITEM LIST'!B:B, ""))</f>
        <v>EAGLE SANDPAPER #600</v>
      </c>
      <c r="F251" s="50"/>
      <c r="G251" s="30" t="s">
        <v>34</v>
      </c>
      <c r="H251" s="19">
        <v>2.0</v>
      </c>
      <c r="I251" s="19" t="str">
        <f t="array" ref="I251">IFERROR(XLOOKUP(D251,'MASTER ITEM LIST'!A:A,'MASTER ITEM LIST'!D:D), "")</f>
        <v>PCS</v>
      </c>
      <c r="J251" s="34">
        <v>25.0</v>
      </c>
      <c r="K251" s="36">
        <f t="shared" si="1"/>
        <v>50</v>
      </c>
      <c r="L251" s="38" t="s">
        <v>42</v>
      </c>
    </row>
    <row r="252" ht="22.5" customHeight="1">
      <c r="A252" s="17">
        <v>46134.0</v>
      </c>
      <c r="B252" s="50"/>
      <c r="C252" s="20" t="s">
        <v>711</v>
      </c>
      <c r="D252" s="23" t="s">
        <v>72</v>
      </c>
      <c r="E252" s="27" t="str">
        <f t="array" ref="E252">IF(D252="", "", XLOOKUP(D252, 'MASTER ITEM LIST'!A:A, 'MASTER ITEM LIST'!B:B, ""))</f>
        <v>NIPPON EXTREME QDU BLACK 4L</v>
      </c>
      <c r="F252" s="19" t="s">
        <v>48</v>
      </c>
      <c r="G252" s="30" t="s">
        <v>34</v>
      </c>
      <c r="H252" s="19">
        <v>0.5</v>
      </c>
      <c r="I252" s="19" t="str">
        <f t="array" ref="I252">IFERROR(XLOOKUP(D252,'MASTER ITEM LIST'!A:A,'MASTER ITEM LIST'!D:D), "")</f>
        <v>GAL</v>
      </c>
      <c r="J252" s="34">
        <v>2400.0</v>
      </c>
      <c r="K252" s="36">
        <f t="shared" si="1"/>
        <v>1200</v>
      </c>
      <c r="L252" s="38" t="s">
        <v>42</v>
      </c>
    </row>
    <row r="253" ht="22.5" customHeight="1">
      <c r="A253" s="17">
        <v>46134.0</v>
      </c>
      <c r="B253" s="50"/>
      <c r="C253" s="20" t="s">
        <v>711</v>
      </c>
      <c r="D253" s="23" t="s">
        <v>31</v>
      </c>
      <c r="E253" s="27" t="str">
        <f t="array" ref="E253">IF(D253="", "", XLOOKUP(D253, 'MASTER ITEM LIST'!A:A, 'MASTER ITEM LIST'!B:B, ""))</f>
        <v>EXTREME QDU MIXING 1L</v>
      </c>
      <c r="F253" s="19" t="s">
        <v>760</v>
      </c>
      <c r="G253" s="30" t="s">
        <v>34</v>
      </c>
      <c r="H253" s="19">
        <v>2.0</v>
      </c>
      <c r="I253" s="19" t="str">
        <f t="array" ref="I253">IFERROR(XLOOKUP(D253,'MASTER ITEM LIST'!A:A,'MASTER ITEM LIST'!D:D), "")</f>
        <v>LITER</v>
      </c>
      <c r="J253" s="34">
        <v>650.0</v>
      </c>
      <c r="K253" s="36">
        <f t="shared" si="1"/>
        <v>1300</v>
      </c>
      <c r="L253" s="38" t="s">
        <v>42</v>
      </c>
    </row>
    <row r="254" ht="22.5" customHeight="1">
      <c r="A254" s="17">
        <v>46134.0</v>
      </c>
      <c r="B254" s="50"/>
      <c r="C254" s="20" t="s">
        <v>711</v>
      </c>
      <c r="D254" s="23" t="s">
        <v>45</v>
      </c>
      <c r="E254" s="27" t="str">
        <f t="array" ref="E254">IF(D254="", "", XLOOKUP(D254, 'MASTER ITEM LIST'!A:A, 'MASTER ITEM LIST'!B:B, ""))</f>
        <v>POLYGLOSS PU JET BLACK 4L</v>
      </c>
      <c r="F254" s="19" t="s">
        <v>48</v>
      </c>
      <c r="G254" s="30" t="s">
        <v>34</v>
      </c>
      <c r="H254" s="19">
        <v>1.0</v>
      </c>
      <c r="I254" s="19" t="str">
        <f t="array" ref="I254">IFERROR(XLOOKUP(D254,'MASTER ITEM LIST'!A:A,'MASTER ITEM LIST'!D:D), "")</f>
        <v>GALON</v>
      </c>
      <c r="J254" s="34">
        <v>780.0</v>
      </c>
      <c r="K254" s="36">
        <f t="shared" si="1"/>
        <v>780</v>
      </c>
      <c r="L254" s="38" t="s">
        <v>42</v>
      </c>
    </row>
    <row r="255" ht="22.5" customHeight="1">
      <c r="A255" s="17">
        <v>46134.0</v>
      </c>
      <c r="B255" s="50"/>
      <c r="C255" s="20" t="s">
        <v>711</v>
      </c>
      <c r="D255" s="23" t="s">
        <v>241</v>
      </c>
      <c r="E255" s="27" t="str">
        <f t="array" ref="E255">IF(D255="", "", XLOOKUP(D255, 'MASTER ITEM LIST'!A:A, 'MASTER ITEM LIST'!B:B, ""))</f>
        <v>POLYGLOSS PU WHITE 4L</v>
      </c>
      <c r="F255" s="19" t="s">
        <v>48</v>
      </c>
      <c r="G255" s="30" t="s">
        <v>34</v>
      </c>
      <c r="H255" s="19">
        <v>0.0625</v>
      </c>
      <c r="I255" s="19" t="str">
        <f t="array" ref="I255">IFERROR(XLOOKUP(D255,'MASTER ITEM LIST'!A:A,'MASTER ITEM LIST'!D:D), "")</f>
        <v>GALON</v>
      </c>
      <c r="J255" s="34">
        <v>2880.0</v>
      </c>
      <c r="K255" s="36">
        <f t="shared" si="1"/>
        <v>180</v>
      </c>
      <c r="L255" s="38" t="s">
        <v>42</v>
      </c>
    </row>
    <row r="256" ht="22.5" customHeight="1">
      <c r="A256" s="17">
        <v>46134.0</v>
      </c>
      <c r="B256" s="50"/>
      <c r="C256" s="20" t="s">
        <v>711</v>
      </c>
      <c r="D256" s="23" t="s">
        <v>53</v>
      </c>
      <c r="E256" s="27" t="str">
        <f t="array" ref="E256">IF(D256="", "", XLOOKUP(D256, 'MASTER ITEM LIST'!A:A, 'MASTER ITEM LIST'!B:B, ""))</f>
        <v>NAX 108 CERAMIC 2K CLEAR WITH HARDENER 1L</v>
      </c>
      <c r="F256" s="50"/>
      <c r="G256" s="30" t="s">
        <v>34</v>
      </c>
      <c r="H256" s="19">
        <v>1.0</v>
      </c>
      <c r="I256" s="19" t="str">
        <f t="array" ref="I256">IFERROR(XLOOKUP(D256,'MASTER ITEM LIST'!A:A,'MASTER ITEM LIST'!D:D), "")</f>
        <v>LITER</v>
      </c>
      <c r="J256" s="34">
        <v>700.0</v>
      </c>
      <c r="K256" s="36">
        <f t="shared" si="1"/>
        <v>700</v>
      </c>
      <c r="L256" s="38" t="s">
        <v>42</v>
      </c>
    </row>
    <row r="257" ht="22.5" customHeight="1">
      <c r="A257" s="17">
        <v>46134.0</v>
      </c>
      <c r="B257" s="50"/>
      <c r="C257" s="20" t="s">
        <v>711</v>
      </c>
      <c r="D257" s="23" t="s">
        <v>79</v>
      </c>
      <c r="E257" s="27" t="str">
        <f t="array" ref="E257">IF(D257="", "", XLOOKUP(D257, 'MASTER ITEM LIST'!A:A, 'MASTER ITEM LIST'!B:B, ""))</f>
        <v>CROCO MASKING TAPE 1/2 12MM (1X96)</v>
      </c>
      <c r="F257" s="50"/>
      <c r="G257" s="30" t="s">
        <v>34</v>
      </c>
      <c r="H257" s="19">
        <v>2.0</v>
      </c>
      <c r="I257" s="19" t="str">
        <f t="array" ref="I257">IFERROR(XLOOKUP(D257,'MASTER ITEM LIST'!A:A,'MASTER ITEM LIST'!D:D), "")</f>
        <v>PC/S</v>
      </c>
      <c r="J257" s="34">
        <v>25.0</v>
      </c>
      <c r="K257" s="36">
        <f t="shared" si="1"/>
        <v>50</v>
      </c>
      <c r="L257" s="38" t="s">
        <v>42</v>
      </c>
    </row>
    <row r="258" ht="22.5" customHeight="1">
      <c r="A258" s="17">
        <v>46134.0</v>
      </c>
      <c r="B258" s="50"/>
      <c r="C258" s="20" t="s">
        <v>711</v>
      </c>
      <c r="D258" s="23" t="s">
        <v>63</v>
      </c>
      <c r="E258" s="27" t="str">
        <f t="array" ref="E258">IF(D258="", "", XLOOKUP(D258, 'MASTER ITEM LIST'!A:A, 'MASTER ITEM LIST'!B:B, ""))</f>
        <v>OLD NEWS</v>
      </c>
      <c r="F258" s="50"/>
      <c r="G258" s="30" t="s">
        <v>34</v>
      </c>
      <c r="H258" s="19">
        <v>0.5</v>
      </c>
      <c r="I258" s="19" t="str">
        <f t="array" ref="I258">IFERROR(XLOOKUP(D258,'MASTER ITEM LIST'!A:A,'MASTER ITEM LIST'!D:D), "")</f>
        <v>KG</v>
      </c>
      <c r="J258" s="34">
        <v>100.0</v>
      </c>
      <c r="K258" s="36">
        <f t="shared" si="1"/>
        <v>50</v>
      </c>
      <c r="L258" s="38" t="s">
        <v>42</v>
      </c>
    </row>
    <row r="259" ht="22.5" customHeight="1">
      <c r="A259" s="17">
        <v>46134.0</v>
      </c>
      <c r="B259" s="50"/>
      <c r="C259" s="20" t="s">
        <v>711</v>
      </c>
      <c r="D259" s="23" t="s">
        <v>31</v>
      </c>
      <c r="E259" s="27" t="str">
        <f t="array" ref="E259">IF(D259="", "", XLOOKUP(D259, 'MASTER ITEM LIST'!A:A, 'MASTER ITEM LIST'!B:B, ""))</f>
        <v>EXTREME QDU MIXING 1L</v>
      </c>
      <c r="F259" s="19" t="s">
        <v>760</v>
      </c>
      <c r="G259" s="30" t="s">
        <v>34</v>
      </c>
      <c r="H259" s="19">
        <v>0.5</v>
      </c>
      <c r="I259" s="19" t="str">
        <f t="array" ref="I259">IFERROR(XLOOKUP(D259,'MASTER ITEM LIST'!A:A,'MASTER ITEM LIST'!D:D), "")</f>
        <v>LITER</v>
      </c>
      <c r="J259" s="34">
        <v>760.0</v>
      </c>
      <c r="K259" s="36">
        <f t="shared" si="1"/>
        <v>380</v>
      </c>
      <c r="L259" s="38" t="s">
        <v>42</v>
      </c>
    </row>
    <row r="260" ht="22.5" customHeight="1">
      <c r="A260" s="17">
        <v>46134.0</v>
      </c>
      <c r="B260" s="50"/>
      <c r="C260" s="20" t="s">
        <v>711</v>
      </c>
      <c r="D260" s="23" t="s">
        <v>53</v>
      </c>
      <c r="E260" s="27" t="str">
        <f t="array" ref="E260">IF(D260="", "", XLOOKUP(D260, 'MASTER ITEM LIST'!A:A, 'MASTER ITEM LIST'!B:B, ""))</f>
        <v>NAX 108 CERAMIC 2K CLEAR WITH HARDENER 1L</v>
      </c>
      <c r="F260" s="50"/>
      <c r="G260" s="30" t="s">
        <v>34</v>
      </c>
      <c r="H260" s="19">
        <v>1.0</v>
      </c>
      <c r="I260" s="19" t="str">
        <f t="array" ref="I260">IFERROR(XLOOKUP(D260,'MASTER ITEM LIST'!A:A,'MASTER ITEM LIST'!D:D), "")</f>
        <v>LITER</v>
      </c>
      <c r="J260" s="34">
        <v>680.0</v>
      </c>
      <c r="K260" s="36">
        <f t="shared" si="1"/>
        <v>680</v>
      </c>
      <c r="L260" s="38" t="s">
        <v>42</v>
      </c>
    </row>
    <row r="261" ht="22.5" customHeight="1">
      <c r="A261" s="17">
        <v>46134.0</v>
      </c>
      <c r="B261" s="50"/>
      <c r="C261" s="20" t="s">
        <v>711</v>
      </c>
      <c r="D261" s="23" t="s">
        <v>46</v>
      </c>
      <c r="E261" s="27" t="str">
        <f t="array" ref="E261">IF(D261="", "", XLOOKUP(D261, 'MASTER ITEM LIST'!A:A, 'MASTER ITEM LIST'!B:B, ""))</f>
        <v>POLYGLOSS URETHANE THINNER 4L</v>
      </c>
      <c r="F261" s="19" t="s">
        <v>48</v>
      </c>
      <c r="G261" s="30" t="s">
        <v>34</v>
      </c>
      <c r="H261" s="19">
        <v>0.5</v>
      </c>
      <c r="I261" s="19" t="s">
        <v>1068</v>
      </c>
      <c r="J261" s="34">
        <v>780.0</v>
      </c>
      <c r="K261" s="36">
        <f t="shared" si="1"/>
        <v>390</v>
      </c>
      <c r="L261" s="38" t="s">
        <v>42</v>
      </c>
    </row>
    <row r="262" ht="22.5" customHeight="1">
      <c r="A262" s="17">
        <v>46134.0</v>
      </c>
      <c r="B262" s="50"/>
      <c r="C262" s="20" t="s">
        <v>711</v>
      </c>
      <c r="D262" s="23" t="s">
        <v>136</v>
      </c>
      <c r="E262" s="27" t="str">
        <f t="array" ref="E262">IF(D262="", "", XLOOKUP(D262, 'MASTER ITEM LIST'!A:A, 'MASTER ITEM LIST'!B:B, ""))</f>
        <v>CROCO MASKING TAPE 3/4 18MM (1X64)</v>
      </c>
      <c r="F262" s="50"/>
      <c r="G262" s="30" t="s">
        <v>34</v>
      </c>
      <c r="H262" s="19">
        <v>1.0</v>
      </c>
      <c r="I262" s="19" t="str">
        <f t="array" ref="I262">IFERROR(XLOOKUP(D262,'MASTER ITEM LIST'!A:A,'MASTER ITEM LIST'!D:D), "")</f>
        <v>PC/S</v>
      </c>
      <c r="J262" s="34">
        <v>35.0</v>
      </c>
      <c r="K262" s="36">
        <f t="shared" si="1"/>
        <v>35</v>
      </c>
      <c r="L262" s="38" t="s">
        <v>42</v>
      </c>
    </row>
    <row r="263" ht="22.5" customHeight="1">
      <c r="A263" s="17">
        <v>46134.0</v>
      </c>
      <c r="B263" s="50"/>
      <c r="C263" s="20" t="s">
        <v>711</v>
      </c>
      <c r="D263" s="23" t="s">
        <v>717</v>
      </c>
      <c r="E263" s="27" t="str">
        <f t="array" ref="E263">IF(D263="", "", XLOOKUP(D263, 'MASTER ITEM LIST'!A:A, 'MASTER ITEM LIST'!B:B, ""))</f>
        <v>CROCO MASKING TAPE #1</v>
      </c>
      <c r="F263" s="50"/>
      <c r="G263" s="30" t="s">
        <v>34</v>
      </c>
      <c r="H263" s="19">
        <v>1.0</v>
      </c>
      <c r="I263" s="19" t="str">
        <f t="array" ref="I263">IFERROR(XLOOKUP(D263,'MASTER ITEM LIST'!A:A,'MASTER ITEM LIST'!D:D), "")</f>
        <v>PCS</v>
      </c>
      <c r="J263" s="34">
        <v>40.0</v>
      </c>
      <c r="K263" s="36">
        <f t="shared" si="1"/>
        <v>40</v>
      </c>
      <c r="L263" s="38" t="s">
        <v>42</v>
      </c>
    </row>
    <row r="264" ht="22.5" customHeight="1">
      <c r="A264" s="17">
        <v>46134.0</v>
      </c>
      <c r="B264" s="50"/>
      <c r="C264" s="20" t="s">
        <v>711</v>
      </c>
      <c r="D264" s="23" t="s">
        <v>432</v>
      </c>
      <c r="E264" s="27" t="str">
        <f t="array" ref="E264">IF(D264="", "", XLOOKUP(D264, 'MASTER ITEM LIST'!A:A, 'MASTER ITEM LIST'!B:B, ""))</f>
        <v>EAGLE SANDPAPER #600</v>
      </c>
      <c r="F264" s="50"/>
      <c r="G264" s="30" t="s">
        <v>34</v>
      </c>
      <c r="H264" s="19">
        <v>2.0</v>
      </c>
      <c r="I264" s="19" t="str">
        <f t="array" ref="I264">IFERROR(XLOOKUP(D264,'MASTER ITEM LIST'!A:A,'MASTER ITEM LIST'!D:D), "")</f>
        <v>PCS</v>
      </c>
      <c r="J264" s="34">
        <v>25.0</v>
      </c>
      <c r="K264" s="36">
        <f t="shared" si="1"/>
        <v>50</v>
      </c>
      <c r="L264" s="38" t="s">
        <v>42</v>
      </c>
    </row>
    <row r="265" ht="22.5" customHeight="1">
      <c r="A265" s="17">
        <v>46134.0</v>
      </c>
      <c r="B265" s="50"/>
      <c r="C265" s="20" t="s">
        <v>711</v>
      </c>
      <c r="D265" s="23" t="s">
        <v>326</v>
      </c>
      <c r="E265" s="27" t="str">
        <f t="array" ref="E265">IF(D265="", "", XLOOKUP(D265, 'MASTER ITEM LIST'!A:A, 'MASTER ITEM LIST'!B:B, ""))</f>
        <v>EAGLE SANDPAPER #1200</v>
      </c>
      <c r="F265" s="50"/>
      <c r="G265" s="30" t="s">
        <v>34</v>
      </c>
      <c r="H265" s="19">
        <v>2.0</v>
      </c>
      <c r="I265" s="19" t="str">
        <f t="array" ref="I265">IFERROR(XLOOKUP(D265,'MASTER ITEM LIST'!A:A,'MASTER ITEM LIST'!D:D), "")</f>
        <v>PC/S</v>
      </c>
      <c r="J265" s="34">
        <v>25.0</v>
      </c>
      <c r="K265" s="36">
        <f t="shared" si="1"/>
        <v>50</v>
      </c>
      <c r="L265" s="38" t="s">
        <v>42</v>
      </c>
    </row>
    <row r="266" ht="22.5" customHeight="1">
      <c r="A266" s="17">
        <v>46134.0</v>
      </c>
      <c r="B266" s="50"/>
      <c r="C266" s="20" t="s">
        <v>711</v>
      </c>
      <c r="D266" s="23" t="s">
        <v>53</v>
      </c>
      <c r="E266" s="27" t="str">
        <f t="array" ref="E266">IF(D266="", "", XLOOKUP(D266, 'MASTER ITEM LIST'!A:A, 'MASTER ITEM LIST'!B:B, ""))</f>
        <v>NAX 108 CERAMIC 2K CLEAR WITH HARDENER 1L</v>
      </c>
      <c r="F266" s="50"/>
      <c r="G266" s="30" t="s">
        <v>34</v>
      </c>
      <c r="H266" s="19">
        <v>0.5</v>
      </c>
      <c r="I266" s="19" t="str">
        <f t="array" ref="I266">IFERROR(XLOOKUP(D266,'MASTER ITEM LIST'!A:A,'MASTER ITEM LIST'!D:D), "")</f>
        <v>LITER</v>
      </c>
      <c r="J266" s="34">
        <v>680.0</v>
      </c>
      <c r="K266" s="36">
        <f t="shared" si="1"/>
        <v>340</v>
      </c>
      <c r="L266" s="38" t="s">
        <v>42</v>
      </c>
    </row>
    <row r="267" ht="22.5" customHeight="1">
      <c r="A267" s="17">
        <v>46134.0</v>
      </c>
      <c r="B267" s="50"/>
      <c r="C267" s="20" t="s">
        <v>711</v>
      </c>
      <c r="D267" s="23" t="s">
        <v>167</v>
      </c>
      <c r="E267" s="27" t="str">
        <f t="array" ref="E267">IF(D267="", "", XLOOKUP(D267, 'MASTER ITEM LIST'!A:A, 'MASTER ITEM LIST'!B:B, ""))</f>
        <v>NAX QDU MIX 1L</v>
      </c>
      <c r="F267" s="19" t="s">
        <v>351</v>
      </c>
      <c r="G267" s="30" t="s">
        <v>34</v>
      </c>
      <c r="H267" s="19">
        <v>0.25</v>
      </c>
      <c r="I267" s="19" t="str">
        <f t="array" ref="I267">IFERROR(XLOOKUP(D267,'MASTER ITEM LIST'!A:A,'MASTER ITEM LIST'!D:D), "")</f>
        <v>LITER</v>
      </c>
      <c r="J267" s="34">
        <v>1400.0</v>
      </c>
      <c r="K267" s="36">
        <f t="shared" si="1"/>
        <v>350</v>
      </c>
      <c r="L267" s="38" t="s">
        <v>42</v>
      </c>
    </row>
    <row r="268" ht="22.5" customHeight="1">
      <c r="A268" s="17">
        <v>46134.0</v>
      </c>
      <c r="B268" s="50"/>
      <c r="C268" s="20" t="s">
        <v>711</v>
      </c>
      <c r="D268" s="23" t="s">
        <v>40</v>
      </c>
      <c r="E268" s="27" t="str">
        <f t="array" ref="E268">IF(D268="", "", XLOOKUP(D268, 'MASTER ITEM LIST'!A:A, 'MASTER ITEM LIST'!B:B, ""))</f>
        <v>2B PAINT BRUSH #2</v>
      </c>
      <c r="F268" s="50"/>
      <c r="G268" s="30" t="s">
        <v>34</v>
      </c>
      <c r="H268" s="19">
        <v>3.0</v>
      </c>
      <c r="I268" s="19" t="str">
        <f t="array" ref="I268">IFERROR(XLOOKUP(D268,'MASTER ITEM LIST'!A:A,'MASTER ITEM LIST'!D:D), "")</f>
        <v>PC/S</v>
      </c>
      <c r="J268" s="34">
        <v>50.0</v>
      </c>
      <c r="K268" s="36">
        <f t="shared" si="1"/>
        <v>150</v>
      </c>
      <c r="L268" s="38" t="s">
        <v>42</v>
      </c>
    </row>
    <row r="269" ht="22.5" customHeight="1">
      <c r="A269" s="17">
        <v>46134.0</v>
      </c>
      <c r="B269" s="50"/>
      <c r="C269" s="20" t="s">
        <v>711</v>
      </c>
      <c r="D269" s="23" t="s">
        <v>107</v>
      </c>
      <c r="E269" s="27" t="str">
        <f t="array" ref="E269">IF(D269="", "", XLOOKUP(D269, 'MASTER ITEM LIST'!A:A, 'MASTER ITEM LIST'!B:B, ""))</f>
        <v>2B PAINT ROLLER #4</v>
      </c>
      <c r="F269" s="50"/>
      <c r="G269" s="30" t="s">
        <v>34</v>
      </c>
      <c r="H269" s="19">
        <v>3.0</v>
      </c>
      <c r="I269" s="19" t="str">
        <f t="array" ref="I269">IFERROR(XLOOKUP(D269,'MASTER ITEM LIST'!A:A,'MASTER ITEM LIST'!D:D), "")</f>
        <v>PC/S</v>
      </c>
      <c r="J269" s="34">
        <v>65.0</v>
      </c>
      <c r="K269" s="36">
        <f t="shared" si="1"/>
        <v>195</v>
      </c>
      <c r="L269" s="38" t="s">
        <v>42</v>
      </c>
    </row>
    <row r="270" ht="22.5" customHeight="1">
      <c r="A270" s="17">
        <v>46134.0</v>
      </c>
      <c r="B270" s="50"/>
      <c r="C270" s="20" t="s">
        <v>711</v>
      </c>
      <c r="D270" s="23" t="s">
        <v>284</v>
      </c>
      <c r="E270" s="27" t="str">
        <f t="array" ref="E270">IF(D270="", "", XLOOKUP(D270, 'MASTER ITEM LIST'!A:A, 'MASTER ITEM LIST'!B:B, ""))</f>
        <v>RAIN OR SHINE STONE GRAY 4L</v>
      </c>
      <c r="F270" s="50"/>
      <c r="G270" s="30" t="s">
        <v>34</v>
      </c>
      <c r="H270" s="19">
        <v>1.0</v>
      </c>
      <c r="I270" s="19" t="str">
        <f t="array" ref="I270">IFERROR(XLOOKUP(D270,'MASTER ITEM LIST'!A:A,'MASTER ITEM LIST'!D:D), "")</f>
        <v>GALON</v>
      </c>
      <c r="J270" s="34">
        <v>880.0</v>
      </c>
      <c r="K270" s="36">
        <f t="shared" si="1"/>
        <v>880</v>
      </c>
      <c r="L270" s="38" t="s">
        <v>42</v>
      </c>
    </row>
    <row r="271" ht="22.5" customHeight="1">
      <c r="A271" s="17">
        <v>46135.0</v>
      </c>
      <c r="B271" s="50"/>
      <c r="C271" s="20" t="s">
        <v>711</v>
      </c>
      <c r="D271" s="23" t="s">
        <v>94</v>
      </c>
      <c r="E271" s="27" t="str">
        <f t="array" ref="E271">IF(D271="", "", XLOOKUP(D271, 'MASTER ITEM LIST'!A:A, 'MASTER ITEM LIST'!B:B, ""))</f>
        <v>NAX NAT-990 TTC BLACK 4L</v>
      </c>
      <c r="F271" s="19" t="s">
        <v>48</v>
      </c>
      <c r="G271" s="30" t="s">
        <v>34</v>
      </c>
      <c r="H271" s="19">
        <v>0.0625</v>
      </c>
      <c r="I271" s="19" t="str">
        <f t="array" ref="I271">IFERROR(XLOOKUP(D271,'MASTER ITEM LIST'!A:A,'MASTER ITEM LIST'!D:D), "")</f>
        <v>GAL</v>
      </c>
      <c r="J271" s="34">
        <v>4800.0</v>
      </c>
      <c r="K271" s="36">
        <f t="shared" si="1"/>
        <v>300</v>
      </c>
      <c r="L271" s="38" t="s">
        <v>42</v>
      </c>
    </row>
    <row r="272" ht="22.5" customHeight="1">
      <c r="A272" s="17">
        <v>46135.0</v>
      </c>
      <c r="B272" s="50"/>
      <c r="C272" s="20" t="s">
        <v>711</v>
      </c>
      <c r="D272" s="23" t="s">
        <v>426</v>
      </c>
      <c r="E272" s="27" t="str">
        <f t="array" ref="E272">IF(D272="", "", XLOOKUP(D272, 'MASTER ITEM LIST'!A:A, 'MASTER ITEM LIST'!B:B, ""))</f>
        <v>EAGLE SAND PAPER #320</v>
      </c>
      <c r="F272" s="50"/>
      <c r="G272" s="30" t="s">
        <v>34</v>
      </c>
      <c r="H272" s="19">
        <v>4.0</v>
      </c>
      <c r="I272" s="19" t="str">
        <f t="array" ref="I272">IFERROR(XLOOKUP(D272,'MASTER ITEM LIST'!A:A,'MASTER ITEM LIST'!D:D), "")</f>
        <v>PCS</v>
      </c>
      <c r="J272" s="34">
        <v>25.0</v>
      </c>
      <c r="K272" s="36">
        <f t="shared" si="1"/>
        <v>100</v>
      </c>
      <c r="L272" s="38" t="s">
        <v>42</v>
      </c>
    </row>
    <row r="273" ht="22.5" customHeight="1">
      <c r="A273" s="17">
        <v>46135.0</v>
      </c>
      <c r="B273" s="50"/>
      <c r="C273" s="20" t="s">
        <v>711</v>
      </c>
      <c r="D273" s="23" t="s">
        <v>117</v>
      </c>
      <c r="E273" s="27" t="str">
        <f t="array" ref="E273">IF(D273="", "", XLOOKUP(D273, 'MASTER ITEM LIST'!A:A, 'MASTER ITEM LIST'!B:B, ""))</f>
        <v>EAGLE SANDPAPER #120</v>
      </c>
      <c r="F273" s="50"/>
      <c r="G273" s="30" t="s">
        <v>34</v>
      </c>
      <c r="H273" s="19">
        <v>2.0</v>
      </c>
      <c r="I273" s="19" t="str">
        <f t="array" ref="I273">IFERROR(XLOOKUP(D273,'MASTER ITEM LIST'!A:A,'MASTER ITEM LIST'!D:D), "")</f>
        <v>PC/S</v>
      </c>
      <c r="J273" s="34">
        <v>25.0</v>
      </c>
      <c r="K273" s="36">
        <f t="shared" si="1"/>
        <v>50</v>
      </c>
      <c r="L273" s="38" t="s">
        <v>42</v>
      </c>
    </row>
    <row r="274" ht="22.5" customHeight="1">
      <c r="A274" s="17">
        <v>46135.0</v>
      </c>
      <c r="B274" s="50"/>
      <c r="C274" s="20" t="s">
        <v>711</v>
      </c>
      <c r="D274" s="23" t="s">
        <v>136</v>
      </c>
      <c r="E274" s="27" t="str">
        <f t="array" ref="E274">IF(D274="", "", XLOOKUP(D274, 'MASTER ITEM LIST'!A:A, 'MASTER ITEM LIST'!B:B, ""))</f>
        <v>CROCO MASKING TAPE 3/4 18MM (1X64)</v>
      </c>
      <c r="F274" s="50"/>
      <c r="G274" s="30" t="s">
        <v>34</v>
      </c>
      <c r="H274" s="19">
        <v>5.0</v>
      </c>
      <c r="I274" s="19" t="str">
        <f t="array" ref="I274">IFERROR(XLOOKUP(D274,'MASTER ITEM LIST'!A:A,'MASTER ITEM LIST'!D:D), "")</f>
        <v>PC/S</v>
      </c>
      <c r="J274" s="34">
        <v>35.0</v>
      </c>
      <c r="K274" s="36">
        <f t="shared" si="1"/>
        <v>175</v>
      </c>
      <c r="L274" s="38" t="s">
        <v>42</v>
      </c>
    </row>
    <row r="275" ht="22.5" customHeight="1">
      <c r="A275" s="17">
        <v>46135.0</v>
      </c>
      <c r="B275" s="50"/>
      <c r="C275" s="20" t="s">
        <v>711</v>
      </c>
      <c r="D275" s="23" t="s">
        <v>167</v>
      </c>
      <c r="E275" s="27" t="str">
        <f t="array" ref="E275">IF(D275="", "", XLOOKUP(D275, 'MASTER ITEM LIST'!A:A, 'MASTER ITEM LIST'!B:B, ""))</f>
        <v>NAX QDU MIX 1L</v>
      </c>
      <c r="F275" s="19" t="s">
        <v>1016</v>
      </c>
      <c r="G275" s="30" t="s">
        <v>34</v>
      </c>
      <c r="H275" s="19">
        <v>0.25</v>
      </c>
      <c r="I275" s="19" t="str">
        <f t="array" ref="I275">IFERROR(XLOOKUP(D275,'MASTER ITEM LIST'!A:A,'MASTER ITEM LIST'!D:D), "")</f>
        <v>LITER</v>
      </c>
      <c r="J275" s="34">
        <v>1600.0</v>
      </c>
      <c r="K275" s="36">
        <f t="shared" si="1"/>
        <v>400</v>
      </c>
      <c r="L275" s="38" t="s">
        <v>42</v>
      </c>
    </row>
    <row r="276" ht="22.5" customHeight="1">
      <c r="A276" s="17">
        <v>46136.0</v>
      </c>
      <c r="B276" s="50"/>
      <c r="C276" s="20" t="s">
        <v>711</v>
      </c>
      <c r="D276" s="23" t="s">
        <v>112</v>
      </c>
      <c r="E276" s="27" t="str">
        <f t="array" ref="E276">IF(D276="", "", XLOOKUP(D276, 'MASTER ITEM LIST'!A:A, 'MASTER ITEM LIST'!B:B, ""))</f>
        <v>2B PAINT ROLLER #7</v>
      </c>
      <c r="F276" s="50"/>
      <c r="G276" s="30" t="s">
        <v>34</v>
      </c>
      <c r="H276" s="19">
        <v>1.0</v>
      </c>
      <c r="I276" s="19" t="str">
        <f t="array" ref="I276">IFERROR(XLOOKUP(D276,'MASTER ITEM LIST'!A:A,'MASTER ITEM LIST'!D:D), "")</f>
        <v>PC/S</v>
      </c>
      <c r="J276" s="34">
        <v>80.0</v>
      </c>
      <c r="K276" s="36">
        <f t="shared" si="1"/>
        <v>80</v>
      </c>
      <c r="L276" s="38" t="s">
        <v>42</v>
      </c>
    </row>
    <row r="277" ht="22.5" customHeight="1">
      <c r="A277" s="17">
        <v>46136.0</v>
      </c>
      <c r="B277" s="50"/>
      <c r="C277" s="20" t="s">
        <v>711</v>
      </c>
      <c r="D277" s="23" t="s">
        <v>198</v>
      </c>
      <c r="E277" s="27" t="str">
        <f t="array" ref="E277">IF(D277="", "", XLOOKUP(D277, 'MASTER ITEM LIST'!A:A, 'MASTER ITEM LIST'!B:B, ""))</f>
        <v>EAGLE SANDPAPER #2000</v>
      </c>
      <c r="F277" s="50"/>
      <c r="G277" s="30" t="s">
        <v>34</v>
      </c>
      <c r="H277" s="19">
        <v>1.0</v>
      </c>
      <c r="I277" s="19" t="str">
        <f t="array" ref="I277">IFERROR(XLOOKUP(D277,'MASTER ITEM LIST'!A:A,'MASTER ITEM LIST'!D:D), "")</f>
        <v>PC/S</v>
      </c>
      <c r="J277" s="34">
        <v>35.0</v>
      </c>
      <c r="K277" s="36">
        <f t="shared" si="1"/>
        <v>35</v>
      </c>
      <c r="L277" s="38" t="s">
        <v>42</v>
      </c>
    </row>
    <row r="278" ht="22.5" customHeight="1">
      <c r="A278" s="17">
        <v>46136.0</v>
      </c>
      <c r="B278" s="50"/>
      <c r="C278" s="20" t="s">
        <v>711</v>
      </c>
      <c r="D278" s="23" t="s">
        <v>957</v>
      </c>
      <c r="E278" s="27" t="str">
        <f t="array" ref="E278">IF(D278="", "", XLOOKUP(D278, 'MASTER ITEM LIST'!A:A, 'MASTER ITEM LIST'!B:B, ""))</f>
        <v>NAX 301 NAX QDU FLAT CLEAR WITH HARDENER 1L</v>
      </c>
      <c r="F278" s="50"/>
      <c r="G278" s="30" t="s">
        <v>34</v>
      </c>
      <c r="H278" s="19">
        <v>2.0</v>
      </c>
      <c r="I278" s="19" t="str">
        <f t="array" ref="I278">IFERROR(XLOOKUP(D278,'MASTER ITEM LIST'!A:A,'MASTER ITEM LIST'!D:D), "")</f>
        <v>LITER</v>
      </c>
      <c r="J278" s="34">
        <v>1200.0</v>
      </c>
      <c r="K278" s="36">
        <f t="shared" si="1"/>
        <v>2400</v>
      </c>
      <c r="L278" s="38" t="s">
        <v>42</v>
      </c>
    </row>
    <row r="279" ht="22.5" customHeight="1">
      <c r="A279" s="17">
        <v>46136.0</v>
      </c>
      <c r="B279" s="50"/>
      <c r="C279" s="20" t="s">
        <v>711</v>
      </c>
      <c r="D279" s="23" t="s">
        <v>31</v>
      </c>
      <c r="E279" s="27" t="str">
        <f t="array" ref="E279">IF(D279="", "", XLOOKUP(D279, 'MASTER ITEM LIST'!A:A, 'MASTER ITEM LIST'!B:B, ""))</f>
        <v>EXTREME QDU MIXING 1L</v>
      </c>
      <c r="F279" s="19" t="s">
        <v>1119</v>
      </c>
      <c r="G279" s="30" t="s">
        <v>34</v>
      </c>
      <c r="H279" s="19">
        <v>2.0</v>
      </c>
      <c r="I279" s="19" t="str">
        <f t="array" ref="I279">IFERROR(XLOOKUP(D279,'MASTER ITEM LIST'!A:A,'MASTER ITEM LIST'!D:D), "")</f>
        <v>LITER</v>
      </c>
      <c r="J279" s="34">
        <v>750.0</v>
      </c>
      <c r="K279" s="36">
        <f t="shared" si="1"/>
        <v>1500</v>
      </c>
      <c r="L279" s="38" t="s">
        <v>42</v>
      </c>
    </row>
    <row r="280" ht="22.5" customHeight="1">
      <c r="A280" s="17">
        <v>46136.0</v>
      </c>
      <c r="B280" s="50"/>
      <c r="C280" s="20" t="s">
        <v>711</v>
      </c>
      <c r="D280" s="23" t="s">
        <v>233</v>
      </c>
      <c r="E280" s="27" t="str">
        <f t="array" ref="E280">IF(D280="", "", XLOOKUP(D280, 'MASTER ITEM LIST'!A:A, 'MASTER ITEM LIST'!B:B, ""))</f>
        <v>NAX ALPHA HB SPRAY FILLER GRAY WITH HARDENER 1L</v>
      </c>
      <c r="F280" s="50"/>
      <c r="G280" s="30" t="s">
        <v>34</v>
      </c>
      <c r="H280" s="19">
        <v>1.5</v>
      </c>
      <c r="I280" s="19" t="str">
        <f t="array" ref="I280">IFERROR(XLOOKUP(D280,'MASTER ITEM LIST'!A:A,'MASTER ITEM LIST'!D:D), "")</f>
        <v>LITER</v>
      </c>
      <c r="J280" s="34">
        <v>600.0</v>
      </c>
      <c r="K280" s="36">
        <f t="shared" si="1"/>
        <v>900</v>
      </c>
      <c r="L280" s="38" t="s">
        <v>42</v>
      </c>
    </row>
    <row r="281" ht="22.5" customHeight="1">
      <c r="A281" s="17">
        <v>46136.0</v>
      </c>
      <c r="B281" s="50"/>
      <c r="C281" s="20" t="s">
        <v>711</v>
      </c>
      <c r="D281" s="23" t="s">
        <v>67</v>
      </c>
      <c r="E281" s="27" t="str">
        <f t="array" ref="E281">IF(D281="", "", XLOOKUP(D281, 'MASTER ITEM LIST'!A:A, 'MASTER ITEM LIST'!B:B, ""))</f>
        <v>POLYGLOSS ANTI-CORROSSION</v>
      </c>
      <c r="F281" s="19" t="s">
        <v>48</v>
      </c>
      <c r="G281" s="30" t="s">
        <v>34</v>
      </c>
      <c r="H281" s="19">
        <v>0.5</v>
      </c>
      <c r="I281" s="19" t="str">
        <f t="array" ref="I281">IFERROR(XLOOKUP(D281,'MASTER ITEM LIST'!A:A,'MASTER ITEM LIST'!D:D), "")</f>
        <v>LITER</v>
      </c>
      <c r="J281" s="34">
        <v>700.0</v>
      </c>
      <c r="K281" s="36">
        <f t="shared" si="1"/>
        <v>350</v>
      </c>
      <c r="L281" s="38" t="s">
        <v>42</v>
      </c>
    </row>
    <row r="282" ht="22.5" customHeight="1">
      <c r="A282" s="17">
        <v>46136.0</v>
      </c>
      <c r="B282" s="50"/>
      <c r="C282" s="20" t="s">
        <v>711</v>
      </c>
      <c r="D282" s="23" t="s">
        <v>79</v>
      </c>
      <c r="E282" s="27" t="str">
        <f t="array" ref="E282">IF(D282="", "", XLOOKUP(D282, 'MASTER ITEM LIST'!A:A, 'MASTER ITEM LIST'!B:B, ""))</f>
        <v>CROCO MASKING TAPE 1/2 12MM (1X96)</v>
      </c>
      <c r="F282" s="50"/>
      <c r="G282" s="30" t="s">
        <v>34</v>
      </c>
      <c r="H282" s="19">
        <v>5.0</v>
      </c>
      <c r="I282" s="19" t="str">
        <f t="array" ref="I282">IFERROR(XLOOKUP(D282,'MASTER ITEM LIST'!A:A,'MASTER ITEM LIST'!D:D), "")</f>
        <v>PC/S</v>
      </c>
      <c r="J282" s="34">
        <v>25.0</v>
      </c>
      <c r="K282" s="36">
        <f t="shared" si="1"/>
        <v>125</v>
      </c>
      <c r="L282" s="38" t="s">
        <v>42</v>
      </c>
    </row>
    <row r="283" ht="22.5" customHeight="1">
      <c r="A283" s="17">
        <v>46136.0</v>
      </c>
      <c r="B283" s="50"/>
      <c r="C283" s="20" t="s">
        <v>711</v>
      </c>
      <c r="D283" s="23" t="s">
        <v>63</v>
      </c>
      <c r="E283" s="27" t="str">
        <f t="array" ref="E283">IF(D283="", "", XLOOKUP(D283, 'MASTER ITEM LIST'!A:A, 'MASTER ITEM LIST'!B:B, ""))</f>
        <v>OLD NEWS</v>
      </c>
      <c r="F283" s="50"/>
      <c r="G283" s="30" t="s">
        <v>34</v>
      </c>
      <c r="H283" s="19">
        <v>1.0</v>
      </c>
      <c r="I283" s="19" t="str">
        <f t="array" ref="I283">IFERROR(XLOOKUP(D283,'MASTER ITEM LIST'!A:A,'MASTER ITEM LIST'!D:D), "")</f>
        <v>KG</v>
      </c>
      <c r="J283" s="34">
        <v>100.0</v>
      </c>
      <c r="K283" s="36">
        <f t="shared" si="1"/>
        <v>100</v>
      </c>
      <c r="L283" s="38" t="s">
        <v>42</v>
      </c>
    </row>
    <row r="284" ht="22.5" customHeight="1">
      <c r="A284" s="17">
        <v>46136.0</v>
      </c>
      <c r="B284" s="50"/>
      <c r="C284" s="20" t="s">
        <v>711</v>
      </c>
      <c r="D284" s="23" t="s">
        <v>233</v>
      </c>
      <c r="E284" s="27" t="str">
        <f t="array" ref="E284">IF(D284="", "", XLOOKUP(D284, 'MASTER ITEM LIST'!A:A, 'MASTER ITEM LIST'!B:B, ""))</f>
        <v>NAX ALPHA HB SPRAY FILLER GRAY WITH HARDENER 1L</v>
      </c>
      <c r="F284" s="50"/>
      <c r="G284" s="30" t="s">
        <v>34</v>
      </c>
      <c r="H284" s="19">
        <v>0.5</v>
      </c>
      <c r="I284" s="19" t="str">
        <f t="array" ref="I284">IFERROR(XLOOKUP(D284,'MASTER ITEM LIST'!A:A,'MASTER ITEM LIST'!D:D), "")</f>
        <v>LITER</v>
      </c>
      <c r="J284" s="34">
        <v>880.0</v>
      </c>
      <c r="K284" s="36">
        <f t="shared" si="1"/>
        <v>440</v>
      </c>
      <c r="L284" s="38" t="s">
        <v>42</v>
      </c>
    </row>
    <row r="285" ht="22.5" customHeight="1">
      <c r="A285" s="17">
        <v>46137.0</v>
      </c>
      <c r="B285" s="50"/>
      <c r="C285" s="20" t="s">
        <v>711</v>
      </c>
      <c r="D285" s="23" t="s">
        <v>554</v>
      </c>
      <c r="E285" s="27" t="str">
        <f t="array" ref="E285">IF(D285="", "", XLOOKUP(D285, 'MASTER ITEM LIST'!A:A, 'MASTER ITEM LIST'!B:B, ""))</f>
        <v>EAGLE SANDPAPER #400</v>
      </c>
      <c r="F285" s="50"/>
      <c r="G285" s="30" t="s">
        <v>34</v>
      </c>
      <c r="H285" s="19">
        <v>1.0</v>
      </c>
      <c r="I285" s="19" t="str">
        <f t="array" ref="I285">IFERROR(XLOOKUP(D285,'MASTER ITEM LIST'!A:A,'MASTER ITEM LIST'!D:D), "")</f>
        <v>PC/S</v>
      </c>
      <c r="J285" s="34">
        <v>25.0</v>
      </c>
      <c r="K285" s="36">
        <f t="shared" si="1"/>
        <v>25</v>
      </c>
      <c r="L285" s="38" t="s">
        <v>42</v>
      </c>
    </row>
    <row r="286" ht="22.5" customHeight="1">
      <c r="A286" s="17">
        <v>46137.0</v>
      </c>
      <c r="B286" s="50"/>
      <c r="C286" s="20" t="s">
        <v>711</v>
      </c>
      <c r="D286" s="23" t="s">
        <v>355</v>
      </c>
      <c r="E286" s="27" t="str">
        <f t="array" ref="E286">IF(D286="", "", XLOOKUP(D286, 'MASTER ITEM LIST'!A:A, 'MASTER ITEM LIST'!B:B, ""))</f>
        <v>PYLOX LAZER SILVER 42</v>
      </c>
      <c r="F286" s="50"/>
      <c r="G286" s="30" t="s">
        <v>34</v>
      </c>
      <c r="H286" s="19">
        <v>1.0</v>
      </c>
      <c r="I286" s="19" t="str">
        <f t="array" ref="I286">IFERROR(XLOOKUP(D286,'MASTER ITEM LIST'!A:A,'MASTER ITEM LIST'!D:D), "")</f>
        <v>CAN</v>
      </c>
      <c r="J286" s="34">
        <v>140.0</v>
      </c>
      <c r="K286" s="36">
        <f t="shared" si="1"/>
        <v>140</v>
      </c>
      <c r="L286" s="38" t="s">
        <v>42</v>
      </c>
    </row>
    <row r="287" ht="22.5" customHeight="1">
      <c r="A287" s="17">
        <v>46137.0</v>
      </c>
      <c r="B287" s="50"/>
      <c r="C287" s="20" t="s">
        <v>711</v>
      </c>
      <c r="D287" s="23" t="s">
        <v>326</v>
      </c>
      <c r="E287" s="27" t="str">
        <f t="array" ref="E287">IF(D287="", "", XLOOKUP(D287, 'MASTER ITEM LIST'!A:A, 'MASTER ITEM LIST'!B:B, ""))</f>
        <v>EAGLE SANDPAPER #1200</v>
      </c>
      <c r="F287" s="50"/>
      <c r="G287" s="30" t="s">
        <v>34</v>
      </c>
      <c r="H287" s="19">
        <v>2.0</v>
      </c>
      <c r="I287" s="19" t="str">
        <f t="array" ref="I287">IFERROR(XLOOKUP(D287,'MASTER ITEM LIST'!A:A,'MASTER ITEM LIST'!D:D), "")</f>
        <v>PC/S</v>
      </c>
      <c r="J287" s="34">
        <v>25.0</v>
      </c>
      <c r="K287" s="36">
        <f t="shared" si="1"/>
        <v>50</v>
      </c>
      <c r="L287" s="38" t="s">
        <v>42</v>
      </c>
    </row>
    <row r="288" ht="22.5" customHeight="1">
      <c r="A288" s="17">
        <v>46137.0</v>
      </c>
      <c r="B288" s="50"/>
      <c r="C288" s="20" t="s">
        <v>711</v>
      </c>
      <c r="D288" s="23" t="s">
        <v>304</v>
      </c>
      <c r="E288" s="27" t="str">
        <f t="array" ref="E288">IF(D288="", "", XLOOKUP(D288, 'MASTER ITEM LIST'!A:A, 'MASTER ITEM LIST'!B:B, ""))</f>
        <v>NAX NAT-100 TTC WHITE 4L</v>
      </c>
      <c r="F288" s="19" t="s">
        <v>48</v>
      </c>
      <c r="G288" s="30" t="s">
        <v>34</v>
      </c>
      <c r="H288" s="19">
        <v>0.125</v>
      </c>
      <c r="I288" s="19" t="str">
        <f t="array" ref="I288">IFERROR(XLOOKUP(D288,'MASTER ITEM LIST'!A:A,'MASTER ITEM LIST'!D:D), "")</f>
        <v>GAL</v>
      </c>
      <c r="J288" s="34">
        <v>4000.0</v>
      </c>
      <c r="K288" s="36">
        <f t="shared" si="1"/>
        <v>500</v>
      </c>
      <c r="L288" s="38" t="s">
        <v>42</v>
      </c>
    </row>
    <row r="289" ht="22.5" customHeight="1">
      <c r="A289" s="17">
        <v>46139.0</v>
      </c>
      <c r="B289" s="50"/>
      <c r="C289" s="20" t="s">
        <v>711</v>
      </c>
      <c r="D289" s="23" t="s">
        <v>136</v>
      </c>
      <c r="E289" s="27" t="str">
        <f t="array" ref="E289">IF(D289="", "", XLOOKUP(D289, 'MASTER ITEM LIST'!A:A, 'MASTER ITEM LIST'!B:B, ""))</f>
        <v>CROCO MASKING TAPE 3/4 18MM (1X64)</v>
      </c>
      <c r="F289" s="50"/>
      <c r="G289" s="30" t="s">
        <v>34</v>
      </c>
      <c r="H289" s="19">
        <v>3.0</v>
      </c>
      <c r="I289" s="19" t="str">
        <f t="array" ref="I289">IFERROR(XLOOKUP(D289,'MASTER ITEM LIST'!A:A,'MASTER ITEM LIST'!D:D), "")</f>
        <v>PC/S</v>
      </c>
      <c r="J289" s="34">
        <v>35.0</v>
      </c>
      <c r="K289" s="36">
        <f t="shared" si="1"/>
        <v>105</v>
      </c>
      <c r="L289" s="38" t="s">
        <v>42</v>
      </c>
    </row>
    <row r="290" ht="22.5" customHeight="1">
      <c r="A290" s="17">
        <v>46139.0</v>
      </c>
      <c r="B290" s="50"/>
      <c r="C290" s="20" t="s">
        <v>711</v>
      </c>
      <c r="D290" s="23" t="s">
        <v>63</v>
      </c>
      <c r="E290" s="27" t="str">
        <f t="array" ref="E290">IF(D290="", "", XLOOKUP(D290, 'MASTER ITEM LIST'!A:A, 'MASTER ITEM LIST'!B:B, ""))</f>
        <v>OLD NEWS</v>
      </c>
      <c r="F290" s="50"/>
      <c r="G290" s="30" t="s">
        <v>34</v>
      </c>
      <c r="H290" s="19">
        <v>1.0</v>
      </c>
      <c r="I290" s="19" t="str">
        <f t="array" ref="I290">IFERROR(XLOOKUP(D290,'MASTER ITEM LIST'!A:A,'MASTER ITEM LIST'!D:D), "")</f>
        <v>KG</v>
      </c>
      <c r="J290" s="34">
        <v>100.0</v>
      </c>
      <c r="K290" s="36">
        <f t="shared" si="1"/>
        <v>100</v>
      </c>
      <c r="L290" s="38" t="s">
        <v>42</v>
      </c>
    </row>
    <row r="291" ht="22.5" customHeight="1">
      <c r="A291" s="17">
        <v>46139.0</v>
      </c>
      <c r="B291" s="50"/>
      <c r="C291" s="20" t="s">
        <v>711</v>
      </c>
      <c r="D291" s="23" t="s">
        <v>136</v>
      </c>
      <c r="E291" s="27" t="str">
        <f t="array" ref="E291">IF(D291="", "", XLOOKUP(D291, 'MASTER ITEM LIST'!A:A, 'MASTER ITEM LIST'!B:B, ""))</f>
        <v>CROCO MASKING TAPE 3/4 18MM (1X64)</v>
      </c>
      <c r="F291" s="50"/>
      <c r="G291" s="30" t="s">
        <v>34</v>
      </c>
      <c r="H291" s="19">
        <v>6.0</v>
      </c>
      <c r="I291" s="19" t="str">
        <f t="array" ref="I291">IFERROR(XLOOKUP(D291,'MASTER ITEM LIST'!A:A,'MASTER ITEM LIST'!D:D), "")</f>
        <v>PC/S</v>
      </c>
      <c r="J291" s="34">
        <v>35.0</v>
      </c>
      <c r="K291" s="36">
        <f t="shared" si="1"/>
        <v>210</v>
      </c>
      <c r="L291" s="38" t="s">
        <v>42</v>
      </c>
    </row>
    <row r="292" ht="22.5" customHeight="1">
      <c r="A292" s="17">
        <v>46139.0</v>
      </c>
      <c r="B292" s="50"/>
      <c r="C292" s="20" t="s">
        <v>711</v>
      </c>
      <c r="D292" s="23" t="s">
        <v>315</v>
      </c>
      <c r="E292" s="27" t="str">
        <f t="array" ref="E292">IF(D292="", "", XLOOKUP(D292, 'MASTER ITEM LIST'!A:A, 'MASTER ITEM LIST'!B:B, ""))</f>
        <v>CUMI SUPREME FLOOR SANDING 60</v>
      </c>
      <c r="F292" s="50"/>
      <c r="G292" s="30" t="s">
        <v>34</v>
      </c>
      <c r="H292" s="19">
        <v>1.0</v>
      </c>
      <c r="I292" s="19" t="str">
        <f t="array" ref="I292">IFERROR(XLOOKUP(D292,'MASTER ITEM LIST'!A:A,'MASTER ITEM LIST'!D:D), "")</f>
        <v>FT</v>
      </c>
      <c r="J292" s="34">
        <v>95.0</v>
      </c>
      <c r="K292" s="36">
        <f t="shared" si="1"/>
        <v>95</v>
      </c>
      <c r="L292" s="38" t="s">
        <v>42</v>
      </c>
    </row>
    <row r="293" ht="22.5" customHeight="1">
      <c r="A293" s="17">
        <v>46139.0</v>
      </c>
      <c r="B293" s="50"/>
      <c r="C293" s="20" t="s">
        <v>711</v>
      </c>
      <c r="D293" s="23" t="s">
        <v>1046</v>
      </c>
      <c r="E293" s="27" t="str">
        <f t="array" ref="E293">IF(D293="", "", XLOOKUP(D293, 'MASTER ITEM LIST'!A:A, 'MASTER ITEM LIST'!B:B, ""))</f>
        <v>CUMI SUPREME FLOOR SANDING 36</v>
      </c>
      <c r="F293" s="50"/>
      <c r="G293" s="30" t="s">
        <v>34</v>
      </c>
      <c r="H293" s="19">
        <v>1.0</v>
      </c>
      <c r="I293" s="19" t="str">
        <f t="array" ref="I293">IFERROR(XLOOKUP(D293,'MASTER ITEM LIST'!A:A,'MASTER ITEM LIST'!D:D), "")</f>
        <v>FT</v>
      </c>
      <c r="J293" s="34">
        <v>120.0</v>
      </c>
      <c r="K293" s="36">
        <f t="shared" si="1"/>
        <v>120</v>
      </c>
      <c r="L293" s="38" t="s">
        <v>42</v>
      </c>
    </row>
    <row r="294" ht="22.5" customHeight="1">
      <c r="A294" s="17">
        <v>46139.0</v>
      </c>
      <c r="B294" s="50"/>
      <c r="C294" s="20" t="s">
        <v>711</v>
      </c>
      <c r="D294" s="23" t="s">
        <v>220</v>
      </c>
      <c r="E294" s="27" t="str">
        <f t="array" ref="E294">IF(D294="", "", XLOOKUP(D294, 'MASTER ITEM LIST'!A:A, 'MASTER ITEM LIST'!B:B, ""))</f>
        <v>PREMILA MIXING 1L</v>
      </c>
      <c r="F294" s="19" t="s">
        <v>222</v>
      </c>
      <c r="G294" s="30" t="s">
        <v>34</v>
      </c>
      <c r="H294" s="19">
        <v>0.25</v>
      </c>
      <c r="I294" s="19" t="str">
        <f t="array" ref="I294">IFERROR(XLOOKUP(D294,'MASTER ITEM LIST'!A:A,'MASTER ITEM LIST'!D:D), "")</f>
        <v>LITER</v>
      </c>
      <c r="J294" s="34">
        <v>2600.0</v>
      </c>
      <c r="K294" s="36">
        <f t="shared" si="1"/>
        <v>650</v>
      </c>
      <c r="L294" s="38" t="s">
        <v>42</v>
      </c>
    </row>
    <row r="295" ht="22.5" customHeight="1">
      <c r="A295" s="17">
        <v>46140.0</v>
      </c>
      <c r="B295" s="50"/>
      <c r="C295" s="20" t="s">
        <v>711</v>
      </c>
      <c r="D295" s="23" t="s">
        <v>167</v>
      </c>
      <c r="E295" s="27" t="str">
        <f t="array" ref="E295">IF(D295="", "", XLOOKUP(D295, 'MASTER ITEM LIST'!A:A, 'MASTER ITEM LIST'!B:B, ""))</f>
        <v>NAX QDU MIX 1L</v>
      </c>
      <c r="F295" s="19" t="s">
        <v>1160</v>
      </c>
      <c r="G295" s="30" t="s">
        <v>34</v>
      </c>
      <c r="H295" s="19">
        <v>0.25</v>
      </c>
      <c r="I295" s="19" t="str">
        <f t="array" ref="I295">IFERROR(XLOOKUP(D295,'MASTER ITEM LIST'!A:A,'MASTER ITEM LIST'!D:D), "")</f>
        <v>LITER</v>
      </c>
      <c r="J295" s="34">
        <v>1560.0</v>
      </c>
      <c r="K295" s="36">
        <f t="shared" si="1"/>
        <v>390</v>
      </c>
      <c r="L295" s="38" t="s">
        <v>42</v>
      </c>
    </row>
    <row r="296" ht="22.5" customHeight="1">
      <c r="A296" s="17">
        <v>46140.0</v>
      </c>
      <c r="B296" s="50"/>
      <c r="C296" s="20" t="s">
        <v>711</v>
      </c>
      <c r="D296" s="23" t="s">
        <v>563</v>
      </c>
      <c r="E296" s="27" t="str">
        <f t="array" ref="E296">IF(D296="", "", XLOOKUP(D296, 'MASTER ITEM LIST'!A:A, 'MASTER ITEM LIST'!B:B, ""))</f>
        <v>NIPPON EXTREME QDU WHITE 4L</v>
      </c>
      <c r="F296" s="19" t="s">
        <v>48</v>
      </c>
      <c r="G296" s="30" t="s">
        <v>34</v>
      </c>
      <c r="H296" s="19">
        <v>0.0625</v>
      </c>
      <c r="I296" s="19" t="str">
        <f t="array" ref="I296">IFERROR(XLOOKUP(D296,'MASTER ITEM LIST'!A:A,'MASTER ITEM LIST'!D:D), "")</f>
        <v>GAL</v>
      </c>
      <c r="J296" s="34">
        <v>3200.0</v>
      </c>
      <c r="K296" s="36">
        <f t="shared" si="1"/>
        <v>200</v>
      </c>
      <c r="L296" s="38" t="s">
        <v>42</v>
      </c>
    </row>
    <row r="297" ht="22.5" customHeight="1">
      <c r="A297" s="17">
        <v>46140.0</v>
      </c>
      <c r="B297" s="50"/>
      <c r="C297" s="20" t="s">
        <v>711</v>
      </c>
      <c r="D297" s="23" t="s">
        <v>134</v>
      </c>
      <c r="E297" s="27" t="str">
        <f t="array" ref="E297">IF(D297="", "", XLOOKUP(D297, 'MASTER ITEM LIST'!A:A, 'MASTER ITEM LIST'!B:B, ""))</f>
        <v>QDE MIXING NP, DAVIES, BOYSEN, ALPHA CHROMA, WC 1L</v>
      </c>
      <c r="F297" s="19" t="s">
        <v>886</v>
      </c>
      <c r="G297" s="30" t="s">
        <v>34</v>
      </c>
      <c r="H297" s="19">
        <v>1.0</v>
      </c>
      <c r="I297" s="19" t="str">
        <f t="array" ref="I297">IFERROR(XLOOKUP(D297,'MASTER ITEM LIST'!A:A,'MASTER ITEM LIST'!D:D), "")</f>
        <v>LITER</v>
      </c>
      <c r="J297" s="34">
        <v>240.0</v>
      </c>
      <c r="K297" s="36">
        <f t="shared" si="1"/>
        <v>240</v>
      </c>
      <c r="L297" s="38" t="s">
        <v>42</v>
      </c>
    </row>
    <row r="298" ht="22.5" customHeight="1">
      <c r="A298" s="17">
        <v>46140.0</v>
      </c>
      <c r="B298" s="50"/>
      <c r="C298" s="20" t="s">
        <v>711</v>
      </c>
      <c r="D298" s="23" t="s">
        <v>40</v>
      </c>
      <c r="E298" s="27" t="str">
        <f t="array" ref="E298">IF(D298="", "", XLOOKUP(D298, 'MASTER ITEM LIST'!A:A, 'MASTER ITEM LIST'!B:B, ""))</f>
        <v>2B PAINT BRUSH #2</v>
      </c>
      <c r="F298" s="50"/>
      <c r="G298" s="30" t="s">
        <v>34</v>
      </c>
      <c r="H298" s="19">
        <v>1.0</v>
      </c>
      <c r="I298" s="19" t="str">
        <f t="array" ref="I298">IFERROR(XLOOKUP(D298,'MASTER ITEM LIST'!A:A,'MASTER ITEM LIST'!D:D), "")</f>
        <v>PC/S</v>
      </c>
      <c r="J298" s="34">
        <v>50.0</v>
      </c>
      <c r="K298" s="36">
        <f t="shared" si="1"/>
        <v>50</v>
      </c>
      <c r="L298" s="38" t="s">
        <v>42</v>
      </c>
    </row>
    <row r="299" ht="22.5" customHeight="1">
      <c r="A299" s="17">
        <v>46140.0</v>
      </c>
      <c r="B299" s="50"/>
      <c r="C299" s="20" t="s">
        <v>711</v>
      </c>
      <c r="D299" s="23" t="s">
        <v>334</v>
      </c>
      <c r="E299" s="27" t="str">
        <f t="array" ref="E299">IF(D299="", "", XLOOKUP(D299, 'MASTER ITEM LIST'!A:A, 'MASTER ITEM LIST'!B:B, ""))</f>
        <v>PLATONE QDE BLACK 4L</v>
      </c>
      <c r="F299" s="19" t="s">
        <v>48</v>
      </c>
      <c r="G299" s="30" t="s">
        <v>34</v>
      </c>
      <c r="H299" s="19">
        <v>0.0625</v>
      </c>
      <c r="I299" s="19" t="str">
        <f t="array" ref="I299">IFERROR(XLOOKUP(D299,'MASTER ITEM LIST'!A:A,'MASTER ITEM LIST'!D:D), "")</f>
        <v>GAL</v>
      </c>
      <c r="J299" s="34">
        <v>960.0</v>
      </c>
      <c r="K299" s="36">
        <f t="shared" si="1"/>
        <v>60</v>
      </c>
      <c r="L299" s="38" t="s">
        <v>42</v>
      </c>
    </row>
    <row r="300" ht="22.5" customHeight="1">
      <c r="A300" s="17">
        <v>46140.0</v>
      </c>
      <c r="B300" s="50"/>
      <c r="C300" s="20" t="s">
        <v>711</v>
      </c>
      <c r="D300" s="23" t="s">
        <v>167</v>
      </c>
      <c r="E300" s="27" t="str">
        <f t="array" ref="E300">IF(D300="", "", XLOOKUP(D300, 'MASTER ITEM LIST'!A:A, 'MASTER ITEM LIST'!B:B, ""))</f>
        <v>NAX QDU MIX 1L</v>
      </c>
      <c r="F300" s="19" t="s">
        <v>1176</v>
      </c>
      <c r="G300" s="30" t="s">
        <v>34</v>
      </c>
      <c r="H300" s="19">
        <v>0.25</v>
      </c>
      <c r="I300" s="19" t="str">
        <f t="array" ref="I300">IFERROR(XLOOKUP(D300,'MASTER ITEM LIST'!A:A,'MASTER ITEM LIST'!D:D), "")</f>
        <v>LITER</v>
      </c>
      <c r="J300" s="34">
        <v>1080.0</v>
      </c>
      <c r="K300" s="36">
        <f t="shared" si="1"/>
        <v>270</v>
      </c>
      <c r="L300" s="38" t="s">
        <v>42</v>
      </c>
    </row>
    <row r="301" ht="22.5" customHeight="1">
      <c r="A301" s="17">
        <v>46140.0</v>
      </c>
      <c r="B301" s="50"/>
      <c r="C301" s="20" t="s">
        <v>711</v>
      </c>
      <c r="D301" s="23" t="s">
        <v>167</v>
      </c>
      <c r="E301" s="27" t="str">
        <f t="array" ref="E301">IF(D301="", "", XLOOKUP(D301, 'MASTER ITEM LIST'!A:A, 'MASTER ITEM LIST'!B:B, ""))</f>
        <v>NAX QDU MIX 1L</v>
      </c>
      <c r="F301" s="19" t="s">
        <v>713</v>
      </c>
      <c r="G301" s="30" t="s">
        <v>34</v>
      </c>
      <c r="H301" s="19">
        <v>0.25</v>
      </c>
      <c r="I301" s="19" t="str">
        <f t="array" ref="I301">IFERROR(XLOOKUP(D301,'MASTER ITEM LIST'!A:A,'MASTER ITEM LIST'!D:D), "")</f>
        <v>LITER</v>
      </c>
      <c r="J301" s="34">
        <v>1520.0</v>
      </c>
      <c r="K301" s="36">
        <f t="shared" si="1"/>
        <v>380</v>
      </c>
      <c r="L301" s="38" t="s">
        <v>42</v>
      </c>
    </row>
    <row r="302" ht="22.5" customHeight="1">
      <c r="A302" s="17">
        <v>46140.0</v>
      </c>
      <c r="B302" s="50"/>
      <c r="C302" s="20" t="s">
        <v>711</v>
      </c>
      <c r="D302" s="23" t="s">
        <v>410</v>
      </c>
      <c r="E302" s="27" t="str">
        <f t="array" ref="E302">IF(D302="", "", XLOOKUP(D302, 'MASTER ITEM LIST'!A:A, 'MASTER ITEM LIST'!B:B, ""))</f>
        <v>NAX NAX21 URETHANE HAEDENER</v>
      </c>
      <c r="F302" s="50"/>
      <c r="G302" s="30" t="s">
        <v>34</v>
      </c>
      <c r="H302" s="19">
        <v>1.0</v>
      </c>
      <c r="I302" s="19" t="str">
        <f t="array" ref="I302">IFERROR(XLOOKUP(D302,'MASTER ITEM LIST'!A:A,'MASTER ITEM LIST'!D:D), "")</f>
        <v>CANS</v>
      </c>
      <c r="J302" s="34">
        <v>240.0</v>
      </c>
      <c r="K302" s="36">
        <f t="shared" si="1"/>
        <v>240</v>
      </c>
      <c r="L302" s="38" t="s">
        <v>42</v>
      </c>
    </row>
    <row r="303" ht="22.5" customHeight="1">
      <c r="A303" s="17">
        <v>46140.0</v>
      </c>
      <c r="B303" s="50"/>
      <c r="C303" s="20" t="s">
        <v>711</v>
      </c>
      <c r="D303" s="23" t="s">
        <v>53</v>
      </c>
      <c r="E303" s="27" t="str">
        <f t="array" ref="E303">IF(D303="", "", XLOOKUP(D303, 'MASTER ITEM LIST'!A:A, 'MASTER ITEM LIST'!B:B, ""))</f>
        <v>NAX 108 CERAMIC 2K CLEAR WITH HARDENER 1L</v>
      </c>
      <c r="F303" s="19" t="s">
        <v>48</v>
      </c>
      <c r="G303" s="30" t="s">
        <v>34</v>
      </c>
      <c r="H303" s="19">
        <v>0.5</v>
      </c>
      <c r="I303" s="19" t="str">
        <f t="array" ref="I303">IFERROR(XLOOKUP(D303,'MASTER ITEM LIST'!A:A,'MASTER ITEM LIST'!D:D), "")</f>
        <v>LITER</v>
      </c>
      <c r="J303" s="34">
        <v>700.0</v>
      </c>
      <c r="K303" s="36">
        <f t="shared" si="1"/>
        <v>350</v>
      </c>
      <c r="L303" s="38" t="s">
        <v>42</v>
      </c>
    </row>
    <row r="304" ht="22.5" customHeight="1">
      <c r="A304" s="17">
        <v>46140.0</v>
      </c>
      <c r="B304" s="50"/>
      <c r="C304" s="20" t="s">
        <v>711</v>
      </c>
      <c r="D304" s="23" t="s">
        <v>548</v>
      </c>
      <c r="E304" s="27" t="str">
        <f t="array" ref="E304">IF(D304="", "", XLOOKUP(D304, 'MASTER ITEM LIST'!A:A, 'MASTER ITEM LIST'!B:B, ""))</f>
        <v>EAGLE SANDPAPER #240</v>
      </c>
      <c r="F304" s="50"/>
      <c r="G304" s="30" t="s">
        <v>34</v>
      </c>
      <c r="H304" s="19">
        <v>2.0</v>
      </c>
      <c r="I304" s="19" t="str">
        <f t="array" ref="I304">IFERROR(XLOOKUP(D304,'MASTER ITEM LIST'!A:A,'MASTER ITEM LIST'!D:D), "")</f>
        <v>PC/S</v>
      </c>
      <c r="J304" s="34">
        <v>25.0</v>
      </c>
      <c r="K304" s="36">
        <f t="shared" si="1"/>
        <v>50</v>
      </c>
      <c r="L304" s="38" t="s">
        <v>42</v>
      </c>
    </row>
    <row r="305" ht="22.5" customHeight="1">
      <c r="A305" s="17">
        <v>46140.0</v>
      </c>
      <c r="B305" s="50"/>
      <c r="C305" s="20" t="s">
        <v>711</v>
      </c>
      <c r="D305" s="23" t="s">
        <v>942</v>
      </c>
      <c r="E305" s="27" t="str">
        <f t="array" ref="E305">IF(D305="", "", XLOOKUP(D305, 'MASTER ITEM LIST'!A:A, 'MASTER ITEM LIST'!B:B, ""))</f>
        <v>EAGLE SANDPAPER #1000</v>
      </c>
      <c r="F305" s="50"/>
      <c r="G305" s="30" t="s">
        <v>34</v>
      </c>
      <c r="H305" s="19">
        <v>2.0</v>
      </c>
      <c r="I305" s="19" t="str">
        <f t="array" ref="I305">IFERROR(XLOOKUP(D305,'MASTER ITEM LIST'!A:A,'MASTER ITEM LIST'!D:D), "")</f>
        <v>PC/S</v>
      </c>
      <c r="J305" s="34">
        <v>25.0</v>
      </c>
      <c r="K305" s="36">
        <f t="shared" si="1"/>
        <v>50</v>
      </c>
      <c r="L305" s="38" t="s">
        <v>42</v>
      </c>
    </row>
    <row r="306" ht="22.5" customHeight="1">
      <c r="A306" s="17">
        <v>46140.0</v>
      </c>
      <c r="B306" s="50"/>
      <c r="C306" s="20" t="s">
        <v>711</v>
      </c>
      <c r="D306" s="23" t="s">
        <v>136</v>
      </c>
      <c r="E306" s="27" t="str">
        <f t="array" ref="E306">IF(D306="", "", XLOOKUP(D306, 'MASTER ITEM LIST'!A:A, 'MASTER ITEM LIST'!B:B, ""))</f>
        <v>CROCO MASKING TAPE 3/4 18MM (1X64)</v>
      </c>
      <c r="F306" s="50"/>
      <c r="G306" s="30" t="s">
        <v>34</v>
      </c>
      <c r="H306" s="19">
        <v>1.0</v>
      </c>
      <c r="I306" s="19" t="str">
        <f t="array" ref="I306">IFERROR(XLOOKUP(D306,'MASTER ITEM LIST'!A:A,'MASTER ITEM LIST'!D:D), "")</f>
        <v>PC/S</v>
      </c>
      <c r="J306" s="34">
        <v>35.0</v>
      </c>
      <c r="K306" s="36">
        <f t="shared" si="1"/>
        <v>35</v>
      </c>
      <c r="L306" s="38" t="s">
        <v>42</v>
      </c>
    </row>
    <row r="307" ht="22.5" customHeight="1">
      <c r="A307" s="17">
        <v>46141.0</v>
      </c>
      <c r="B307" s="50"/>
      <c r="C307" s="20" t="s">
        <v>711</v>
      </c>
      <c r="D307" s="23" t="s">
        <v>334</v>
      </c>
      <c r="E307" s="27" t="str">
        <f t="array" ref="E307">IF(D307="", "", XLOOKUP(D307, 'MASTER ITEM LIST'!A:A, 'MASTER ITEM LIST'!B:B, ""))</f>
        <v>PLATONE QDE BLACK 4L</v>
      </c>
      <c r="F307" s="19" t="s">
        <v>48</v>
      </c>
      <c r="G307" s="30" t="s">
        <v>34</v>
      </c>
      <c r="H307" s="19">
        <v>0.25</v>
      </c>
      <c r="I307" s="19" t="str">
        <f t="array" ref="I307">IFERROR(XLOOKUP(D307,'MASTER ITEM LIST'!A:A,'MASTER ITEM LIST'!D:D), "")</f>
        <v>GAL</v>
      </c>
      <c r="J307" s="34">
        <v>920.0</v>
      </c>
      <c r="K307" s="36">
        <f t="shared" si="1"/>
        <v>230</v>
      </c>
      <c r="L307" s="38" t="s">
        <v>42</v>
      </c>
    </row>
    <row r="308" ht="22.5" customHeight="1">
      <c r="A308" s="17">
        <v>46141.0</v>
      </c>
      <c r="B308" s="50"/>
      <c r="C308" s="20" t="s">
        <v>711</v>
      </c>
      <c r="D308" s="23" t="s">
        <v>167</v>
      </c>
      <c r="E308" s="27" t="str">
        <f t="array" ref="E308">IF(D308="", "", XLOOKUP(D308, 'MASTER ITEM LIST'!A:A, 'MASTER ITEM LIST'!B:B, ""))</f>
        <v>NAX QDU MIX 1L</v>
      </c>
      <c r="F308" s="19" t="s">
        <v>713</v>
      </c>
      <c r="G308" s="30" t="s">
        <v>34</v>
      </c>
      <c r="H308" s="19">
        <v>3.0</v>
      </c>
      <c r="I308" s="19" t="str">
        <f t="array" ref="I308">IFERROR(XLOOKUP(D308,'MASTER ITEM LIST'!A:A,'MASTER ITEM LIST'!D:D), "")</f>
        <v>LITER</v>
      </c>
      <c r="J308" s="34">
        <v>1500.0</v>
      </c>
      <c r="K308" s="36">
        <f t="shared" si="1"/>
        <v>4500</v>
      </c>
      <c r="L308" s="38" t="s">
        <v>42</v>
      </c>
    </row>
    <row r="309" ht="22.5" customHeight="1">
      <c r="A309" s="17">
        <v>46141.0</v>
      </c>
      <c r="B309" s="50"/>
      <c r="C309" s="20" t="s">
        <v>711</v>
      </c>
      <c r="D309" s="23" t="s">
        <v>410</v>
      </c>
      <c r="E309" s="27" t="str">
        <f t="array" ref="E309">IF(D309="", "", XLOOKUP(D309, 'MASTER ITEM LIST'!A:A, 'MASTER ITEM LIST'!B:B, ""))</f>
        <v>NAX NAX21 URETHANE HAEDENER</v>
      </c>
      <c r="F309" s="50"/>
      <c r="G309" s="30" t="s">
        <v>34</v>
      </c>
      <c r="H309" s="19">
        <v>3.0</v>
      </c>
      <c r="I309" s="19" t="str">
        <f t="array" ref="I309">IFERROR(XLOOKUP(D309,'MASTER ITEM LIST'!A:A,'MASTER ITEM LIST'!D:D), "")</f>
        <v>CANS</v>
      </c>
      <c r="J309" s="34">
        <v>250.0</v>
      </c>
      <c r="K309" s="36">
        <f t="shared" si="1"/>
        <v>750</v>
      </c>
      <c r="L309" s="38" t="s">
        <v>42</v>
      </c>
    </row>
    <row r="310" ht="22.5" customHeight="1">
      <c r="A310" s="17">
        <v>46141.0</v>
      </c>
      <c r="B310" s="50"/>
      <c r="C310" s="20" t="s">
        <v>711</v>
      </c>
      <c r="D310" s="23" t="s">
        <v>1033</v>
      </c>
      <c r="E310" s="27" t="str">
        <f t="array" ref="E310">IF(D310="", "", XLOOKUP(D310, 'MASTER ITEM LIST'!A:A, 'MASTER ITEM LIST'!B:B, ""))</f>
        <v>CUMI SUPREME FLOOR SANDING 80</v>
      </c>
      <c r="F310" s="50"/>
      <c r="G310" s="30" t="s">
        <v>34</v>
      </c>
      <c r="H310" s="19">
        <v>1.0</v>
      </c>
      <c r="I310" s="19" t="str">
        <f t="array" ref="I310">IFERROR(XLOOKUP(D310,'MASTER ITEM LIST'!A:A,'MASTER ITEM LIST'!D:D), "")</f>
        <v>FT</v>
      </c>
      <c r="J310" s="34">
        <v>95.0</v>
      </c>
      <c r="K310" s="36">
        <f t="shared" si="1"/>
        <v>95</v>
      </c>
      <c r="L310" s="38" t="s">
        <v>42</v>
      </c>
    </row>
    <row r="311" ht="22.5" customHeight="1">
      <c r="A311" s="17">
        <v>46141.0</v>
      </c>
      <c r="B311" s="50"/>
      <c r="C311" s="20" t="s">
        <v>711</v>
      </c>
      <c r="D311" s="23" t="s">
        <v>233</v>
      </c>
      <c r="E311" s="27" t="str">
        <f t="array" ref="E311">IF(D311="", "", XLOOKUP(D311, 'MASTER ITEM LIST'!A:A, 'MASTER ITEM LIST'!B:B, ""))</f>
        <v>NAX ALPHA HB SPRAY FILLER GRAY WITH HARDENER 1L</v>
      </c>
      <c r="F311" s="50"/>
      <c r="G311" s="30" t="s">
        <v>34</v>
      </c>
      <c r="H311" s="19">
        <v>0.25</v>
      </c>
      <c r="I311" s="19" t="str">
        <f t="array" ref="I311">IFERROR(XLOOKUP(D311,'MASTER ITEM LIST'!A:A,'MASTER ITEM LIST'!D:D), "")</f>
        <v>LITER</v>
      </c>
      <c r="J311" s="34">
        <v>600.0</v>
      </c>
      <c r="K311" s="36">
        <f t="shared" si="1"/>
        <v>150</v>
      </c>
      <c r="L311" s="38" t="s">
        <v>42</v>
      </c>
    </row>
    <row r="312" ht="22.5" customHeight="1">
      <c r="A312" s="17">
        <v>46141.0</v>
      </c>
      <c r="B312" s="50"/>
      <c r="C312" s="20" t="s">
        <v>711</v>
      </c>
      <c r="D312" s="23" t="s">
        <v>167</v>
      </c>
      <c r="E312" s="27" t="str">
        <f t="array" ref="E312">IF(D312="", "", XLOOKUP(D312, 'MASTER ITEM LIST'!A:A, 'MASTER ITEM LIST'!B:B, ""))</f>
        <v>NAX QDU MIX 1L</v>
      </c>
      <c r="F312" s="19" t="s">
        <v>1201</v>
      </c>
      <c r="G312" s="30" t="s">
        <v>34</v>
      </c>
      <c r="H312" s="19">
        <v>0.25</v>
      </c>
      <c r="I312" s="19" t="str">
        <f t="array" ref="I312">IFERROR(XLOOKUP(D312,'MASTER ITEM LIST'!A:A,'MASTER ITEM LIST'!D:D), "")</f>
        <v>LITER</v>
      </c>
      <c r="J312" s="34">
        <v>1520.0</v>
      </c>
      <c r="K312" s="36">
        <f t="shared" si="1"/>
        <v>380</v>
      </c>
      <c r="L312" s="38" t="s">
        <v>42</v>
      </c>
    </row>
    <row r="313" ht="22.5" customHeight="1">
      <c r="A313" s="17">
        <v>46142.0</v>
      </c>
      <c r="B313" s="50"/>
      <c r="C313" s="20" t="s">
        <v>711</v>
      </c>
      <c r="D313" s="23" t="s">
        <v>220</v>
      </c>
      <c r="E313" s="66" t="str">
        <f t="array" ref="E313">IF(D313="", "", XLOOKUP(D313, 'MASTER ITEM LIST'!A:A, 'MASTER ITEM LIST'!B:B, ""))</f>
        <v>PREMILA MIXING 1L</v>
      </c>
      <c r="F313" s="31" t="s">
        <v>1202</v>
      </c>
      <c r="G313" s="67" t="s">
        <v>34</v>
      </c>
      <c r="H313" s="31">
        <v>0.25</v>
      </c>
      <c r="I313" s="19" t="str">
        <f t="array" ref="I313">IFERROR(XLOOKUP(D313,'MASTER ITEM LIST'!A:A,'MASTER ITEM LIST'!D:D), "")</f>
        <v>LITER</v>
      </c>
      <c r="J313" s="34">
        <v>2400.0</v>
      </c>
      <c r="K313" s="36">
        <f t="shared" si="1"/>
        <v>600</v>
      </c>
      <c r="L313" s="38" t="s">
        <v>42</v>
      </c>
    </row>
    <row r="314" ht="22.5" customHeight="1">
      <c r="A314" s="17">
        <v>46141.0</v>
      </c>
      <c r="B314" s="50"/>
      <c r="C314" s="20" t="s">
        <v>711</v>
      </c>
      <c r="D314" s="23" t="s">
        <v>551</v>
      </c>
      <c r="E314" s="66" t="str">
        <f t="array" ref="E314">IF(D314="", "", XLOOKUP(D314, 'MASTER ITEM LIST'!A:A, 'MASTER ITEM LIST'!B:B, ""))</f>
        <v>NIPPON FLATWALL ENAMEL WHITE 4L</v>
      </c>
      <c r="F314" s="68"/>
      <c r="G314" s="67" t="s">
        <v>34</v>
      </c>
      <c r="H314" s="31">
        <v>2.0</v>
      </c>
      <c r="I314" s="19" t="str">
        <f t="array" ref="I314">IFERROR(XLOOKUP(D314,'MASTER ITEM LIST'!A:A,'MASTER ITEM LIST'!D:D), "")</f>
        <v>GAL</v>
      </c>
      <c r="J314" s="34">
        <v>850.0</v>
      </c>
      <c r="K314" s="36">
        <f t="shared" si="1"/>
        <v>1700</v>
      </c>
      <c r="L314" s="38" t="s">
        <v>42</v>
      </c>
    </row>
    <row r="315" ht="22.5" customHeight="1">
      <c r="A315" s="29">
        <v>46142.0</v>
      </c>
      <c r="B315" s="68"/>
      <c r="C315" s="32" t="s">
        <v>711</v>
      </c>
      <c r="D315" s="23" t="s">
        <v>1023</v>
      </c>
      <c r="E315" s="66" t="str">
        <f t="array" ref="E315">IF(D315="", "", XLOOKUP(D315, 'MASTER ITEM LIST'!A:A, 'MASTER ITEM LIST'!B:B, ""))</f>
        <v>DAVIES QDE WHITE 4L</v>
      </c>
      <c r="F315" s="68"/>
      <c r="G315" s="67" t="s">
        <v>34</v>
      </c>
      <c r="H315" s="31">
        <v>2.0</v>
      </c>
      <c r="I315" s="31" t="str">
        <f t="array" ref="I315">IFERROR(XLOOKUP(D315,'MASTER ITEM LIST'!A:A,'MASTER ITEM LIST'!D:D), "")</f>
        <v>GALON</v>
      </c>
      <c r="J315" s="34">
        <v>1100.0</v>
      </c>
      <c r="K315" s="69">
        <f t="shared" si="1"/>
        <v>2200</v>
      </c>
      <c r="L315" s="70" t="s">
        <v>42</v>
      </c>
    </row>
    <row r="316" ht="22.5" customHeight="1">
      <c r="A316" s="29">
        <v>46142.0</v>
      </c>
      <c r="B316" s="68"/>
      <c r="C316" s="32" t="s">
        <v>711</v>
      </c>
      <c r="D316" s="23" t="s">
        <v>182</v>
      </c>
      <c r="E316" s="66" t="str">
        <f t="array" ref="E316">IF(D316="", "", XLOOKUP(D316, 'MASTER ITEM LIST'!A:A, 'MASTER ITEM LIST'!B:B, ""))</f>
        <v>UNO LACQUER THINNER 4L</v>
      </c>
      <c r="F316" s="68"/>
      <c r="G316" s="67" t="s">
        <v>34</v>
      </c>
      <c r="H316" s="31">
        <v>1.0</v>
      </c>
      <c r="I316" s="31" t="str">
        <f t="array" ref="I316">IFERROR(XLOOKUP(D316,'MASTER ITEM LIST'!A:A,'MASTER ITEM LIST'!D:D), "")</f>
        <v>GAL/S</v>
      </c>
      <c r="J316" s="34">
        <v>560.0</v>
      </c>
      <c r="K316" s="69">
        <f t="shared" si="1"/>
        <v>560</v>
      </c>
      <c r="L316" s="70" t="s">
        <v>42</v>
      </c>
    </row>
    <row r="317" ht="22.5" customHeight="1">
      <c r="A317" s="29">
        <v>46142.0</v>
      </c>
      <c r="B317" s="68"/>
      <c r="C317" s="32" t="s">
        <v>711</v>
      </c>
      <c r="D317" s="23" t="s">
        <v>505</v>
      </c>
      <c r="E317" s="66" t="str">
        <f t="array" ref="E317">IF(D317="", "", XLOOKUP(D317, 'MASTER ITEM LIST'!A:A, 'MASTER ITEM LIST'!B:B, ""))</f>
        <v>PAINT ROLLER TRAY</v>
      </c>
      <c r="F317" s="68"/>
      <c r="G317" s="67" t="s">
        <v>34</v>
      </c>
      <c r="H317" s="31">
        <v>1.0</v>
      </c>
      <c r="I317" s="31" t="str">
        <f t="array" ref="I317">IFERROR(XLOOKUP(D317,'MASTER ITEM LIST'!A:A,'MASTER ITEM LIST'!D:D), "")</f>
        <v>PC/S</v>
      </c>
      <c r="J317" s="34">
        <v>80.0</v>
      </c>
      <c r="K317" s="69">
        <f t="shared" si="1"/>
        <v>80</v>
      </c>
      <c r="L317" s="70" t="s">
        <v>42</v>
      </c>
    </row>
    <row r="318" ht="22.5" customHeight="1">
      <c r="A318" s="29">
        <v>46142.0</v>
      </c>
      <c r="B318" s="68"/>
      <c r="C318" s="32" t="s">
        <v>711</v>
      </c>
      <c r="D318" s="23" t="s">
        <v>112</v>
      </c>
      <c r="E318" s="66" t="str">
        <f t="array" ref="E318">IF(D318="", "", XLOOKUP(D318, 'MASTER ITEM LIST'!A:A, 'MASTER ITEM LIST'!B:B, ""))</f>
        <v>2B PAINT ROLLER #7</v>
      </c>
      <c r="F318" s="68"/>
      <c r="G318" s="67" t="s">
        <v>34</v>
      </c>
      <c r="H318" s="31">
        <v>1.0</v>
      </c>
      <c r="I318" s="31" t="str">
        <f t="array" ref="I318">IFERROR(XLOOKUP(D318,'MASTER ITEM LIST'!A:A,'MASTER ITEM LIST'!D:D), "")</f>
        <v>PC/S</v>
      </c>
      <c r="J318" s="34">
        <v>85.0</v>
      </c>
      <c r="K318" s="69">
        <f t="shared" si="1"/>
        <v>85</v>
      </c>
      <c r="L318" s="70" t="s">
        <v>42</v>
      </c>
    </row>
    <row r="319" ht="22.5" customHeight="1">
      <c r="A319" s="29">
        <v>46142.0</v>
      </c>
      <c r="B319" s="68"/>
      <c r="C319" s="32" t="s">
        <v>711</v>
      </c>
      <c r="D319" s="23" t="s">
        <v>107</v>
      </c>
      <c r="E319" s="66" t="str">
        <f t="array" ref="E319">IF(D319="", "", XLOOKUP(D319, 'MASTER ITEM LIST'!A:A, 'MASTER ITEM LIST'!B:B, ""))</f>
        <v>2B PAINT ROLLER #4</v>
      </c>
      <c r="F319" s="68"/>
      <c r="G319" s="67" t="s">
        <v>34</v>
      </c>
      <c r="H319" s="31">
        <v>1.0</v>
      </c>
      <c r="I319" s="31" t="str">
        <f t="array" ref="I319">IFERROR(XLOOKUP(D319,'MASTER ITEM LIST'!A:A,'MASTER ITEM LIST'!D:D), "")</f>
        <v>PC/S</v>
      </c>
      <c r="J319" s="34">
        <v>65.0</v>
      </c>
      <c r="K319" s="69">
        <f t="shared" si="1"/>
        <v>65</v>
      </c>
      <c r="L319" s="70" t="s">
        <v>42</v>
      </c>
    </row>
    <row r="320" ht="22.5" customHeight="1">
      <c r="A320" s="29">
        <v>46142.0</v>
      </c>
      <c r="B320" s="68"/>
      <c r="C320" s="32" t="s">
        <v>711</v>
      </c>
      <c r="D320" s="23" t="s">
        <v>674</v>
      </c>
      <c r="E320" s="66" t="str">
        <f t="array" ref="E320">IF(D320="", "", XLOOKUP(D320, 'MASTER ITEM LIST'!A:A, 'MASTER ITEM LIST'!B:B, ""))</f>
        <v>DOMINO BODY FILTER WITH HARDENER 1L</v>
      </c>
      <c r="F320" s="68"/>
      <c r="G320" s="67" t="s">
        <v>34</v>
      </c>
      <c r="H320" s="31">
        <v>2.0</v>
      </c>
      <c r="I320" s="31" t="str">
        <f t="array" ref="I320">IFERROR(XLOOKUP(D320,'MASTER ITEM LIST'!A:A,'MASTER ITEM LIST'!D:D), "")</f>
        <v>LITER</v>
      </c>
      <c r="J320" s="34">
        <v>210.0</v>
      </c>
      <c r="K320" s="69">
        <f t="shared" si="1"/>
        <v>420</v>
      </c>
      <c r="L320" s="70" t="s">
        <v>42</v>
      </c>
    </row>
    <row r="321" ht="22.5" customHeight="1">
      <c r="A321" s="29">
        <v>46142.0</v>
      </c>
      <c r="B321" s="68"/>
      <c r="C321" s="32" t="s">
        <v>711</v>
      </c>
      <c r="D321" s="23" t="s">
        <v>533</v>
      </c>
      <c r="E321" s="66" t="str">
        <f t="array" ref="E321">IF(D321="", "", XLOOKUP(D321, 'MASTER ITEM LIST'!A:A, 'MASTER ITEM LIST'!B:B, ""))</f>
        <v>NIPPON METAL PRIMER RED OXIDE LITER</v>
      </c>
      <c r="F321" s="68"/>
      <c r="G321" s="67" t="s">
        <v>34</v>
      </c>
      <c r="H321" s="31">
        <v>1.0</v>
      </c>
      <c r="I321" s="31" t="str">
        <f t="array" ref="I321">IFERROR(XLOOKUP(D321,'MASTER ITEM LIST'!A:A,'MASTER ITEM LIST'!D:D), "")</f>
        <v>LTR</v>
      </c>
      <c r="J321" s="34">
        <v>220.0</v>
      </c>
      <c r="K321" s="69">
        <f t="shared" si="1"/>
        <v>220</v>
      </c>
      <c r="L321" s="70" t="s">
        <v>42</v>
      </c>
    </row>
    <row r="322" ht="22.5" customHeight="1">
      <c r="A322" s="29">
        <v>46142.0</v>
      </c>
      <c r="B322" s="68"/>
      <c r="C322" s="32" t="s">
        <v>711</v>
      </c>
      <c r="D322" s="23" t="s">
        <v>94</v>
      </c>
      <c r="E322" s="66" t="str">
        <f t="array" ref="E322">IF(D322="", "", XLOOKUP(D322, 'MASTER ITEM LIST'!A:A, 'MASTER ITEM LIST'!B:B, ""))</f>
        <v>NAX NAT-990 TTC BLACK 4L</v>
      </c>
      <c r="F322" s="31" t="s">
        <v>48</v>
      </c>
      <c r="G322" s="67" t="s">
        <v>34</v>
      </c>
      <c r="H322" s="31">
        <v>0.25</v>
      </c>
      <c r="I322" s="31" t="str">
        <f t="array" ref="I322">IFERROR(XLOOKUP(D322,'MASTER ITEM LIST'!A:A,'MASTER ITEM LIST'!D:D), "")</f>
        <v>GAL</v>
      </c>
      <c r="J322" s="34">
        <v>4000.0</v>
      </c>
      <c r="K322" s="69">
        <f t="shared" si="1"/>
        <v>1000</v>
      </c>
      <c r="L322" s="70" t="s">
        <v>42</v>
      </c>
    </row>
    <row r="323" ht="22.5" customHeight="1">
      <c r="A323" s="29">
        <v>46142.0</v>
      </c>
      <c r="B323" s="68"/>
      <c r="C323" s="32" t="s">
        <v>711</v>
      </c>
      <c r="D323" s="23" t="s">
        <v>167</v>
      </c>
      <c r="E323" s="66" t="str">
        <f t="array" ref="E323">IF(D323="", "", XLOOKUP(D323, 'MASTER ITEM LIST'!A:A, 'MASTER ITEM LIST'!B:B, ""))</f>
        <v>NAX QDU MIX 1L</v>
      </c>
      <c r="F323" s="31" t="s">
        <v>1016</v>
      </c>
      <c r="G323" s="67" t="s">
        <v>34</v>
      </c>
      <c r="H323" s="31">
        <v>0.25</v>
      </c>
      <c r="I323" s="31" t="str">
        <f t="array" ref="I323">IFERROR(XLOOKUP(D323,'MASTER ITEM LIST'!A:A,'MASTER ITEM LIST'!D:D), "")</f>
        <v>LITER</v>
      </c>
      <c r="J323" s="34">
        <v>1200.0</v>
      </c>
      <c r="K323" s="69">
        <f t="shared" si="1"/>
        <v>300</v>
      </c>
      <c r="L323" s="70" t="s">
        <v>42</v>
      </c>
    </row>
    <row r="324" ht="22.5" customHeight="1">
      <c r="A324" s="29">
        <v>46113.0</v>
      </c>
      <c r="B324" s="31" t="s">
        <v>1207</v>
      </c>
      <c r="C324" s="32" t="s">
        <v>1208</v>
      </c>
      <c r="D324" s="23" t="s">
        <v>315</v>
      </c>
      <c r="E324" s="66" t="str">
        <f t="array" ref="E324">IF(D324="", "", XLOOKUP(D324, 'MASTER ITEM LIST'!A:A, 'MASTER ITEM LIST'!B:B, ""))</f>
        <v>CUMI SUPREME FLOOR SANDING 60</v>
      </c>
      <c r="F324" s="31"/>
      <c r="G324" s="67" t="s">
        <v>34</v>
      </c>
      <c r="H324" s="31">
        <v>10.0</v>
      </c>
      <c r="I324" s="31" t="str">
        <f t="array" ref="I324">IFERROR(XLOOKUP(D324,'MASTER ITEM LIST'!A:A,'MASTER ITEM LIST'!D:D), "")</f>
        <v>FT</v>
      </c>
      <c r="J324" s="34">
        <v>95.0</v>
      </c>
      <c r="K324" s="69">
        <f t="shared" si="1"/>
        <v>950</v>
      </c>
      <c r="L324" s="70" t="s">
        <v>42</v>
      </c>
    </row>
    <row r="325" ht="22.5" customHeight="1">
      <c r="A325" s="29">
        <v>46118.0</v>
      </c>
      <c r="B325" s="31" t="s">
        <v>1209</v>
      </c>
      <c r="C325" s="32" t="s">
        <v>1210</v>
      </c>
      <c r="D325" s="23" t="s">
        <v>53</v>
      </c>
      <c r="E325" s="66" t="str">
        <f t="array" ref="E325">IF(D325="", "", XLOOKUP(D325, 'MASTER ITEM LIST'!A:A, 'MASTER ITEM LIST'!B:B, ""))</f>
        <v>NAX 108 CERAMIC 2K CLEAR WITH HARDENER 1L</v>
      </c>
      <c r="F325" s="31" t="s">
        <v>48</v>
      </c>
      <c r="G325" s="67" t="s">
        <v>1211</v>
      </c>
      <c r="H325" s="31">
        <v>0.5</v>
      </c>
      <c r="I325" s="31" t="str">
        <f t="array" ref="I325">IFERROR(XLOOKUP(D325,'MASTER ITEM LIST'!A:A,'MASTER ITEM LIST'!D:D), "")</f>
        <v>LITER</v>
      </c>
      <c r="J325" s="34">
        <v>730.0</v>
      </c>
      <c r="K325" s="69">
        <f t="shared" si="1"/>
        <v>365</v>
      </c>
      <c r="L325" s="70" t="s">
        <v>1212</v>
      </c>
    </row>
    <row r="326" ht="22.5" customHeight="1">
      <c r="A326" s="29">
        <v>46118.0</v>
      </c>
      <c r="B326" s="31" t="s">
        <v>1209</v>
      </c>
      <c r="C326" s="32" t="s">
        <v>1210</v>
      </c>
      <c r="D326" s="23" t="s">
        <v>90</v>
      </c>
      <c r="E326" s="66" t="str">
        <f t="array" ref="E326">IF(D326="", "", XLOOKUP(D326, 'MASTER ITEM LIST'!A:A, 'MASTER ITEM LIST'!B:B, ""))</f>
        <v>NAX SOB757 HIGH GRADE URETHANE THINNER 4L</v>
      </c>
      <c r="F326" s="31" t="s">
        <v>48</v>
      </c>
      <c r="G326" s="67" t="s">
        <v>1211</v>
      </c>
      <c r="H326" s="31">
        <v>0.25</v>
      </c>
      <c r="I326" s="31" t="str">
        <f t="array" ref="I326">IFERROR(XLOOKUP(D326,'MASTER ITEM LIST'!A:A,'MASTER ITEM LIST'!D:D), "")</f>
        <v>GAL</v>
      </c>
      <c r="J326" s="34">
        <v>760.0</v>
      </c>
      <c r="K326" s="69">
        <f t="shared" si="1"/>
        <v>190</v>
      </c>
      <c r="L326" s="70" t="s">
        <v>1212</v>
      </c>
    </row>
    <row r="327" ht="22.5" customHeight="1">
      <c r="A327" s="29">
        <v>46118.0</v>
      </c>
      <c r="B327" s="31" t="s">
        <v>1209</v>
      </c>
      <c r="C327" s="32" t="s">
        <v>1210</v>
      </c>
      <c r="D327" s="23" t="s">
        <v>136</v>
      </c>
      <c r="E327" s="66" t="str">
        <f t="array" ref="E327">IF(D327="", "", XLOOKUP(D327, 'MASTER ITEM LIST'!A:A, 'MASTER ITEM LIST'!B:B, ""))</f>
        <v>CROCO MASKING TAPE 3/4 18MM (1X64)</v>
      </c>
      <c r="F327" s="31"/>
      <c r="G327" s="67" t="s">
        <v>1211</v>
      </c>
      <c r="H327" s="31">
        <v>3.0</v>
      </c>
      <c r="I327" s="31" t="str">
        <f t="array" ref="I327">IFERROR(XLOOKUP(D327,'MASTER ITEM LIST'!A:A,'MASTER ITEM LIST'!D:D), "")</f>
        <v>PC/S</v>
      </c>
      <c r="J327" s="34">
        <v>35.0</v>
      </c>
      <c r="K327" s="69">
        <f t="shared" si="1"/>
        <v>105</v>
      </c>
      <c r="L327" s="70" t="s">
        <v>1212</v>
      </c>
    </row>
    <row r="328" ht="22.5" customHeight="1">
      <c r="A328" s="29">
        <v>46118.0</v>
      </c>
      <c r="B328" s="31" t="s">
        <v>1209</v>
      </c>
      <c r="C328" s="32" t="s">
        <v>1210</v>
      </c>
      <c r="D328" s="23" t="s">
        <v>63</v>
      </c>
      <c r="E328" s="66" t="str">
        <f t="array" ref="E328">IF(D328="", "", XLOOKUP(D328, 'MASTER ITEM LIST'!A:A, 'MASTER ITEM LIST'!B:B, ""))</f>
        <v>OLD NEWS</v>
      </c>
      <c r="F328" s="31"/>
      <c r="G328" s="67" t="s">
        <v>1211</v>
      </c>
      <c r="H328" s="31">
        <v>1.0</v>
      </c>
      <c r="I328" s="31" t="str">
        <f t="array" ref="I328">IFERROR(XLOOKUP(D328,'MASTER ITEM LIST'!A:A,'MASTER ITEM LIST'!D:D), "")</f>
        <v>KG</v>
      </c>
      <c r="J328" s="34">
        <v>100.0</v>
      </c>
      <c r="K328" s="69">
        <f t="shared" si="1"/>
        <v>100</v>
      </c>
      <c r="L328" s="70" t="s">
        <v>1212</v>
      </c>
    </row>
    <row r="329" ht="22.5" customHeight="1">
      <c r="A329" s="29">
        <v>46118.0</v>
      </c>
      <c r="B329" s="31" t="s">
        <v>1209</v>
      </c>
      <c r="C329" s="32" t="s">
        <v>1210</v>
      </c>
      <c r="D329" s="23" t="s">
        <v>198</v>
      </c>
      <c r="E329" s="66" t="str">
        <f t="array" ref="E329">IF(D329="", "", XLOOKUP(D329, 'MASTER ITEM LIST'!A:A, 'MASTER ITEM LIST'!B:B, ""))</f>
        <v>EAGLE SANDPAPER #2000</v>
      </c>
      <c r="F329" s="31"/>
      <c r="G329" s="67" t="s">
        <v>1211</v>
      </c>
      <c r="H329" s="31">
        <v>2.0</v>
      </c>
      <c r="I329" s="31" t="str">
        <f t="array" ref="I329">IFERROR(XLOOKUP(D329,'MASTER ITEM LIST'!A:A,'MASTER ITEM LIST'!D:D), "")</f>
        <v>PC/S</v>
      </c>
      <c r="J329" s="34">
        <v>35.0</v>
      </c>
      <c r="K329" s="69">
        <f t="shared" si="1"/>
        <v>70</v>
      </c>
      <c r="L329" s="70" t="s">
        <v>1212</v>
      </c>
    </row>
    <row r="330" ht="22.5" customHeight="1">
      <c r="A330" s="29">
        <v>46118.0</v>
      </c>
      <c r="B330" s="31" t="s">
        <v>1209</v>
      </c>
      <c r="C330" s="32" t="s">
        <v>1210</v>
      </c>
      <c r="D330" s="23" t="s">
        <v>326</v>
      </c>
      <c r="E330" s="66" t="str">
        <f t="array" ref="E330">IF(D330="", "", XLOOKUP(D330, 'MASTER ITEM LIST'!A:A, 'MASTER ITEM LIST'!B:B, ""))</f>
        <v>EAGLE SANDPAPER #1200</v>
      </c>
      <c r="F330" s="31"/>
      <c r="G330" s="67" t="s">
        <v>1211</v>
      </c>
      <c r="H330" s="31">
        <v>2.0</v>
      </c>
      <c r="I330" s="31" t="str">
        <f t="array" ref="I330">IFERROR(XLOOKUP(D330,'MASTER ITEM LIST'!A:A,'MASTER ITEM LIST'!D:D), "")</f>
        <v>PC/S</v>
      </c>
      <c r="J330" s="34">
        <v>25.0</v>
      </c>
      <c r="K330" s="69">
        <f t="shared" si="1"/>
        <v>50</v>
      </c>
      <c r="L330" s="70" t="s">
        <v>1212</v>
      </c>
    </row>
    <row r="331" ht="22.5" customHeight="1">
      <c r="A331" s="29">
        <v>46121.0</v>
      </c>
      <c r="B331" s="31" t="s">
        <v>1214</v>
      </c>
      <c r="C331" s="32" t="s">
        <v>1215</v>
      </c>
      <c r="D331" s="23" t="s">
        <v>220</v>
      </c>
      <c r="E331" s="66" t="str">
        <f t="array" ref="E331">IF(D331="", "", XLOOKUP(D331, 'MASTER ITEM LIST'!A:A, 'MASTER ITEM LIST'!B:B, ""))</f>
        <v>PREMILA MIXING 1L</v>
      </c>
      <c r="F331" s="31" t="s">
        <v>1216</v>
      </c>
      <c r="G331" s="67" t="s">
        <v>1211</v>
      </c>
      <c r="H331" s="31">
        <v>1.0</v>
      </c>
      <c r="I331" s="31" t="str">
        <f t="array" ref="I331">IFERROR(XLOOKUP(D331,'MASTER ITEM LIST'!A:A,'MASTER ITEM LIST'!D:D), "")</f>
        <v>LITER</v>
      </c>
      <c r="J331" s="34">
        <v>2500.0</v>
      </c>
      <c r="K331" s="69">
        <f t="shared" si="1"/>
        <v>2500</v>
      </c>
      <c r="L331" s="70" t="s">
        <v>1217</v>
      </c>
    </row>
    <row r="332" ht="22.5" customHeight="1">
      <c r="A332" s="29">
        <v>46123.0</v>
      </c>
      <c r="B332" s="31" t="s">
        <v>1218</v>
      </c>
      <c r="C332" s="32" t="s">
        <v>1215</v>
      </c>
      <c r="D332" s="23" t="s">
        <v>220</v>
      </c>
      <c r="E332" s="66" t="str">
        <f t="array" ref="E332">IF(D332="", "", XLOOKUP(D332, 'MASTER ITEM LIST'!A:A, 'MASTER ITEM LIST'!B:B, ""))</f>
        <v>PREMILA MIXING 1L</v>
      </c>
      <c r="F332" s="31" t="s">
        <v>1219</v>
      </c>
      <c r="G332" s="67" t="s">
        <v>1211</v>
      </c>
      <c r="H332" s="31">
        <v>0.5</v>
      </c>
      <c r="I332" s="31" t="str">
        <f t="array" ref="I332">IFERROR(XLOOKUP(D332,'MASTER ITEM LIST'!A:A,'MASTER ITEM LIST'!D:D), "")</f>
        <v>LITER</v>
      </c>
      <c r="J332" s="34">
        <v>2400.0</v>
      </c>
      <c r="K332" s="69">
        <f t="shared" si="1"/>
        <v>1200</v>
      </c>
      <c r="L332" s="70" t="s">
        <v>1217</v>
      </c>
    </row>
    <row r="333" ht="22.5" customHeight="1">
      <c r="A333" s="29">
        <v>46123.0</v>
      </c>
      <c r="B333" s="31" t="s">
        <v>1218</v>
      </c>
      <c r="C333" s="32" t="s">
        <v>1215</v>
      </c>
      <c r="D333" s="23" t="s">
        <v>220</v>
      </c>
      <c r="E333" s="66" t="str">
        <f t="array" ref="E333">IF(D333="", "", XLOOKUP(D333, 'MASTER ITEM LIST'!A:A, 'MASTER ITEM LIST'!B:B, ""))</f>
        <v>PREMILA MIXING 1L</v>
      </c>
      <c r="F333" s="31" t="s">
        <v>1220</v>
      </c>
      <c r="G333" s="67" t="s">
        <v>1211</v>
      </c>
      <c r="H333" s="31">
        <v>0.5</v>
      </c>
      <c r="I333" s="31" t="str">
        <f t="array" ref="I333">IFERROR(XLOOKUP(D333,'MASTER ITEM LIST'!A:A,'MASTER ITEM LIST'!D:D), "")</f>
        <v>LITER</v>
      </c>
      <c r="J333" s="34">
        <v>2800.0</v>
      </c>
      <c r="K333" s="69">
        <f t="shared" si="1"/>
        <v>1400</v>
      </c>
      <c r="L333" s="70" t="s">
        <v>1217</v>
      </c>
    </row>
    <row r="334" ht="22.5" customHeight="1">
      <c r="A334" s="29">
        <v>46123.0</v>
      </c>
      <c r="B334" s="31" t="s">
        <v>1218</v>
      </c>
      <c r="C334" s="32" t="s">
        <v>1215</v>
      </c>
      <c r="D334" s="23" t="s">
        <v>67</v>
      </c>
      <c r="E334" s="66" t="str">
        <f t="array" ref="E334">IF(D334="", "", XLOOKUP(D334, 'MASTER ITEM LIST'!A:A, 'MASTER ITEM LIST'!B:B, ""))</f>
        <v>POLYGLOSS ANTI-CORROSSION</v>
      </c>
      <c r="F334" s="31"/>
      <c r="G334" s="67" t="s">
        <v>1211</v>
      </c>
      <c r="H334" s="31">
        <v>1.0</v>
      </c>
      <c r="I334" s="31" t="str">
        <f t="array" ref="I334">IFERROR(XLOOKUP(D334,'MASTER ITEM LIST'!A:A,'MASTER ITEM LIST'!D:D), "")</f>
        <v>LITER</v>
      </c>
      <c r="J334" s="34">
        <v>600.0</v>
      </c>
      <c r="K334" s="69">
        <f t="shared" si="1"/>
        <v>600</v>
      </c>
      <c r="L334" s="70" t="s">
        <v>1217</v>
      </c>
    </row>
    <row r="335" ht="22.5" customHeight="1">
      <c r="A335" s="29">
        <v>46127.0</v>
      </c>
      <c r="B335" s="31" t="s">
        <v>1221</v>
      </c>
      <c r="C335" s="32" t="s">
        <v>1210</v>
      </c>
      <c r="D335" s="23" t="s">
        <v>220</v>
      </c>
      <c r="E335" s="66" t="str">
        <f t="array" ref="E335">IF(D335="", "", XLOOKUP(D335, 'MASTER ITEM LIST'!A:A, 'MASTER ITEM LIST'!B:B, ""))</f>
        <v>PREMILA MIXING 1L</v>
      </c>
      <c r="F335" s="31" t="s">
        <v>1222</v>
      </c>
      <c r="G335" s="67" t="s">
        <v>1211</v>
      </c>
      <c r="H335" s="31">
        <v>0.2</v>
      </c>
      <c r="I335" s="31" t="str">
        <f t="array" ref="I335">IFERROR(XLOOKUP(D335,'MASTER ITEM LIST'!A:A,'MASTER ITEM LIST'!D:D), "")</f>
        <v>LITER</v>
      </c>
      <c r="J335" s="34">
        <v>2800.0</v>
      </c>
      <c r="K335" s="69">
        <f t="shared" si="1"/>
        <v>560</v>
      </c>
      <c r="L335" s="70" t="s">
        <v>1212</v>
      </c>
    </row>
    <row r="336" ht="22.5" customHeight="1">
      <c r="A336" s="29">
        <v>46127.0</v>
      </c>
      <c r="B336" s="31" t="s">
        <v>1221</v>
      </c>
      <c r="C336" s="32" t="s">
        <v>1210</v>
      </c>
      <c r="D336" s="23" t="s">
        <v>57</v>
      </c>
      <c r="E336" s="66" t="str">
        <f t="array" ref="E336">IF(D336="", "", XLOOKUP(D336, 'MASTER ITEM LIST'!A:A, 'MASTER ITEM LIST'!B:B, ""))</f>
        <v>DO IT URETHANE THINNER 4L</v>
      </c>
      <c r="F336" s="31" t="s">
        <v>48</v>
      </c>
      <c r="G336" s="67" t="s">
        <v>1211</v>
      </c>
      <c r="H336" s="31">
        <v>0.25</v>
      </c>
      <c r="I336" s="31" t="str">
        <f t="array" ref="I336">IFERROR(XLOOKUP(D336,'MASTER ITEM LIST'!A:A,'MASTER ITEM LIST'!D:D), "")</f>
        <v>GAL/S</v>
      </c>
      <c r="J336" s="34">
        <v>760.0</v>
      </c>
      <c r="K336" s="69">
        <f t="shared" si="1"/>
        <v>190</v>
      </c>
      <c r="L336" s="70" t="s">
        <v>1212</v>
      </c>
    </row>
    <row r="337" ht="22.5" customHeight="1">
      <c r="A337" s="29">
        <v>46127.0</v>
      </c>
      <c r="B337" s="31" t="s">
        <v>1221</v>
      </c>
      <c r="C337" s="32" t="s">
        <v>1210</v>
      </c>
      <c r="D337" s="23" t="s">
        <v>233</v>
      </c>
      <c r="E337" s="66" t="str">
        <f t="array" ref="E337">IF(D337="", "", XLOOKUP(D337, 'MASTER ITEM LIST'!A:A, 'MASTER ITEM LIST'!B:B, ""))</f>
        <v>NAX ALPHA HB SPRAY FILLER GRAY WITH HARDENER 1L</v>
      </c>
      <c r="F337" s="31"/>
      <c r="G337" s="67" t="s">
        <v>1211</v>
      </c>
      <c r="H337" s="31">
        <v>1.0</v>
      </c>
      <c r="I337" s="31" t="str">
        <f t="array" ref="I337">IFERROR(XLOOKUP(D337,'MASTER ITEM LIST'!A:A,'MASTER ITEM LIST'!D:D), "")</f>
        <v>LITER</v>
      </c>
      <c r="J337" s="34">
        <v>600.0</v>
      </c>
      <c r="K337" s="69">
        <f t="shared" si="1"/>
        <v>600</v>
      </c>
      <c r="L337" s="70" t="s">
        <v>1212</v>
      </c>
    </row>
    <row r="338" ht="22.5" customHeight="1">
      <c r="A338" s="29">
        <v>46127.0</v>
      </c>
      <c r="B338" s="31" t="s">
        <v>1221</v>
      </c>
      <c r="C338" s="32" t="s">
        <v>1210</v>
      </c>
      <c r="D338" s="23" t="s">
        <v>136</v>
      </c>
      <c r="E338" s="66" t="str">
        <f t="array" ref="E338">IF(D338="", "", XLOOKUP(D338, 'MASTER ITEM LIST'!A:A, 'MASTER ITEM LIST'!B:B, ""))</f>
        <v>CROCO MASKING TAPE 3/4 18MM (1X64)</v>
      </c>
      <c r="F338" s="31"/>
      <c r="G338" s="67" t="s">
        <v>1211</v>
      </c>
      <c r="H338" s="31">
        <v>2.0</v>
      </c>
      <c r="I338" s="31" t="str">
        <f t="array" ref="I338">IFERROR(XLOOKUP(D338,'MASTER ITEM LIST'!A:A,'MASTER ITEM LIST'!D:D), "")</f>
        <v>PC/S</v>
      </c>
      <c r="J338" s="34">
        <v>35.0</v>
      </c>
      <c r="K338" s="69">
        <f t="shared" si="1"/>
        <v>70</v>
      </c>
      <c r="L338" s="70" t="s">
        <v>1212</v>
      </c>
    </row>
    <row r="339" ht="22.5" customHeight="1">
      <c r="A339" s="29">
        <v>46130.0</v>
      </c>
      <c r="B339" s="31" t="s">
        <v>1224</v>
      </c>
      <c r="C339" s="32" t="s">
        <v>1210</v>
      </c>
      <c r="D339" s="23" t="s">
        <v>220</v>
      </c>
      <c r="E339" s="66" t="str">
        <f t="array" ref="E339">IF(D339="", "", XLOOKUP(D339, 'MASTER ITEM LIST'!A:A, 'MASTER ITEM LIST'!B:B, ""))</f>
        <v>PREMILA MIXING 1L</v>
      </c>
      <c r="F339" s="31" t="s">
        <v>1225</v>
      </c>
      <c r="G339" s="67" t="s">
        <v>1211</v>
      </c>
      <c r="H339" s="31">
        <v>0.5</v>
      </c>
      <c r="I339" s="31" t="str">
        <f t="array" ref="I339">IFERROR(XLOOKUP(D339,'MASTER ITEM LIST'!A:A,'MASTER ITEM LIST'!D:D), "")</f>
        <v>LITER</v>
      </c>
      <c r="J339" s="34">
        <v>2800.0</v>
      </c>
      <c r="K339" s="69">
        <f t="shared" si="1"/>
        <v>1400</v>
      </c>
      <c r="L339" s="70" t="s">
        <v>1212</v>
      </c>
    </row>
    <row r="340" ht="22.5" customHeight="1">
      <c r="A340" s="29">
        <v>46130.0</v>
      </c>
      <c r="B340" s="31" t="s">
        <v>1224</v>
      </c>
      <c r="C340" s="32" t="s">
        <v>1210</v>
      </c>
      <c r="D340" s="23" t="s">
        <v>674</v>
      </c>
      <c r="E340" s="66" t="str">
        <f t="array" ref="E340">IF(D340="", "", XLOOKUP(D340, 'MASTER ITEM LIST'!A:A, 'MASTER ITEM LIST'!B:B, ""))</f>
        <v>DOMINO BODY FILTER WITH HARDENER 1L</v>
      </c>
      <c r="F340" s="31"/>
      <c r="G340" s="67" t="s">
        <v>1211</v>
      </c>
      <c r="H340" s="31">
        <v>2.0</v>
      </c>
      <c r="I340" s="31" t="str">
        <f t="array" ref="I340">IFERROR(XLOOKUP(D340,'MASTER ITEM LIST'!A:A,'MASTER ITEM LIST'!D:D), "")</f>
        <v>LITER</v>
      </c>
      <c r="J340" s="34">
        <v>210.0</v>
      </c>
      <c r="K340" s="69">
        <f t="shared" si="1"/>
        <v>420</v>
      </c>
      <c r="L340" s="70" t="s">
        <v>1212</v>
      </c>
    </row>
    <row r="341" ht="22.5" customHeight="1">
      <c r="A341" s="29">
        <v>46130.0</v>
      </c>
      <c r="B341" s="31" t="s">
        <v>1224</v>
      </c>
      <c r="C341" s="32" t="s">
        <v>1210</v>
      </c>
      <c r="D341" s="23" t="s">
        <v>53</v>
      </c>
      <c r="E341" s="66" t="str">
        <f t="array" ref="E341">IF(D341="", "", XLOOKUP(D341, 'MASTER ITEM LIST'!A:A, 'MASTER ITEM LIST'!B:B, ""))</f>
        <v>NAX 108 CERAMIC 2K CLEAR WITH HARDENER 1L</v>
      </c>
      <c r="F341" s="31"/>
      <c r="G341" s="67" t="s">
        <v>1211</v>
      </c>
      <c r="H341" s="31">
        <v>1.0</v>
      </c>
      <c r="I341" s="31" t="str">
        <f t="array" ref="I341">IFERROR(XLOOKUP(D341,'MASTER ITEM LIST'!A:A,'MASTER ITEM LIST'!D:D), "")</f>
        <v>LITER</v>
      </c>
      <c r="J341" s="34">
        <v>710.0</v>
      </c>
      <c r="K341" s="69">
        <f t="shared" si="1"/>
        <v>710</v>
      </c>
      <c r="L341" s="70" t="s">
        <v>1212</v>
      </c>
    </row>
    <row r="342" ht="22.5" customHeight="1">
      <c r="A342" s="29">
        <v>46130.0</v>
      </c>
      <c r="B342" s="31" t="s">
        <v>1224</v>
      </c>
      <c r="C342" s="32" t="s">
        <v>1210</v>
      </c>
      <c r="D342" s="23" t="s">
        <v>57</v>
      </c>
      <c r="E342" s="66" t="str">
        <f t="array" ref="E342">IF(D342="", "", XLOOKUP(D342, 'MASTER ITEM LIST'!A:A, 'MASTER ITEM LIST'!B:B, ""))</f>
        <v>DO IT URETHANE THINNER 4L</v>
      </c>
      <c r="F342" s="31" t="s">
        <v>48</v>
      </c>
      <c r="G342" s="67" t="s">
        <v>1211</v>
      </c>
      <c r="H342" s="31">
        <v>0.5</v>
      </c>
      <c r="I342" s="31" t="str">
        <f t="array" ref="I342">IFERROR(XLOOKUP(D342,'MASTER ITEM LIST'!A:A,'MASTER ITEM LIST'!D:D), "")</f>
        <v>GAL/S</v>
      </c>
      <c r="J342" s="34">
        <v>720.0</v>
      </c>
      <c r="K342" s="69">
        <f t="shared" si="1"/>
        <v>360</v>
      </c>
      <c r="L342" s="70" t="s">
        <v>1212</v>
      </c>
    </row>
    <row r="343" ht="22.5" customHeight="1">
      <c r="A343" s="29">
        <v>46130.0</v>
      </c>
      <c r="B343" s="31" t="s">
        <v>1224</v>
      </c>
      <c r="C343" s="32" t="s">
        <v>1210</v>
      </c>
      <c r="D343" s="23" t="s">
        <v>136</v>
      </c>
      <c r="E343" s="66" t="str">
        <f t="array" ref="E343">IF(D343="", "", XLOOKUP(D343, 'MASTER ITEM LIST'!A:A, 'MASTER ITEM LIST'!B:B, ""))</f>
        <v>CROCO MASKING TAPE 3/4 18MM (1X64)</v>
      </c>
      <c r="F343" s="31"/>
      <c r="G343" s="67" t="s">
        <v>1211</v>
      </c>
      <c r="H343" s="31">
        <v>6.0</v>
      </c>
      <c r="I343" s="31" t="str">
        <f t="array" ref="I343">IFERROR(XLOOKUP(D343,'MASTER ITEM LIST'!A:A,'MASTER ITEM LIST'!D:D), "")</f>
        <v>PC/S</v>
      </c>
      <c r="J343" s="34">
        <v>35.0</v>
      </c>
      <c r="K343" s="69">
        <f t="shared" si="1"/>
        <v>210</v>
      </c>
      <c r="L343" s="70" t="s">
        <v>1212</v>
      </c>
    </row>
    <row r="344" ht="22.5" customHeight="1">
      <c r="A344" s="29">
        <v>46130.0</v>
      </c>
      <c r="B344" s="31" t="s">
        <v>1224</v>
      </c>
      <c r="C344" s="32" t="s">
        <v>1210</v>
      </c>
      <c r="D344" s="23" t="s">
        <v>63</v>
      </c>
      <c r="E344" s="66" t="str">
        <f t="array" ref="E344">IF(D344="", "", XLOOKUP(D344, 'MASTER ITEM LIST'!A:A, 'MASTER ITEM LIST'!B:B, ""))</f>
        <v>OLD NEWS</v>
      </c>
      <c r="F344" s="31"/>
      <c r="G344" s="67" t="s">
        <v>1211</v>
      </c>
      <c r="H344" s="31">
        <v>1.0</v>
      </c>
      <c r="I344" s="31" t="str">
        <f t="array" ref="I344">IFERROR(XLOOKUP(D344,'MASTER ITEM LIST'!A:A,'MASTER ITEM LIST'!D:D), "")</f>
        <v>KG</v>
      </c>
      <c r="J344" s="34">
        <v>100.0</v>
      </c>
      <c r="K344" s="69">
        <f t="shared" si="1"/>
        <v>100</v>
      </c>
      <c r="L344" s="70" t="s">
        <v>1212</v>
      </c>
    </row>
    <row r="345" ht="22.5" customHeight="1">
      <c r="A345" s="29">
        <v>46132.0</v>
      </c>
      <c r="B345" s="31" t="s">
        <v>1226</v>
      </c>
      <c r="C345" s="32" t="s">
        <v>1210</v>
      </c>
      <c r="D345" s="23" t="s">
        <v>117</v>
      </c>
      <c r="E345" s="66" t="str">
        <f t="array" ref="E345">IF(D345="", "", XLOOKUP(D345, 'MASTER ITEM LIST'!A:A, 'MASTER ITEM LIST'!B:B, ""))</f>
        <v>EAGLE SANDPAPER #120</v>
      </c>
      <c r="F345" s="31"/>
      <c r="G345" s="67" t="s">
        <v>1211</v>
      </c>
      <c r="H345" s="31">
        <v>3.0</v>
      </c>
      <c r="I345" s="31" t="str">
        <f t="array" ref="I345">IFERROR(XLOOKUP(D345,'MASTER ITEM LIST'!A:A,'MASTER ITEM LIST'!D:D), "")</f>
        <v>PC/S</v>
      </c>
      <c r="J345" s="34">
        <v>25.0</v>
      </c>
      <c r="K345" s="69">
        <f t="shared" si="1"/>
        <v>75</v>
      </c>
      <c r="L345" s="70" t="s">
        <v>1212</v>
      </c>
    </row>
    <row r="346" ht="22.5" customHeight="1">
      <c r="A346" s="29">
        <v>46132.0</v>
      </c>
      <c r="B346" s="31" t="s">
        <v>1226</v>
      </c>
      <c r="C346" s="32" t="s">
        <v>1210</v>
      </c>
      <c r="D346" s="23" t="s">
        <v>326</v>
      </c>
      <c r="E346" s="66" t="str">
        <f t="array" ref="E346">IF(D346="", "", XLOOKUP(D346, 'MASTER ITEM LIST'!A:A, 'MASTER ITEM LIST'!B:B, ""))</f>
        <v>EAGLE SANDPAPER #1200</v>
      </c>
      <c r="F346" s="31"/>
      <c r="G346" s="67" t="s">
        <v>1211</v>
      </c>
      <c r="H346" s="31">
        <v>2.0</v>
      </c>
      <c r="I346" s="31" t="str">
        <f t="array" ref="I346">IFERROR(XLOOKUP(D346,'MASTER ITEM LIST'!A:A,'MASTER ITEM LIST'!D:D), "")</f>
        <v>PC/S</v>
      </c>
      <c r="J346" s="34">
        <v>25.0</v>
      </c>
      <c r="K346" s="69">
        <f t="shared" si="1"/>
        <v>50</v>
      </c>
      <c r="L346" s="70" t="s">
        <v>1212</v>
      </c>
    </row>
    <row r="347" ht="22.5" customHeight="1">
      <c r="A347" s="29">
        <v>46132.0</v>
      </c>
      <c r="B347" s="31" t="s">
        <v>1226</v>
      </c>
      <c r="C347" s="32" t="s">
        <v>1210</v>
      </c>
      <c r="D347" s="23" t="s">
        <v>198</v>
      </c>
      <c r="E347" s="66" t="str">
        <f t="array" ref="E347">IF(D347="", "", XLOOKUP(D347, 'MASTER ITEM LIST'!A:A, 'MASTER ITEM LIST'!B:B, ""))</f>
        <v>EAGLE SANDPAPER #2000</v>
      </c>
      <c r="F347" s="31"/>
      <c r="G347" s="67" t="s">
        <v>1211</v>
      </c>
      <c r="H347" s="31">
        <v>2.0</v>
      </c>
      <c r="I347" s="31" t="str">
        <f t="array" ref="I347">IFERROR(XLOOKUP(D347,'MASTER ITEM LIST'!A:A,'MASTER ITEM LIST'!D:D), "")</f>
        <v>PC/S</v>
      </c>
      <c r="J347" s="34">
        <v>35.0</v>
      </c>
      <c r="K347" s="69">
        <f t="shared" si="1"/>
        <v>70</v>
      </c>
      <c r="L347" s="70" t="s">
        <v>1212</v>
      </c>
    </row>
    <row r="348" ht="22.5" customHeight="1">
      <c r="A348" s="29">
        <v>46132.0</v>
      </c>
      <c r="B348" s="31" t="s">
        <v>1227</v>
      </c>
      <c r="C348" s="32" t="s">
        <v>1210</v>
      </c>
      <c r="D348" s="23" t="s">
        <v>167</v>
      </c>
      <c r="E348" s="66" t="str">
        <f t="array" ref="E348">IF(D348="", "", XLOOKUP(D348, 'MASTER ITEM LIST'!A:A, 'MASTER ITEM LIST'!B:B, ""))</f>
        <v>NAX QDU MIX 1L</v>
      </c>
      <c r="F348" s="31" t="s">
        <v>351</v>
      </c>
      <c r="G348" s="67" t="s">
        <v>1211</v>
      </c>
      <c r="H348" s="31">
        <v>0.2</v>
      </c>
      <c r="I348" s="31" t="str">
        <f t="array" ref="I348">IFERROR(XLOOKUP(D348,'MASTER ITEM LIST'!A:A,'MASTER ITEM LIST'!D:D), "")</f>
        <v>LITER</v>
      </c>
      <c r="J348" s="34">
        <v>1750.0</v>
      </c>
      <c r="K348" s="69">
        <f t="shared" si="1"/>
        <v>350</v>
      </c>
      <c r="L348" s="70" t="s">
        <v>1212</v>
      </c>
    </row>
    <row r="349" ht="22.5" customHeight="1">
      <c r="A349" s="29">
        <v>46133.0</v>
      </c>
      <c r="B349" s="31" t="s">
        <v>1228</v>
      </c>
      <c r="C349" s="32" t="s">
        <v>1215</v>
      </c>
      <c r="D349" s="23" t="s">
        <v>220</v>
      </c>
      <c r="E349" s="66" t="str">
        <f t="array" ref="E349">IF(D349="", "", XLOOKUP(D349, 'MASTER ITEM LIST'!A:A, 'MASTER ITEM LIST'!B:B, ""))</f>
        <v>PREMILA MIXING 1L</v>
      </c>
      <c r="F349" s="31" t="s">
        <v>1229</v>
      </c>
      <c r="G349" s="67" t="s">
        <v>1211</v>
      </c>
      <c r="H349" s="31">
        <v>0.5</v>
      </c>
      <c r="I349" s="31" t="str">
        <f t="array" ref="I349">IFERROR(XLOOKUP(D349,'MASTER ITEM LIST'!A:A,'MASTER ITEM LIST'!D:D), "")</f>
        <v>LITER</v>
      </c>
      <c r="J349" s="34">
        <v>2700.0</v>
      </c>
      <c r="K349" s="69">
        <f t="shared" si="1"/>
        <v>1350</v>
      </c>
      <c r="L349" s="70" t="s">
        <v>1217</v>
      </c>
    </row>
    <row r="350" ht="22.5" customHeight="1">
      <c r="A350" s="29">
        <v>46133.0</v>
      </c>
      <c r="B350" s="31" t="s">
        <v>1228</v>
      </c>
      <c r="C350" s="32" t="s">
        <v>1215</v>
      </c>
      <c r="D350" s="23" t="s">
        <v>220</v>
      </c>
      <c r="E350" s="66" t="str">
        <f t="array" ref="E350">IF(D350="", "", XLOOKUP(D350, 'MASTER ITEM LIST'!A:A, 'MASTER ITEM LIST'!B:B, ""))</f>
        <v>PREMILA MIXING 1L</v>
      </c>
      <c r="F350" s="31" t="s">
        <v>1230</v>
      </c>
      <c r="G350" s="67" t="s">
        <v>1211</v>
      </c>
      <c r="H350" s="31">
        <v>0.75</v>
      </c>
      <c r="I350" s="31" t="str">
        <f t="array" ref="I350">IFERROR(XLOOKUP(D350,'MASTER ITEM LIST'!A:A,'MASTER ITEM LIST'!D:D), "")</f>
        <v>LITER</v>
      </c>
      <c r="J350" s="34">
        <v>2000.0</v>
      </c>
      <c r="K350" s="69">
        <f t="shared" si="1"/>
        <v>1500</v>
      </c>
      <c r="L350" s="70" t="s">
        <v>1217</v>
      </c>
    </row>
    <row r="351" ht="22.5" customHeight="1">
      <c r="A351" s="29">
        <v>46135.0</v>
      </c>
      <c r="B351" s="31" t="s">
        <v>1231</v>
      </c>
      <c r="C351" s="32" t="s">
        <v>1215</v>
      </c>
      <c r="D351" s="23" t="s">
        <v>220</v>
      </c>
      <c r="E351" s="66" t="str">
        <f t="array" ref="E351">IF(D351="", "", XLOOKUP(D351, 'MASTER ITEM LIST'!A:A, 'MASTER ITEM LIST'!B:B, ""))</f>
        <v>PREMILA MIXING 1L</v>
      </c>
      <c r="F351" s="31" t="s">
        <v>1232</v>
      </c>
      <c r="G351" s="67" t="s">
        <v>1211</v>
      </c>
      <c r="H351" s="31">
        <v>0.25</v>
      </c>
      <c r="I351" s="31" t="str">
        <f t="array" ref="I351">IFERROR(XLOOKUP(D351,'MASTER ITEM LIST'!A:A,'MASTER ITEM LIST'!D:D), "")</f>
        <v>LITER</v>
      </c>
      <c r="J351" s="34">
        <v>2600.0</v>
      </c>
      <c r="K351" s="69">
        <f t="shared" si="1"/>
        <v>650</v>
      </c>
      <c r="L351" s="70" t="s">
        <v>1217</v>
      </c>
    </row>
    <row r="352" ht="22.5" customHeight="1">
      <c r="A352" s="29">
        <v>46135.0</v>
      </c>
      <c r="B352" s="31" t="s">
        <v>1231</v>
      </c>
      <c r="C352" s="32" t="s">
        <v>1215</v>
      </c>
      <c r="D352" s="23" t="s">
        <v>220</v>
      </c>
      <c r="E352" s="66" t="str">
        <f t="array" ref="E352">IF(D352="", "", XLOOKUP(D352, 'MASTER ITEM LIST'!A:A, 'MASTER ITEM LIST'!B:B, ""))</f>
        <v>PREMILA MIXING 1L</v>
      </c>
      <c r="F352" s="31" t="s">
        <v>1233</v>
      </c>
      <c r="G352" s="67" t="s">
        <v>1211</v>
      </c>
      <c r="H352" s="31">
        <v>1.0</v>
      </c>
      <c r="I352" s="31" t="str">
        <f t="array" ref="I352">IFERROR(XLOOKUP(D352,'MASTER ITEM LIST'!A:A,'MASTER ITEM LIST'!D:D), "")</f>
        <v>LITER</v>
      </c>
      <c r="J352" s="34">
        <v>2900.0</v>
      </c>
      <c r="K352" s="69">
        <f t="shared" si="1"/>
        <v>2900</v>
      </c>
      <c r="L352" s="70" t="s">
        <v>1217</v>
      </c>
    </row>
    <row r="353" ht="22.5" customHeight="1">
      <c r="A353" s="29">
        <v>46139.0</v>
      </c>
      <c r="B353" s="31" t="s">
        <v>1234</v>
      </c>
      <c r="C353" s="32" t="s">
        <v>1210</v>
      </c>
      <c r="D353" s="23" t="s">
        <v>220</v>
      </c>
      <c r="E353" s="66" t="str">
        <f t="array" ref="E353">IF(D353="", "", XLOOKUP(D353, 'MASTER ITEM LIST'!A:A, 'MASTER ITEM LIST'!B:B, ""))</f>
        <v>PREMILA MIXING 1L</v>
      </c>
      <c r="F353" s="31" t="s">
        <v>1235</v>
      </c>
      <c r="G353" s="67" t="s">
        <v>1211</v>
      </c>
      <c r="H353" s="31">
        <v>0.2</v>
      </c>
      <c r="I353" s="31" t="str">
        <f t="array" ref="I353">IFERROR(XLOOKUP(D353,'MASTER ITEM LIST'!A:A,'MASTER ITEM LIST'!D:D), "")</f>
        <v>LITER</v>
      </c>
      <c r="J353" s="34">
        <v>2500.0</v>
      </c>
      <c r="K353" s="69">
        <f t="shared" si="1"/>
        <v>500</v>
      </c>
      <c r="L353" s="70" t="s">
        <v>1212</v>
      </c>
    </row>
    <row r="354" ht="22.5" customHeight="1">
      <c r="A354" s="29">
        <v>46139.0</v>
      </c>
      <c r="B354" s="31" t="s">
        <v>1234</v>
      </c>
      <c r="C354" s="32" t="s">
        <v>1210</v>
      </c>
      <c r="D354" s="23" t="s">
        <v>53</v>
      </c>
      <c r="E354" s="66" t="str">
        <f t="array" ref="E354">IF(D354="", "", XLOOKUP(D354, 'MASTER ITEM LIST'!A:A, 'MASTER ITEM LIST'!B:B, ""))</f>
        <v>NAX 108 CERAMIC 2K CLEAR WITH HARDENER 1L</v>
      </c>
      <c r="F354" s="31"/>
      <c r="G354" s="67" t="s">
        <v>1211</v>
      </c>
      <c r="H354" s="31">
        <v>0.5</v>
      </c>
      <c r="I354" s="31" t="str">
        <f t="array" ref="I354">IFERROR(XLOOKUP(D354,'MASTER ITEM LIST'!A:A,'MASTER ITEM LIST'!D:D), "")</f>
        <v>LITER</v>
      </c>
      <c r="J354" s="34">
        <v>720.0</v>
      </c>
      <c r="K354" s="69">
        <f t="shared" si="1"/>
        <v>360</v>
      </c>
      <c r="L354" s="70" t="s">
        <v>1212</v>
      </c>
    </row>
    <row r="355" ht="22.5" customHeight="1">
      <c r="A355" s="29">
        <v>46139.0</v>
      </c>
      <c r="B355" s="31" t="s">
        <v>1234</v>
      </c>
      <c r="C355" s="32" t="s">
        <v>1210</v>
      </c>
      <c r="D355" s="23" t="s">
        <v>828</v>
      </c>
      <c r="E355" s="66" t="str">
        <f t="array" ref="E355">IF(D355="", "", XLOOKUP(D355, 'MASTER ITEM LIST'!A:A, 'MASTER ITEM LIST'!B:B, ""))</f>
        <v>NAX PP BUMPER PRIMER GRAY 1L</v>
      </c>
      <c r="F355" s="31"/>
      <c r="G355" s="67" t="s">
        <v>1211</v>
      </c>
      <c r="H355" s="31">
        <v>1.0</v>
      </c>
      <c r="I355" s="31" t="str">
        <f t="array" ref="I355">IFERROR(XLOOKUP(D355,'MASTER ITEM LIST'!A:A,'MASTER ITEM LIST'!D:D), "")</f>
        <v>LITER</v>
      </c>
      <c r="J355" s="34">
        <v>850.0</v>
      </c>
      <c r="K355" s="69">
        <f t="shared" si="1"/>
        <v>850</v>
      </c>
      <c r="L355" s="70" t="s">
        <v>1212</v>
      </c>
    </row>
    <row r="356" ht="22.5" customHeight="1">
      <c r="A356" s="29">
        <v>46139.0</v>
      </c>
      <c r="B356" s="31" t="s">
        <v>1234</v>
      </c>
      <c r="C356" s="32" t="s">
        <v>1210</v>
      </c>
      <c r="D356" s="23" t="s">
        <v>136</v>
      </c>
      <c r="E356" s="66" t="str">
        <f t="array" ref="E356">IF(D356="", "", XLOOKUP(D356, 'MASTER ITEM LIST'!A:A, 'MASTER ITEM LIST'!B:B, ""))</f>
        <v>CROCO MASKING TAPE 3/4 18MM (1X64)</v>
      </c>
      <c r="F356" s="31"/>
      <c r="G356" s="67" t="s">
        <v>1211</v>
      </c>
      <c r="H356" s="31">
        <v>2.0</v>
      </c>
      <c r="I356" s="31" t="str">
        <f t="array" ref="I356">IFERROR(XLOOKUP(D356,'MASTER ITEM LIST'!A:A,'MASTER ITEM LIST'!D:D), "")</f>
        <v>PC/S</v>
      </c>
      <c r="J356" s="34">
        <v>35.0</v>
      </c>
      <c r="K356" s="69">
        <f t="shared" si="1"/>
        <v>70</v>
      </c>
      <c r="L356" s="70" t="s">
        <v>1212</v>
      </c>
    </row>
    <row r="357" ht="22.5" customHeight="1">
      <c r="A357" s="29">
        <v>46139.0</v>
      </c>
      <c r="B357" s="31" t="s">
        <v>1234</v>
      </c>
      <c r="C357" s="32" t="s">
        <v>1210</v>
      </c>
      <c r="D357" s="23" t="s">
        <v>567</v>
      </c>
      <c r="E357" s="66" t="str">
        <f t="array" ref="E357">IF(D357="", "", XLOOKUP(D357, 'MASTER ITEM LIST'!A:A, 'MASTER ITEM LIST'!B:B, ""))</f>
        <v>EAGLE SANDPAPER #800</v>
      </c>
      <c r="F357" s="31"/>
      <c r="G357" s="67" t="s">
        <v>1211</v>
      </c>
      <c r="H357" s="31">
        <v>2.0</v>
      </c>
      <c r="I357" s="31" t="str">
        <f t="array" ref="I357">IFERROR(XLOOKUP(D357,'MASTER ITEM LIST'!A:A,'MASTER ITEM LIST'!D:D), "")</f>
        <v>PC/S</v>
      </c>
      <c r="J357" s="34">
        <v>25.0</v>
      </c>
      <c r="K357" s="69">
        <f t="shared" si="1"/>
        <v>50</v>
      </c>
      <c r="L357" s="70" t="s">
        <v>1212</v>
      </c>
    </row>
    <row r="358" ht="22.5" customHeight="1">
      <c r="A358" s="29">
        <v>46139.0</v>
      </c>
      <c r="B358" s="31" t="s">
        <v>1234</v>
      </c>
      <c r="C358" s="32" t="s">
        <v>1210</v>
      </c>
      <c r="D358" s="23" t="s">
        <v>432</v>
      </c>
      <c r="E358" s="66" t="str">
        <f t="array" ref="E358">IF(D358="", "", XLOOKUP(D358, 'MASTER ITEM LIST'!A:A, 'MASTER ITEM LIST'!B:B, ""))</f>
        <v>EAGLE SANDPAPER #600</v>
      </c>
      <c r="F358" s="31"/>
      <c r="G358" s="67" t="s">
        <v>1211</v>
      </c>
      <c r="H358" s="31">
        <v>2.0</v>
      </c>
      <c r="I358" s="31" t="str">
        <f t="array" ref="I358">IFERROR(XLOOKUP(D358,'MASTER ITEM LIST'!A:A,'MASTER ITEM LIST'!D:D), "")</f>
        <v>PCS</v>
      </c>
      <c r="J358" s="34">
        <v>25.0</v>
      </c>
      <c r="K358" s="69">
        <f t="shared" si="1"/>
        <v>50</v>
      </c>
      <c r="L358" s="70" t="s">
        <v>1212</v>
      </c>
    </row>
    <row r="359" ht="22.5" customHeight="1">
      <c r="A359" s="29">
        <v>46139.0</v>
      </c>
      <c r="B359" s="31" t="s">
        <v>1236</v>
      </c>
      <c r="C359" s="32" t="s">
        <v>1210</v>
      </c>
      <c r="D359" s="23" t="s">
        <v>220</v>
      </c>
      <c r="E359" s="66" t="str">
        <f t="array" ref="E359">IF(D359="", "", XLOOKUP(D359, 'MASTER ITEM LIST'!A:A, 'MASTER ITEM LIST'!B:B, ""))</f>
        <v>PREMILA MIXING 1L</v>
      </c>
      <c r="F359" s="31" t="s">
        <v>1237</v>
      </c>
      <c r="G359" s="67" t="s">
        <v>1211</v>
      </c>
      <c r="H359" s="31">
        <v>0.2</v>
      </c>
      <c r="I359" s="31" t="str">
        <f t="array" ref="I359">IFERROR(XLOOKUP(D359,'MASTER ITEM LIST'!A:A,'MASTER ITEM LIST'!D:D), "")</f>
        <v>LITER</v>
      </c>
      <c r="J359" s="34">
        <v>2500.0</v>
      </c>
      <c r="K359" s="69">
        <f t="shared" si="1"/>
        <v>500</v>
      </c>
      <c r="L359" s="70" t="s">
        <v>1212</v>
      </c>
    </row>
    <row r="360" ht="22.5" customHeight="1">
      <c r="A360" s="29">
        <v>46139.0</v>
      </c>
      <c r="B360" s="31" t="s">
        <v>1236</v>
      </c>
      <c r="C360" s="32" t="s">
        <v>1210</v>
      </c>
      <c r="D360" s="23" t="s">
        <v>46</v>
      </c>
      <c r="E360" s="66" t="str">
        <f t="array" ref="E360">IF(D360="", "", XLOOKUP(D360, 'MASTER ITEM LIST'!A:A, 'MASTER ITEM LIST'!B:B, ""))</f>
        <v>POLYGLOSS URETHANE THINNER 4L</v>
      </c>
      <c r="F360" s="31" t="s">
        <v>48</v>
      </c>
      <c r="G360" s="67" t="s">
        <v>1211</v>
      </c>
      <c r="H360" s="31">
        <v>0.25</v>
      </c>
      <c r="I360" s="31" t="str">
        <f t="array" ref="I360">IFERROR(XLOOKUP(D360,'MASTER ITEM LIST'!A:A,'MASTER ITEM LIST'!D:D), "")</f>
        <v>GALON</v>
      </c>
      <c r="J360" s="34">
        <v>800.0</v>
      </c>
      <c r="K360" s="69">
        <f t="shared" si="1"/>
        <v>200</v>
      </c>
      <c r="L360" s="70" t="s">
        <v>1212</v>
      </c>
    </row>
    <row r="361" ht="22.5" customHeight="1">
      <c r="A361" s="29">
        <v>46139.0</v>
      </c>
      <c r="B361" s="31" t="s">
        <v>1236</v>
      </c>
      <c r="C361" s="32" t="s">
        <v>1210</v>
      </c>
      <c r="D361" s="23" t="s">
        <v>53</v>
      </c>
      <c r="E361" s="66" t="str">
        <f t="array" ref="E361">IF(D361="", "", XLOOKUP(D361, 'MASTER ITEM LIST'!A:A, 'MASTER ITEM LIST'!B:B, ""))</f>
        <v>NAX 108 CERAMIC 2K CLEAR WITH HARDENER 1L</v>
      </c>
      <c r="F361" s="31" t="s">
        <v>48</v>
      </c>
      <c r="G361" s="67" t="s">
        <v>1211</v>
      </c>
      <c r="H361" s="31">
        <v>0.5</v>
      </c>
      <c r="I361" s="31" t="str">
        <f t="array" ref="I361">IFERROR(XLOOKUP(D361,'MASTER ITEM LIST'!A:A,'MASTER ITEM LIST'!D:D), "")</f>
        <v>LITER</v>
      </c>
      <c r="J361" s="34">
        <v>720.0</v>
      </c>
      <c r="K361" s="69">
        <f t="shared" si="1"/>
        <v>360</v>
      </c>
      <c r="L361" s="70" t="s">
        <v>1212</v>
      </c>
    </row>
    <row r="362" ht="22.5" customHeight="1">
      <c r="A362" s="29">
        <v>46139.0</v>
      </c>
      <c r="B362" s="31" t="s">
        <v>1236</v>
      </c>
      <c r="C362" s="32" t="s">
        <v>1210</v>
      </c>
      <c r="D362" s="23" t="s">
        <v>136</v>
      </c>
      <c r="E362" s="66" t="str">
        <f t="array" ref="E362">IF(D362="", "", XLOOKUP(D362, 'MASTER ITEM LIST'!A:A, 'MASTER ITEM LIST'!B:B, ""))</f>
        <v>CROCO MASKING TAPE 3/4 18MM (1X64)</v>
      </c>
      <c r="F362" s="31"/>
      <c r="G362" s="67" t="s">
        <v>1211</v>
      </c>
      <c r="H362" s="31">
        <v>2.0</v>
      </c>
      <c r="I362" s="31" t="str">
        <f t="array" ref="I362">IFERROR(XLOOKUP(D362,'MASTER ITEM LIST'!A:A,'MASTER ITEM LIST'!D:D), "")</f>
        <v>PC/S</v>
      </c>
      <c r="J362" s="34">
        <v>35.0</v>
      </c>
      <c r="K362" s="69">
        <f t="shared" si="1"/>
        <v>70</v>
      </c>
      <c r="L362" s="70" t="s">
        <v>1212</v>
      </c>
    </row>
    <row r="363" ht="22.5" customHeight="1">
      <c r="A363" s="29">
        <v>46139.0</v>
      </c>
      <c r="B363" s="31" t="s">
        <v>1236</v>
      </c>
      <c r="C363" s="32" t="s">
        <v>1210</v>
      </c>
      <c r="D363" s="23" t="s">
        <v>63</v>
      </c>
      <c r="E363" s="66" t="str">
        <f t="array" ref="E363">IF(D363="", "", XLOOKUP(D363, 'MASTER ITEM LIST'!A:A, 'MASTER ITEM LIST'!B:B, ""))</f>
        <v>OLD NEWS</v>
      </c>
      <c r="F363" s="31"/>
      <c r="G363" s="67" t="s">
        <v>1211</v>
      </c>
      <c r="H363" s="31">
        <v>1.0</v>
      </c>
      <c r="I363" s="31" t="str">
        <f t="array" ref="I363">IFERROR(XLOOKUP(D363,'MASTER ITEM LIST'!A:A,'MASTER ITEM LIST'!D:D), "")</f>
        <v>KG</v>
      </c>
      <c r="J363" s="34">
        <v>100.0</v>
      </c>
      <c r="K363" s="69">
        <f t="shared" si="1"/>
        <v>100</v>
      </c>
      <c r="L363" s="70" t="s">
        <v>1212</v>
      </c>
    </row>
    <row r="364" ht="22.5" customHeight="1">
      <c r="A364" s="29">
        <v>46142.0</v>
      </c>
      <c r="B364" s="31" t="s">
        <v>1238</v>
      </c>
      <c r="C364" s="32" t="s">
        <v>1210</v>
      </c>
      <c r="D364" s="23" t="s">
        <v>229</v>
      </c>
      <c r="E364" s="66" t="str">
        <f t="array" ref="E364">IF(D364="", "", XLOOKUP(D364, 'MASTER ITEM LIST'!A:A, 'MASTER ITEM LIST'!B:B, ""))</f>
        <v>SPRAY GUN F-75G WEBER</v>
      </c>
      <c r="F364" s="31"/>
      <c r="G364" s="67" t="s">
        <v>1211</v>
      </c>
      <c r="H364" s="31">
        <v>1.0</v>
      </c>
      <c r="I364" s="31" t="str">
        <f t="array" ref="I364">IFERROR(XLOOKUP(D364,'MASTER ITEM LIST'!A:A,'MASTER ITEM LIST'!D:D), "")</f>
        <v>SET</v>
      </c>
      <c r="J364" s="34">
        <v>1200.0</v>
      </c>
      <c r="K364" s="69">
        <f t="shared" si="1"/>
        <v>1200</v>
      </c>
      <c r="L364" s="70" t="s">
        <v>1212</v>
      </c>
    </row>
    <row r="365" ht="22.5" customHeight="1">
      <c r="A365" s="29">
        <v>46120.0</v>
      </c>
      <c r="B365" s="31" t="s">
        <v>1239</v>
      </c>
      <c r="C365" s="32" t="s">
        <v>1240</v>
      </c>
      <c r="D365" s="23" t="s">
        <v>57</v>
      </c>
      <c r="E365" s="66" t="str">
        <f t="array" ref="E365">IF(D365="", "", XLOOKUP(D365, 'MASTER ITEM LIST'!A:A, 'MASTER ITEM LIST'!B:B, ""))</f>
        <v>DO IT URETHANE THINNER 4L</v>
      </c>
      <c r="F365" s="31"/>
      <c r="G365" s="67" t="s">
        <v>34</v>
      </c>
      <c r="H365" s="31">
        <v>1.0</v>
      </c>
      <c r="I365" s="31" t="str">
        <f t="array" ref="I365">IFERROR(XLOOKUP(D365,'MASTER ITEM LIST'!A:A,'MASTER ITEM LIST'!D:D), "")</f>
        <v>GAL/S</v>
      </c>
      <c r="J365" s="34">
        <v>720.0</v>
      </c>
      <c r="K365" s="69">
        <f t="shared" si="1"/>
        <v>720</v>
      </c>
      <c r="L365" s="70" t="s">
        <v>42</v>
      </c>
    </row>
    <row r="366" ht="22.5" customHeight="1">
      <c r="A366" s="29">
        <v>46120.0</v>
      </c>
      <c r="B366" s="31" t="s">
        <v>1239</v>
      </c>
      <c r="C366" s="32" t="s">
        <v>1240</v>
      </c>
      <c r="D366" s="23" t="s">
        <v>63</v>
      </c>
      <c r="E366" s="66" t="str">
        <f t="array" ref="E366">IF(D366="", "", XLOOKUP(D366, 'MASTER ITEM LIST'!A:A, 'MASTER ITEM LIST'!B:B, ""))</f>
        <v>OLD NEWS</v>
      </c>
      <c r="F366" s="31"/>
      <c r="G366" s="67" t="s">
        <v>34</v>
      </c>
      <c r="H366" s="31">
        <v>1.0</v>
      </c>
      <c r="I366" s="31" t="str">
        <f t="array" ref="I366">IFERROR(XLOOKUP(D366,'MASTER ITEM LIST'!A:A,'MASTER ITEM LIST'!D:D), "")</f>
        <v>KG</v>
      </c>
      <c r="J366" s="34">
        <v>100.0</v>
      </c>
      <c r="K366" s="69">
        <f t="shared" si="1"/>
        <v>100</v>
      </c>
      <c r="L366" s="70" t="s">
        <v>42</v>
      </c>
    </row>
    <row r="367" ht="22.5" customHeight="1">
      <c r="A367" s="29">
        <v>46120.0</v>
      </c>
      <c r="B367" s="31" t="s">
        <v>1239</v>
      </c>
      <c r="C367" s="32" t="s">
        <v>1240</v>
      </c>
      <c r="D367" s="23" t="s">
        <v>931</v>
      </c>
      <c r="E367" s="66" t="str">
        <f t="array" ref="E367">IF(D367="", "", XLOOKUP(D367, 'MASTER ITEM LIST'!A:A, 'MASTER ITEM LIST'!B:B, ""))</f>
        <v>EAGLE SANDPAPER #60</v>
      </c>
      <c r="F367" s="31"/>
      <c r="G367" s="67" t="s">
        <v>34</v>
      </c>
      <c r="H367" s="31">
        <v>5.0</v>
      </c>
      <c r="I367" s="31" t="str">
        <f t="array" ref="I367">IFERROR(XLOOKUP(D367,'MASTER ITEM LIST'!A:A,'MASTER ITEM LIST'!D:D), "")</f>
        <v>PC/S</v>
      </c>
      <c r="J367" s="34">
        <v>40.0</v>
      </c>
      <c r="K367" s="69">
        <f t="shared" si="1"/>
        <v>200</v>
      </c>
      <c r="L367" s="70" t="s">
        <v>42</v>
      </c>
    </row>
    <row r="368" ht="22.5" customHeight="1">
      <c r="A368" s="29">
        <v>46120.0</v>
      </c>
      <c r="B368" s="31" t="s">
        <v>1239</v>
      </c>
      <c r="C368" s="32" t="s">
        <v>1240</v>
      </c>
      <c r="D368" s="23" t="s">
        <v>117</v>
      </c>
      <c r="E368" s="66" t="str">
        <f t="array" ref="E368">IF(D368="", "", XLOOKUP(D368, 'MASTER ITEM LIST'!A:A, 'MASTER ITEM LIST'!B:B, ""))</f>
        <v>EAGLE SANDPAPER #120</v>
      </c>
      <c r="F368" s="31"/>
      <c r="G368" s="67" t="s">
        <v>34</v>
      </c>
      <c r="H368" s="31">
        <v>5.0</v>
      </c>
      <c r="I368" s="31" t="str">
        <f t="array" ref="I368">IFERROR(XLOOKUP(D368,'MASTER ITEM LIST'!A:A,'MASTER ITEM LIST'!D:D), "")</f>
        <v>PC/S</v>
      </c>
      <c r="J368" s="34">
        <v>25.0</v>
      </c>
      <c r="K368" s="69">
        <f t="shared" si="1"/>
        <v>125</v>
      </c>
      <c r="L368" s="70" t="s">
        <v>42</v>
      </c>
    </row>
    <row r="369" ht="22.5" customHeight="1">
      <c r="A369" s="29">
        <v>46120.0</v>
      </c>
      <c r="B369" s="31" t="s">
        <v>1239</v>
      </c>
      <c r="C369" s="32" t="s">
        <v>1240</v>
      </c>
      <c r="D369" s="23" t="s">
        <v>220</v>
      </c>
      <c r="E369" s="66" t="str">
        <f t="array" ref="E369">IF(D369="", "", XLOOKUP(D369, 'MASTER ITEM LIST'!A:A, 'MASTER ITEM LIST'!B:B, ""))</f>
        <v>PREMILA MIXING 1L</v>
      </c>
      <c r="F369" s="31" t="s">
        <v>1241</v>
      </c>
      <c r="G369" s="67" t="s">
        <v>34</v>
      </c>
      <c r="H369" s="31">
        <v>0.5</v>
      </c>
      <c r="I369" s="31" t="str">
        <f t="array" ref="I369">IFERROR(XLOOKUP(D369,'MASTER ITEM LIST'!A:A,'MASTER ITEM LIST'!D:D), "")</f>
        <v>LITER</v>
      </c>
      <c r="J369" s="34">
        <v>1900.0</v>
      </c>
      <c r="K369" s="69">
        <f t="shared" si="1"/>
        <v>950</v>
      </c>
      <c r="L369" s="70" t="s">
        <v>42</v>
      </c>
    </row>
    <row r="370" ht="22.5" customHeight="1">
      <c r="A370" s="29">
        <v>46120.0</v>
      </c>
      <c r="B370" s="31" t="s">
        <v>1239</v>
      </c>
      <c r="C370" s="32" t="s">
        <v>1240</v>
      </c>
      <c r="D370" s="23" t="s">
        <v>220</v>
      </c>
      <c r="E370" s="66" t="str">
        <f t="array" ref="E370">IF(D370="", "", XLOOKUP(D370, 'MASTER ITEM LIST'!A:A, 'MASTER ITEM LIST'!B:B, ""))</f>
        <v>PREMILA MIXING 1L</v>
      </c>
      <c r="F370" s="31" t="s">
        <v>1242</v>
      </c>
      <c r="G370" s="67" t="s">
        <v>34</v>
      </c>
      <c r="H370" s="31">
        <v>0.5</v>
      </c>
      <c r="I370" s="31" t="str">
        <f t="array" ref="I370">IFERROR(XLOOKUP(D370,'MASTER ITEM LIST'!A:A,'MASTER ITEM LIST'!D:D), "")</f>
        <v>LITER</v>
      </c>
      <c r="J370" s="34">
        <v>2600.0</v>
      </c>
      <c r="K370" s="69">
        <f t="shared" si="1"/>
        <v>1300</v>
      </c>
      <c r="L370" s="70" t="s">
        <v>42</v>
      </c>
    </row>
    <row r="371" ht="22.5" customHeight="1">
      <c r="A371" s="29">
        <v>46120.0</v>
      </c>
      <c r="B371" s="31" t="s">
        <v>1239</v>
      </c>
      <c r="C371" s="32" t="s">
        <v>1240</v>
      </c>
      <c r="D371" s="23" t="s">
        <v>136</v>
      </c>
      <c r="E371" s="66" t="str">
        <f t="array" ref="E371">IF(D371="", "", XLOOKUP(D371, 'MASTER ITEM LIST'!A:A, 'MASTER ITEM LIST'!B:B, ""))</f>
        <v>CROCO MASKING TAPE 3/4 18MM (1X64)</v>
      </c>
      <c r="F371" s="31"/>
      <c r="G371" s="67" t="s">
        <v>34</v>
      </c>
      <c r="H371" s="31">
        <v>5.0</v>
      </c>
      <c r="I371" s="31" t="str">
        <f t="array" ref="I371">IFERROR(XLOOKUP(D371,'MASTER ITEM LIST'!A:A,'MASTER ITEM LIST'!D:D), "")</f>
        <v>PC/S</v>
      </c>
      <c r="J371" s="34">
        <v>35.0</v>
      </c>
      <c r="K371" s="69">
        <f t="shared" si="1"/>
        <v>175</v>
      </c>
      <c r="L371" s="70" t="s">
        <v>42</v>
      </c>
    </row>
    <row r="372" ht="22.5" customHeight="1">
      <c r="A372" s="29">
        <v>46125.0</v>
      </c>
      <c r="B372" s="31" t="s">
        <v>1243</v>
      </c>
      <c r="C372" s="32" t="s">
        <v>1240</v>
      </c>
      <c r="D372" s="23" t="s">
        <v>63</v>
      </c>
      <c r="E372" s="66" t="str">
        <f t="array" ref="E372">IF(D372="", "", XLOOKUP(D372, 'MASTER ITEM LIST'!A:A, 'MASTER ITEM LIST'!B:B, ""))</f>
        <v>OLD NEWS</v>
      </c>
      <c r="F372" s="31"/>
      <c r="G372" s="67" t="s">
        <v>34</v>
      </c>
      <c r="H372" s="31">
        <v>1.0</v>
      </c>
      <c r="I372" s="31" t="str">
        <f t="array" ref="I372">IFERROR(XLOOKUP(D372,'MASTER ITEM LIST'!A:A,'MASTER ITEM LIST'!D:D), "")</f>
        <v>KG</v>
      </c>
      <c r="J372" s="34">
        <v>100.0</v>
      </c>
      <c r="K372" s="69">
        <f t="shared" si="1"/>
        <v>100</v>
      </c>
      <c r="L372" s="70" t="s">
        <v>42</v>
      </c>
    </row>
    <row r="373" ht="22.5" customHeight="1">
      <c r="A373" s="29">
        <v>46125.0</v>
      </c>
      <c r="B373" s="31" t="s">
        <v>1243</v>
      </c>
      <c r="C373" s="32" t="s">
        <v>1240</v>
      </c>
      <c r="D373" s="23" t="s">
        <v>548</v>
      </c>
      <c r="E373" s="66" t="str">
        <f t="array" ref="E373">IF(D373="", "", XLOOKUP(D373, 'MASTER ITEM LIST'!A:A, 'MASTER ITEM LIST'!B:B, ""))</f>
        <v>EAGLE SANDPAPER #240</v>
      </c>
      <c r="F373" s="31"/>
      <c r="G373" s="67" t="s">
        <v>34</v>
      </c>
      <c r="H373" s="31">
        <v>5.0</v>
      </c>
      <c r="I373" s="31" t="str">
        <f t="array" ref="I373">IFERROR(XLOOKUP(D373,'MASTER ITEM LIST'!A:A,'MASTER ITEM LIST'!D:D), "")</f>
        <v>PC/S</v>
      </c>
      <c r="J373" s="34">
        <v>25.0</v>
      </c>
      <c r="K373" s="69">
        <f t="shared" si="1"/>
        <v>125</v>
      </c>
      <c r="L373" s="70" t="s">
        <v>42</v>
      </c>
    </row>
    <row r="374" ht="22.5" customHeight="1">
      <c r="A374" s="29">
        <v>46125.0</v>
      </c>
      <c r="B374" s="31" t="s">
        <v>1243</v>
      </c>
      <c r="C374" s="32" t="s">
        <v>1240</v>
      </c>
      <c r="D374" s="23" t="s">
        <v>117</v>
      </c>
      <c r="E374" s="66" t="str">
        <f t="array" ref="E374">IF(D374="", "", XLOOKUP(D374, 'MASTER ITEM LIST'!A:A, 'MASTER ITEM LIST'!B:B, ""))</f>
        <v>EAGLE SANDPAPER #120</v>
      </c>
      <c r="F374" s="31"/>
      <c r="G374" s="67" t="s">
        <v>34</v>
      </c>
      <c r="H374" s="31">
        <v>5.0</v>
      </c>
      <c r="I374" s="31" t="str">
        <f t="array" ref="I374">IFERROR(XLOOKUP(D374,'MASTER ITEM LIST'!A:A,'MASTER ITEM LIST'!D:D), "")</f>
        <v>PC/S</v>
      </c>
      <c r="J374" s="34">
        <v>25.0</v>
      </c>
      <c r="K374" s="69">
        <f t="shared" si="1"/>
        <v>125</v>
      </c>
      <c r="L374" s="70" t="s">
        <v>42</v>
      </c>
    </row>
    <row r="375" ht="22.5" customHeight="1">
      <c r="A375" s="29">
        <v>46125.0</v>
      </c>
      <c r="B375" s="31" t="s">
        <v>1243</v>
      </c>
      <c r="C375" s="32" t="s">
        <v>1240</v>
      </c>
      <c r="D375" s="23" t="s">
        <v>554</v>
      </c>
      <c r="E375" s="66" t="str">
        <f t="array" ref="E375">IF(D375="", "", XLOOKUP(D375, 'MASTER ITEM LIST'!A:A, 'MASTER ITEM LIST'!B:B, ""))</f>
        <v>EAGLE SANDPAPER #400</v>
      </c>
      <c r="F375" s="31"/>
      <c r="G375" s="67" t="s">
        <v>34</v>
      </c>
      <c r="H375" s="31">
        <v>5.0</v>
      </c>
      <c r="I375" s="31" t="str">
        <f t="array" ref="I375">IFERROR(XLOOKUP(D375,'MASTER ITEM LIST'!A:A,'MASTER ITEM LIST'!D:D), "")</f>
        <v>PC/S</v>
      </c>
      <c r="J375" s="34">
        <v>25.0</v>
      </c>
      <c r="K375" s="69">
        <f t="shared" si="1"/>
        <v>125</v>
      </c>
      <c r="L375" s="70" t="s">
        <v>42</v>
      </c>
    </row>
    <row r="376" ht="22.5" customHeight="1">
      <c r="A376" s="29">
        <v>46125.0</v>
      </c>
      <c r="B376" s="31" t="s">
        <v>1243</v>
      </c>
      <c r="C376" s="32" t="s">
        <v>1240</v>
      </c>
      <c r="D376" s="23" t="s">
        <v>432</v>
      </c>
      <c r="E376" s="66" t="str">
        <f t="array" ref="E376">IF(D376="", "", XLOOKUP(D376, 'MASTER ITEM LIST'!A:A, 'MASTER ITEM LIST'!B:B, ""))</f>
        <v>EAGLE SANDPAPER #600</v>
      </c>
      <c r="F376" s="31"/>
      <c r="G376" s="67" t="s">
        <v>34</v>
      </c>
      <c r="H376" s="31">
        <v>5.0</v>
      </c>
      <c r="I376" s="31" t="str">
        <f t="array" ref="I376">IFERROR(XLOOKUP(D376,'MASTER ITEM LIST'!A:A,'MASTER ITEM LIST'!D:D), "")</f>
        <v>PCS</v>
      </c>
      <c r="J376" s="34">
        <v>25.0</v>
      </c>
      <c r="K376" s="69">
        <f t="shared" si="1"/>
        <v>125</v>
      </c>
      <c r="L376" s="70" t="s">
        <v>42</v>
      </c>
    </row>
    <row r="377" ht="22.5" customHeight="1">
      <c r="A377" s="29">
        <v>46125.0</v>
      </c>
      <c r="B377" s="31" t="s">
        <v>1243</v>
      </c>
      <c r="C377" s="32" t="s">
        <v>1240</v>
      </c>
      <c r="D377" s="23" t="s">
        <v>326</v>
      </c>
      <c r="E377" s="66" t="str">
        <f t="array" ref="E377">IF(D377="", "", XLOOKUP(D377, 'MASTER ITEM LIST'!A:A, 'MASTER ITEM LIST'!B:B, ""))</f>
        <v>EAGLE SANDPAPER #1200</v>
      </c>
      <c r="F377" s="31"/>
      <c r="G377" s="67" t="s">
        <v>34</v>
      </c>
      <c r="H377" s="31">
        <v>5.0</v>
      </c>
      <c r="I377" s="31" t="str">
        <f t="array" ref="I377">IFERROR(XLOOKUP(D377,'MASTER ITEM LIST'!A:A,'MASTER ITEM LIST'!D:D), "")</f>
        <v>PC/S</v>
      </c>
      <c r="J377" s="34">
        <v>25.0</v>
      </c>
      <c r="K377" s="69">
        <f t="shared" si="1"/>
        <v>125</v>
      </c>
      <c r="L377" s="70" t="s">
        <v>42</v>
      </c>
    </row>
    <row r="378" ht="22.5" customHeight="1">
      <c r="A378" s="29">
        <v>46125.0</v>
      </c>
      <c r="B378" s="31" t="s">
        <v>1243</v>
      </c>
      <c r="C378" s="32" t="s">
        <v>1240</v>
      </c>
      <c r="D378" s="23" t="s">
        <v>516</v>
      </c>
      <c r="E378" s="66" t="str">
        <f t="array" ref="E378">IF(D378="", "", XLOOKUP(D378, 'MASTER ITEM LIST'!A:A, 'MASTER ITEM LIST'!B:B, ""))</f>
        <v>EAGLE SANDPAPER #1500</v>
      </c>
      <c r="F378" s="31"/>
      <c r="G378" s="67" t="s">
        <v>34</v>
      </c>
      <c r="H378" s="31">
        <v>5.0</v>
      </c>
      <c r="I378" s="31" t="str">
        <f t="array" ref="I378">IFERROR(XLOOKUP(D378,'MASTER ITEM LIST'!A:A,'MASTER ITEM LIST'!D:D), "")</f>
        <v>PC/S</v>
      </c>
      <c r="J378" s="34">
        <v>35.0</v>
      </c>
      <c r="K378" s="69">
        <f t="shared" si="1"/>
        <v>175</v>
      </c>
      <c r="L378" s="70" t="s">
        <v>42</v>
      </c>
    </row>
    <row r="379" ht="22.5" customHeight="1">
      <c r="A379" s="29">
        <v>46125.0</v>
      </c>
      <c r="B379" s="31" t="s">
        <v>1243</v>
      </c>
      <c r="C379" s="32" t="s">
        <v>1240</v>
      </c>
      <c r="D379" s="23" t="s">
        <v>198</v>
      </c>
      <c r="E379" s="66" t="str">
        <f t="array" ref="E379">IF(D379="", "", XLOOKUP(D379, 'MASTER ITEM LIST'!A:A, 'MASTER ITEM LIST'!B:B, ""))</f>
        <v>EAGLE SANDPAPER #2000</v>
      </c>
      <c r="F379" s="31"/>
      <c r="G379" s="67" t="s">
        <v>34</v>
      </c>
      <c r="H379" s="31">
        <v>5.0</v>
      </c>
      <c r="I379" s="31" t="str">
        <f t="array" ref="I379">IFERROR(XLOOKUP(D379,'MASTER ITEM LIST'!A:A,'MASTER ITEM LIST'!D:D), "")</f>
        <v>PC/S</v>
      </c>
      <c r="J379" s="34">
        <v>35.0</v>
      </c>
      <c r="K379" s="69">
        <f t="shared" si="1"/>
        <v>175</v>
      </c>
      <c r="L379" s="70" t="s">
        <v>42</v>
      </c>
    </row>
    <row r="380" ht="22.5" customHeight="1">
      <c r="A380" s="29">
        <v>46125.0</v>
      </c>
      <c r="B380" s="31" t="s">
        <v>1243</v>
      </c>
      <c r="C380" s="32" t="s">
        <v>1240</v>
      </c>
      <c r="D380" s="23" t="s">
        <v>1046</v>
      </c>
      <c r="E380" s="66" t="str">
        <f t="array" ref="E380">IF(D380="", "", XLOOKUP(D380, 'MASTER ITEM LIST'!A:A, 'MASTER ITEM LIST'!B:B, ""))</f>
        <v>CUMI SUPREME FLOOR SANDING 36</v>
      </c>
      <c r="F380" s="31"/>
      <c r="G380" s="67" t="s">
        <v>34</v>
      </c>
      <c r="H380" s="31">
        <v>5.0</v>
      </c>
      <c r="I380" s="31" t="str">
        <f t="array" ref="I380">IFERROR(XLOOKUP(D380,'MASTER ITEM LIST'!A:A,'MASTER ITEM LIST'!D:D), "")</f>
        <v>FT</v>
      </c>
      <c r="J380" s="34">
        <v>120.0</v>
      </c>
      <c r="K380" s="69">
        <f t="shared" si="1"/>
        <v>600</v>
      </c>
      <c r="L380" s="70" t="s">
        <v>42</v>
      </c>
    </row>
    <row r="381" ht="22.5" customHeight="1">
      <c r="A381" s="29">
        <v>46125.0</v>
      </c>
      <c r="B381" s="31" t="s">
        <v>1243</v>
      </c>
      <c r="C381" s="32" t="s">
        <v>1240</v>
      </c>
      <c r="D381" s="23" t="s">
        <v>136</v>
      </c>
      <c r="E381" s="66" t="str">
        <f t="array" ref="E381">IF(D381="", "", XLOOKUP(D381, 'MASTER ITEM LIST'!A:A, 'MASTER ITEM LIST'!B:B, ""))</f>
        <v>CROCO MASKING TAPE 3/4 18MM (1X64)</v>
      </c>
      <c r="F381" s="31"/>
      <c r="G381" s="67" t="s">
        <v>34</v>
      </c>
      <c r="H381" s="31">
        <v>5.0</v>
      </c>
      <c r="I381" s="31" t="str">
        <f t="array" ref="I381">IFERROR(XLOOKUP(D381,'MASTER ITEM LIST'!A:A,'MASTER ITEM LIST'!D:D), "")</f>
        <v>PC/S</v>
      </c>
      <c r="J381" s="34">
        <v>35.0</v>
      </c>
      <c r="K381" s="69">
        <f t="shared" si="1"/>
        <v>175</v>
      </c>
      <c r="L381" s="70" t="s">
        <v>42</v>
      </c>
    </row>
    <row r="382" ht="22.5" customHeight="1">
      <c r="A382" s="29">
        <v>46127.0</v>
      </c>
      <c r="B382" s="31" t="s">
        <v>1245</v>
      </c>
      <c r="C382" s="32" t="s">
        <v>1240</v>
      </c>
      <c r="D382" s="23" t="s">
        <v>57</v>
      </c>
      <c r="E382" s="66" t="str">
        <f t="array" ref="E382">IF(D382="", "", XLOOKUP(D382, 'MASTER ITEM LIST'!A:A, 'MASTER ITEM LIST'!B:B, ""))</f>
        <v>DO IT URETHANE THINNER 4L</v>
      </c>
      <c r="F382" s="31"/>
      <c r="G382" s="67" t="s">
        <v>34</v>
      </c>
      <c r="H382" s="31">
        <v>1.0</v>
      </c>
      <c r="I382" s="31" t="str">
        <f t="array" ref="I382">IFERROR(XLOOKUP(D382,'MASTER ITEM LIST'!A:A,'MASTER ITEM LIST'!D:D), "")</f>
        <v>GAL/S</v>
      </c>
      <c r="J382" s="34">
        <v>720.0</v>
      </c>
      <c r="K382" s="69">
        <f t="shared" si="1"/>
        <v>720</v>
      </c>
      <c r="L382" s="70" t="s">
        <v>42</v>
      </c>
    </row>
    <row r="383" ht="22.5" customHeight="1">
      <c r="A383" s="29">
        <v>46127.0</v>
      </c>
      <c r="B383" s="31" t="s">
        <v>1245</v>
      </c>
      <c r="C383" s="32" t="s">
        <v>1240</v>
      </c>
      <c r="D383" s="23" t="s">
        <v>213</v>
      </c>
      <c r="E383" s="66" t="str">
        <f t="array" ref="E383">IF(D383="", "", XLOOKUP(D383, 'MASTER ITEM LIST'!A:A, 'MASTER ITEM LIST'!B:B, ""))</f>
        <v>NAX PREMILA NP9200 2K CLEAR WITH HARDENER 1L</v>
      </c>
      <c r="F383" s="31"/>
      <c r="G383" s="67" t="s">
        <v>34</v>
      </c>
      <c r="H383" s="31">
        <v>2.0</v>
      </c>
      <c r="I383" s="31" t="str">
        <f t="array" ref="I383">IFERROR(XLOOKUP(D383,'MASTER ITEM LIST'!A:A,'MASTER ITEM LIST'!D:D), "")</f>
        <v>LITER</v>
      </c>
      <c r="J383" s="34">
        <v>1350.0</v>
      </c>
      <c r="K383" s="69">
        <f t="shared" si="1"/>
        <v>2700</v>
      </c>
      <c r="L383" s="70" t="s">
        <v>42</v>
      </c>
    </row>
    <row r="384" ht="22.5" customHeight="1">
      <c r="A384" s="29">
        <v>46127.0</v>
      </c>
      <c r="B384" s="31" t="s">
        <v>1245</v>
      </c>
      <c r="C384" s="32" t="s">
        <v>1240</v>
      </c>
      <c r="D384" s="23" t="s">
        <v>703</v>
      </c>
      <c r="E384" s="66" t="str">
        <f t="array" ref="E384">IF(D384="", "", XLOOKUP(D384, 'MASTER ITEM LIST'!A:A, 'MASTER ITEM LIST'!B:B, ""))</f>
        <v>NAX SOD145 SOLVENT NAPTHA/DEGREASER 4L</v>
      </c>
      <c r="F384" s="31"/>
      <c r="G384" s="67" t="s">
        <v>34</v>
      </c>
      <c r="H384" s="31">
        <v>1.0</v>
      </c>
      <c r="I384" s="31" t="str">
        <f t="array" ref="I384">IFERROR(XLOOKUP(D384,'MASTER ITEM LIST'!A:A,'MASTER ITEM LIST'!D:D), "")</f>
        <v>GAL</v>
      </c>
      <c r="J384" s="34">
        <v>1000.0</v>
      </c>
      <c r="K384" s="69">
        <f t="shared" si="1"/>
        <v>1000</v>
      </c>
      <c r="L384" s="70" t="s">
        <v>42</v>
      </c>
    </row>
    <row r="385" ht="22.5" customHeight="1">
      <c r="A385" s="29">
        <v>46128.0</v>
      </c>
      <c r="B385" s="31" t="s">
        <v>1246</v>
      </c>
      <c r="C385" s="32" t="s">
        <v>1240</v>
      </c>
      <c r="D385" s="23" t="s">
        <v>220</v>
      </c>
      <c r="E385" s="66" t="str">
        <f t="array" ref="E385">IF(D385="", "", XLOOKUP(D385, 'MASTER ITEM LIST'!A:A, 'MASTER ITEM LIST'!B:B, ""))</f>
        <v>PREMILA MIXING 1L</v>
      </c>
      <c r="F385" s="31" t="s">
        <v>1247</v>
      </c>
      <c r="G385" s="67" t="s">
        <v>34</v>
      </c>
      <c r="H385" s="31">
        <v>0.5</v>
      </c>
      <c r="I385" s="31" t="str">
        <f t="array" ref="I385">IFERROR(XLOOKUP(D385,'MASTER ITEM LIST'!A:A,'MASTER ITEM LIST'!D:D), "")</f>
        <v>LITER</v>
      </c>
      <c r="J385" s="34">
        <v>1360.0</v>
      </c>
      <c r="K385" s="69">
        <f t="shared" si="1"/>
        <v>680</v>
      </c>
      <c r="L385" s="70" t="s">
        <v>42</v>
      </c>
    </row>
    <row r="386" ht="22.5" customHeight="1">
      <c r="A386" s="29">
        <v>46128.0</v>
      </c>
      <c r="B386" s="31" t="s">
        <v>1246</v>
      </c>
      <c r="C386" s="32" t="s">
        <v>1240</v>
      </c>
      <c r="D386" s="23" t="s">
        <v>931</v>
      </c>
      <c r="E386" s="66" t="str">
        <f t="array" ref="E386">IF(D386="", "", XLOOKUP(D386, 'MASTER ITEM LIST'!A:A, 'MASTER ITEM LIST'!B:B, ""))</f>
        <v>EAGLE SANDPAPER #60</v>
      </c>
      <c r="F386" s="31"/>
      <c r="G386" s="67" t="s">
        <v>34</v>
      </c>
      <c r="H386" s="31">
        <v>10.0</v>
      </c>
      <c r="I386" s="31" t="str">
        <f t="array" ref="I386">IFERROR(XLOOKUP(D386,'MASTER ITEM LIST'!A:A,'MASTER ITEM LIST'!D:D), "")</f>
        <v>PC/S</v>
      </c>
      <c r="J386" s="34">
        <v>40.0</v>
      </c>
      <c r="K386" s="69">
        <f t="shared" si="1"/>
        <v>400</v>
      </c>
      <c r="L386" s="70" t="s">
        <v>42</v>
      </c>
    </row>
    <row r="387" ht="22.5" customHeight="1">
      <c r="A387" s="29">
        <v>46129.0</v>
      </c>
      <c r="B387" s="31" t="s">
        <v>1248</v>
      </c>
      <c r="C387" s="32" t="s">
        <v>1240</v>
      </c>
      <c r="D387" s="23" t="s">
        <v>220</v>
      </c>
      <c r="E387" s="66" t="str">
        <f t="array" ref="E387">IF(D387="", "", XLOOKUP(D387, 'MASTER ITEM LIST'!A:A, 'MASTER ITEM LIST'!B:B, ""))</f>
        <v>PREMILA MIXING 1L</v>
      </c>
      <c r="F387" s="31" t="s">
        <v>1249</v>
      </c>
      <c r="G387" s="67" t="s">
        <v>34</v>
      </c>
      <c r="H387" s="31">
        <v>0.5</v>
      </c>
      <c r="I387" s="31" t="str">
        <f t="array" ref="I387">IFERROR(XLOOKUP(D387,'MASTER ITEM LIST'!A:A,'MASTER ITEM LIST'!D:D), "")</f>
        <v>LITER</v>
      </c>
      <c r="J387" s="34">
        <v>2900.0</v>
      </c>
      <c r="K387" s="69">
        <f t="shared" si="1"/>
        <v>1450</v>
      </c>
      <c r="L387" s="70" t="s">
        <v>42</v>
      </c>
    </row>
    <row r="388" ht="22.5" customHeight="1">
      <c r="A388" s="29">
        <v>46129.0</v>
      </c>
      <c r="B388" s="31" t="s">
        <v>1248</v>
      </c>
      <c r="C388" s="32" t="s">
        <v>1240</v>
      </c>
      <c r="D388" s="23" t="s">
        <v>1251</v>
      </c>
      <c r="E388" s="66" t="str">
        <f t="array" ref="E388">IF(D388="", "", XLOOKUP(D388, 'MASTER ITEM LIST'!A:A, 'MASTER ITEM LIST'!B:B, ""))</f>
        <v>EAGLE SANDPAPER #120</v>
      </c>
      <c r="F388" s="31"/>
      <c r="G388" s="67" t="s">
        <v>34</v>
      </c>
      <c r="H388" s="31">
        <v>5.0</v>
      </c>
      <c r="I388" s="31" t="str">
        <f t="array" ref="I388">IFERROR(XLOOKUP(D388,'MASTER ITEM LIST'!A:A,'MASTER ITEM LIST'!D:D), "")</f>
        <v>PC/S</v>
      </c>
      <c r="J388" s="34">
        <v>25.0</v>
      </c>
      <c r="K388" s="69">
        <f t="shared" si="1"/>
        <v>125</v>
      </c>
      <c r="L388" s="70" t="s">
        <v>42</v>
      </c>
    </row>
    <row r="389" ht="22.5" customHeight="1">
      <c r="A389" s="29">
        <v>46129.0</v>
      </c>
      <c r="B389" s="31" t="s">
        <v>1248</v>
      </c>
      <c r="C389" s="32" t="s">
        <v>1240</v>
      </c>
      <c r="D389" s="23" t="s">
        <v>548</v>
      </c>
      <c r="E389" s="66" t="str">
        <f t="array" ref="E389">IF(D389="", "", XLOOKUP(D389, 'MASTER ITEM LIST'!A:A, 'MASTER ITEM LIST'!B:B, ""))</f>
        <v>EAGLE SANDPAPER #240</v>
      </c>
      <c r="F389" s="31"/>
      <c r="G389" s="67" t="s">
        <v>34</v>
      </c>
      <c r="H389" s="31">
        <v>5.0</v>
      </c>
      <c r="I389" s="31" t="str">
        <f t="array" ref="I389">IFERROR(XLOOKUP(D389,'MASTER ITEM LIST'!A:A,'MASTER ITEM LIST'!D:D), "")</f>
        <v>PC/S</v>
      </c>
      <c r="J389" s="34">
        <v>25.0</v>
      </c>
      <c r="K389" s="69">
        <f t="shared" si="1"/>
        <v>125</v>
      </c>
      <c r="L389" s="70" t="s">
        <v>42</v>
      </c>
    </row>
    <row r="390" ht="22.5" customHeight="1">
      <c r="A390" s="29">
        <v>46129.0</v>
      </c>
      <c r="B390" s="31" t="s">
        <v>1248</v>
      </c>
      <c r="C390" s="32" t="s">
        <v>1240</v>
      </c>
      <c r="D390" s="23" t="s">
        <v>432</v>
      </c>
      <c r="E390" s="66" t="str">
        <f t="array" ref="E390">IF(D390="", "", XLOOKUP(D390, 'MASTER ITEM LIST'!A:A, 'MASTER ITEM LIST'!B:B, ""))</f>
        <v>EAGLE SANDPAPER #600</v>
      </c>
      <c r="F390" s="31"/>
      <c r="G390" s="67" t="s">
        <v>34</v>
      </c>
      <c r="H390" s="31">
        <v>5.0</v>
      </c>
      <c r="I390" s="31" t="str">
        <f t="array" ref="I390">IFERROR(XLOOKUP(D390,'MASTER ITEM LIST'!A:A,'MASTER ITEM LIST'!D:D), "")</f>
        <v>PCS</v>
      </c>
      <c r="J390" s="34">
        <v>25.0</v>
      </c>
      <c r="K390" s="69">
        <f t="shared" si="1"/>
        <v>125</v>
      </c>
      <c r="L390" s="70" t="s">
        <v>42</v>
      </c>
    </row>
    <row r="391" ht="22.5" customHeight="1">
      <c r="A391" s="29">
        <v>46130.0</v>
      </c>
      <c r="B391" s="31" t="s">
        <v>1252</v>
      </c>
      <c r="C391" s="32" t="s">
        <v>1240</v>
      </c>
      <c r="D391" s="23" t="s">
        <v>213</v>
      </c>
      <c r="E391" s="66" t="str">
        <f t="array" ref="E391">IF(D391="", "", XLOOKUP(D391, 'MASTER ITEM LIST'!A:A, 'MASTER ITEM LIST'!B:B, ""))</f>
        <v>NAX PREMILA NP9200 2K CLEAR WITH HARDENER 1L</v>
      </c>
      <c r="F391" s="31"/>
      <c r="G391" s="67" t="s">
        <v>34</v>
      </c>
      <c r="H391" s="31">
        <v>1.0</v>
      </c>
      <c r="I391" s="31" t="str">
        <f t="array" ref="I391">IFERROR(XLOOKUP(D391,'MASTER ITEM LIST'!A:A,'MASTER ITEM LIST'!D:D), "")</f>
        <v>LITER</v>
      </c>
      <c r="J391" s="34">
        <v>1350.0</v>
      </c>
      <c r="K391" s="69">
        <f t="shared" si="1"/>
        <v>1350</v>
      </c>
      <c r="L391" s="70" t="s">
        <v>42</v>
      </c>
    </row>
    <row r="392" ht="22.5" customHeight="1">
      <c r="A392" s="29">
        <v>46130.0</v>
      </c>
      <c r="B392" s="31" t="s">
        <v>1252</v>
      </c>
      <c r="C392" s="32" t="s">
        <v>1240</v>
      </c>
      <c r="D392" s="23" t="s">
        <v>233</v>
      </c>
      <c r="E392" s="66" t="str">
        <f t="array" ref="E392">IF(D392="", "", XLOOKUP(D392, 'MASTER ITEM LIST'!A:A, 'MASTER ITEM LIST'!B:B, ""))</f>
        <v>NAX ALPHA HB SPRAY FILLER GRAY WITH HARDENER 1L</v>
      </c>
      <c r="F392" s="31"/>
      <c r="G392" s="67" t="s">
        <v>34</v>
      </c>
      <c r="H392" s="31">
        <v>1.0</v>
      </c>
      <c r="I392" s="31" t="str">
        <f t="array" ref="I392">IFERROR(XLOOKUP(D392,'MASTER ITEM LIST'!A:A,'MASTER ITEM LIST'!D:D), "")</f>
        <v>LITER</v>
      </c>
      <c r="J392" s="34">
        <v>600.0</v>
      </c>
      <c r="K392" s="69">
        <f t="shared" si="1"/>
        <v>600</v>
      </c>
      <c r="L392" s="70" t="s">
        <v>42</v>
      </c>
    </row>
    <row r="393" ht="22.5" customHeight="1">
      <c r="A393" s="29">
        <v>46130.0</v>
      </c>
      <c r="B393" s="31" t="s">
        <v>1253</v>
      </c>
      <c r="C393" s="32" t="s">
        <v>1240</v>
      </c>
      <c r="D393" s="23" t="s">
        <v>233</v>
      </c>
      <c r="E393" s="66" t="str">
        <f t="array" ref="E393">IF(D393="", "", XLOOKUP(D393, 'MASTER ITEM LIST'!A:A, 'MASTER ITEM LIST'!B:B, ""))</f>
        <v>NAX ALPHA HB SPRAY FILLER GRAY WITH HARDENER 1L</v>
      </c>
      <c r="F393" s="31"/>
      <c r="G393" s="67" t="s">
        <v>34</v>
      </c>
      <c r="H393" s="31">
        <v>1.0</v>
      </c>
      <c r="I393" s="31" t="str">
        <f t="array" ref="I393">IFERROR(XLOOKUP(D393,'MASTER ITEM LIST'!A:A,'MASTER ITEM LIST'!D:D), "")</f>
        <v>LITER</v>
      </c>
      <c r="J393" s="34">
        <v>600.0</v>
      </c>
      <c r="K393" s="69">
        <f t="shared" si="1"/>
        <v>600</v>
      </c>
      <c r="L393" s="70" t="s">
        <v>42</v>
      </c>
    </row>
    <row r="394" ht="22.5" customHeight="1">
      <c r="A394" s="29">
        <v>46130.0</v>
      </c>
      <c r="B394" s="31" t="s">
        <v>1253</v>
      </c>
      <c r="C394" s="32" t="s">
        <v>1240</v>
      </c>
      <c r="D394" s="23" t="s">
        <v>63</v>
      </c>
      <c r="E394" s="66" t="str">
        <f t="array" ref="E394">IF(D394="", "", XLOOKUP(D394, 'MASTER ITEM LIST'!A:A, 'MASTER ITEM LIST'!B:B, ""))</f>
        <v>OLD NEWS</v>
      </c>
      <c r="F394" s="31"/>
      <c r="G394" s="67" t="s">
        <v>34</v>
      </c>
      <c r="H394" s="31">
        <v>1.0</v>
      </c>
      <c r="I394" s="31" t="str">
        <f t="array" ref="I394">IFERROR(XLOOKUP(D394,'MASTER ITEM LIST'!A:A,'MASTER ITEM LIST'!D:D), "")</f>
        <v>KG</v>
      </c>
      <c r="J394" s="34">
        <v>100.0</v>
      </c>
      <c r="K394" s="69">
        <f t="shared" si="1"/>
        <v>100</v>
      </c>
      <c r="L394" s="70" t="s">
        <v>42</v>
      </c>
    </row>
    <row r="395" ht="22.5" customHeight="1">
      <c r="A395" s="29">
        <v>46140.0</v>
      </c>
      <c r="B395" s="31" t="s">
        <v>1254</v>
      </c>
      <c r="C395" s="32" t="s">
        <v>1240</v>
      </c>
      <c r="D395" s="23" t="s">
        <v>220</v>
      </c>
      <c r="E395" s="66" t="str">
        <f t="array" ref="E395">IF(D395="", "", XLOOKUP(D395, 'MASTER ITEM LIST'!A:A, 'MASTER ITEM LIST'!B:B, ""))</f>
        <v>PREMILA MIXING 1L</v>
      </c>
      <c r="F395" s="31" t="s">
        <v>1255</v>
      </c>
      <c r="G395" s="67" t="s">
        <v>34</v>
      </c>
      <c r="H395" s="31">
        <v>2.0</v>
      </c>
      <c r="I395" s="31" t="str">
        <f t="array" ref="I395">IFERROR(XLOOKUP(D395,'MASTER ITEM LIST'!A:A,'MASTER ITEM LIST'!D:D), "")</f>
        <v>LITER</v>
      </c>
      <c r="J395" s="34">
        <v>2500.0</v>
      </c>
      <c r="K395" s="69">
        <f t="shared" si="1"/>
        <v>5000</v>
      </c>
      <c r="L395" s="70" t="s">
        <v>42</v>
      </c>
    </row>
    <row r="396" ht="22.5" customHeight="1">
      <c r="A396" s="29">
        <v>46141.0</v>
      </c>
      <c r="B396" s="31" t="s">
        <v>1256</v>
      </c>
      <c r="C396" s="32" t="s">
        <v>1240</v>
      </c>
      <c r="D396" s="23" t="s">
        <v>213</v>
      </c>
      <c r="E396" s="66" t="str">
        <f t="array" ref="E396">IF(D396="", "", XLOOKUP(D396, 'MASTER ITEM LIST'!A:A, 'MASTER ITEM LIST'!B:B, ""))</f>
        <v>NAX PREMILA NP9200 2K CLEAR WITH HARDENER 1L</v>
      </c>
      <c r="F396" s="31"/>
      <c r="G396" s="67" t="s">
        <v>34</v>
      </c>
      <c r="H396" s="31">
        <v>1.0</v>
      </c>
      <c r="I396" s="31" t="str">
        <f t="array" ref="I396">IFERROR(XLOOKUP(D396,'MASTER ITEM LIST'!A:A,'MASTER ITEM LIST'!D:D), "")</f>
        <v>LITER</v>
      </c>
      <c r="J396" s="34">
        <v>1350.0</v>
      </c>
      <c r="K396" s="69">
        <f t="shared" si="1"/>
        <v>1350</v>
      </c>
      <c r="L396" s="70" t="s">
        <v>42</v>
      </c>
    </row>
    <row r="397" ht="22.5" customHeight="1">
      <c r="A397" s="29">
        <v>46190.0</v>
      </c>
      <c r="B397" s="31" t="s">
        <v>1257</v>
      </c>
      <c r="C397" s="32" t="s">
        <v>1258</v>
      </c>
      <c r="D397" s="71" t="s">
        <v>838</v>
      </c>
      <c r="E397" s="66" t="str">
        <f t="array" ref="E397">IF(D397="", "", XLOOKUP(D397, 'MASTER ITEM LIST'!A:A, 'MASTER ITEM LIST'!B:B, ""))</f>
        <v>NAX EXTREME EPOXY ENAMEL BLACK WITH HARDENER 4L</v>
      </c>
      <c r="F397" s="31"/>
      <c r="G397" s="67" t="s">
        <v>34</v>
      </c>
      <c r="H397" s="31">
        <v>0.5</v>
      </c>
      <c r="I397" s="31" t="str">
        <f t="array" ref="I397">IFERROR(XLOOKUP(D397,'MASTER ITEM LIST'!A:A,'MASTER ITEM LIST'!D:D), "")</f>
        <v>GAL</v>
      </c>
      <c r="J397" s="34">
        <v>800.0</v>
      </c>
      <c r="K397" s="69">
        <f t="shared" si="1"/>
        <v>400</v>
      </c>
      <c r="L397" s="70" t="s">
        <v>42</v>
      </c>
    </row>
    <row r="398" ht="22.5" customHeight="1">
      <c r="A398" s="29">
        <v>46190.0</v>
      </c>
      <c r="B398" s="31" t="s">
        <v>1257</v>
      </c>
      <c r="C398" s="32" t="s">
        <v>1258</v>
      </c>
      <c r="D398" s="71" t="s">
        <v>604</v>
      </c>
      <c r="E398" s="66" t="str">
        <f t="array" ref="E398">IF(D398="", "", XLOOKUP(D398, 'MASTER ITEM LIST'!A:A, 'MASTER ITEM LIST'!B:B, ""))</f>
        <v>METALGUARD EPOXY PRIMER WHITE WITH HARDENER 4L</v>
      </c>
      <c r="F398" s="31"/>
      <c r="G398" s="67" t="s">
        <v>34</v>
      </c>
      <c r="H398" s="31">
        <v>0.5</v>
      </c>
      <c r="I398" s="31" t="str">
        <f t="array" ref="I398">IFERROR(XLOOKUP(D398,'MASTER ITEM LIST'!A:A,'MASTER ITEM LIST'!D:D), "")</f>
        <v>GAL</v>
      </c>
      <c r="J398" s="34">
        <v>600.0</v>
      </c>
      <c r="K398" s="69">
        <f t="shared" si="1"/>
        <v>300</v>
      </c>
      <c r="L398" s="70" t="s">
        <v>42</v>
      </c>
    </row>
    <row r="399" ht="22.5" customHeight="1">
      <c r="A399" s="29">
        <v>46190.0</v>
      </c>
      <c r="B399" s="31"/>
      <c r="C399" s="32" t="s">
        <v>711</v>
      </c>
      <c r="D399" s="71" t="s">
        <v>304</v>
      </c>
      <c r="E399" s="66" t="str">
        <f t="array" ref="E399">IF(D399="", "", XLOOKUP(D399, 'MASTER ITEM LIST'!A:A, 'MASTER ITEM LIST'!B:B, ""))</f>
        <v>NAX NAT-100 TTC WHITE 4L</v>
      </c>
      <c r="F399" s="31"/>
      <c r="G399" s="67" t="s">
        <v>34</v>
      </c>
      <c r="H399" s="31">
        <v>0.125</v>
      </c>
      <c r="I399" s="31" t="str">
        <f t="array" ref="I399">IFERROR(XLOOKUP(D399,'MASTER ITEM LIST'!A:A,'MASTER ITEM LIST'!D:D), "")</f>
        <v>GAL</v>
      </c>
      <c r="J399" s="34">
        <v>4000.0</v>
      </c>
      <c r="K399" s="69">
        <f t="shared" si="1"/>
        <v>500</v>
      </c>
      <c r="L399" s="70" t="s">
        <v>42</v>
      </c>
    </row>
    <row r="400" ht="22.5" customHeight="1">
      <c r="A400" s="29">
        <v>46190.0</v>
      </c>
      <c r="B400" s="31"/>
      <c r="C400" s="32" t="s">
        <v>711</v>
      </c>
      <c r="D400" s="71" t="s">
        <v>1019</v>
      </c>
      <c r="E400" s="66" t="str">
        <f t="array" ref="E400">IF(D400="", "", XLOOKUP(D400, 'MASTER ITEM LIST'!A:A, 'MASTER ITEM LIST'!B:B, ""))</f>
        <v>GI PAINT REMOVER BOTTLE</v>
      </c>
      <c r="F400" s="31"/>
      <c r="G400" s="67" t="s">
        <v>34</v>
      </c>
      <c r="H400" s="31">
        <v>1.0</v>
      </c>
      <c r="I400" s="31" t="str">
        <f t="array" ref="I400">IFERROR(XLOOKUP(D400,'MASTER ITEM LIST'!A:A,'MASTER ITEM LIST'!D:D), "")</f>
        <v>BOT</v>
      </c>
      <c r="J400" s="34">
        <v>100.0</v>
      </c>
      <c r="K400" s="69">
        <f t="shared" si="1"/>
        <v>100</v>
      </c>
      <c r="L400" s="70" t="s">
        <v>42</v>
      </c>
    </row>
    <row r="401" ht="22.5" customHeight="1">
      <c r="A401" s="29">
        <v>46190.0</v>
      </c>
      <c r="B401" s="31"/>
      <c r="C401" s="32" t="s">
        <v>711</v>
      </c>
      <c r="D401" s="71" t="s">
        <v>426</v>
      </c>
      <c r="E401" s="66" t="str">
        <f t="array" ref="E401">IF(D401="", "", XLOOKUP(D401, 'MASTER ITEM LIST'!A:A, 'MASTER ITEM LIST'!B:B, ""))</f>
        <v>EAGLE SAND PAPER #320</v>
      </c>
      <c r="F401" s="31"/>
      <c r="G401" s="67" t="s">
        <v>34</v>
      </c>
      <c r="H401" s="31">
        <v>4.0</v>
      </c>
      <c r="I401" s="31" t="str">
        <f t="array" ref="I401">IFERROR(XLOOKUP(D401,'MASTER ITEM LIST'!A:A,'MASTER ITEM LIST'!D:D), "")</f>
        <v>PCS</v>
      </c>
      <c r="J401" s="34">
        <v>100.0</v>
      </c>
      <c r="K401" s="69">
        <f t="shared" si="1"/>
        <v>400</v>
      </c>
      <c r="L401" s="70" t="s">
        <v>42</v>
      </c>
    </row>
    <row r="402" ht="22.5" customHeight="1">
      <c r="A402" s="29">
        <v>46190.0</v>
      </c>
      <c r="B402" s="31"/>
      <c r="C402" s="32" t="s">
        <v>711</v>
      </c>
      <c r="D402" s="71" t="s">
        <v>432</v>
      </c>
      <c r="E402" s="66" t="str">
        <f t="array" ref="E402">IF(D402="", "", XLOOKUP(D402, 'MASTER ITEM LIST'!A:A, 'MASTER ITEM LIST'!B:B, ""))</f>
        <v>EAGLE SANDPAPER #600</v>
      </c>
      <c r="F402" s="31"/>
      <c r="G402" s="67" t="s">
        <v>34</v>
      </c>
      <c r="H402" s="31">
        <v>4.0</v>
      </c>
      <c r="I402" s="31" t="str">
        <f t="array" ref="I402">IFERROR(XLOOKUP(D402,'MASTER ITEM LIST'!A:A,'MASTER ITEM LIST'!D:D), "")</f>
        <v>PCS</v>
      </c>
      <c r="J402" s="34">
        <v>100.0</v>
      </c>
      <c r="K402" s="69">
        <f t="shared" si="1"/>
        <v>400</v>
      </c>
      <c r="L402" s="70" t="s">
        <v>42</v>
      </c>
    </row>
    <row r="403" ht="22.5" customHeight="1">
      <c r="A403" s="29">
        <v>46190.0</v>
      </c>
      <c r="B403" s="31"/>
      <c r="C403" s="32" t="s">
        <v>711</v>
      </c>
      <c r="D403" s="71" t="s">
        <v>79</v>
      </c>
      <c r="E403" s="66" t="str">
        <f t="array" ref="E403">IF(D403="", "", XLOOKUP(D403, 'MASTER ITEM LIST'!A:A, 'MASTER ITEM LIST'!B:B, ""))</f>
        <v>CROCO MASKING TAPE 1/2 12MM (1X96)</v>
      </c>
      <c r="F403" s="31"/>
      <c r="G403" s="67" t="s">
        <v>34</v>
      </c>
      <c r="H403" s="31">
        <v>1.0</v>
      </c>
      <c r="I403" s="31" t="str">
        <f t="array" ref="I403">IFERROR(XLOOKUP(D403,'MASTER ITEM LIST'!A:A,'MASTER ITEM LIST'!D:D), "")</f>
        <v>PC/S</v>
      </c>
      <c r="J403" s="34">
        <v>25.0</v>
      </c>
      <c r="K403" s="69">
        <f t="shared" si="1"/>
        <v>25</v>
      </c>
      <c r="L403" s="70" t="s">
        <v>42</v>
      </c>
    </row>
    <row r="404" ht="22.5" customHeight="1">
      <c r="A404" s="29">
        <v>46190.0</v>
      </c>
      <c r="B404" s="31"/>
      <c r="C404" s="32" t="s">
        <v>711</v>
      </c>
      <c r="D404" s="71" t="s">
        <v>136</v>
      </c>
      <c r="E404" s="66" t="str">
        <f t="array" ref="E404">IF(D404="", "", XLOOKUP(D404, 'MASTER ITEM LIST'!A:A, 'MASTER ITEM LIST'!B:B, ""))</f>
        <v>CROCO MASKING TAPE 3/4 18MM (1X64)</v>
      </c>
      <c r="F404" s="31"/>
      <c r="G404" s="67" t="s">
        <v>34</v>
      </c>
      <c r="H404" s="31">
        <v>1.0</v>
      </c>
      <c r="I404" s="31" t="str">
        <f t="array" ref="I404">IFERROR(XLOOKUP(D404,'MASTER ITEM LIST'!A:A,'MASTER ITEM LIST'!D:D), "")</f>
        <v>PC/S</v>
      </c>
      <c r="J404" s="34">
        <v>35.0</v>
      </c>
      <c r="K404" s="69">
        <f t="shared" si="1"/>
        <v>35</v>
      </c>
      <c r="L404" s="70" t="s">
        <v>42</v>
      </c>
    </row>
    <row r="405" ht="22.5" customHeight="1">
      <c r="A405" s="29">
        <v>46190.0</v>
      </c>
      <c r="B405" s="31"/>
      <c r="C405" s="32" t="s">
        <v>711</v>
      </c>
      <c r="D405" s="71" t="s">
        <v>63</v>
      </c>
      <c r="E405" s="66" t="str">
        <f t="array" ref="E405">IF(D405="", "", XLOOKUP(D405, 'MASTER ITEM LIST'!A:A, 'MASTER ITEM LIST'!B:B, ""))</f>
        <v>OLD NEWS</v>
      </c>
      <c r="F405" s="31"/>
      <c r="G405" s="67" t="s">
        <v>34</v>
      </c>
      <c r="H405" s="31">
        <v>0.5</v>
      </c>
      <c r="I405" s="31" t="str">
        <f t="array" ref="I405">IFERROR(XLOOKUP(D405,'MASTER ITEM LIST'!A:A,'MASTER ITEM LIST'!D:D), "")</f>
        <v>KG</v>
      </c>
      <c r="J405" s="34">
        <v>100.0</v>
      </c>
      <c r="K405" s="69">
        <f t="shared" si="1"/>
        <v>50</v>
      </c>
      <c r="L405" s="70" t="s">
        <v>42</v>
      </c>
    </row>
    <row r="406" ht="22.5" customHeight="1">
      <c r="A406" s="29">
        <v>46190.0</v>
      </c>
      <c r="B406" s="31"/>
      <c r="C406" s="32" t="s">
        <v>711</v>
      </c>
      <c r="D406" s="71" t="s">
        <v>674</v>
      </c>
      <c r="E406" s="66" t="str">
        <f t="array" ref="E406">IF(D406="", "", XLOOKUP(D406, 'MASTER ITEM LIST'!A:A, 'MASTER ITEM LIST'!B:B, ""))</f>
        <v>DOMINO BODY FILTER WITH HARDENER 1L</v>
      </c>
      <c r="F406" s="31"/>
      <c r="G406" s="67" t="s">
        <v>34</v>
      </c>
      <c r="H406" s="31">
        <v>1.0</v>
      </c>
      <c r="I406" s="31" t="str">
        <f t="array" ref="I406">IFERROR(XLOOKUP(D406,'MASTER ITEM LIST'!A:A,'MASTER ITEM LIST'!D:D), "")</f>
        <v>LITER</v>
      </c>
      <c r="J406" s="34">
        <v>210.0</v>
      </c>
      <c r="K406" s="69">
        <f t="shared" si="1"/>
        <v>210</v>
      </c>
      <c r="L406" s="70" t="s">
        <v>42</v>
      </c>
    </row>
    <row r="407" ht="22.5" customHeight="1">
      <c r="A407" s="29">
        <v>46190.0</v>
      </c>
      <c r="B407" s="31"/>
      <c r="C407" s="32" t="s">
        <v>711</v>
      </c>
      <c r="D407" s="71" t="s">
        <v>1179</v>
      </c>
      <c r="E407" s="66" t="str">
        <f t="array" ref="E407">IF(D407="", "", XLOOKUP(D407, 'MASTER ITEM LIST'!A:A, 'MASTER ITEM LIST'!B:B, ""))</f>
        <v>RAIN OR SHINE-BLUE OCEAN-4L</v>
      </c>
      <c r="F407" s="31"/>
      <c r="G407" s="67" t="s">
        <v>34</v>
      </c>
      <c r="H407" s="31">
        <v>1.0</v>
      </c>
      <c r="I407" s="31" t="str">
        <f t="array" ref="I407">IFERROR(XLOOKUP(D407,'MASTER ITEM LIST'!A:A,'MASTER ITEM LIST'!D:D), "")</f>
        <v>GALON</v>
      </c>
      <c r="J407" s="34">
        <v>900.0</v>
      </c>
      <c r="K407" s="69">
        <f t="shared" si="1"/>
        <v>900</v>
      </c>
      <c r="L407" s="70" t="s">
        <v>42</v>
      </c>
    </row>
    <row r="408" ht="22.5" customHeight="1">
      <c r="A408" s="29">
        <v>46190.0</v>
      </c>
      <c r="B408" s="31"/>
      <c r="C408" s="32" t="s">
        <v>711</v>
      </c>
      <c r="D408" s="71" t="s">
        <v>63</v>
      </c>
      <c r="E408" s="66" t="str">
        <f t="array" ref="E408">IF(D408="", "", XLOOKUP(D408, 'MASTER ITEM LIST'!A:A, 'MASTER ITEM LIST'!B:B, ""))</f>
        <v>OLD NEWS</v>
      </c>
      <c r="F408" s="31"/>
      <c r="G408" s="67" t="s">
        <v>34</v>
      </c>
      <c r="H408" s="31">
        <v>1.0</v>
      </c>
      <c r="I408" s="31" t="str">
        <f t="array" ref="I408">IFERROR(XLOOKUP(D408,'MASTER ITEM LIST'!A:A,'MASTER ITEM LIST'!D:D), "")</f>
        <v>KG</v>
      </c>
      <c r="J408" s="34">
        <v>100.0</v>
      </c>
      <c r="K408" s="69">
        <f t="shared" si="1"/>
        <v>100</v>
      </c>
      <c r="L408" s="70" t="s">
        <v>42</v>
      </c>
    </row>
    <row r="409" ht="22.5" customHeight="1">
      <c r="A409" s="29">
        <v>46190.0</v>
      </c>
      <c r="B409" s="31"/>
      <c r="C409" s="32" t="s">
        <v>711</v>
      </c>
      <c r="D409" s="71" t="s">
        <v>136</v>
      </c>
      <c r="E409" s="66" t="str">
        <f t="array" ref="E409">IF(D409="", "", XLOOKUP(D409, 'MASTER ITEM LIST'!A:A, 'MASTER ITEM LIST'!B:B, ""))</f>
        <v>CROCO MASKING TAPE 3/4 18MM (1X64)</v>
      </c>
      <c r="F409" s="31"/>
      <c r="G409" s="67" t="s">
        <v>34</v>
      </c>
      <c r="H409" s="31">
        <v>3.0</v>
      </c>
      <c r="I409" s="31" t="str">
        <f t="array" ref="I409">IFERROR(XLOOKUP(D409,'MASTER ITEM LIST'!A:A,'MASTER ITEM LIST'!D:D), "")</f>
        <v>PC/S</v>
      </c>
      <c r="J409" s="34">
        <v>35.0</v>
      </c>
      <c r="K409" s="69">
        <f t="shared" si="1"/>
        <v>105</v>
      </c>
      <c r="L409" s="70" t="s">
        <v>42</v>
      </c>
    </row>
    <row r="410" ht="22.5" customHeight="1">
      <c r="A410" s="29">
        <v>46143.0</v>
      </c>
      <c r="B410" s="31" t="s">
        <v>1260</v>
      </c>
      <c r="C410" s="32" t="s">
        <v>93</v>
      </c>
      <c r="D410" s="23" t="s">
        <v>167</v>
      </c>
      <c r="E410" s="66" t="str">
        <f t="array" ref="E410">IF(D410="", "", XLOOKUP(D410, 'MASTER ITEM LIST'!A:A, 'MASTER ITEM LIST'!B:B, ""))</f>
        <v>NAX QDU MIX 1L</v>
      </c>
      <c r="F410" s="31"/>
      <c r="G410" s="67" t="s">
        <v>34</v>
      </c>
      <c r="H410" s="31">
        <v>0.25</v>
      </c>
      <c r="I410" s="31" t="str">
        <f t="array" ref="I410">IFERROR(XLOOKUP(D410,'MASTER ITEM LIST'!A:A,'MASTER ITEM LIST'!D:D), "")</f>
        <v>LITER</v>
      </c>
      <c r="J410" s="34">
        <v>1600.0</v>
      </c>
      <c r="K410" s="69">
        <f t="shared" si="1"/>
        <v>400</v>
      </c>
      <c r="L410" s="70" t="s">
        <v>42</v>
      </c>
    </row>
    <row r="411" ht="22.5" customHeight="1">
      <c r="A411" s="29">
        <v>46143.0</v>
      </c>
      <c r="B411" s="31" t="s">
        <v>1261</v>
      </c>
      <c r="C411" s="32" t="s">
        <v>1262</v>
      </c>
      <c r="D411" s="23" t="s">
        <v>167</v>
      </c>
      <c r="E411" s="66" t="str">
        <f t="array" ref="E411">IF(D411="", "", XLOOKUP(D411, 'MASTER ITEM LIST'!A:A, 'MASTER ITEM LIST'!B:B, ""))</f>
        <v>NAX QDU MIX 1L</v>
      </c>
      <c r="F411" s="31"/>
      <c r="G411" s="67" t="s">
        <v>34</v>
      </c>
      <c r="H411" s="31">
        <v>0.25</v>
      </c>
      <c r="I411" s="31" t="str">
        <f t="array" ref="I411">IFERROR(XLOOKUP(D411,'MASTER ITEM LIST'!A:A,'MASTER ITEM LIST'!D:D), "")</f>
        <v>LITER</v>
      </c>
      <c r="J411" s="34">
        <v>1400.0</v>
      </c>
      <c r="K411" s="69">
        <f t="shared" si="1"/>
        <v>350</v>
      </c>
      <c r="L411" s="70" t="s">
        <v>42</v>
      </c>
    </row>
    <row r="412" ht="22.5" customHeight="1">
      <c r="A412" s="29">
        <v>46143.0</v>
      </c>
      <c r="B412" s="31" t="s">
        <v>1261</v>
      </c>
      <c r="C412" s="32" t="s">
        <v>1262</v>
      </c>
      <c r="D412" s="71" t="s">
        <v>384</v>
      </c>
      <c r="E412" s="66" t="str">
        <f t="array" ref="E412">IF(D412="", "", XLOOKUP(D412, 'MASTER ITEM LIST'!A:A, 'MASTER ITEM LIST'!B:B, ""))</f>
        <v>PAINT BRUSH 2B #1</v>
      </c>
      <c r="F412" s="31"/>
      <c r="G412" s="67" t="s">
        <v>34</v>
      </c>
      <c r="H412" s="31">
        <v>2.0</v>
      </c>
      <c r="I412" s="31" t="str">
        <f t="array" ref="I412">IFERROR(XLOOKUP(D412,'MASTER ITEM LIST'!A:A,'MASTER ITEM LIST'!D:D), "")</f>
        <v>PC/S</v>
      </c>
      <c r="J412" s="34">
        <v>25.0</v>
      </c>
      <c r="K412" s="69">
        <f t="shared" si="1"/>
        <v>50</v>
      </c>
      <c r="L412" s="70" t="s">
        <v>42</v>
      </c>
    </row>
    <row r="413" ht="22.5" customHeight="1">
      <c r="A413" s="29">
        <v>46146.0</v>
      </c>
      <c r="B413" s="31" t="s">
        <v>1263</v>
      </c>
      <c r="C413" s="32" t="s">
        <v>219</v>
      </c>
      <c r="D413" s="23" t="s">
        <v>220</v>
      </c>
      <c r="E413" s="66" t="str">
        <f t="array" ref="E413">IF(D413="", "", XLOOKUP(D413, 'MASTER ITEM LIST'!A:A, 'MASTER ITEM LIST'!B:B, ""))</f>
        <v>PREMILA MIXING 1L</v>
      </c>
      <c r="F413" s="31" t="s">
        <v>1264</v>
      </c>
      <c r="G413" s="67" t="s">
        <v>34</v>
      </c>
      <c r="H413" s="31">
        <v>0.3</v>
      </c>
      <c r="I413" s="31" t="str">
        <f t="array" ref="I413">IFERROR(XLOOKUP(D413,'MASTER ITEM LIST'!A:A,'MASTER ITEM LIST'!D:D), "")</f>
        <v>LITER</v>
      </c>
      <c r="J413" s="34">
        <v>2600.0</v>
      </c>
      <c r="K413" s="69">
        <f t="shared" si="1"/>
        <v>780</v>
      </c>
      <c r="L413" s="70" t="s">
        <v>42</v>
      </c>
    </row>
    <row r="414" ht="22.5" customHeight="1">
      <c r="A414" s="29">
        <v>46146.0</v>
      </c>
      <c r="B414" s="31" t="s">
        <v>1265</v>
      </c>
      <c r="C414" s="32" t="s">
        <v>1215</v>
      </c>
      <c r="D414" s="23" t="s">
        <v>220</v>
      </c>
      <c r="E414" s="66" t="str">
        <f t="array" ref="E414">IF(D414="", "", XLOOKUP(D414, 'MASTER ITEM LIST'!A:A, 'MASTER ITEM LIST'!B:B, ""))</f>
        <v>PREMILA MIXING 1L</v>
      </c>
      <c r="F414" s="31" t="s">
        <v>1266</v>
      </c>
      <c r="G414" s="67" t="s">
        <v>34</v>
      </c>
      <c r="H414" s="31">
        <v>0.5</v>
      </c>
      <c r="I414" s="31" t="str">
        <f t="array" ref="I414">IFERROR(XLOOKUP(D414,'MASTER ITEM LIST'!A:A,'MASTER ITEM LIST'!D:D), "")</f>
        <v>LITER</v>
      </c>
      <c r="J414" s="34">
        <v>2600.0</v>
      </c>
      <c r="K414" s="69">
        <f t="shared" si="1"/>
        <v>1300</v>
      </c>
      <c r="L414" s="70" t="s">
        <v>42</v>
      </c>
    </row>
    <row r="415" ht="22.5" customHeight="1">
      <c r="A415" s="29">
        <v>46146.0</v>
      </c>
      <c r="B415" s="31" t="s">
        <v>1267</v>
      </c>
      <c r="C415" s="32" t="s">
        <v>93</v>
      </c>
      <c r="D415" s="23" t="s">
        <v>220</v>
      </c>
      <c r="E415" s="66" t="str">
        <f t="array" ref="E415">IF(D415="", "", XLOOKUP(D415, 'MASTER ITEM LIST'!A:A, 'MASTER ITEM LIST'!B:B, ""))</f>
        <v>PREMILA MIXING 1L</v>
      </c>
      <c r="F415" s="31" t="s">
        <v>1268</v>
      </c>
      <c r="G415" s="67" t="s">
        <v>34</v>
      </c>
      <c r="H415" s="31">
        <v>0.5</v>
      </c>
      <c r="I415" s="31" t="str">
        <f t="array" ref="I415">IFERROR(XLOOKUP(D415,'MASTER ITEM LIST'!A:A,'MASTER ITEM LIST'!D:D), "")</f>
        <v>LITER</v>
      </c>
      <c r="J415" s="34">
        <v>2800.0</v>
      </c>
      <c r="K415" s="69">
        <f t="shared" si="1"/>
        <v>1400</v>
      </c>
      <c r="L415" s="70" t="s">
        <v>42</v>
      </c>
    </row>
    <row r="416" ht="22.5" customHeight="1">
      <c r="A416" s="29">
        <v>46146.0</v>
      </c>
      <c r="B416" s="31" t="s">
        <v>1269</v>
      </c>
      <c r="C416" s="32" t="s">
        <v>588</v>
      </c>
      <c r="D416" s="71" t="s">
        <v>114</v>
      </c>
      <c r="E416" s="66" t="str">
        <f t="array" ref="E416">IF(D416="", "", XLOOKUP(D416, 'MASTER ITEM LIST'!A:A, 'MASTER ITEM LIST'!B:B, ""))</f>
        <v>POLYGLOSS-BRIGHT ALUMINUM 4L</v>
      </c>
      <c r="F416" s="31"/>
      <c r="G416" s="67" t="s">
        <v>34</v>
      </c>
      <c r="H416" s="31">
        <v>0.125</v>
      </c>
      <c r="I416" s="31" t="str">
        <f t="array" ref="I416">IFERROR(XLOOKUP(D416,'MASTER ITEM LIST'!A:A,'MASTER ITEM LIST'!D:D), "")</f>
        <v>GALON</v>
      </c>
      <c r="J416" s="34">
        <v>3040.0</v>
      </c>
      <c r="K416" s="69">
        <f t="shared" si="1"/>
        <v>380</v>
      </c>
      <c r="L416" s="70" t="s">
        <v>42</v>
      </c>
    </row>
    <row r="417" ht="22.5" customHeight="1">
      <c r="A417" s="29">
        <v>46146.0</v>
      </c>
      <c r="B417" s="31" t="s">
        <v>1269</v>
      </c>
      <c r="C417" s="32" t="s">
        <v>588</v>
      </c>
      <c r="D417" s="71" t="s">
        <v>957</v>
      </c>
      <c r="E417" s="66" t="str">
        <f t="array" ref="E417">IF(D417="", "", XLOOKUP(D417, 'MASTER ITEM LIST'!A:A, 'MASTER ITEM LIST'!B:B, ""))</f>
        <v>NAX 301 NAX QDU FLAT CLEAR WITH HARDENER 1L</v>
      </c>
      <c r="F417" s="31"/>
      <c r="G417" s="67" t="s">
        <v>34</v>
      </c>
      <c r="H417" s="31">
        <v>0.25</v>
      </c>
      <c r="I417" s="31" t="str">
        <f t="array" ref="I417">IFERROR(XLOOKUP(D417,'MASTER ITEM LIST'!A:A,'MASTER ITEM LIST'!D:D), "")</f>
        <v>LITER</v>
      </c>
      <c r="J417" s="34">
        <v>1200.0</v>
      </c>
      <c r="K417" s="69">
        <f t="shared" si="1"/>
        <v>300</v>
      </c>
      <c r="L417" s="70" t="s">
        <v>42</v>
      </c>
    </row>
    <row r="418" ht="22.5" customHeight="1">
      <c r="A418" s="29">
        <v>46146.0</v>
      </c>
      <c r="B418" s="31" t="s">
        <v>1269</v>
      </c>
      <c r="C418" s="32" t="s">
        <v>588</v>
      </c>
      <c r="D418" s="71" t="s">
        <v>160</v>
      </c>
      <c r="E418" s="66" t="str">
        <f t="array" ref="E418">IF(D418="", "", XLOOKUP(D418, 'MASTER ITEM LIST'!A:A, 'MASTER ITEM LIST'!B:B, ""))</f>
        <v>NAX 141 NAX MAXIMA URETHANE FD CLEAR WITH HARDENER 1L</v>
      </c>
      <c r="F418" s="31"/>
      <c r="G418" s="67" t="s">
        <v>34</v>
      </c>
      <c r="H418" s="31">
        <v>0.5</v>
      </c>
      <c r="I418" s="31" t="str">
        <f t="array" ref="I418">IFERROR(XLOOKUP(D418,'MASTER ITEM LIST'!A:A,'MASTER ITEM LIST'!D:D), "")</f>
        <v>LITER</v>
      </c>
      <c r="J418" s="34">
        <v>580.0</v>
      </c>
      <c r="K418" s="69">
        <f t="shared" si="1"/>
        <v>290</v>
      </c>
      <c r="L418" s="70" t="s">
        <v>42</v>
      </c>
    </row>
    <row r="419" ht="22.5" customHeight="1">
      <c r="A419" s="29">
        <v>46146.0</v>
      </c>
      <c r="B419" s="31" t="s">
        <v>1270</v>
      </c>
      <c r="C419" s="32" t="s">
        <v>93</v>
      </c>
      <c r="D419" s="23" t="s">
        <v>220</v>
      </c>
      <c r="E419" s="66" t="str">
        <f t="array" ref="E419">IF(D419="", "", XLOOKUP(D419, 'MASTER ITEM LIST'!A:A, 'MASTER ITEM LIST'!B:B, ""))</f>
        <v>PREMILA MIXING 1L</v>
      </c>
      <c r="F419" s="31" t="s">
        <v>1271</v>
      </c>
      <c r="G419" s="67" t="s">
        <v>34</v>
      </c>
      <c r="H419" s="31">
        <v>0.25</v>
      </c>
      <c r="I419" s="31" t="str">
        <f t="array" ref="I419">IFERROR(XLOOKUP(D419,'MASTER ITEM LIST'!A:A,'MASTER ITEM LIST'!D:D), "")</f>
        <v>LITER</v>
      </c>
      <c r="J419" s="34">
        <v>2600.0</v>
      </c>
      <c r="K419" s="69">
        <f t="shared" si="1"/>
        <v>650</v>
      </c>
      <c r="L419" s="70" t="s">
        <v>42</v>
      </c>
    </row>
    <row r="420" ht="22.5" customHeight="1">
      <c r="A420" s="29">
        <v>46190.0</v>
      </c>
      <c r="B420" s="31"/>
      <c r="C420" s="32" t="s">
        <v>711</v>
      </c>
      <c r="D420" s="71" t="s">
        <v>563</v>
      </c>
      <c r="E420" s="66" t="str">
        <f t="array" ref="E420">IF(D420="", "", XLOOKUP(D420, 'MASTER ITEM LIST'!A:A, 'MASTER ITEM LIST'!B:B, ""))</f>
        <v>NIPPON EXTREME QDU WHITE 4L</v>
      </c>
      <c r="F420" s="31"/>
      <c r="G420" s="67" t="s">
        <v>34</v>
      </c>
      <c r="H420" s="31">
        <v>0.0625</v>
      </c>
      <c r="I420" s="31" t="str">
        <f t="array" ref="I420">IFERROR(XLOOKUP(D420,'MASTER ITEM LIST'!A:A,'MASTER ITEM LIST'!D:D), "")</f>
        <v>GAL</v>
      </c>
      <c r="J420" s="34">
        <v>3200.0</v>
      </c>
      <c r="K420" s="69">
        <f t="shared" si="1"/>
        <v>200</v>
      </c>
      <c r="L420" s="70" t="s">
        <v>42</v>
      </c>
    </row>
    <row r="421" ht="22.5" customHeight="1">
      <c r="A421" s="29">
        <v>46190.0</v>
      </c>
      <c r="B421" s="31"/>
      <c r="C421" s="32" t="s">
        <v>711</v>
      </c>
      <c r="D421" s="71" t="s">
        <v>72</v>
      </c>
      <c r="E421" s="66" t="str">
        <f t="array" ref="E421">IF(D421="", "", XLOOKUP(D421, 'MASTER ITEM LIST'!A:A, 'MASTER ITEM LIST'!B:B, ""))</f>
        <v>NIPPON EXTREME QDU BLACK 4L</v>
      </c>
      <c r="F421" s="31"/>
      <c r="G421" s="67" t="s">
        <v>34</v>
      </c>
      <c r="H421" s="31">
        <v>0.0625</v>
      </c>
      <c r="I421" s="31" t="str">
        <f t="array" ref="I421">IFERROR(XLOOKUP(D421,'MASTER ITEM LIST'!A:A,'MASTER ITEM LIST'!D:D), "")</f>
        <v>GAL</v>
      </c>
      <c r="J421" s="34">
        <v>3200.0</v>
      </c>
      <c r="K421" s="69">
        <f t="shared" si="1"/>
        <v>200</v>
      </c>
      <c r="L421" s="70" t="s">
        <v>42</v>
      </c>
    </row>
    <row r="422" ht="22.5" customHeight="1">
      <c r="A422" s="29">
        <v>46147.0</v>
      </c>
      <c r="B422" s="31" t="s">
        <v>1272</v>
      </c>
      <c r="C422" s="32" t="s">
        <v>93</v>
      </c>
      <c r="D422" s="71" t="s">
        <v>117</v>
      </c>
      <c r="E422" s="66" t="str">
        <f t="array" ref="E422">IF(D422="", "", XLOOKUP(D422, 'MASTER ITEM LIST'!A:A, 'MASTER ITEM LIST'!B:B, ""))</f>
        <v>EAGLE SANDPAPER #120</v>
      </c>
      <c r="F422" s="31"/>
      <c r="G422" s="67" t="s">
        <v>34</v>
      </c>
      <c r="H422" s="31">
        <v>4.0</v>
      </c>
      <c r="I422" s="31" t="str">
        <f t="array" ref="I422">IFERROR(XLOOKUP(D422,'MASTER ITEM LIST'!A:A,'MASTER ITEM LIST'!D:D), "")</f>
        <v>PC/S</v>
      </c>
      <c r="J422" s="34">
        <v>25.0</v>
      </c>
      <c r="K422" s="69">
        <f t="shared" si="1"/>
        <v>100</v>
      </c>
      <c r="L422" s="70" t="s">
        <v>42</v>
      </c>
    </row>
    <row r="423" ht="22.5" customHeight="1">
      <c r="A423" s="29">
        <v>46147.0</v>
      </c>
      <c r="B423" s="31" t="s">
        <v>1272</v>
      </c>
      <c r="C423" s="32" t="s">
        <v>93</v>
      </c>
      <c r="D423" s="71" t="s">
        <v>548</v>
      </c>
      <c r="E423" s="66" t="str">
        <f t="array" ref="E423">IF(D423="", "", XLOOKUP(D423, 'MASTER ITEM LIST'!A:A, 'MASTER ITEM LIST'!B:B, ""))</f>
        <v>EAGLE SANDPAPER #240</v>
      </c>
      <c r="F423" s="31"/>
      <c r="G423" s="67" t="s">
        <v>34</v>
      </c>
      <c r="H423" s="31">
        <v>4.0</v>
      </c>
      <c r="I423" s="31" t="str">
        <f t="array" ref="I423">IFERROR(XLOOKUP(D423,'MASTER ITEM LIST'!A:A,'MASTER ITEM LIST'!D:D), "")</f>
        <v>PC/S</v>
      </c>
      <c r="J423" s="34">
        <v>25.0</v>
      </c>
      <c r="K423" s="69">
        <f t="shared" si="1"/>
        <v>100</v>
      </c>
      <c r="L423" s="70" t="s">
        <v>42</v>
      </c>
    </row>
    <row r="424" ht="22.5" customHeight="1">
      <c r="A424" s="29">
        <v>46147.0</v>
      </c>
      <c r="B424" s="31" t="s">
        <v>1272</v>
      </c>
      <c r="C424" s="32" t="s">
        <v>93</v>
      </c>
      <c r="D424" s="71" t="s">
        <v>432</v>
      </c>
      <c r="E424" s="66" t="str">
        <f t="array" ref="E424">IF(D424="", "", XLOOKUP(D424, 'MASTER ITEM LIST'!A:A, 'MASTER ITEM LIST'!B:B, ""))</f>
        <v>EAGLE SANDPAPER #600</v>
      </c>
      <c r="F424" s="31"/>
      <c r="G424" s="67" t="s">
        <v>34</v>
      </c>
      <c r="H424" s="31">
        <v>4.0</v>
      </c>
      <c r="I424" s="31" t="str">
        <f t="array" ref="I424">IFERROR(XLOOKUP(D424,'MASTER ITEM LIST'!A:A,'MASTER ITEM LIST'!D:D), "")</f>
        <v>PCS</v>
      </c>
      <c r="J424" s="34">
        <v>25.0</v>
      </c>
      <c r="K424" s="69">
        <f t="shared" si="1"/>
        <v>100</v>
      </c>
      <c r="L424" s="70" t="s">
        <v>42</v>
      </c>
    </row>
    <row r="425" ht="22.5" customHeight="1">
      <c r="A425" s="29">
        <v>46147.0</v>
      </c>
      <c r="B425" s="31" t="s">
        <v>1272</v>
      </c>
      <c r="C425" s="32" t="s">
        <v>93</v>
      </c>
      <c r="D425" s="71" t="s">
        <v>326</v>
      </c>
      <c r="E425" s="66" t="str">
        <f t="array" ref="E425">IF(D425="", "", XLOOKUP(D425, 'MASTER ITEM LIST'!A:A, 'MASTER ITEM LIST'!B:B, ""))</f>
        <v>EAGLE SANDPAPER #1200</v>
      </c>
      <c r="F425" s="31"/>
      <c r="G425" s="67" t="s">
        <v>34</v>
      </c>
      <c r="H425" s="31">
        <v>4.0</v>
      </c>
      <c r="I425" s="31" t="str">
        <f t="array" ref="I425">IFERROR(XLOOKUP(D425,'MASTER ITEM LIST'!A:A,'MASTER ITEM LIST'!D:D), "")</f>
        <v>PC/S</v>
      </c>
      <c r="J425" s="34">
        <v>25.0</v>
      </c>
      <c r="K425" s="69">
        <f t="shared" si="1"/>
        <v>100</v>
      </c>
      <c r="L425" s="70" t="s">
        <v>42</v>
      </c>
    </row>
    <row r="426" ht="22.5" customHeight="1">
      <c r="A426" s="29">
        <v>46148.0</v>
      </c>
      <c r="B426" s="31" t="s">
        <v>1273</v>
      </c>
      <c r="C426" s="32" t="s">
        <v>212</v>
      </c>
      <c r="D426" s="71" t="s">
        <v>233</v>
      </c>
      <c r="E426" s="66" t="str">
        <f t="array" ref="E426">IF(D426="", "", XLOOKUP(D426, 'MASTER ITEM LIST'!A:A, 'MASTER ITEM LIST'!B:B, ""))</f>
        <v>NAX ALPHA HB SPRAY FILLER GRAY WITH HARDENER 1L</v>
      </c>
      <c r="F426" s="31"/>
      <c r="G426" s="67" t="s">
        <v>34</v>
      </c>
      <c r="H426" s="31">
        <v>1.0</v>
      </c>
      <c r="I426" s="31" t="str">
        <f t="array" ref="I426">IFERROR(XLOOKUP(D426,'MASTER ITEM LIST'!A:A,'MASTER ITEM LIST'!D:D), "")</f>
        <v>LITER</v>
      </c>
      <c r="J426" s="34">
        <v>600.0</v>
      </c>
      <c r="K426" s="69">
        <f t="shared" si="1"/>
        <v>600</v>
      </c>
      <c r="L426" s="70" t="s">
        <v>42</v>
      </c>
    </row>
    <row r="427" ht="22.5" customHeight="1">
      <c r="A427" s="29">
        <v>46148.0</v>
      </c>
      <c r="B427" s="31" t="s">
        <v>1274</v>
      </c>
      <c r="C427" s="32" t="s">
        <v>93</v>
      </c>
      <c r="D427" s="23" t="s">
        <v>220</v>
      </c>
      <c r="E427" s="66" t="str">
        <f t="array" ref="E427">IF(D427="", "", XLOOKUP(D427, 'MASTER ITEM LIST'!A:A, 'MASTER ITEM LIST'!B:B, ""))</f>
        <v>PREMILA MIXING 1L</v>
      </c>
      <c r="F427" s="31" t="s">
        <v>1275</v>
      </c>
      <c r="G427" s="67" t="s">
        <v>34</v>
      </c>
      <c r="H427" s="31">
        <v>0.5</v>
      </c>
      <c r="I427" s="31" t="str">
        <f t="array" ref="I427">IFERROR(XLOOKUP(D427,'MASTER ITEM LIST'!A:A,'MASTER ITEM LIST'!D:D), "")</f>
        <v>LITER</v>
      </c>
      <c r="J427" s="34">
        <v>2800.0</v>
      </c>
      <c r="K427" s="69">
        <f t="shared" si="1"/>
        <v>1400</v>
      </c>
      <c r="L427" s="70" t="s">
        <v>42</v>
      </c>
    </row>
    <row r="428" ht="22.5" customHeight="1">
      <c r="A428" s="29">
        <v>46148.0</v>
      </c>
      <c r="B428" s="31" t="s">
        <v>1276</v>
      </c>
      <c r="C428" s="32" t="s">
        <v>93</v>
      </c>
      <c r="D428" s="71" t="s">
        <v>568</v>
      </c>
      <c r="E428" s="66" t="str">
        <f t="array" ref="E428">IF(D428="", "", XLOOKUP(D428, 'MASTER ITEM LIST'!A:A, 'MASTER ITEM LIST'!B:B, ""))</f>
        <v>NIPPON EXTREME QDU SILVER 4L</v>
      </c>
      <c r="F428" s="31"/>
      <c r="G428" s="67" t="s">
        <v>34</v>
      </c>
      <c r="H428" s="31">
        <v>0.03125</v>
      </c>
      <c r="I428" s="31" t="str">
        <f t="array" ref="I428">IFERROR(XLOOKUP(D428,'MASTER ITEM LIST'!A:A,'MASTER ITEM LIST'!D:D), "")</f>
        <v>GAL</v>
      </c>
      <c r="J428" s="34">
        <v>3200.0</v>
      </c>
      <c r="K428" s="69">
        <f t="shared" si="1"/>
        <v>100</v>
      </c>
      <c r="L428" s="70" t="s">
        <v>42</v>
      </c>
    </row>
    <row r="429" ht="22.5" customHeight="1">
      <c r="A429" s="29">
        <v>46150.0</v>
      </c>
      <c r="B429" s="31" t="s">
        <v>1277</v>
      </c>
      <c r="C429" s="32" t="s">
        <v>1278</v>
      </c>
      <c r="D429" s="71" t="s">
        <v>390</v>
      </c>
      <c r="E429" s="66" t="str">
        <f t="array" ref="E429">IF(D429="", "", XLOOKUP(D429, 'MASTER ITEM LIST'!A:A, 'MASTER ITEM LIST'!B:B, ""))</f>
        <v>NIPPON EPOXY THINNER 4L</v>
      </c>
      <c r="F429" s="31"/>
      <c r="G429" s="67" t="s">
        <v>34</v>
      </c>
      <c r="H429" s="31">
        <v>1.0</v>
      </c>
      <c r="I429" s="31" t="str">
        <f t="array" ref="I429">IFERROR(XLOOKUP(D429,'MASTER ITEM LIST'!A:A,'MASTER ITEM LIST'!D:D), "")</f>
        <v>GAL/S</v>
      </c>
      <c r="J429" s="34">
        <v>690.0</v>
      </c>
      <c r="K429" s="69">
        <f t="shared" si="1"/>
        <v>690</v>
      </c>
      <c r="L429" s="70" t="s">
        <v>42</v>
      </c>
    </row>
    <row r="430" ht="22.5" customHeight="1">
      <c r="A430" s="29">
        <v>46151.0</v>
      </c>
      <c r="B430" s="31" t="s">
        <v>1279</v>
      </c>
      <c r="C430" s="32" t="s">
        <v>93</v>
      </c>
      <c r="D430" s="23" t="s">
        <v>220</v>
      </c>
      <c r="E430" s="66" t="str">
        <f t="array" ref="E430">IF(D430="", "", XLOOKUP(D430, 'MASTER ITEM LIST'!A:A, 'MASTER ITEM LIST'!B:B, ""))</f>
        <v>PREMILA MIXING 1L</v>
      </c>
      <c r="F430" s="31"/>
      <c r="G430" s="67" t="s">
        <v>34</v>
      </c>
      <c r="H430" s="31">
        <v>0.25</v>
      </c>
      <c r="I430" s="31" t="str">
        <f t="array" ref="I430">IFERROR(XLOOKUP(D430,'MASTER ITEM LIST'!A:A,'MASTER ITEM LIST'!D:D), "")</f>
        <v>LITER</v>
      </c>
      <c r="J430" s="34">
        <v>2400.0</v>
      </c>
      <c r="K430" s="69">
        <f t="shared" si="1"/>
        <v>600</v>
      </c>
      <c r="L430" s="70" t="s">
        <v>42</v>
      </c>
    </row>
    <row r="431" ht="22.5" customHeight="1">
      <c r="A431" s="29">
        <v>46154.0</v>
      </c>
      <c r="B431" s="31" t="s">
        <v>1280</v>
      </c>
      <c r="C431" s="32" t="s">
        <v>1281</v>
      </c>
      <c r="D431" s="71" t="s">
        <v>1012</v>
      </c>
      <c r="E431" s="66" t="str">
        <f t="array" ref="E431">IF(D431="", "", XLOOKUP(D431, 'MASTER ITEM LIST'!A:A, 'MASTER ITEM LIST'!B:B, ""))</f>
        <v>GLAZER AUTOMOTIVE ENAMEL WHITE (R) 1L</v>
      </c>
      <c r="F431" s="31"/>
      <c r="G431" s="67" t="s">
        <v>34</v>
      </c>
      <c r="H431" s="31">
        <v>1.0</v>
      </c>
      <c r="I431" s="31" t="str">
        <f t="array" ref="I431">IFERROR(XLOOKUP(D431,'MASTER ITEM LIST'!A:A,'MASTER ITEM LIST'!D:D), "")</f>
        <v>LITER</v>
      </c>
      <c r="J431" s="34">
        <v>290.0</v>
      </c>
      <c r="K431" s="69">
        <f t="shared" si="1"/>
        <v>290</v>
      </c>
      <c r="L431" s="70" t="s">
        <v>42</v>
      </c>
    </row>
    <row r="432" ht="22.5" customHeight="1">
      <c r="A432" s="29">
        <v>46154.0</v>
      </c>
      <c r="B432" s="31" t="s">
        <v>1280</v>
      </c>
      <c r="C432" s="32" t="s">
        <v>1281</v>
      </c>
      <c r="D432" s="71" t="s">
        <v>717</v>
      </c>
      <c r="E432" s="66" t="str">
        <f t="array" ref="E432">IF(D432="", "", XLOOKUP(D432, 'MASTER ITEM LIST'!A:A, 'MASTER ITEM LIST'!B:B, ""))</f>
        <v>CROCO MASKING TAPE #1</v>
      </c>
      <c r="F432" s="31"/>
      <c r="G432" s="67" t="s">
        <v>34</v>
      </c>
      <c r="H432" s="31">
        <v>1.0</v>
      </c>
      <c r="I432" s="31" t="str">
        <f t="array" ref="I432">IFERROR(XLOOKUP(D432,'MASTER ITEM LIST'!A:A,'MASTER ITEM LIST'!D:D), "")</f>
        <v>PCS</v>
      </c>
      <c r="J432" s="34">
        <v>40.0</v>
      </c>
      <c r="K432" s="69">
        <f t="shared" si="1"/>
        <v>40</v>
      </c>
      <c r="L432" s="70" t="s">
        <v>42</v>
      </c>
    </row>
    <row r="433" ht="22.5" customHeight="1">
      <c r="A433" s="29">
        <v>46154.0</v>
      </c>
      <c r="B433" s="31" t="s">
        <v>1282</v>
      </c>
      <c r="C433" s="32" t="s">
        <v>1283</v>
      </c>
      <c r="D433" s="71" t="s">
        <v>136</v>
      </c>
      <c r="E433" s="66" t="str">
        <f t="array" ref="E433">IF(D433="", "", XLOOKUP(D433, 'MASTER ITEM LIST'!A:A, 'MASTER ITEM LIST'!B:B, ""))</f>
        <v>CROCO MASKING TAPE 3/4 18MM (1X64)</v>
      </c>
      <c r="F433" s="31"/>
      <c r="G433" s="67" t="s">
        <v>34</v>
      </c>
      <c r="H433" s="31">
        <v>5.0</v>
      </c>
      <c r="I433" s="31" t="str">
        <f t="array" ref="I433">IFERROR(XLOOKUP(D433,'MASTER ITEM LIST'!A:A,'MASTER ITEM LIST'!D:D), "")</f>
        <v>PC/S</v>
      </c>
      <c r="J433" s="34">
        <v>35.0</v>
      </c>
      <c r="K433" s="69">
        <f t="shared" si="1"/>
        <v>175</v>
      </c>
      <c r="L433" s="70" t="s">
        <v>42</v>
      </c>
    </row>
    <row r="434" ht="22.5" customHeight="1">
      <c r="A434" s="29">
        <v>46154.0</v>
      </c>
      <c r="B434" s="31" t="s">
        <v>1282</v>
      </c>
      <c r="C434" s="32" t="s">
        <v>1283</v>
      </c>
      <c r="D434" s="71" t="s">
        <v>90</v>
      </c>
      <c r="E434" s="66" t="str">
        <f t="array" ref="E434">IF(D434="", "", XLOOKUP(D434, 'MASTER ITEM LIST'!A:A, 'MASTER ITEM LIST'!B:B, ""))</f>
        <v>NAX SOB757 HIGH GRADE URETHANE THINNER 4L</v>
      </c>
      <c r="F434" s="31"/>
      <c r="G434" s="67" t="s">
        <v>34</v>
      </c>
      <c r="H434" s="31">
        <v>1.0</v>
      </c>
      <c r="I434" s="31" t="str">
        <f t="array" ref="I434">IFERROR(XLOOKUP(D434,'MASTER ITEM LIST'!A:A,'MASTER ITEM LIST'!D:D), "")</f>
        <v>GAL</v>
      </c>
      <c r="J434" s="34">
        <v>750.0</v>
      </c>
      <c r="K434" s="69">
        <f t="shared" si="1"/>
        <v>750</v>
      </c>
      <c r="L434" s="70" t="s">
        <v>42</v>
      </c>
    </row>
    <row r="435" ht="22.5" customHeight="1">
      <c r="A435" s="29">
        <v>46154.0</v>
      </c>
      <c r="B435" s="31" t="s">
        <v>1282</v>
      </c>
      <c r="C435" s="32" t="s">
        <v>1283</v>
      </c>
      <c r="D435" s="71" t="s">
        <v>94</v>
      </c>
      <c r="E435" s="66" t="str">
        <f t="array" ref="E435">IF(D435="", "", XLOOKUP(D435, 'MASTER ITEM LIST'!A:A, 'MASTER ITEM LIST'!B:B, ""))</f>
        <v>NAX NAT-990 TTC BLACK 4L</v>
      </c>
      <c r="F435" s="31"/>
      <c r="G435" s="67" t="s">
        <v>34</v>
      </c>
      <c r="H435" s="31">
        <v>1.0</v>
      </c>
      <c r="I435" s="31" t="str">
        <f t="array" ref="I435">IFERROR(XLOOKUP(D435,'MASTER ITEM LIST'!A:A,'MASTER ITEM LIST'!D:D), "")</f>
        <v>GAL</v>
      </c>
      <c r="J435" s="34">
        <v>3700.0</v>
      </c>
      <c r="K435" s="69">
        <f t="shared" si="1"/>
        <v>3700</v>
      </c>
      <c r="L435" s="70" t="s">
        <v>42</v>
      </c>
    </row>
    <row r="436" ht="22.5" customHeight="1">
      <c r="A436" s="29">
        <v>46154.0</v>
      </c>
      <c r="B436" s="31" t="s">
        <v>1282</v>
      </c>
      <c r="C436" s="32" t="s">
        <v>1283</v>
      </c>
      <c r="D436" s="71" t="s">
        <v>233</v>
      </c>
      <c r="E436" s="66" t="str">
        <f t="array" ref="E436">IF(D436="", "", XLOOKUP(D436, 'MASTER ITEM LIST'!A:A, 'MASTER ITEM LIST'!B:B, ""))</f>
        <v>NAX ALPHA HB SPRAY FILLER GRAY WITH HARDENER 1L</v>
      </c>
      <c r="F436" s="31"/>
      <c r="G436" s="67" t="s">
        <v>34</v>
      </c>
      <c r="H436" s="31">
        <v>2.0</v>
      </c>
      <c r="I436" s="31" t="str">
        <f t="array" ref="I436">IFERROR(XLOOKUP(D436,'MASTER ITEM LIST'!A:A,'MASTER ITEM LIST'!D:D), "")</f>
        <v>LITER</v>
      </c>
      <c r="J436" s="34">
        <v>590.0</v>
      </c>
      <c r="K436" s="69">
        <f t="shared" si="1"/>
        <v>1180</v>
      </c>
      <c r="L436" s="70" t="s">
        <v>42</v>
      </c>
    </row>
    <row r="437" ht="22.5" customHeight="1">
      <c r="A437" s="29">
        <v>46154.0</v>
      </c>
      <c r="B437" s="31" t="s">
        <v>1285</v>
      </c>
      <c r="C437" s="32" t="s">
        <v>1283</v>
      </c>
      <c r="D437" s="71" t="s">
        <v>213</v>
      </c>
      <c r="E437" s="66" t="str">
        <f t="array" ref="E437">IF(D437="", "", XLOOKUP(D437, 'MASTER ITEM LIST'!A:A, 'MASTER ITEM LIST'!B:B, ""))</f>
        <v>NAX PREMILA NP9200 2K CLEAR WITH HARDENER 1L</v>
      </c>
      <c r="F437" s="31"/>
      <c r="G437" s="67" t="s">
        <v>34</v>
      </c>
      <c r="H437" s="31">
        <v>1.0</v>
      </c>
      <c r="I437" s="31" t="str">
        <f t="array" ref="I437">IFERROR(XLOOKUP(D437,'MASTER ITEM LIST'!A:A,'MASTER ITEM LIST'!D:D), "")</f>
        <v>LITER</v>
      </c>
      <c r="J437" s="34">
        <v>1300.0</v>
      </c>
      <c r="K437" s="69">
        <f t="shared" si="1"/>
        <v>1300</v>
      </c>
      <c r="L437" s="70" t="s">
        <v>42</v>
      </c>
    </row>
    <row r="438" ht="22.5" customHeight="1">
      <c r="A438" s="29">
        <v>46155.0</v>
      </c>
      <c r="B438" s="31" t="s">
        <v>1286</v>
      </c>
      <c r="C438" s="32" t="s">
        <v>1287</v>
      </c>
      <c r="D438" s="23" t="s">
        <v>220</v>
      </c>
      <c r="E438" s="66" t="str">
        <f t="array" ref="E438">IF(D438="", "", XLOOKUP(D438, 'MASTER ITEM LIST'!A:A, 'MASTER ITEM LIST'!B:B, ""))</f>
        <v>PREMILA MIXING 1L</v>
      </c>
      <c r="F438" s="31" t="s">
        <v>1288</v>
      </c>
      <c r="G438" s="67" t="s">
        <v>34</v>
      </c>
      <c r="H438" s="31">
        <v>1.0</v>
      </c>
      <c r="I438" s="31" t="str">
        <f t="array" ref="I438">IFERROR(XLOOKUP(D438,'MASTER ITEM LIST'!A:A,'MASTER ITEM LIST'!D:D), "")</f>
        <v>LITER</v>
      </c>
      <c r="J438" s="34">
        <v>2100.0</v>
      </c>
      <c r="K438" s="69">
        <f t="shared" si="1"/>
        <v>2100</v>
      </c>
      <c r="L438" s="70" t="s">
        <v>42</v>
      </c>
    </row>
    <row r="439" ht="22.5" customHeight="1">
      <c r="A439" s="29">
        <v>46155.0</v>
      </c>
      <c r="B439" s="31" t="s">
        <v>1289</v>
      </c>
      <c r="C439" s="32" t="s">
        <v>93</v>
      </c>
      <c r="D439" s="71" t="s">
        <v>117</v>
      </c>
      <c r="E439" s="66" t="str">
        <f t="array" ref="E439">IF(D439="", "", XLOOKUP(D439, 'MASTER ITEM LIST'!A:A, 'MASTER ITEM LIST'!B:B, ""))</f>
        <v>EAGLE SANDPAPER #120</v>
      </c>
      <c r="F439" s="31"/>
      <c r="G439" s="67" t="s">
        <v>34</v>
      </c>
      <c r="H439" s="31">
        <v>5.0</v>
      </c>
      <c r="I439" s="31" t="str">
        <f t="array" ref="I439">IFERROR(XLOOKUP(D439,'MASTER ITEM LIST'!A:A,'MASTER ITEM LIST'!D:D), "")</f>
        <v>PC/S</v>
      </c>
      <c r="J439" s="34">
        <v>25.0</v>
      </c>
      <c r="K439" s="69">
        <f t="shared" si="1"/>
        <v>125</v>
      </c>
      <c r="L439" s="70" t="s">
        <v>42</v>
      </c>
    </row>
    <row r="440" ht="22.5" customHeight="1">
      <c r="A440" s="29">
        <v>46155.0</v>
      </c>
      <c r="B440" s="31" t="s">
        <v>1289</v>
      </c>
      <c r="C440" s="32" t="s">
        <v>93</v>
      </c>
      <c r="D440" s="71" t="s">
        <v>548</v>
      </c>
      <c r="E440" s="66" t="str">
        <f t="array" ref="E440">IF(D440="", "", XLOOKUP(D440, 'MASTER ITEM LIST'!A:A, 'MASTER ITEM LIST'!B:B, ""))</f>
        <v>EAGLE SANDPAPER #240</v>
      </c>
      <c r="F440" s="31"/>
      <c r="G440" s="67" t="s">
        <v>34</v>
      </c>
      <c r="H440" s="31">
        <v>5.0</v>
      </c>
      <c r="I440" s="31" t="str">
        <f t="array" ref="I440">IFERROR(XLOOKUP(D440,'MASTER ITEM LIST'!A:A,'MASTER ITEM LIST'!D:D), "")</f>
        <v>PC/S</v>
      </c>
      <c r="J440" s="34">
        <v>25.0</v>
      </c>
      <c r="K440" s="69">
        <f t="shared" si="1"/>
        <v>125</v>
      </c>
      <c r="L440" s="70" t="s">
        <v>42</v>
      </c>
    </row>
    <row r="441" ht="22.5" customHeight="1">
      <c r="A441" s="29">
        <v>46155.0</v>
      </c>
      <c r="B441" s="31" t="s">
        <v>1289</v>
      </c>
      <c r="C441" s="32" t="s">
        <v>93</v>
      </c>
      <c r="D441" s="71" t="s">
        <v>432</v>
      </c>
      <c r="E441" s="66" t="str">
        <f t="array" ref="E441">IF(D441="", "", XLOOKUP(D441, 'MASTER ITEM LIST'!A:A, 'MASTER ITEM LIST'!B:B, ""))</f>
        <v>EAGLE SANDPAPER #600</v>
      </c>
      <c r="F441" s="31"/>
      <c r="G441" s="67" t="s">
        <v>34</v>
      </c>
      <c r="H441" s="31">
        <v>5.0</v>
      </c>
      <c r="I441" s="31" t="str">
        <f t="array" ref="I441">IFERROR(XLOOKUP(D441,'MASTER ITEM LIST'!A:A,'MASTER ITEM LIST'!D:D), "")</f>
        <v>PCS</v>
      </c>
      <c r="J441" s="34">
        <v>25.0</v>
      </c>
      <c r="K441" s="69">
        <f t="shared" si="1"/>
        <v>125</v>
      </c>
      <c r="L441" s="70" t="s">
        <v>42</v>
      </c>
    </row>
    <row r="442" ht="22.5" customHeight="1">
      <c r="A442" s="29">
        <v>46155.0</v>
      </c>
      <c r="B442" s="31" t="s">
        <v>1289</v>
      </c>
      <c r="C442" s="32" t="s">
        <v>93</v>
      </c>
      <c r="D442" s="71" t="s">
        <v>326</v>
      </c>
      <c r="E442" s="66" t="str">
        <f t="array" ref="E442">IF(D442="", "", XLOOKUP(D442, 'MASTER ITEM LIST'!A:A, 'MASTER ITEM LIST'!B:B, ""))</f>
        <v>EAGLE SANDPAPER #1200</v>
      </c>
      <c r="F442" s="31"/>
      <c r="G442" s="67" t="s">
        <v>34</v>
      </c>
      <c r="H442" s="31">
        <v>5.0</v>
      </c>
      <c r="I442" s="31" t="str">
        <f t="array" ref="I442">IFERROR(XLOOKUP(D442,'MASTER ITEM LIST'!A:A,'MASTER ITEM LIST'!D:D), "")</f>
        <v>PC/S</v>
      </c>
      <c r="J442" s="34">
        <v>25.0</v>
      </c>
      <c r="K442" s="69">
        <f t="shared" si="1"/>
        <v>125</v>
      </c>
      <c r="L442" s="70" t="s">
        <v>42</v>
      </c>
    </row>
    <row r="443" ht="22.5" customHeight="1">
      <c r="A443" s="29">
        <v>46155.0</v>
      </c>
      <c r="B443" s="31" t="s">
        <v>1289</v>
      </c>
      <c r="C443" s="32" t="s">
        <v>93</v>
      </c>
      <c r="D443" s="71" t="s">
        <v>516</v>
      </c>
      <c r="E443" s="66" t="str">
        <f t="array" ref="E443">IF(D443="", "", XLOOKUP(D443, 'MASTER ITEM LIST'!A:A, 'MASTER ITEM LIST'!B:B, ""))</f>
        <v>EAGLE SANDPAPER #1500</v>
      </c>
      <c r="F443" s="31"/>
      <c r="G443" s="67" t="s">
        <v>34</v>
      </c>
      <c r="H443" s="31">
        <v>5.0</v>
      </c>
      <c r="I443" s="31" t="str">
        <f t="array" ref="I443">IFERROR(XLOOKUP(D443,'MASTER ITEM LIST'!A:A,'MASTER ITEM LIST'!D:D), "")</f>
        <v>PC/S</v>
      </c>
      <c r="J443" s="34">
        <v>35.0</v>
      </c>
      <c r="K443" s="69">
        <f t="shared" si="1"/>
        <v>175</v>
      </c>
      <c r="L443" s="70" t="s">
        <v>42</v>
      </c>
    </row>
    <row r="444" ht="22.5" customHeight="1">
      <c r="A444" s="29">
        <v>46154.0</v>
      </c>
      <c r="B444" s="31" t="s">
        <v>1291</v>
      </c>
      <c r="C444" s="32" t="s">
        <v>93</v>
      </c>
      <c r="D444" s="71" t="s">
        <v>79</v>
      </c>
      <c r="E444" s="66" t="str">
        <f t="array" ref="E444">IF(D444="", "", XLOOKUP(D444, 'MASTER ITEM LIST'!A:A, 'MASTER ITEM LIST'!B:B, ""))</f>
        <v>CROCO MASKING TAPE 1/2 12MM (1X96)</v>
      </c>
      <c r="F444" s="31"/>
      <c r="G444" s="67" t="s">
        <v>34</v>
      </c>
      <c r="H444" s="31">
        <v>30.0</v>
      </c>
      <c r="I444" s="31" t="str">
        <f t="array" ref="I444">IFERROR(XLOOKUP(D444,'MASTER ITEM LIST'!A:A,'MASTER ITEM LIST'!D:D), "")</f>
        <v>PC/S</v>
      </c>
      <c r="J444" s="34">
        <v>25.0</v>
      </c>
      <c r="K444" s="69">
        <f t="shared" si="1"/>
        <v>750</v>
      </c>
      <c r="L444" s="70" t="s">
        <v>42</v>
      </c>
    </row>
    <row r="445" ht="22.5" customHeight="1">
      <c r="A445" s="29">
        <v>46155.0</v>
      </c>
      <c r="B445" s="31" t="s">
        <v>1291</v>
      </c>
      <c r="C445" s="32" t="s">
        <v>93</v>
      </c>
      <c r="D445" s="71" t="s">
        <v>136</v>
      </c>
      <c r="E445" s="66" t="str">
        <f t="array" ref="E445">IF(D445="", "", XLOOKUP(D445, 'MASTER ITEM LIST'!A:A, 'MASTER ITEM LIST'!B:B, ""))</f>
        <v>CROCO MASKING TAPE 3/4 18MM (1X64)</v>
      </c>
      <c r="F445" s="31"/>
      <c r="G445" s="67" t="s">
        <v>34</v>
      </c>
      <c r="H445" s="31">
        <v>10.0</v>
      </c>
      <c r="I445" s="31" t="str">
        <f t="array" ref="I445">IFERROR(XLOOKUP(D445,'MASTER ITEM LIST'!A:A,'MASTER ITEM LIST'!D:D), "")</f>
        <v>PC/S</v>
      </c>
      <c r="J445" s="34">
        <v>35.0</v>
      </c>
      <c r="K445" s="69">
        <f t="shared" si="1"/>
        <v>350</v>
      </c>
      <c r="L445" s="70" t="s">
        <v>42</v>
      </c>
    </row>
    <row r="446" ht="22.5" customHeight="1">
      <c r="A446" s="29">
        <v>46155.0</v>
      </c>
      <c r="B446" s="31" t="s">
        <v>1291</v>
      </c>
      <c r="C446" s="32" t="s">
        <v>93</v>
      </c>
      <c r="D446" s="23" t="s">
        <v>220</v>
      </c>
      <c r="E446" s="66" t="str">
        <f t="array" ref="E446">IF(D446="", "", XLOOKUP(D446, 'MASTER ITEM LIST'!A:A, 'MASTER ITEM LIST'!B:B, ""))</f>
        <v>PREMILA MIXING 1L</v>
      </c>
      <c r="F446" s="31" t="s">
        <v>1292</v>
      </c>
      <c r="G446" s="67" t="s">
        <v>34</v>
      </c>
      <c r="H446" s="31">
        <v>0.25</v>
      </c>
      <c r="I446" s="31" t="str">
        <f t="array" ref="I446">IFERROR(XLOOKUP(D446,'MASTER ITEM LIST'!A:A,'MASTER ITEM LIST'!D:D), "")</f>
        <v>LITER</v>
      </c>
      <c r="J446" s="34">
        <v>2600.0</v>
      </c>
      <c r="K446" s="69">
        <f t="shared" si="1"/>
        <v>650</v>
      </c>
      <c r="L446" s="70" t="s">
        <v>42</v>
      </c>
    </row>
    <row r="447" ht="22.5" customHeight="1">
      <c r="A447" s="29">
        <v>46155.0</v>
      </c>
      <c r="B447" s="31" t="s">
        <v>1291</v>
      </c>
      <c r="C447" s="32" t="s">
        <v>93</v>
      </c>
      <c r="D447" s="71" t="s">
        <v>909</v>
      </c>
      <c r="E447" s="66" t="str">
        <f t="array" ref="E447">IF(D447="", "", XLOOKUP(D447, 'MASTER ITEM LIST'!A:A, 'MASTER ITEM LIST'!B:B, ""))</f>
        <v>JAPAN PUTTY KNIFE #6</v>
      </c>
      <c r="F447" s="31"/>
      <c r="G447" s="67" t="s">
        <v>34</v>
      </c>
      <c r="H447" s="31">
        <v>1.0</v>
      </c>
      <c r="I447" s="31" t="str">
        <f t="array" ref="I447">IFERROR(XLOOKUP(D447,'MASTER ITEM LIST'!A:A,'MASTER ITEM LIST'!D:D), "")</f>
        <v>PC/S</v>
      </c>
      <c r="J447" s="34">
        <v>70.0</v>
      </c>
      <c r="K447" s="69">
        <f t="shared" si="1"/>
        <v>70</v>
      </c>
      <c r="L447" s="70" t="s">
        <v>42</v>
      </c>
    </row>
    <row r="448" ht="22.5" customHeight="1">
      <c r="A448" s="29">
        <v>46156.0</v>
      </c>
      <c r="B448" s="31" t="s">
        <v>1293</v>
      </c>
      <c r="C448" s="32" t="s">
        <v>93</v>
      </c>
      <c r="D448" s="23" t="s">
        <v>220</v>
      </c>
      <c r="E448" s="66" t="str">
        <f t="array" ref="E448">IF(D448="", "", XLOOKUP(D448, 'MASTER ITEM LIST'!A:A, 'MASTER ITEM LIST'!B:B, ""))</f>
        <v>PREMILA MIXING 1L</v>
      </c>
      <c r="F448" s="31" t="s">
        <v>1292</v>
      </c>
      <c r="G448" s="67" t="s">
        <v>34</v>
      </c>
      <c r="H448" s="31">
        <v>0.25</v>
      </c>
      <c r="I448" s="31" t="str">
        <f t="array" ref="I448">IFERROR(XLOOKUP(D448,'MASTER ITEM LIST'!A:A,'MASTER ITEM LIST'!D:D), "")</f>
        <v>LITER</v>
      </c>
      <c r="J448" s="34">
        <v>2600.0</v>
      </c>
      <c r="K448" s="69">
        <f t="shared" si="1"/>
        <v>650</v>
      </c>
      <c r="L448" s="70" t="s">
        <v>42</v>
      </c>
    </row>
    <row r="449" ht="22.5" customHeight="1">
      <c r="A449" s="29">
        <v>46157.0</v>
      </c>
      <c r="B449" s="31" t="s">
        <v>1294</v>
      </c>
      <c r="C449" s="32" t="s">
        <v>1295</v>
      </c>
      <c r="D449" s="23" t="s">
        <v>220</v>
      </c>
      <c r="E449" s="66" t="str">
        <f t="array" ref="E449">IF(D449="", "", XLOOKUP(D449, 'MASTER ITEM LIST'!A:A, 'MASTER ITEM LIST'!B:B, ""))</f>
        <v>PREMILA MIXING 1L</v>
      </c>
      <c r="F449" s="31"/>
      <c r="G449" s="67" t="s">
        <v>34</v>
      </c>
      <c r="H449" s="31">
        <v>1.0</v>
      </c>
      <c r="I449" s="31" t="str">
        <f t="array" ref="I449">IFERROR(XLOOKUP(D449,'MASTER ITEM LIST'!A:A,'MASTER ITEM LIST'!D:D), "")</f>
        <v>LITER</v>
      </c>
      <c r="J449" s="34">
        <v>280.0</v>
      </c>
      <c r="K449" s="69">
        <f t="shared" si="1"/>
        <v>280</v>
      </c>
      <c r="L449" s="70" t="s">
        <v>42</v>
      </c>
    </row>
    <row r="450" ht="22.5" customHeight="1">
      <c r="A450" s="29">
        <v>46157.0</v>
      </c>
      <c r="B450" s="31" t="s">
        <v>1294</v>
      </c>
      <c r="C450" s="32" t="s">
        <v>1295</v>
      </c>
      <c r="D450" s="71" t="s">
        <v>1147</v>
      </c>
      <c r="E450" s="66" t="str">
        <f t="array" ref="E450">IF(D450="", "", XLOOKUP(D450, 'MASTER ITEM LIST'!A:A, 'MASTER ITEM LIST'!B:B, ""))</f>
        <v>2B PAINT BRUSH #3</v>
      </c>
      <c r="F450" s="31"/>
      <c r="G450" s="67" t="s">
        <v>34</v>
      </c>
      <c r="H450" s="31">
        <v>3.0</v>
      </c>
      <c r="I450" s="31" t="str">
        <f t="array" ref="I450">IFERROR(XLOOKUP(D450,'MASTER ITEM LIST'!A:A,'MASTER ITEM LIST'!D:D), "")</f>
        <v>PC/S</v>
      </c>
      <c r="J450" s="34">
        <v>30.0</v>
      </c>
      <c r="K450" s="69">
        <f t="shared" si="1"/>
        <v>90</v>
      </c>
      <c r="L450" s="70" t="s">
        <v>42</v>
      </c>
    </row>
    <row r="451" ht="22.5" customHeight="1">
      <c r="A451" s="29">
        <v>46157.0</v>
      </c>
      <c r="B451" s="31" t="s">
        <v>1296</v>
      </c>
      <c r="C451" s="32" t="s">
        <v>93</v>
      </c>
      <c r="D451" s="71" t="s">
        <v>220</v>
      </c>
      <c r="E451" s="66" t="str">
        <f t="array" ref="E451">IF(D451="", "", XLOOKUP(D451, 'MASTER ITEM LIST'!A:A, 'MASTER ITEM LIST'!B:B, ""))</f>
        <v>PREMILA MIXING 1L</v>
      </c>
      <c r="F451" s="31" t="s">
        <v>1297</v>
      </c>
      <c r="G451" s="67" t="s">
        <v>34</v>
      </c>
      <c r="H451" s="31">
        <v>0.5</v>
      </c>
      <c r="I451" s="31" t="str">
        <f t="array" ref="I451">IFERROR(XLOOKUP(D451,'MASTER ITEM LIST'!A:A,'MASTER ITEM LIST'!D:D), "")</f>
        <v>LITER</v>
      </c>
      <c r="J451" s="34">
        <v>2800.0</v>
      </c>
      <c r="K451" s="69">
        <f t="shared" si="1"/>
        <v>1400</v>
      </c>
      <c r="L451" s="70" t="s">
        <v>42</v>
      </c>
    </row>
    <row r="452" ht="22.5" customHeight="1">
      <c r="A452" s="29">
        <v>46158.0</v>
      </c>
      <c r="B452" s="31" t="s">
        <v>1298</v>
      </c>
      <c r="C452" s="32" t="s">
        <v>1295</v>
      </c>
      <c r="D452" s="23" t="s">
        <v>220</v>
      </c>
      <c r="E452" s="66" t="str">
        <f t="array" ref="E452">IF(D452="", "", XLOOKUP(D452, 'MASTER ITEM LIST'!A:A, 'MASTER ITEM LIST'!B:B, ""))</f>
        <v>PREMILA MIXING 1L</v>
      </c>
      <c r="F452" s="31"/>
      <c r="G452" s="67" t="s">
        <v>34</v>
      </c>
      <c r="H452" s="31">
        <v>0.5</v>
      </c>
      <c r="I452" s="31" t="str">
        <f t="array" ref="I452">IFERROR(XLOOKUP(D452,'MASTER ITEM LIST'!A:A,'MASTER ITEM LIST'!D:D), "")</f>
        <v>LITER</v>
      </c>
      <c r="J452" s="34">
        <v>360.0</v>
      </c>
      <c r="K452" s="69">
        <f t="shared" si="1"/>
        <v>180</v>
      </c>
      <c r="L452" s="70" t="s">
        <v>42</v>
      </c>
    </row>
    <row r="453" ht="22.5" customHeight="1">
      <c r="A453" s="29">
        <v>46158.0</v>
      </c>
      <c r="B453" s="31" t="s">
        <v>1300</v>
      </c>
      <c r="C453" s="32" t="s">
        <v>1301</v>
      </c>
      <c r="D453" s="71" t="s">
        <v>118</v>
      </c>
      <c r="E453" s="66" t="str">
        <f t="array" ref="E453">IF(D453="", "", XLOOKUP(D453, 'MASTER ITEM LIST'!A:A, 'MASTER ITEM LIST'!B:B, ""))</f>
        <v>ALPHA CHROMA ACRYTILE REDUCER</v>
      </c>
      <c r="F453" s="31"/>
      <c r="G453" s="67" t="s">
        <v>34</v>
      </c>
      <c r="H453" s="31">
        <v>1.0</v>
      </c>
      <c r="I453" s="31" t="str">
        <f t="array" ref="I453">IFERROR(XLOOKUP(D453,'MASTER ITEM LIST'!A:A,'MASTER ITEM LIST'!D:D), "")</f>
        <v>GALON</v>
      </c>
      <c r="J453" s="34">
        <v>700.0</v>
      </c>
      <c r="K453" s="69">
        <f t="shared" si="1"/>
        <v>700</v>
      </c>
      <c r="L453" s="70" t="s">
        <v>42</v>
      </c>
    </row>
    <row r="454" ht="22.5" customHeight="1">
      <c r="A454" s="29">
        <v>46158.0</v>
      </c>
      <c r="B454" s="31" t="s">
        <v>1300</v>
      </c>
      <c r="C454" s="32" t="s">
        <v>1301</v>
      </c>
      <c r="D454" s="71" t="s">
        <v>1142</v>
      </c>
      <c r="E454" s="66" t="str">
        <f t="array" ref="E454">IF(D454="", "", XLOOKUP(D454, 'MASTER ITEM LIST'!A:A, 'MASTER ITEM LIST'!B:B, ""))</f>
        <v>ALPHA CHROMA ACRYTILE GLOSS WHITE 4L</v>
      </c>
      <c r="F454" s="31"/>
      <c r="G454" s="67" t="s">
        <v>34</v>
      </c>
      <c r="H454" s="31">
        <v>1.0</v>
      </c>
      <c r="I454" s="31" t="str">
        <f t="array" ref="I454">IFERROR(XLOOKUP(D454,'MASTER ITEM LIST'!A:A,'MASTER ITEM LIST'!D:D), "")</f>
        <v>GALON</v>
      </c>
      <c r="J454" s="34">
        <v>1245.0</v>
      </c>
      <c r="K454" s="69">
        <f t="shared" si="1"/>
        <v>1245</v>
      </c>
      <c r="L454" s="70" t="s">
        <v>42</v>
      </c>
    </row>
    <row r="455" ht="22.5" customHeight="1">
      <c r="A455" s="29">
        <v>46158.0</v>
      </c>
      <c r="B455" s="31" t="s">
        <v>1300</v>
      </c>
      <c r="C455" s="32" t="s">
        <v>1301</v>
      </c>
      <c r="D455" s="71" t="s">
        <v>1082</v>
      </c>
      <c r="E455" s="66" t="str">
        <f t="array" ref="E455">IF(D455="", "", XLOOKUP(D455, 'MASTER ITEM LIST'!A:A, 'MASTER ITEM LIST'!B:B, ""))</f>
        <v>ACRYTEX PRIMER WHITE B-1705 BOYSEN 4L</v>
      </c>
      <c r="F455" s="31"/>
      <c r="G455" s="67" t="s">
        <v>34</v>
      </c>
      <c r="H455" s="31">
        <v>2.0</v>
      </c>
      <c r="I455" s="31" t="str">
        <f t="array" ref="I455">IFERROR(XLOOKUP(D455,'MASTER ITEM LIST'!A:A,'MASTER ITEM LIST'!D:D), "")</f>
        <v>4L</v>
      </c>
      <c r="J455" s="34">
        <v>1170.0</v>
      </c>
      <c r="K455" s="69">
        <f t="shared" si="1"/>
        <v>2340</v>
      </c>
      <c r="L455" s="70" t="s">
        <v>42</v>
      </c>
    </row>
    <row r="456" ht="22.5" customHeight="1">
      <c r="A456" s="29">
        <v>46191.0</v>
      </c>
      <c r="B456" s="31" t="s">
        <v>1302</v>
      </c>
      <c r="C456" s="32" t="s">
        <v>281</v>
      </c>
      <c r="D456" s="71" t="s">
        <v>548</v>
      </c>
      <c r="E456" s="66" t="str">
        <f t="array" ref="E456">IF(D456="", "", XLOOKUP(D456, 'MASTER ITEM LIST'!A:A, 'MASTER ITEM LIST'!B:B, ""))</f>
        <v>EAGLE SANDPAPER #240</v>
      </c>
      <c r="F456" s="31"/>
      <c r="G456" s="67" t="s">
        <v>34</v>
      </c>
      <c r="H456" s="31">
        <v>10.0</v>
      </c>
      <c r="I456" s="31" t="str">
        <f t="array" ref="I456">IFERROR(XLOOKUP(D456,'MASTER ITEM LIST'!A:A,'MASTER ITEM LIST'!D:D), "")</f>
        <v>PC/S</v>
      </c>
      <c r="J456" s="34">
        <v>25.0</v>
      </c>
      <c r="K456" s="69">
        <f t="shared" si="1"/>
        <v>250</v>
      </c>
      <c r="L456" s="70" t="s">
        <v>42</v>
      </c>
    </row>
    <row r="457" ht="22.5" customHeight="1">
      <c r="A457" s="29">
        <v>46191.0</v>
      </c>
      <c r="B457" s="31" t="s">
        <v>1302</v>
      </c>
      <c r="C457" s="32" t="s">
        <v>281</v>
      </c>
      <c r="D457" s="71" t="s">
        <v>63</v>
      </c>
      <c r="E457" s="66" t="str">
        <f t="array" ref="E457">IF(D457="", "", XLOOKUP(D457, 'MASTER ITEM LIST'!A:A, 'MASTER ITEM LIST'!B:B, ""))</f>
        <v>OLD NEWS</v>
      </c>
      <c r="F457" s="31"/>
      <c r="G457" s="67" t="s">
        <v>34</v>
      </c>
      <c r="H457" s="31">
        <v>1.0</v>
      </c>
      <c r="I457" s="31" t="str">
        <f t="array" ref="I457">IFERROR(XLOOKUP(D457,'MASTER ITEM LIST'!A:A,'MASTER ITEM LIST'!D:D), "")</f>
        <v>KG</v>
      </c>
      <c r="J457" s="34">
        <v>100.0</v>
      </c>
      <c r="K457" s="69">
        <f t="shared" si="1"/>
        <v>100</v>
      </c>
      <c r="L457" s="70" t="s">
        <v>42</v>
      </c>
    </row>
    <row r="458" ht="22.5" customHeight="1">
      <c r="A458" s="29">
        <v>46191.0</v>
      </c>
      <c r="B458" s="31" t="s">
        <v>1303</v>
      </c>
      <c r="C458" s="32" t="s">
        <v>1304</v>
      </c>
      <c r="D458" s="71" t="s">
        <v>246</v>
      </c>
      <c r="E458" s="66" t="str">
        <f t="array" ref="E458">IF(D458="", "", XLOOKUP(D458, 'MASTER ITEM LIST'!A:A, 'MASTER ITEM LIST'!B:B, ""))</f>
        <v>DOMINO BODY FILTER WITH HARDENER 4L</v>
      </c>
      <c r="F458" s="31"/>
      <c r="G458" s="67" t="s">
        <v>34</v>
      </c>
      <c r="H458" s="31">
        <v>1.0</v>
      </c>
      <c r="I458" s="31" t="str">
        <f t="array" ref="I458">IFERROR(XLOOKUP(D458,'MASTER ITEM LIST'!A:A,'MASTER ITEM LIST'!D:D), "")</f>
        <v>GAL</v>
      </c>
      <c r="J458" s="34">
        <v>615.0</v>
      </c>
      <c r="K458" s="69">
        <f t="shared" si="1"/>
        <v>615</v>
      </c>
      <c r="L458" s="70" t="s">
        <v>42</v>
      </c>
    </row>
    <row r="459" ht="22.5" customHeight="1">
      <c r="A459" s="29">
        <v>46158.0</v>
      </c>
      <c r="B459" s="31" t="s">
        <v>1305</v>
      </c>
      <c r="C459" s="32" t="s">
        <v>1306</v>
      </c>
      <c r="D459" s="71" t="s">
        <v>107</v>
      </c>
      <c r="E459" s="66" t="str">
        <f t="array" ref="E459">IF(D459="", "", XLOOKUP(D459, 'MASTER ITEM LIST'!A:A, 'MASTER ITEM LIST'!B:B, ""))</f>
        <v>2B PAINT ROLLER #4</v>
      </c>
      <c r="F459" s="31"/>
      <c r="G459" s="67" t="s">
        <v>34</v>
      </c>
      <c r="H459" s="31">
        <v>2.0</v>
      </c>
      <c r="I459" s="31" t="str">
        <f t="array" ref="I459">IFERROR(XLOOKUP(D459,'MASTER ITEM LIST'!A:A,'MASTER ITEM LIST'!D:D), "")</f>
        <v>PC/S</v>
      </c>
      <c r="J459" s="34">
        <v>65.0</v>
      </c>
      <c r="K459" s="69">
        <f t="shared" si="1"/>
        <v>130</v>
      </c>
      <c r="L459" s="70" t="s">
        <v>42</v>
      </c>
    </row>
    <row r="460" ht="22.5" customHeight="1">
      <c r="A460" s="29">
        <v>46158.0</v>
      </c>
      <c r="B460" s="31" t="s">
        <v>1305</v>
      </c>
      <c r="C460" s="32" t="s">
        <v>1306</v>
      </c>
      <c r="D460" s="71" t="s">
        <v>134</v>
      </c>
      <c r="E460" s="66" t="str">
        <f t="array" ref="E460">IF(D460="", "", XLOOKUP(D460, 'MASTER ITEM LIST'!A:A, 'MASTER ITEM LIST'!B:B, ""))</f>
        <v>QDE MIXING NP, DAVIES, BOYSEN, ALPHA CHROMA, WC 1L</v>
      </c>
      <c r="F460" s="31"/>
      <c r="G460" s="67" t="s">
        <v>34</v>
      </c>
      <c r="H460" s="31">
        <v>2.0</v>
      </c>
      <c r="I460" s="31" t="str">
        <f t="array" ref="I460">IFERROR(XLOOKUP(D460,'MASTER ITEM LIST'!A:A,'MASTER ITEM LIST'!D:D), "")</f>
        <v>LITER</v>
      </c>
      <c r="J460" s="34">
        <v>280.0</v>
      </c>
      <c r="K460" s="69">
        <f t="shared" si="1"/>
        <v>560</v>
      </c>
      <c r="L460" s="70" t="s">
        <v>42</v>
      </c>
    </row>
    <row r="461" ht="22.5" customHeight="1">
      <c r="A461" s="29">
        <v>46158.0</v>
      </c>
      <c r="B461" s="31" t="s">
        <v>1305</v>
      </c>
      <c r="C461" s="32" t="s">
        <v>1306</v>
      </c>
      <c r="D461" s="71" t="s">
        <v>40</v>
      </c>
      <c r="E461" s="66" t="str">
        <f t="array" ref="E461">IF(D461="", "", XLOOKUP(D461, 'MASTER ITEM LIST'!A:A, 'MASTER ITEM LIST'!B:B, ""))</f>
        <v>2B PAINT BRUSH #2</v>
      </c>
      <c r="F461" s="31"/>
      <c r="G461" s="67" t="s">
        <v>34</v>
      </c>
      <c r="H461" s="31">
        <v>1.0</v>
      </c>
      <c r="I461" s="31" t="str">
        <f t="array" ref="I461">IFERROR(XLOOKUP(D461,'MASTER ITEM LIST'!A:A,'MASTER ITEM LIST'!D:D), "")</f>
        <v>PC/S</v>
      </c>
      <c r="J461" s="34">
        <v>50.0</v>
      </c>
      <c r="K461" s="69">
        <f t="shared" si="1"/>
        <v>50</v>
      </c>
      <c r="L461" s="70" t="s">
        <v>42</v>
      </c>
    </row>
    <row r="462" ht="22.5" customHeight="1">
      <c r="A462" s="29">
        <v>46158.0</v>
      </c>
      <c r="B462" s="31" t="s">
        <v>1308</v>
      </c>
      <c r="C462" s="32" t="s">
        <v>1309</v>
      </c>
      <c r="D462" s="71" t="s">
        <v>1170</v>
      </c>
      <c r="E462" s="66" t="str">
        <f t="array" ref="E462">IF(D462="", "", XLOOKUP(D462, 'MASTER ITEM LIST'!A:A, 'MASTER ITEM LIST'!B:B, ""))</f>
        <v>RAIN OR SHINE-TEMPTATION 4L</v>
      </c>
      <c r="F462" s="31"/>
      <c r="G462" s="67" t="s">
        <v>34</v>
      </c>
      <c r="H462" s="31">
        <v>5.0</v>
      </c>
      <c r="I462" s="31" t="str">
        <f t="array" ref="I462">IFERROR(XLOOKUP(D462,'MASTER ITEM LIST'!A:A,'MASTER ITEM LIST'!D:D), "")</f>
        <v>GALON</v>
      </c>
      <c r="J462" s="34">
        <v>920.0</v>
      </c>
      <c r="K462" s="69">
        <f t="shared" si="1"/>
        <v>4600</v>
      </c>
      <c r="L462" s="70" t="s">
        <v>42</v>
      </c>
    </row>
    <row r="463" ht="22.5" customHeight="1">
      <c r="A463" s="29">
        <v>46158.0</v>
      </c>
      <c r="B463" s="31" t="s">
        <v>1308</v>
      </c>
      <c r="C463" s="32" t="s">
        <v>1309</v>
      </c>
      <c r="D463" s="71" t="s">
        <v>1172</v>
      </c>
      <c r="E463" s="66" t="str">
        <f t="array" ref="E463">IF(D463="", "", XLOOKUP(D463, 'MASTER ITEM LIST'!A:A, 'MASTER ITEM LIST'!B:B, ""))</f>
        <v>RAIN OR SHINE- UH SO RED 4L</v>
      </c>
      <c r="F463" s="31"/>
      <c r="G463" s="67" t="s">
        <v>34</v>
      </c>
      <c r="H463" s="31">
        <v>2.0</v>
      </c>
      <c r="I463" s="31" t="str">
        <f t="array" ref="I463">IFERROR(XLOOKUP(D463,'MASTER ITEM LIST'!A:A,'MASTER ITEM LIST'!D:D), "")</f>
        <v>GALON</v>
      </c>
      <c r="J463" s="34">
        <v>1050.0</v>
      </c>
      <c r="K463" s="69">
        <f t="shared" si="1"/>
        <v>2100</v>
      </c>
      <c r="L463" s="70" t="s">
        <v>42</v>
      </c>
    </row>
    <row r="464" ht="22.5" customHeight="1">
      <c r="A464" s="29">
        <v>46158.0</v>
      </c>
      <c r="B464" s="31" t="s">
        <v>1308</v>
      </c>
      <c r="C464" s="32" t="s">
        <v>1309</v>
      </c>
      <c r="D464" s="71" t="s">
        <v>111</v>
      </c>
      <c r="E464" s="66" t="str">
        <f t="array" ref="E464">IF(D464="", "", XLOOKUP(D464, 'MASTER ITEM LIST'!A:A, 'MASTER ITEM LIST'!B:B, ""))</f>
        <v>RAIN OR SHINE- HAPPY DAYS 4L</v>
      </c>
      <c r="F464" s="31"/>
      <c r="G464" s="67" t="s">
        <v>34</v>
      </c>
      <c r="H464" s="31">
        <v>5.0</v>
      </c>
      <c r="I464" s="31" t="str">
        <f t="array" ref="I464">IFERROR(XLOOKUP(D464,'MASTER ITEM LIST'!A:A,'MASTER ITEM LIST'!D:D), "")</f>
        <v>GALON</v>
      </c>
      <c r="J464" s="34">
        <v>920.0</v>
      </c>
      <c r="K464" s="69">
        <f t="shared" si="1"/>
        <v>4600</v>
      </c>
      <c r="L464" s="70" t="s">
        <v>42</v>
      </c>
    </row>
    <row r="465" ht="22.5" customHeight="1">
      <c r="A465" s="29">
        <v>46158.0</v>
      </c>
      <c r="B465" s="31" t="s">
        <v>1310</v>
      </c>
      <c r="C465" s="32" t="s">
        <v>1311</v>
      </c>
      <c r="D465" s="71" t="s">
        <v>284</v>
      </c>
      <c r="E465" s="66" t="str">
        <f t="array" ref="E465">IF(D465="", "", XLOOKUP(D465, 'MASTER ITEM LIST'!A:A, 'MASTER ITEM LIST'!B:B, ""))</f>
        <v>RAIN OR SHINE STONE GRAY 4L</v>
      </c>
      <c r="F465" s="31"/>
      <c r="G465" s="67" t="s">
        <v>34</v>
      </c>
      <c r="H465" s="31">
        <v>1.0</v>
      </c>
      <c r="I465" s="31" t="str">
        <f t="array" ref="I465">IFERROR(XLOOKUP(D465,'MASTER ITEM LIST'!A:A,'MASTER ITEM LIST'!D:D), "")</f>
        <v>GALON</v>
      </c>
      <c r="J465" s="34">
        <v>950.0</v>
      </c>
      <c r="K465" s="69">
        <f t="shared" si="1"/>
        <v>950</v>
      </c>
      <c r="L465" s="70" t="s">
        <v>42</v>
      </c>
    </row>
    <row r="466" ht="22.5" customHeight="1">
      <c r="A466" s="29">
        <v>46158.0</v>
      </c>
      <c r="B466" s="31" t="s">
        <v>1310</v>
      </c>
      <c r="C466" s="32" t="s">
        <v>1311</v>
      </c>
      <c r="D466" s="71" t="s">
        <v>505</v>
      </c>
      <c r="E466" s="66" t="str">
        <f t="array" ref="E466">IF(D466="", "", XLOOKUP(D466, 'MASTER ITEM LIST'!A:A, 'MASTER ITEM LIST'!B:B, ""))</f>
        <v>PAINT ROLLER TRAY</v>
      </c>
      <c r="F466" s="31"/>
      <c r="G466" s="67" t="s">
        <v>34</v>
      </c>
      <c r="H466" s="31">
        <v>1.0</v>
      </c>
      <c r="I466" s="31" t="str">
        <f t="array" ref="I466">IFERROR(XLOOKUP(D466,'MASTER ITEM LIST'!A:A,'MASTER ITEM LIST'!D:D), "")</f>
        <v>PC/S</v>
      </c>
      <c r="J466" s="34">
        <v>80.0</v>
      </c>
      <c r="K466" s="69">
        <f t="shared" si="1"/>
        <v>80</v>
      </c>
      <c r="L466" s="70" t="s">
        <v>42</v>
      </c>
    </row>
    <row r="467" ht="22.5" customHeight="1">
      <c r="A467" s="29">
        <v>46158.0</v>
      </c>
      <c r="B467" s="31" t="s">
        <v>1310</v>
      </c>
      <c r="C467" s="32" t="s">
        <v>1311</v>
      </c>
      <c r="D467" s="71" t="s">
        <v>112</v>
      </c>
      <c r="E467" s="66" t="str">
        <f t="array" ref="E467">IF(D467="", "", XLOOKUP(D467, 'MASTER ITEM LIST'!A:A, 'MASTER ITEM LIST'!B:B, ""))</f>
        <v>2B PAINT ROLLER #7</v>
      </c>
      <c r="F467" s="31"/>
      <c r="G467" s="67" t="s">
        <v>34</v>
      </c>
      <c r="H467" s="31">
        <v>1.0</v>
      </c>
      <c r="I467" s="31" t="str">
        <f t="array" ref="I467">IFERROR(XLOOKUP(D467,'MASTER ITEM LIST'!A:A,'MASTER ITEM LIST'!D:D), "")</f>
        <v>PC/S</v>
      </c>
      <c r="J467" s="34">
        <v>85.0</v>
      </c>
      <c r="K467" s="69">
        <f t="shared" si="1"/>
        <v>85</v>
      </c>
      <c r="L467" s="70" t="s">
        <v>42</v>
      </c>
    </row>
    <row r="468" ht="22.5" customHeight="1">
      <c r="A468" s="29">
        <v>46158.0</v>
      </c>
      <c r="B468" s="31" t="s">
        <v>1310</v>
      </c>
      <c r="C468" s="32" t="s">
        <v>1311</v>
      </c>
      <c r="D468" s="71" t="s">
        <v>384</v>
      </c>
      <c r="E468" s="66" t="str">
        <f t="array" ref="E468">IF(D468="", "", XLOOKUP(D468, 'MASTER ITEM LIST'!A:A, 'MASTER ITEM LIST'!B:B, ""))</f>
        <v>PAINT BRUSH 2B #1</v>
      </c>
      <c r="F468" s="31"/>
      <c r="G468" s="67" t="s">
        <v>34</v>
      </c>
      <c r="H468" s="31">
        <v>1.0</v>
      </c>
      <c r="I468" s="31" t="str">
        <f t="array" ref="I468">IFERROR(XLOOKUP(D468,'MASTER ITEM LIST'!A:A,'MASTER ITEM LIST'!D:D), "")</f>
        <v>PC/S</v>
      </c>
      <c r="J468" s="34">
        <v>25.0</v>
      </c>
      <c r="K468" s="69">
        <f t="shared" si="1"/>
        <v>25</v>
      </c>
      <c r="L468" s="70" t="s">
        <v>42</v>
      </c>
    </row>
    <row r="469" ht="22.5" customHeight="1">
      <c r="A469" s="29">
        <v>46158.0</v>
      </c>
      <c r="B469" s="31" t="s">
        <v>1312</v>
      </c>
      <c r="C469" s="32" t="s">
        <v>93</v>
      </c>
      <c r="D469" s="23" t="s">
        <v>220</v>
      </c>
      <c r="E469" s="66" t="str">
        <f t="array" ref="E469">IF(D469="", "", XLOOKUP(D469, 'MASTER ITEM LIST'!A:A, 'MASTER ITEM LIST'!B:B, ""))</f>
        <v>PREMILA MIXING 1L</v>
      </c>
      <c r="F469" s="31" t="s">
        <v>1292</v>
      </c>
      <c r="G469" s="67" t="s">
        <v>34</v>
      </c>
      <c r="H469" s="31">
        <v>0.25</v>
      </c>
      <c r="I469" s="31" t="str">
        <f t="array" ref="I469">IFERROR(XLOOKUP(D469,'MASTER ITEM LIST'!A:A,'MASTER ITEM LIST'!D:D), "")</f>
        <v>LITER</v>
      </c>
      <c r="J469" s="34">
        <v>2600.0</v>
      </c>
      <c r="K469" s="69">
        <f t="shared" si="1"/>
        <v>650</v>
      </c>
      <c r="L469" s="70" t="s">
        <v>42</v>
      </c>
    </row>
    <row r="470" ht="22.5" customHeight="1">
      <c r="A470" s="29">
        <v>46160.0</v>
      </c>
      <c r="B470" s="31" t="s">
        <v>1313</v>
      </c>
      <c r="C470" s="32" t="s">
        <v>93</v>
      </c>
      <c r="D470" s="71" t="s">
        <v>53</v>
      </c>
      <c r="E470" s="66" t="str">
        <f t="array" ref="E470">IF(D470="", "", XLOOKUP(D470, 'MASTER ITEM LIST'!A:A, 'MASTER ITEM LIST'!B:B, ""))</f>
        <v>NAX 108 CERAMIC 2K CLEAR WITH HARDENER 1L</v>
      </c>
      <c r="F470" s="31"/>
      <c r="G470" s="67" t="s">
        <v>34</v>
      </c>
      <c r="H470" s="31">
        <v>1.0</v>
      </c>
      <c r="I470" s="31" t="str">
        <f t="array" ref="I470">IFERROR(XLOOKUP(D470,'MASTER ITEM LIST'!A:A,'MASTER ITEM LIST'!D:D), "")</f>
        <v>LITER</v>
      </c>
      <c r="J470" s="34">
        <v>680.0</v>
      </c>
      <c r="K470" s="69">
        <f t="shared" si="1"/>
        <v>680</v>
      </c>
      <c r="L470" s="70" t="s">
        <v>42</v>
      </c>
    </row>
    <row r="471" ht="22.5" customHeight="1">
      <c r="A471" s="29">
        <v>46160.0</v>
      </c>
      <c r="B471" s="31" t="s">
        <v>1314</v>
      </c>
      <c r="C471" s="32" t="s">
        <v>93</v>
      </c>
      <c r="D471" s="71" t="s">
        <v>90</v>
      </c>
      <c r="E471" s="66" t="str">
        <f t="array" ref="E471">IF(D471="", "", XLOOKUP(D471, 'MASTER ITEM LIST'!A:A, 'MASTER ITEM LIST'!B:B, ""))</f>
        <v>NAX SOB757 HIGH GRADE URETHANE THINNER 4L</v>
      </c>
      <c r="F471" s="31"/>
      <c r="G471" s="67" t="s">
        <v>34</v>
      </c>
      <c r="H471" s="31">
        <v>1.0</v>
      </c>
      <c r="I471" s="31" t="str">
        <f t="array" ref="I471">IFERROR(XLOOKUP(D471,'MASTER ITEM LIST'!A:A,'MASTER ITEM LIST'!D:D), "")</f>
        <v>GAL</v>
      </c>
      <c r="J471" s="34">
        <v>700.0</v>
      </c>
      <c r="K471" s="69">
        <f t="shared" si="1"/>
        <v>700</v>
      </c>
      <c r="L471" s="70" t="s">
        <v>42</v>
      </c>
    </row>
    <row r="472" ht="22.5" customHeight="1">
      <c r="A472" s="29">
        <v>46160.0</v>
      </c>
      <c r="B472" s="31" t="s">
        <v>1315</v>
      </c>
      <c r="C472" s="32" t="s">
        <v>1316</v>
      </c>
      <c r="D472" s="71" t="s">
        <v>53</v>
      </c>
      <c r="E472" s="66" t="str">
        <f t="array" ref="E472">IF(D472="", "", XLOOKUP(D472, 'MASTER ITEM LIST'!A:A, 'MASTER ITEM LIST'!B:B, ""))</f>
        <v>NAX 108 CERAMIC 2K CLEAR WITH HARDENER 1L</v>
      </c>
      <c r="F472" s="31"/>
      <c r="G472" s="67" t="s">
        <v>34</v>
      </c>
      <c r="H472" s="31">
        <v>4.0</v>
      </c>
      <c r="I472" s="31" t="str">
        <f t="array" ref="I472">IFERROR(XLOOKUP(D472,'MASTER ITEM LIST'!A:A,'MASTER ITEM LIST'!D:D), "")</f>
        <v>LITER</v>
      </c>
      <c r="J472" s="34">
        <v>680.0</v>
      </c>
      <c r="K472" s="69">
        <f t="shared" si="1"/>
        <v>2720</v>
      </c>
      <c r="L472" s="70" t="s">
        <v>42</v>
      </c>
    </row>
    <row r="473" ht="22.5" customHeight="1">
      <c r="A473" s="29">
        <v>46160.0</v>
      </c>
      <c r="B473" s="31" t="s">
        <v>1317</v>
      </c>
      <c r="C473" s="32" t="s">
        <v>1318</v>
      </c>
      <c r="D473" s="71" t="s">
        <v>134</v>
      </c>
      <c r="E473" s="66" t="str">
        <f t="array" ref="E473">IF(D473="", "", XLOOKUP(D473, 'MASTER ITEM LIST'!A:A, 'MASTER ITEM LIST'!B:B, ""))</f>
        <v>QDE MIXING NP, DAVIES, BOYSEN, ALPHA CHROMA, WC 1L</v>
      </c>
      <c r="F473" s="31" t="s">
        <v>1319</v>
      </c>
      <c r="G473" s="67" t="s">
        <v>34</v>
      </c>
      <c r="H473" s="31">
        <v>4.0</v>
      </c>
      <c r="I473" s="31" t="str">
        <f t="array" ref="I473">IFERROR(XLOOKUP(D473,'MASTER ITEM LIST'!A:A,'MASTER ITEM LIST'!D:D), "")</f>
        <v>LITER</v>
      </c>
      <c r="J473" s="34">
        <v>1100.0</v>
      </c>
      <c r="K473" s="69">
        <f t="shared" si="1"/>
        <v>4400</v>
      </c>
      <c r="L473" s="70" t="s">
        <v>42</v>
      </c>
    </row>
    <row r="474" ht="22.5" customHeight="1">
      <c r="A474" s="29">
        <v>46160.0</v>
      </c>
      <c r="B474" s="31" t="s">
        <v>1317</v>
      </c>
      <c r="C474" s="32" t="s">
        <v>1318</v>
      </c>
      <c r="D474" s="71" t="s">
        <v>551</v>
      </c>
      <c r="E474" s="66" t="str">
        <f t="array" ref="E474">IF(D474="", "", XLOOKUP(D474, 'MASTER ITEM LIST'!A:A, 'MASTER ITEM LIST'!B:B, ""))</f>
        <v>NIPPON FLATWALL ENAMEL WHITE 4L</v>
      </c>
      <c r="F474" s="31"/>
      <c r="G474" s="67" t="s">
        <v>34</v>
      </c>
      <c r="H474" s="31">
        <v>1.0</v>
      </c>
      <c r="I474" s="31" t="str">
        <f t="array" ref="I474">IFERROR(XLOOKUP(D474,'MASTER ITEM LIST'!A:A,'MASTER ITEM LIST'!D:D), "")</f>
        <v>GAL</v>
      </c>
      <c r="J474" s="34">
        <v>880.0</v>
      </c>
      <c r="K474" s="69">
        <f t="shared" si="1"/>
        <v>880</v>
      </c>
      <c r="L474" s="70" t="s">
        <v>42</v>
      </c>
    </row>
    <row r="475" ht="22.5" customHeight="1">
      <c r="A475" s="29">
        <v>46160.0</v>
      </c>
      <c r="B475" s="31" t="s">
        <v>1317</v>
      </c>
      <c r="C475" s="32" t="s">
        <v>1318</v>
      </c>
      <c r="D475" s="71" t="s">
        <v>674</v>
      </c>
      <c r="E475" s="66" t="str">
        <f t="array" ref="E475">IF(D475="", "", XLOOKUP(D475, 'MASTER ITEM LIST'!A:A, 'MASTER ITEM LIST'!B:B, ""))</f>
        <v>DOMINO BODY FILTER WITH HARDENER 1L</v>
      </c>
      <c r="F475" s="31"/>
      <c r="G475" s="67" t="s">
        <v>34</v>
      </c>
      <c r="H475" s="31">
        <v>1.0</v>
      </c>
      <c r="I475" s="31" t="str">
        <f t="array" ref="I475">IFERROR(XLOOKUP(D475,'MASTER ITEM LIST'!A:A,'MASTER ITEM LIST'!D:D), "")</f>
        <v>LITER</v>
      </c>
      <c r="J475" s="34">
        <v>210.0</v>
      </c>
      <c r="K475" s="69">
        <f t="shared" si="1"/>
        <v>210</v>
      </c>
      <c r="L475" s="70" t="s">
        <v>42</v>
      </c>
    </row>
    <row r="476" ht="22.5" customHeight="1">
      <c r="A476" s="29">
        <v>46160.0</v>
      </c>
      <c r="B476" s="31" t="s">
        <v>1317</v>
      </c>
      <c r="C476" s="32" t="s">
        <v>1318</v>
      </c>
      <c r="D476" s="71" t="s">
        <v>177</v>
      </c>
      <c r="E476" s="66" t="str">
        <f t="array" ref="E476">IF(D476="", "", XLOOKUP(D476, 'MASTER ITEM LIST'!A:A, 'MASTER ITEM LIST'!B:B, ""))</f>
        <v>UNO LACQUER THINNER BOT</v>
      </c>
      <c r="F476" s="31"/>
      <c r="G476" s="67" t="s">
        <v>34</v>
      </c>
      <c r="H476" s="31">
        <v>2.0</v>
      </c>
      <c r="I476" s="31" t="str">
        <f t="array" ref="I476">IFERROR(XLOOKUP(D476,'MASTER ITEM LIST'!A:A,'MASTER ITEM LIST'!D:D), "")</f>
        <v>BOT</v>
      </c>
      <c r="J476" s="34">
        <v>75.0</v>
      </c>
      <c r="K476" s="69">
        <f t="shared" si="1"/>
        <v>150</v>
      </c>
      <c r="L476" s="70" t="s">
        <v>42</v>
      </c>
    </row>
    <row r="477" ht="22.5" customHeight="1">
      <c r="A477" s="29">
        <v>46160.0</v>
      </c>
      <c r="B477" s="31" t="s">
        <v>1317</v>
      </c>
      <c r="C477" s="32" t="s">
        <v>1318</v>
      </c>
      <c r="D477" s="71" t="s">
        <v>112</v>
      </c>
      <c r="E477" s="66" t="str">
        <f t="array" ref="E477">IF(D477="", "", XLOOKUP(D477, 'MASTER ITEM LIST'!A:A, 'MASTER ITEM LIST'!B:B, ""))</f>
        <v>2B PAINT ROLLER #7</v>
      </c>
      <c r="F477" s="31"/>
      <c r="G477" s="67" t="s">
        <v>34</v>
      </c>
      <c r="H477" s="31">
        <v>1.0</v>
      </c>
      <c r="I477" s="31" t="str">
        <f t="array" ref="I477">IFERROR(XLOOKUP(D477,'MASTER ITEM LIST'!A:A,'MASTER ITEM LIST'!D:D), "")</f>
        <v>PC/S</v>
      </c>
      <c r="J477" s="34">
        <v>85.0</v>
      </c>
      <c r="K477" s="69">
        <f t="shared" si="1"/>
        <v>85</v>
      </c>
      <c r="L477" s="70" t="s">
        <v>42</v>
      </c>
    </row>
    <row r="478" ht="22.5" customHeight="1">
      <c r="A478" s="29">
        <v>46160.0</v>
      </c>
      <c r="B478" s="31" t="s">
        <v>1317</v>
      </c>
      <c r="C478" s="32" t="s">
        <v>1318</v>
      </c>
      <c r="D478" s="71" t="s">
        <v>40</v>
      </c>
      <c r="E478" s="66" t="str">
        <f t="array" ref="E478">IF(D478="", "", XLOOKUP(D478, 'MASTER ITEM LIST'!A:A, 'MASTER ITEM LIST'!B:B, ""))</f>
        <v>2B PAINT BRUSH #2</v>
      </c>
      <c r="F478" s="31"/>
      <c r="G478" s="67" t="s">
        <v>34</v>
      </c>
      <c r="H478" s="31">
        <v>1.0</v>
      </c>
      <c r="I478" s="31" t="str">
        <f t="array" ref="I478">IFERROR(XLOOKUP(D478,'MASTER ITEM LIST'!A:A,'MASTER ITEM LIST'!D:D), "")</f>
        <v>PC/S</v>
      </c>
      <c r="J478" s="34">
        <v>50.0</v>
      </c>
      <c r="K478" s="69">
        <f t="shared" si="1"/>
        <v>50</v>
      </c>
      <c r="L478" s="70" t="s">
        <v>42</v>
      </c>
    </row>
    <row r="479" ht="22.5" customHeight="1">
      <c r="A479" s="29">
        <v>46160.0</v>
      </c>
      <c r="B479" s="31" t="s">
        <v>1320</v>
      </c>
      <c r="C479" s="32" t="s">
        <v>1321</v>
      </c>
      <c r="D479" s="71" t="s">
        <v>73</v>
      </c>
      <c r="E479" s="66" t="str">
        <f t="array" ref="E479">IF(D479="", "", XLOOKUP(D479, 'MASTER ITEM LIST'!A:A, 'MASTER ITEM LIST'!B:B, ""))</f>
        <v>PLATONE QDE WHITE 4L</v>
      </c>
      <c r="F479" s="31"/>
      <c r="G479" s="67" t="s">
        <v>34</v>
      </c>
      <c r="H479" s="31">
        <v>1.0</v>
      </c>
      <c r="I479" s="31" t="str">
        <f t="array" ref="I479">IFERROR(XLOOKUP(D479,'MASTER ITEM LIST'!A:A,'MASTER ITEM LIST'!D:D), "")</f>
        <v>GAL</v>
      </c>
      <c r="J479" s="34">
        <v>880.0</v>
      </c>
      <c r="K479" s="69">
        <f t="shared" si="1"/>
        <v>880</v>
      </c>
      <c r="L479" s="70" t="s">
        <v>42</v>
      </c>
    </row>
    <row r="480" ht="22.5" customHeight="1">
      <c r="A480" s="29">
        <v>46160.0</v>
      </c>
      <c r="B480" s="31" t="s">
        <v>1320</v>
      </c>
      <c r="C480" s="32" t="s">
        <v>1321</v>
      </c>
      <c r="D480" s="71" t="s">
        <v>177</v>
      </c>
      <c r="E480" s="66" t="str">
        <f t="array" ref="E480">IF(D480="", "", XLOOKUP(D480, 'MASTER ITEM LIST'!A:A, 'MASTER ITEM LIST'!B:B, ""))</f>
        <v>UNO LACQUER THINNER BOT</v>
      </c>
      <c r="F480" s="31"/>
      <c r="G480" s="67" t="s">
        <v>34</v>
      </c>
      <c r="H480" s="31">
        <v>1.0</v>
      </c>
      <c r="I480" s="31" t="str">
        <f t="array" ref="I480">IFERROR(XLOOKUP(D480,'MASTER ITEM LIST'!A:A,'MASTER ITEM LIST'!D:D), "")</f>
        <v>BOT</v>
      </c>
      <c r="J480" s="34">
        <v>75.0</v>
      </c>
      <c r="K480" s="69">
        <f t="shared" si="1"/>
        <v>75</v>
      </c>
      <c r="L480" s="70" t="s">
        <v>42</v>
      </c>
    </row>
    <row r="481" ht="22.5" customHeight="1">
      <c r="A481" s="29">
        <v>46160.0</v>
      </c>
      <c r="B481" s="31" t="s">
        <v>1320</v>
      </c>
      <c r="C481" s="32" t="s">
        <v>1321</v>
      </c>
      <c r="D481" s="71" t="s">
        <v>112</v>
      </c>
      <c r="E481" s="66" t="str">
        <f t="array" ref="E481">IF(D481="", "", XLOOKUP(D481, 'MASTER ITEM LIST'!A:A, 'MASTER ITEM LIST'!B:B, ""))</f>
        <v>2B PAINT ROLLER #7</v>
      </c>
      <c r="F481" s="31"/>
      <c r="G481" s="67" t="s">
        <v>34</v>
      </c>
      <c r="H481" s="31">
        <v>1.0</v>
      </c>
      <c r="I481" s="31" t="str">
        <f t="array" ref="I481">IFERROR(XLOOKUP(D481,'MASTER ITEM LIST'!A:A,'MASTER ITEM LIST'!D:D), "")</f>
        <v>PC/S</v>
      </c>
      <c r="J481" s="34">
        <v>85.0</v>
      </c>
      <c r="K481" s="69">
        <f t="shared" si="1"/>
        <v>85</v>
      </c>
      <c r="L481" s="70" t="s">
        <v>42</v>
      </c>
    </row>
    <row r="482" ht="22.5" customHeight="1">
      <c r="A482" s="29">
        <v>46160.0</v>
      </c>
      <c r="B482" s="31" t="s">
        <v>1320</v>
      </c>
      <c r="C482" s="32" t="s">
        <v>1321</v>
      </c>
      <c r="D482" s="71" t="s">
        <v>40</v>
      </c>
      <c r="E482" s="66" t="str">
        <f t="array" ref="E482">IF(D482="", "", XLOOKUP(D482, 'MASTER ITEM LIST'!A:A, 'MASTER ITEM LIST'!B:B, ""))</f>
        <v>2B PAINT BRUSH #2</v>
      </c>
      <c r="F482" s="31"/>
      <c r="G482" s="67" t="s">
        <v>34</v>
      </c>
      <c r="H482" s="31">
        <v>1.0</v>
      </c>
      <c r="I482" s="31" t="str">
        <f t="array" ref="I482">IFERROR(XLOOKUP(D482,'MASTER ITEM LIST'!A:A,'MASTER ITEM LIST'!D:D), "")</f>
        <v>PC/S</v>
      </c>
      <c r="J482" s="34">
        <v>50.0</v>
      </c>
      <c r="K482" s="69">
        <f t="shared" si="1"/>
        <v>50</v>
      </c>
      <c r="L482" s="70" t="s">
        <v>42</v>
      </c>
    </row>
    <row r="483" ht="22.5" customHeight="1">
      <c r="A483" s="29">
        <v>46160.0</v>
      </c>
      <c r="B483" s="31" t="s">
        <v>1320</v>
      </c>
      <c r="C483" s="32" t="s">
        <v>1321</v>
      </c>
      <c r="D483" s="71" t="s">
        <v>292</v>
      </c>
      <c r="E483" s="66" t="str">
        <f t="array" ref="E483">IF(D483="", "", XLOOKUP(D483, 'MASTER ITEM LIST'!A:A, 'MASTER ITEM LIST'!B:B, ""))</f>
        <v>RAIN OR SHINE ROS-629 TULIPS 4L</v>
      </c>
      <c r="F483" s="31"/>
      <c r="G483" s="67" t="s">
        <v>34</v>
      </c>
      <c r="H483" s="31">
        <v>0.25</v>
      </c>
      <c r="I483" s="31" t="str">
        <f t="array" ref="I483">IFERROR(XLOOKUP(D483,'MASTER ITEM LIST'!A:A,'MASTER ITEM LIST'!D:D), "")</f>
        <v>GALON</v>
      </c>
      <c r="J483" s="34">
        <v>1000.0</v>
      </c>
      <c r="K483" s="69">
        <f t="shared" si="1"/>
        <v>250</v>
      </c>
      <c r="L483" s="70" t="s">
        <v>42</v>
      </c>
    </row>
    <row r="484" ht="22.5" customHeight="1">
      <c r="A484" s="29">
        <v>46162.0</v>
      </c>
      <c r="B484" s="31" t="s">
        <v>1322</v>
      </c>
      <c r="C484" s="32" t="s">
        <v>93</v>
      </c>
      <c r="D484" s="71" t="s">
        <v>63</v>
      </c>
      <c r="E484" s="66" t="str">
        <f t="array" ref="E484">IF(D484="", "", XLOOKUP(D484, 'MASTER ITEM LIST'!A:A, 'MASTER ITEM LIST'!B:B, ""))</f>
        <v>OLD NEWS</v>
      </c>
      <c r="F484" s="31"/>
      <c r="G484" s="67" t="s">
        <v>34</v>
      </c>
      <c r="H484" s="31">
        <v>2.0</v>
      </c>
      <c r="I484" s="31" t="str">
        <f t="array" ref="I484">IFERROR(XLOOKUP(D484,'MASTER ITEM LIST'!A:A,'MASTER ITEM LIST'!D:D), "")</f>
        <v>KG</v>
      </c>
      <c r="J484" s="34">
        <v>100.0</v>
      </c>
      <c r="K484" s="69">
        <f t="shared" si="1"/>
        <v>200</v>
      </c>
      <c r="L484" s="70" t="s">
        <v>42</v>
      </c>
    </row>
    <row r="485" ht="22.5" customHeight="1">
      <c r="A485" s="29">
        <v>46164.0</v>
      </c>
      <c r="B485" s="31" t="s">
        <v>1323</v>
      </c>
      <c r="C485" s="32" t="s">
        <v>1324</v>
      </c>
      <c r="D485" s="23" t="s">
        <v>220</v>
      </c>
      <c r="E485" s="66" t="str">
        <f t="array" ref="E485">IF(D485="", "", XLOOKUP(D485, 'MASTER ITEM LIST'!A:A, 'MASTER ITEM LIST'!B:B, ""))</f>
        <v>PREMILA MIXING 1L</v>
      </c>
      <c r="F485" s="31" t="s">
        <v>1325</v>
      </c>
      <c r="G485" s="67" t="s">
        <v>34</v>
      </c>
      <c r="H485" s="31">
        <v>0.25</v>
      </c>
      <c r="I485" s="31" t="str">
        <f t="array" ref="I485">IFERROR(XLOOKUP(D485,'MASTER ITEM LIST'!A:A,'MASTER ITEM LIST'!D:D), "")</f>
        <v>LITER</v>
      </c>
      <c r="J485" s="34">
        <v>2160.0</v>
      </c>
      <c r="K485" s="69">
        <f t="shared" si="1"/>
        <v>540</v>
      </c>
      <c r="L485" s="70" t="s">
        <v>42</v>
      </c>
    </row>
    <row r="486" ht="22.5" customHeight="1">
      <c r="A486" s="29">
        <v>46165.0</v>
      </c>
      <c r="B486" s="31" t="s">
        <v>1326</v>
      </c>
      <c r="C486" s="32" t="s">
        <v>93</v>
      </c>
      <c r="D486" s="71" t="s">
        <v>53</v>
      </c>
      <c r="E486" s="66" t="str">
        <f t="array" ref="E486">IF(D486="", "", XLOOKUP(D486, 'MASTER ITEM LIST'!A:A, 'MASTER ITEM LIST'!B:B, ""))</f>
        <v>NAX 108 CERAMIC 2K CLEAR WITH HARDENER 1L</v>
      </c>
      <c r="F486" s="31"/>
      <c r="G486" s="67" t="s">
        <v>34</v>
      </c>
      <c r="H486" s="31">
        <v>2.0</v>
      </c>
      <c r="I486" s="31" t="str">
        <f t="array" ref="I486">IFERROR(XLOOKUP(D486,'MASTER ITEM LIST'!A:A,'MASTER ITEM LIST'!D:D), "")</f>
        <v>LITER</v>
      </c>
      <c r="J486" s="34">
        <v>680.0</v>
      </c>
      <c r="K486" s="69">
        <f t="shared" si="1"/>
        <v>1360</v>
      </c>
      <c r="L486" s="70" t="s">
        <v>42</v>
      </c>
    </row>
    <row r="487" ht="22.5" customHeight="1">
      <c r="A487" s="29">
        <v>46165.0</v>
      </c>
      <c r="B487" s="31" t="s">
        <v>1327</v>
      </c>
      <c r="C487" s="32" t="s">
        <v>1328</v>
      </c>
      <c r="D487" s="71" t="s">
        <v>571</v>
      </c>
      <c r="E487" s="66" t="str">
        <f t="array" ref="E487">IF(D487="", "", XLOOKUP(D487, 'MASTER ITEM LIST'!A:A, 'MASTER ITEM LIST'!B:B, ""))</f>
        <v>NIPPON EXTREME QDU RED 4L</v>
      </c>
      <c r="F487" s="31"/>
      <c r="G487" s="67" t="s">
        <v>34</v>
      </c>
      <c r="H487" s="31">
        <v>0.25</v>
      </c>
      <c r="I487" s="31" t="str">
        <f t="array" ref="I487">IFERROR(XLOOKUP(D487,'MASTER ITEM LIST'!A:A,'MASTER ITEM LIST'!D:D), "")</f>
        <v>GAL</v>
      </c>
      <c r="J487" s="34">
        <v>2400.0</v>
      </c>
      <c r="K487" s="69">
        <f t="shared" si="1"/>
        <v>600</v>
      </c>
      <c r="L487" s="70" t="s">
        <v>42</v>
      </c>
    </row>
    <row r="488" ht="22.5" customHeight="1">
      <c r="A488" s="29">
        <v>46165.0</v>
      </c>
      <c r="B488" s="31" t="s">
        <v>1327</v>
      </c>
      <c r="C488" s="32" t="s">
        <v>1328</v>
      </c>
      <c r="D488" s="71" t="s">
        <v>233</v>
      </c>
      <c r="E488" s="66" t="str">
        <f t="array" ref="E488">IF(D488="", "", XLOOKUP(D488, 'MASTER ITEM LIST'!A:A, 'MASTER ITEM LIST'!B:B, ""))</f>
        <v>NAX ALPHA HB SPRAY FILLER GRAY WITH HARDENER 1L</v>
      </c>
      <c r="F488" s="31"/>
      <c r="G488" s="67" t="s">
        <v>34</v>
      </c>
      <c r="H488" s="31">
        <v>1.0</v>
      </c>
      <c r="I488" s="31" t="str">
        <f t="array" ref="I488">IFERROR(XLOOKUP(D488,'MASTER ITEM LIST'!A:A,'MASTER ITEM LIST'!D:D), "")</f>
        <v>LITER</v>
      </c>
      <c r="J488" s="34">
        <v>600.0</v>
      </c>
      <c r="K488" s="69">
        <f t="shared" si="1"/>
        <v>600</v>
      </c>
      <c r="L488" s="70" t="s">
        <v>42</v>
      </c>
    </row>
    <row r="489" ht="22.5" customHeight="1">
      <c r="A489" s="29">
        <v>46165.0</v>
      </c>
      <c r="B489" s="31" t="s">
        <v>1327</v>
      </c>
      <c r="C489" s="32" t="s">
        <v>1328</v>
      </c>
      <c r="D489" s="71" t="s">
        <v>571</v>
      </c>
      <c r="E489" s="66" t="str">
        <f t="array" ref="E489">IF(D489="", "", XLOOKUP(D489, 'MASTER ITEM LIST'!A:A, 'MASTER ITEM LIST'!B:B, ""))</f>
        <v>NIPPON EXTREME QDU RED 4L</v>
      </c>
      <c r="F489" s="31"/>
      <c r="G489" s="67" t="s">
        <v>34</v>
      </c>
      <c r="H489" s="31">
        <v>0.0625</v>
      </c>
      <c r="I489" s="31" t="str">
        <f t="array" ref="I489">IFERROR(XLOOKUP(D489,'MASTER ITEM LIST'!A:A,'MASTER ITEM LIST'!D:D), "")</f>
        <v>GAL</v>
      </c>
      <c r="J489" s="34">
        <v>3200.0</v>
      </c>
      <c r="K489" s="69">
        <f t="shared" si="1"/>
        <v>200</v>
      </c>
      <c r="L489" s="70" t="s">
        <v>42</v>
      </c>
    </row>
    <row r="490" ht="22.5" customHeight="1">
      <c r="A490" s="29">
        <v>46165.0</v>
      </c>
      <c r="B490" s="31" t="s">
        <v>1327</v>
      </c>
      <c r="C490" s="32" t="s">
        <v>1328</v>
      </c>
      <c r="D490" s="71" t="s">
        <v>72</v>
      </c>
      <c r="E490" s="66" t="str">
        <f t="array" ref="E490">IF(D490="", "", XLOOKUP(D490, 'MASTER ITEM LIST'!A:A, 'MASTER ITEM LIST'!B:B, ""))</f>
        <v>NIPPON EXTREME QDU BLACK 4L</v>
      </c>
      <c r="F490" s="31"/>
      <c r="G490" s="67" t="s">
        <v>34</v>
      </c>
      <c r="H490" s="31">
        <v>0.125</v>
      </c>
      <c r="I490" s="31" t="str">
        <f t="array" ref="I490">IFERROR(XLOOKUP(D490,'MASTER ITEM LIST'!A:A,'MASTER ITEM LIST'!D:D), "")</f>
        <v>GAL</v>
      </c>
      <c r="J490" s="34">
        <v>2800.0</v>
      </c>
      <c r="K490" s="69">
        <f t="shared" si="1"/>
        <v>350</v>
      </c>
      <c r="L490" s="70" t="s">
        <v>42</v>
      </c>
    </row>
    <row r="491" ht="22.5" customHeight="1">
      <c r="A491" s="29">
        <v>46165.0</v>
      </c>
      <c r="B491" s="31" t="s">
        <v>1327</v>
      </c>
      <c r="C491" s="32" t="s">
        <v>1328</v>
      </c>
      <c r="D491" s="71" t="s">
        <v>717</v>
      </c>
      <c r="E491" s="66" t="str">
        <f t="array" ref="E491">IF(D491="", "", XLOOKUP(D491, 'MASTER ITEM LIST'!A:A, 'MASTER ITEM LIST'!B:B, ""))</f>
        <v>CROCO MASKING TAPE #1</v>
      </c>
      <c r="F491" s="31"/>
      <c r="G491" s="67" t="s">
        <v>34</v>
      </c>
      <c r="H491" s="31">
        <v>3.0</v>
      </c>
      <c r="I491" s="31" t="str">
        <f t="array" ref="I491">IFERROR(XLOOKUP(D491,'MASTER ITEM LIST'!A:A,'MASTER ITEM LIST'!D:D), "")</f>
        <v>PCS</v>
      </c>
      <c r="J491" s="34">
        <v>40.0</v>
      </c>
      <c r="K491" s="69">
        <f t="shared" si="1"/>
        <v>120</v>
      </c>
      <c r="L491" s="70" t="s">
        <v>42</v>
      </c>
    </row>
    <row r="492" ht="22.5" customHeight="1">
      <c r="A492" s="29">
        <v>46165.0</v>
      </c>
      <c r="B492" s="31" t="s">
        <v>1327</v>
      </c>
      <c r="C492" s="32" t="s">
        <v>1328</v>
      </c>
      <c r="D492" s="71" t="s">
        <v>63</v>
      </c>
      <c r="E492" s="66" t="str">
        <f t="array" ref="E492">IF(D492="", "", XLOOKUP(D492, 'MASTER ITEM LIST'!A:A, 'MASTER ITEM LIST'!B:B, ""))</f>
        <v>OLD NEWS</v>
      </c>
      <c r="F492" s="31"/>
      <c r="G492" s="67" t="s">
        <v>34</v>
      </c>
      <c r="H492" s="31">
        <v>1.0</v>
      </c>
      <c r="I492" s="31" t="str">
        <f t="array" ref="I492">IFERROR(XLOOKUP(D492,'MASTER ITEM LIST'!A:A,'MASTER ITEM LIST'!D:D), "")</f>
        <v>KG</v>
      </c>
      <c r="J492" s="34">
        <v>100.0</v>
      </c>
      <c r="K492" s="69">
        <f t="shared" si="1"/>
        <v>100</v>
      </c>
      <c r="L492" s="70" t="s">
        <v>42</v>
      </c>
    </row>
    <row r="493" ht="22.5" customHeight="1">
      <c r="A493" s="29">
        <v>46167.0</v>
      </c>
      <c r="B493" s="31" t="s">
        <v>1330</v>
      </c>
      <c r="C493" s="32" t="s">
        <v>93</v>
      </c>
      <c r="D493" s="71" t="s">
        <v>90</v>
      </c>
      <c r="E493" s="66" t="str">
        <f t="array" ref="E493">IF(D493="", "", XLOOKUP(D493, 'MASTER ITEM LIST'!A:A, 'MASTER ITEM LIST'!B:B, ""))</f>
        <v>NAX SOB757 HIGH GRADE URETHANE THINNER 4L</v>
      </c>
      <c r="F493" s="31"/>
      <c r="G493" s="67" t="s">
        <v>34</v>
      </c>
      <c r="H493" s="31">
        <v>1.0</v>
      </c>
      <c r="I493" s="31" t="str">
        <f t="array" ref="I493">IFERROR(XLOOKUP(D493,'MASTER ITEM LIST'!A:A,'MASTER ITEM LIST'!D:D), "")</f>
        <v>GAL</v>
      </c>
      <c r="J493" s="34">
        <v>730.0</v>
      </c>
      <c r="K493" s="69">
        <f t="shared" si="1"/>
        <v>730</v>
      </c>
      <c r="L493" s="70" t="s">
        <v>42</v>
      </c>
    </row>
    <row r="494" ht="22.5" customHeight="1">
      <c r="A494" s="29">
        <v>46167.0</v>
      </c>
      <c r="B494" s="31" t="s">
        <v>1330</v>
      </c>
      <c r="C494" s="32" t="s">
        <v>93</v>
      </c>
      <c r="D494" s="71" t="s">
        <v>568</v>
      </c>
      <c r="E494" s="66" t="str">
        <f t="array" ref="E494">IF(D494="", "", XLOOKUP(D494, 'MASTER ITEM LIST'!A:A, 'MASTER ITEM LIST'!B:B, ""))</f>
        <v>NIPPON EXTREME QDU SILVER 4L</v>
      </c>
      <c r="F494" s="31"/>
      <c r="G494" s="67" t="s">
        <v>34</v>
      </c>
      <c r="H494" s="31">
        <v>0.03125</v>
      </c>
      <c r="I494" s="31" t="str">
        <f t="array" ref="I494">IFERROR(XLOOKUP(D494,'MASTER ITEM LIST'!A:A,'MASTER ITEM LIST'!D:D), "")</f>
        <v>GAL</v>
      </c>
      <c r="J494" s="34">
        <v>5760.0</v>
      </c>
      <c r="K494" s="69">
        <f t="shared" si="1"/>
        <v>180</v>
      </c>
      <c r="L494" s="70" t="s">
        <v>42</v>
      </c>
    </row>
    <row r="495" ht="22.5" customHeight="1">
      <c r="A495" s="29">
        <v>46167.0</v>
      </c>
      <c r="B495" s="31" t="s">
        <v>1331</v>
      </c>
      <c r="C495" s="32" t="s">
        <v>1318</v>
      </c>
      <c r="D495" s="71" t="s">
        <v>551</v>
      </c>
      <c r="E495" s="66" t="str">
        <f t="array" ref="E495">IF(D495="", "", XLOOKUP(D495, 'MASTER ITEM LIST'!A:A, 'MASTER ITEM LIST'!B:B, ""))</f>
        <v>NIPPON FLATWALL ENAMEL WHITE 4L</v>
      </c>
      <c r="F495" s="31"/>
      <c r="G495" s="67" t="s">
        <v>34</v>
      </c>
      <c r="H495" s="31">
        <v>2.0</v>
      </c>
      <c r="I495" s="31" t="str">
        <f t="array" ref="I495">IFERROR(XLOOKUP(D495,'MASTER ITEM LIST'!A:A,'MASTER ITEM LIST'!D:D), "")</f>
        <v>GAL</v>
      </c>
      <c r="J495" s="34">
        <v>880.0</v>
      </c>
      <c r="K495" s="69">
        <f t="shared" si="1"/>
        <v>1760</v>
      </c>
      <c r="L495" s="70" t="s">
        <v>42</v>
      </c>
    </row>
    <row r="496" ht="22.5" customHeight="1">
      <c r="A496" s="29">
        <v>46167.0</v>
      </c>
      <c r="B496" s="31" t="s">
        <v>1331</v>
      </c>
      <c r="C496" s="32" t="s">
        <v>1318</v>
      </c>
      <c r="D496" s="71" t="s">
        <v>177</v>
      </c>
      <c r="E496" s="66" t="str">
        <f t="array" ref="E496">IF(D496="", "", XLOOKUP(D496, 'MASTER ITEM LIST'!A:A, 'MASTER ITEM LIST'!B:B, ""))</f>
        <v>UNO LACQUER THINNER BOT</v>
      </c>
      <c r="F496" s="31"/>
      <c r="G496" s="67" t="s">
        <v>34</v>
      </c>
      <c r="H496" s="31">
        <v>2.0</v>
      </c>
      <c r="I496" s="31" t="str">
        <f t="array" ref="I496">IFERROR(XLOOKUP(D496,'MASTER ITEM LIST'!A:A,'MASTER ITEM LIST'!D:D), "")</f>
        <v>BOT</v>
      </c>
      <c r="J496" s="34">
        <v>75.0</v>
      </c>
      <c r="K496" s="69">
        <f t="shared" si="1"/>
        <v>150</v>
      </c>
      <c r="L496" s="70" t="s">
        <v>42</v>
      </c>
    </row>
    <row r="497" ht="22.5" customHeight="1">
      <c r="A497" s="29">
        <v>46167.0</v>
      </c>
      <c r="B497" s="31" t="s">
        <v>1331</v>
      </c>
      <c r="C497" s="32" t="s">
        <v>1318</v>
      </c>
      <c r="D497" s="71" t="s">
        <v>246</v>
      </c>
      <c r="E497" s="66" t="str">
        <f t="array" ref="E497">IF(D497="", "", XLOOKUP(D497, 'MASTER ITEM LIST'!A:A, 'MASTER ITEM LIST'!B:B, ""))</f>
        <v>DOMINO BODY FILTER WITH HARDENER 4L</v>
      </c>
      <c r="F497" s="31"/>
      <c r="G497" s="67" t="s">
        <v>34</v>
      </c>
      <c r="H497" s="31">
        <v>0.25</v>
      </c>
      <c r="I497" s="31" t="str">
        <f t="array" ref="I497">IFERROR(XLOOKUP(D497,'MASTER ITEM LIST'!A:A,'MASTER ITEM LIST'!D:D), "")</f>
        <v>GAL</v>
      </c>
      <c r="J497" s="34">
        <v>840.0</v>
      </c>
      <c r="K497" s="69">
        <f t="shared" si="1"/>
        <v>210</v>
      </c>
      <c r="L497" s="70" t="s">
        <v>42</v>
      </c>
    </row>
    <row r="498" ht="22.5" customHeight="1">
      <c r="A498" s="29">
        <v>46167.0</v>
      </c>
      <c r="B498" s="31" t="s">
        <v>1333</v>
      </c>
      <c r="C498" s="32" t="s">
        <v>1334</v>
      </c>
      <c r="D498" s="71" t="s">
        <v>374</v>
      </c>
      <c r="E498" s="66" t="str">
        <f t="array" ref="E498">IF(D498="", "", XLOOKUP(D498, 'MASTER ITEM LIST'!A:A, 'MASTER ITEM LIST'!B:B, ""))</f>
        <v>PYLOX LAZER GOLD 705</v>
      </c>
      <c r="F498" s="31"/>
      <c r="G498" s="67" t="s">
        <v>34</v>
      </c>
      <c r="H498" s="31">
        <v>6.0</v>
      </c>
      <c r="I498" s="31" t="str">
        <f t="array" ref="I498">IFERROR(XLOOKUP(D498,'MASTER ITEM LIST'!A:A,'MASTER ITEM LIST'!D:D), "")</f>
        <v>CAN</v>
      </c>
      <c r="J498" s="34">
        <v>185.0</v>
      </c>
      <c r="K498" s="69">
        <f t="shared" si="1"/>
        <v>1110</v>
      </c>
      <c r="L498" s="70" t="s">
        <v>42</v>
      </c>
    </row>
    <row r="499" ht="22.5" customHeight="1">
      <c r="A499" s="29">
        <v>46167.0</v>
      </c>
      <c r="B499" s="31" t="s">
        <v>1333</v>
      </c>
      <c r="C499" s="32" t="s">
        <v>1334</v>
      </c>
      <c r="D499" s="71" t="s">
        <v>345</v>
      </c>
      <c r="E499" s="66" t="str">
        <f t="array" ref="E499">IF(D499="", "", XLOOKUP(D499, 'MASTER ITEM LIST'!A:A, 'MASTER ITEM LIST'!B:B, ""))</f>
        <v>PYLOX LAZER WHITE 02</v>
      </c>
      <c r="F499" s="31"/>
      <c r="G499" s="67" t="s">
        <v>34</v>
      </c>
      <c r="H499" s="31">
        <v>2.0</v>
      </c>
      <c r="I499" s="31" t="str">
        <f t="array" ref="I499">IFERROR(XLOOKUP(D499,'MASTER ITEM LIST'!A:A,'MASTER ITEM LIST'!D:D), "")</f>
        <v>CAN</v>
      </c>
      <c r="J499" s="34">
        <v>140.0</v>
      </c>
      <c r="K499" s="69">
        <f t="shared" si="1"/>
        <v>280</v>
      </c>
      <c r="L499" s="70" t="s">
        <v>42</v>
      </c>
    </row>
    <row r="500" ht="22.5" customHeight="1">
      <c r="A500" s="29">
        <v>46168.0</v>
      </c>
      <c r="B500" s="31" t="s">
        <v>1335</v>
      </c>
      <c r="C500" s="32" t="s">
        <v>93</v>
      </c>
      <c r="D500" s="23" t="s">
        <v>220</v>
      </c>
      <c r="E500" s="66" t="str">
        <f t="array" ref="E500">IF(D500="", "", XLOOKUP(D500, 'MASTER ITEM LIST'!A:A, 'MASTER ITEM LIST'!B:B, ""))</f>
        <v>PREMILA MIXING 1L</v>
      </c>
      <c r="F500" s="31" t="s">
        <v>1336</v>
      </c>
      <c r="G500" s="67" t="s">
        <v>34</v>
      </c>
      <c r="H500" s="31">
        <v>0.5</v>
      </c>
      <c r="I500" s="31" t="str">
        <f t="array" ref="I500">IFERROR(XLOOKUP(D500,'MASTER ITEM LIST'!A:A,'MASTER ITEM LIST'!D:D), "")</f>
        <v>LITER</v>
      </c>
      <c r="J500" s="34">
        <v>2800.0</v>
      </c>
      <c r="K500" s="69">
        <f t="shared" si="1"/>
        <v>1400</v>
      </c>
      <c r="L500" s="70" t="s">
        <v>42</v>
      </c>
    </row>
    <row r="501" ht="22.5" customHeight="1">
      <c r="A501" s="29">
        <v>46168.0</v>
      </c>
      <c r="B501" s="31" t="s">
        <v>1335</v>
      </c>
      <c r="C501" s="32" t="s">
        <v>93</v>
      </c>
      <c r="D501" s="71" t="s">
        <v>53</v>
      </c>
      <c r="E501" s="66" t="str">
        <f t="array" ref="E501">IF(D501="", "", XLOOKUP(D501, 'MASTER ITEM LIST'!A:A, 'MASTER ITEM LIST'!B:B, ""))</f>
        <v>NAX 108 CERAMIC 2K CLEAR WITH HARDENER 1L</v>
      </c>
      <c r="F501" s="31"/>
      <c r="G501" s="67" t="s">
        <v>34</v>
      </c>
      <c r="H501" s="31">
        <v>2.0</v>
      </c>
      <c r="I501" s="31" t="str">
        <f t="array" ref="I501">IFERROR(XLOOKUP(D501,'MASTER ITEM LIST'!A:A,'MASTER ITEM LIST'!D:D), "")</f>
        <v>LITER</v>
      </c>
      <c r="J501" s="34">
        <v>680.0</v>
      </c>
      <c r="K501" s="69">
        <f t="shared" si="1"/>
        <v>1360</v>
      </c>
      <c r="L501" s="70" t="s">
        <v>42</v>
      </c>
    </row>
    <row r="502" ht="22.5" customHeight="1">
      <c r="A502" s="29">
        <v>46168.0</v>
      </c>
      <c r="B502" s="31" t="s">
        <v>1335</v>
      </c>
      <c r="C502" s="32" t="s">
        <v>93</v>
      </c>
      <c r="D502" s="71" t="s">
        <v>326</v>
      </c>
      <c r="E502" s="66" t="str">
        <f t="array" ref="E502">IF(D502="", "", XLOOKUP(D502, 'MASTER ITEM LIST'!A:A, 'MASTER ITEM LIST'!B:B, ""))</f>
        <v>EAGLE SANDPAPER #1200</v>
      </c>
      <c r="F502" s="31"/>
      <c r="G502" s="67" t="s">
        <v>34</v>
      </c>
      <c r="H502" s="31">
        <v>5.0</v>
      </c>
      <c r="I502" s="31" t="str">
        <f t="array" ref="I502">IFERROR(XLOOKUP(D502,'MASTER ITEM LIST'!A:A,'MASTER ITEM LIST'!D:D), "")</f>
        <v>PC/S</v>
      </c>
      <c r="J502" s="34">
        <v>25.0</v>
      </c>
      <c r="K502" s="69">
        <f t="shared" si="1"/>
        <v>125</v>
      </c>
      <c r="L502" s="70" t="s">
        <v>42</v>
      </c>
    </row>
    <row r="503" ht="22.5" customHeight="1">
      <c r="A503" s="29">
        <v>46168.0</v>
      </c>
      <c r="B503" s="31" t="s">
        <v>1335</v>
      </c>
      <c r="C503" s="32" t="s">
        <v>93</v>
      </c>
      <c r="D503" s="71" t="s">
        <v>942</v>
      </c>
      <c r="E503" s="66" t="str">
        <f t="array" ref="E503">IF(D503="", "", XLOOKUP(D503, 'MASTER ITEM LIST'!A:A, 'MASTER ITEM LIST'!B:B, ""))</f>
        <v>EAGLE SANDPAPER #1000</v>
      </c>
      <c r="F503" s="31"/>
      <c r="G503" s="67" t="s">
        <v>34</v>
      </c>
      <c r="H503" s="31">
        <v>5.0</v>
      </c>
      <c r="I503" s="31" t="str">
        <f t="array" ref="I503">IFERROR(XLOOKUP(D503,'MASTER ITEM LIST'!A:A,'MASTER ITEM LIST'!D:D), "")</f>
        <v>PC/S</v>
      </c>
      <c r="J503" s="34">
        <v>35.0</v>
      </c>
      <c r="K503" s="69">
        <f t="shared" si="1"/>
        <v>175</v>
      </c>
      <c r="L503" s="70" t="s">
        <v>42</v>
      </c>
    </row>
    <row r="504" ht="22.5" customHeight="1">
      <c r="A504" s="29">
        <v>46169.0</v>
      </c>
      <c r="B504" s="31" t="s">
        <v>1337</v>
      </c>
      <c r="C504" s="32" t="s">
        <v>1338</v>
      </c>
      <c r="D504" s="71" t="s">
        <v>90</v>
      </c>
      <c r="E504" s="66" t="str">
        <f t="array" ref="E504">IF(D504="", "", XLOOKUP(D504, 'MASTER ITEM LIST'!A:A, 'MASTER ITEM LIST'!B:B, ""))</f>
        <v>NAX SOB757 HIGH GRADE URETHANE THINNER 4L</v>
      </c>
      <c r="F504" s="31"/>
      <c r="G504" s="67" t="s">
        <v>34</v>
      </c>
      <c r="H504" s="31">
        <v>1.0</v>
      </c>
      <c r="I504" s="31" t="str">
        <f t="array" ref="I504">IFERROR(XLOOKUP(D504,'MASTER ITEM LIST'!A:A,'MASTER ITEM LIST'!D:D), "")</f>
        <v>GAL</v>
      </c>
      <c r="J504" s="34">
        <v>750.0</v>
      </c>
      <c r="K504" s="69">
        <f t="shared" si="1"/>
        <v>750</v>
      </c>
      <c r="L504" s="70" t="s">
        <v>42</v>
      </c>
    </row>
    <row r="505" ht="22.5" customHeight="1">
      <c r="A505" s="29">
        <v>46169.0</v>
      </c>
      <c r="B505" s="31" t="s">
        <v>1337</v>
      </c>
      <c r="C505" s="32" t="s">
        <v>1338</v>
      </c>
      <c r="D505" s="71" t="s">
        <v>410</v>
      </c>
      <c r="E505" s="66" t="str">
        <f t="array" ref="E505">IF(D505="", "", XLOOKUP(D505, 'MASTER ITEM LIST'!A:A, 'MASTER ITEM LIST'!B:B, ""))</f>
        <v>NAX NAX21 URETHANE HAEDENER</v>
      </c>
      <c r="F505" s="31"/>
      <c r="G505" s="67" t="s">
        <v>34</v>
      </c>
      <c r="H505" s="31">
        <v>2.0</v>
      </c>
      <c r="I505" s="31" t="str">
        <f t="array" ref="I505">IFERROR(XLOOKUP(D505,'MASTER ITEM LIST'!A:A,'MASTER ITEM LIST'!D:D), "")</f>
        <v>CANS</v>
      </c>
      <c r="J505" s="34">
        <v>250.0</v>
      </c>
      <c r="K505" s="69">
        <f t="shared" si="1"/>
        <v>500</v>
      </c>
      <c r="L505" s="70" t="s">
        <v>42</v>
      </c>
    </row>
    <row r="506" ht="22.5" customHeight="1">
      <c r="A506" s="29">
        <v>46169.0</v>
      </c>
      <c r="B506" s="31" t="s">
        <v>1337</v>
      </c>
      <c r="C506" s="32" t="s">
        <v>1338</v>
      </c>
      <c r="D506" s="71" t="s">
        <v>136</v>
      </c>
      <c r="E506" s="66" t="str">
        <f t="array" ref="E506">IF(D506="", "", XLOOKUP(D506, 'MASTER ITEM LIST'!A:A, 'MASTER ITEM LIST'!B:B, ""))</f>
        <v>CROCO MASKING TAPE 3/4 18MM (1X64)</v>
      </c>
      <c r="F506" s="31"/>
      <c r="G506" s="67" t="s">
        <v>34</v>
      </c>
      <c r="H506" s="31">
        <v>1.0</v>
      </c>
      <c r="I506" s="31" t="str">
        <f t="array" ref="I506">IFERROR(XLOOKUP(D506,'MASTER ITEM LIST'!A:A,'MASTER ITEM LIST'!D:D), "")</f>
        <v>PC/S</v>
      </c>
      <c r="J506" s="34">
        <v>35.0</v>
      </c>
      <c r="K506" s="69">
        <f t="shared" si="1"/>
        <v>35</v>
      </c>
      <c r="L506" s="70" t="s">
        <v>42</v>
      </c>
    </row>
    <row r="507" ht="22.5" customHeight="1">
      <c r="A507" s="29">
        <v>46169.0</v>
      </c>
      <c r="B507" s="31" t="s">
        <v>1337</v>
      </c>
      <c r="C507" s="32" t="s">
        <v>1338</v>
      </c>
      <c r="D507" s="23" t="s">
        <v>167</v>
      </c>
      <c r="E507" s="66" t="str">
        <f t="array" ref="E507">IF(D507="", "", XLOOKUP(D507, 'MASTER ITEM LIST'!A:A, 'MASTER ITEM LIST'!B:B, ""))</f>
        <v>NAX QDU MIX 1L</v>
      </c>
      <c r="F507" s="31"/>
      <c r="G507" s="67" t="s">
        <v>34</v>
      </c>
      <c r="H507" s="31">
        <v>1.0</v>
      </c>
      <c r="I507" s="31" t="str">
        <f t="array" ref="I507">IFERROR(XLOOKUP(D507,'MASTER ITEM LIST'!A:A,'MASTER ITEM LIST'!D:D), "")</f>
        <v>LITER</v>
      </c>
      <c r="J507" s="34">
        <v>1500.0</v>
      </c>
      <c r="K507" s="69">
        <f t="shared" si="1"/>
        <v>1500</v>
      </c>
      <c r="L507" s="70" t="s">
        <v>42</v>
      </c>
    </row>
    <row r="508" ht="22.5" customHeight="1">
      <c r="A508" s="29">
        <v>46169.0</v>
      </c>
      <c r="B508" s="31" t="s">
        <v>1340</v>
      </c>
      <c r="C508" s="32" t="s">
        <v>1341</v>
      </c>
      <c r="D508" s="71" t="s">
        <v>551</v>
      </c>
      <c r="E508" s="66" t="str">
        <f t="array" ref="E508">IF(D508="", "", XLOOKUP(D508, 'MASTER ITEM LIST'!A:A, 'MASTER ITEM LIST'!B:B, ""))</f>
        <v>NIPPON FLATWALL ENAMEL WHITE 4L</v>
      </c>
      <c r="F508" s="31"/>
      <c r="G508" s="67" t="s">
        <v>34</v>
      </c>
      <c r="H508" s="31">
        <v>2.0</v>
      </c>
      <c r="I508" s="31" t="str">
        <f t="array" ref="I508">IFERROR(XLOOKUP(D508,'MASTER ITEM LIST'!A:A,'MASTER ITEM LIST'!D:D), "")</f>
        <v>GAL</v>
      </c>
      <c r="J508" s="34">
        <v>780.0</v>
      </c>
      <c r="K508" s="69">
        <f t="shared" si="1"/>
        <v>1560</v>
      </c>
      <c r="L508" s="70" t="s">
        <v>42</v>
      </c>
    </row>
    <row r="509" ht="22.5" customHeight="1">
      <c r="A509" s="29">
        <v>46169.0</v>
      </c>
      <c r="B509" s="31" t="s">
        <v>1340</v>
      </c>
      <c r="C509" s="32" t="s">
        <v>1341</v>
      </c>
      <c r="D509" s="71" t="s">
        <v>182</v>
      </c>
      <c r="E509" s="66" t="str">
        <f t="array" ref="E509">IF(D509="", "", XLOOKUP(D509, 'MASTER ITEM LIST'!A:A, 'MASTER ITEM LIST'!B:B, ""))</f>
        <v>UNO LACQUER THINNER 4L</v>
      </c>
      <c r="F509" s="31"/>
      <c r="G509" s="67" t="s">
        <v>34</v>
      </c>
      <c r="H509" s="31">
        <v>0.25</v>
      </c>
      <c r="I509" s="31" t="str">
        <f t="array" ref="I509">IFERROR(XLOOKUP(D509,'MASTER ITEM LIST'!A:A,'MASTER ITEM LIST'!D:D), "")</f>
        <v>GAL/S</v>
      </c>
      <c r="J509" s="34">
        <v>640.0</v>
      </c>
      <c r="K509" s="69">
        <f t="shared" si="1"/>
        <v>160</v>
      </c>
      <c r="L509" s="70" t="s">
        <v>42</v>
      </c>
    </row>
    <row r="510" ht="22.5" customHeight="1">
      <c r="A510" s="29">
        <v>46170.0</v>
      </c>
      <c r="B510" s="31" t="s">
        <v>1342</v>
      </c>
      <c r="C510" s="32" t="s">
        <v>1343</v>
      </c>
      <c r="D510" s="71" t="s">
        <v>53</v>
      </c>
      <c r="E510" s="66" t="str">
        <f t="array" ref="E510">IF(D510="", "", XLOOKUP(D510, 'MASTER ITEM LIST'!A:A, 'MASTER ITEM LIST'!B:B, ""))</f>
        <v>NAX 108 CERAMIC 2K CLEAR WITH HARDENER 1L</v>
      </c>
      <c r="F510" s="31"/>
      <c r="G510" s="67" t="s">
        <v>34</v>
      </c>
      <c r="H510" s="31">
        <v>1.0</v>
      </c>
      <c r="I510" s="31" t="str">
        <f t="array" ref="I510">IFERROR(XLOOKUP(D510,'MASTER ITEM LIST'!A:A,'MASTER ITEM LIST'!D:D), "")</f>
        <v>LITER</v>
      </c>
      <c r="J510" s="34">
        <v>680.0</v>
      </c>
      <c r="K510" s="69">
        <f t="shared" si="1"/>
        <v>680</v>
      </c>
      <c r="L510" s="70" t="s">
        <v>42</v>
      </c>
    </row>
    <row r="511" ht="22.5" customHeight="1">
      <c r="A511" s="29">
        <v>46170.0</v>
      </c>
      <c r="B511" s="31" t="s">
        <v>1342</v>
      </c>
      <c r="C511" s="32" t="s">
        <v>1343</v>
      </c>
      <c r="D511" s="23" t="s">
        <v>167</v>
      </c>
      <c r="E511" s="66" t="str">
        <f t="array" ref="E511">IF(D511="", "", XLOOKUP(D511, 'MASTER ITEM LIST'!A:A, 'MASTER ITEM LIST'!B:B, ""))</f>
        <v>NAX QDU MIX 1L</v>
      </c>
      <c r="F511" s="31"/>
      <c r="G511" s="67" t="s">
        <v>34</v>
      </c>
      <c r="H511" s="31">
        <v>1.0</v>
      </c>
      <c r="I511" s="31" t="str">
        <f t="array" ref="I511">IFERROR(XLOOKUP(D511,'MASTER ITEM LIST'!A:A,'MASTER ITEM LIST'!D:D), "")</f>
        <v>LITER</v>
      </c>
      <c r="J511" s="34">
        <v>1500.0</v>
      </c>
      <c r="K511" s="69">
        <f t="shared" si="1"/>
        <v>1500</v>
      </c>
      <c r="L511" s="38" t="s">
        <v>42</v>
      </c>
    </row>
    <row r="512" ht="22.5" customHeight="1">
      <c r="A512" s="29">
        <v>46170.0</v>
      </c>
      <c r="B512" s="31" t="s">
        <v>1342</v>
      </c>
      <c r="C512" s="32" t="s">
        <v>1343</v>
      </c>
      <c r="D512" s="23" t="s">
        <v>167</v>
      </c>
      <c r="E512" s="66" t="str">
        <f t="array" ref="E512">IF(D512="", "", XLOOKUP(D512, 'MASTER ITEM LIST'!A:A, 'MASTER ITEM LIST'!B:B, ""))</f>
        <v>NAX QDU MIX 1L</v>
      </c>
      <c r="F512" s="31"/>
      <c r="G512" s="67" t="s">
        <v>34</v>
      </c>
      <c r="H512" s="31">
        <v>0.25</v>
      </c>
      <c r="I512" s="31" t="str">
        <f t="array" ref="I512">IFERROR(XLOOKUP(D512,'MASTER ITEM LIST'!A:A,'MASTER ITEM LIST'!D:D), "")</f>
        <v>LITER</v>
      </c>
      <c r="J512" s="34">
        <v>1400.0</v>
      </c>
      <c r="K512" s="69">
        <f t="shared" si="1"/>
        <v>350</v>
      </c>
      <c r="L512" s="70" t="s">
        <v>42</v>
      </c>
    </row>
    <row r="513" ht="22.5" customHeight="1">
      <c r="A513" s="29">
        <v>46170.0</v>
      </c>
      <c r="B513" s="31" t="s">
        <v>1342</v>
      </c>
      <c r="C513" s="32" t="s">
        <v>1343</v>
      </c>
      <c r="D513" s="71" t="s">
        <v>167</v>
      </c>
      <c r="E513" s="66" t="str">
        <f t="array" ref="E513">IF(D513="", "", XLOOKUP(D513, 'MASTER ITEM LIST'!A:A, 'MASTER ITEM LIST'!B:B, ""))</f>
        <v>NAX QDU MIX 1L</v>
      </c>
      <c r="F513" s="31"/>
      <c r="G513" s="67" t="s">
        <v>34</v>
      </c>
      <c r="H513" s="31">
        <v>0.25</v>
      </c>
      <c r="I513" s="31" t="str">
        <f t="array" ref="I513">IFERROR(XLOOKUP(D513,'MASTER ITEM LIST'!A:A,'MASTER ITEM LIST'!D:D), "")</f>
        <v>LITER</v>
      </c>
      <c r="J513" s="34">
        <v>1400.0</v>
      </c>
      <c r="K513" s="69">
        <f t="shared" si="1"/>
        <v>350</v>
      </c>
      <c r="L513" s="70" t="s">
        <v>42</v>
      </c>
    </row>
    <row r="514" ht="22.5" customHeight="1">
      <c r="A514" s="29">
        <v>46170.0</v>
      </c>
      <c r="B514" s="31" t="s">
        <v>1342</v>
      </c>
      <c r="C514" s="32" t="s">
        <v>1343</v>
      </c>
      <c r="D514" s="71" t="s">
        <v>167</v>
      </c>
      <c r="E514" s="66" t="str">
        <f t="array" ref="E514">IF(D514="", "", XLOOKUP(D514, 'MASTER ITEM LIST'!A:A, 'MASTER ITEM LIST'!B:B, ""))</f>
        <v>NAX QDU MIX 1L</v>
      </c>
      <c r="F514" s="31"/>
      <c r="G514" s="67" t="s">
        <v>34</v>
      </c>
      <c r="H514" s="31">
        <v>0.25</v>
      </c>
      <c r="I514" s="31" t="str">
        <f t="array" ref="I514">IFERROR(XLOOKUP(D514,'MASTER ITEM LIST'!A:A,'MASTER ITEM LIST'!D:D), "")</f>
        <v>LITER</v>
      </c>
      <c r="J514" s="34">
        <v>1400.0</v>
      </c>
      <c r="K514" s="69">
        <f t="shared" si="1"/>
        <v>350</v>
      </c>
      <c r="L514" s="70" t="s">
        <v>42</v>
      </c>
    </row>
    <row r="515" ht="22.5" customHeight="1">
      <c r="A515" s="29">
        <v>46170.0</v>
      </c>
      <c r="B515" s="31" t="s">
        <v>1342</v>
      </c>
      <c r="C515" s="32" t="s">
        <v>1343</v>
      </c>
      <c r="D515" s="71" t="s">
        <v>167</v>
      </c>
      <c r="E515" s="66" t="str">
        <f t="array" ref="E515">IF(D515="", "", XLOOKUP(D515, 'MASTER ITEM LIST'!A:A, 'MASTER ITEM LIST'!B:B, ""))</f>
        <v>NAX QDU MIX 1L</v>
      </c>
      <c r="F515" s="31"/>
      <c r="G515" s="67" t="s">
        <v>34</v>
      </c>
      <c r="H515" s="31">
        <v>0.25</v>
      </c>
      <c r="I515" s="31" t="str">
        <f t="array" ref="I515">IFERROR(XLOOKUP(D515,'MASTER ITEM LIST'!A:A,'MASTER ITEM LIST'!D:D), "")</f>
        <v>LITER</v>
      </c>
      <c r="J515" s="34">
        <v>1400.0</v>
      </c>
      <c r="K515" s="69">
        <f t="shared" si="1"/>
        <v>350</v>
      </c>
      <c r="L515" s="70" t="s">
        <v>42</v>
      </c>
    </row>
    <row r="516" ht="22.5" customHeight="1">
      <c r="A516" s="29">
        <v>46170.0</v>
      </c>
      <c r="B516" s="31" t="s">
        <v>1348</v>
      </c>
      <c r="C516" s="32" t="s">
        <v>1349</v>
      </c>
      <c r="D516" s="23" t="s">
        <v>828</v>
      </c>
      <c r="E516" s="66" t="str">
        <f t="array" ref="E516">IF(D516="", "", XLOOKUP(D516, 'MASTER ITEM LIST'!A:A, 'MASTER ITEM LIST'!B:B, ""))</f>
        <v>NAX PP BUMPER PRIMER GRAY 1L</v>
      </c>
      <c r="F516" s="31"/>
      <c r="G516" s="67" t="s">
        <v>34</v>
      </c>
      <c r="H516" s="31">
        <v>1.0</v>
      </c>
      <c r="I516" s="31" t="str">
        <f t="array" ref="I516">IFERROR(XLOOKUP(D516,'MASTER ITEM LIST'!A:A,'MASTER ITEM LIST'!D:D), "")</f>
        <v>LITER</v>
      </c>
      <c r="J516" s="34">
        <v>850.0</v>
      </c>
      <c r="K516" s="69">
        <f t="shared" si="1"/>
        <v>850</v>
      </c>
      <c r="L516" s="70" t="s">
        <v>42</v>
      </c>
    </row>
    <row r="517" ht="22.5" customHeight="1">
      <c r="A517" s="29">
        <v>46170.0</v>
      </c>
      <c r="B517" s="31" t="s">
        <v>1348</v>
      </c>
      <c r="C517" s="32" t="s">
        <v>1349</v>
      </c>
      <c r="D517" s="71" t="s">
        <v>117</v>
      </c>
      <c r="E517" s="66" t="str">
        <f t="array" ref="E517">IF(D517="", "", XLOOKUP(D517, 'MASTER ITEM LIST'!A:A, 'MASTER ITEM LIST'!B:B, ""))</f>
        <v>EAGLE SANDPAPER #120</v>
      </c>
      <c r="F517" s="31"/>
      <c r="G517" s="67" t="s">
        <v>34</v>
      </c>
      <c r="H517" s="31">
        <v>5.0</v>
      </c>
      <c r="I517" s="31" t="str">
        <f t="array" ref="I517">IFERROR(XLOOKUP(D517,'MASTER ITEM LIST'!A:A,'MASTER ITEM LIST'!D:D), "")</f>
        <v>PC/S</v>
      </c>
      <c r="J517" s="34">
        <v>25.0</v>
      </c>
      <c r="K517" s="69">
        <f t="shared" si="1"/>
        <v>125</v>
      </c>
      <c r="L517" s="70" t="s">
        <v>42</v>
      </c>
    </row>
    <row r="518" ht="22.5" customHeight="1">
      <c r="A518" s="29">
        <v>46170.0</v>
      </c>
      <c r="B518" s="31" t="s">
        <v>1348</v>
      </c>
      <c r="C518" s="32" t="s">
        <v>1349</v>
      </c>
      <c r="D518" s="71" t="s">
        <v>426</v>
      </c>
      <c r="E518" s="66" t="str">
        <f t="array" ref="E518">IF(D518="", "", XLOOKUP(D518, 'MASTER ITEM LIST'!A:A, 'MASTER ITEM LIST'!B:B, ""))</f>
        <v>EAGLE SAND PAPER #320</v>
      </c>
      <c r="F518" s="31"/>
      <c r="G518" s="67" t="s">
        <v>34</v>
      </c>
      <c r="H518" s="31">
        <v>5.0</v>
      </c>
      <c r="I518" s="31" t="str">
        <f t="array" ref="I518">IFERROR(XLOOKUP(D518,'MASTER ITEM LIST'!A:A,'MASTER ITEM LIST'!D:D), "")</f>
        <v>PCS</v>
      </c>
      <c r="J518" s="34">
        <v>25.0</v>
      </c>
      <c r="K518" s="69">
        <f t="shared" si="1"/>
        <v>125</v>
      </c>
      <c r="L518" s="70" t="s">
        <v>42</v>
      </c>
    </row>
    <row r="519" ht="22.5" customHeight="1">
      <c r="A519" s="29">
        <v>46170.0</v>
      </c>
      <c r="B519" s="31" t="s">
        <v>1348</v>
      </c>
      <c r="C519" s="32" t="s">
        <v>1349</v>
      </c>
      <c r="D519" s="71" t="s">
        <v>198</v>
      </c>
      <c r="E519" s="66" t="str">
        <f t="array" ref="E519">IF(D519="", "", XLOOKUP(D519, 'MASTER ITEM LIST'!A:A, 'MASTER ITEM LIST'!B:B, ""))</f>
        <v>EAGLE SANDPAPER #2000</v>
      </c>
      <c r="F519" s="31"/>
      <c r="G519" s="67" t="s">
        <v>34</v>
      </c>
      <c r="H519" s="31">
        <v>10.0</v>
      </c>
      <c r="I519" s="31" t="str">
        <f t="array" ref="I519">IFERROR(XLOOKUP(D519,'MASTER ITEM LIST'!A:A,'MASTER ITEM LIST'!D:D), "")</f>
        <v>PC/S</v>
      </c>
      <c r="J519" s="34">
        <v>35.0</v>
      </c>
      <c r="K519" s="69">
        <f t="shared" si="1"/>
        <v>350</v>
      </c>
      <c r="L519" s="70" t="s">
        <v>42</v>
      </c>
    </row>
    <row r="520" ht="22.5" customHeight="1">
      <c r="A520" s="29">
        <v>46170.0</v>
      </c>
      <c r="B520" s="31" t="s">
        <v>1348</v>
      </c>
      <c r="C520" s="32" t="s">
        <v>1349</v>
      </c>
      <c r="D520" s="71" t="s">
        <v>326</v>
      </c>
      <c r="E520" s="66" t="str">
        <f t="array" ref="E520">IF(D520="", "", XLOOKUP(D520, 'MASTER ITEM LIST'!A:A, 'MASTER ITEM LIST'!B:B, ""))</f>
        <v>EAGLE SANDPAPER #1200</v>
      </c>
      <c r="F520" s="31"/>
      <c r="G520" s="67" t="s">
        <v>34</v>
      </c>
      <c r="H520" s="31">
        <v>5.0</v>
      </c>
      <c r="I520" s="31" t="str">
        <f t="array" ref="I520">IFERROR(XLOOKUP(D520,'MASTER ITEM LIST'!A:A,'MASTER ITEM LIST'!D:D), "")</f>
        <v>PC/S</v>
      </c>
      <c r="J520" s="34">
        <v>25.0</v>
      </c>
      <c r="K520" s="69">
        <f t="shared" si="1"/>
        <v>125</v>
      </c>
      <c r="L520" s="70" t="s">
        <v>42</v>
      </c>
    </row>
    <row r="521" ht="22.5" customHeight="1">
      <c r="A521" s="29">
        <v>46170.0</v>
      </c>
      <c r="B521" s="31" t="s">
        <v>1348</v>
      </c>
      <c r="C521" s="32" t="s">
        <v>1349</v>
      </c>
      <c r="D521" s="71" t="s">
        <v>516</v>
      </c>
      <c r="E521" s="66" t="str">
        <f t="array" ref="E521">IF(D521="", "", XLOOKUP(D521, 'MASTER ITEM LIST'!A:A, 'MASTER ITEM LIST'!B:B, ""))</f>
        <v>EAGLE SANDPAPER #1500</v>
      </c>
      <c r="F521" s="31"/>
      <c r="G521" s="67" t="s">
        <v>34</v>
      </c>
      <c r="H521" s="31">
        <v>5.0</v>
      </c>
      <c r="I521" s="31" t="str">
        <f t="array" ref="I521">IFERROR(XLOOKUP(D521,'MASTER ITEM LIST'!A:A,'MASTER ITEM LIST'!D:D), "")</f>
        <v>PC/S</v>
      </c>
      <c r="J521" s="34">
        <v>35.0</v>
      </c>
      <c r="K521" s="69">
        <f t="shared" si="1"/>
        <v>175</v>
      </c>
      <c r="L521" s="70" t="s">
        <v>42</v>
      </c>
    </row>
    <row r="522" ht="22.5" customHeight="1">
      <c r="A522" s="29">
        <v>46170.0</v>
      </c>
      <c r="B522" s="31" t="s">
        <v>1348</v>
      </c>
      <c r="C522" s="32" t="s">
        <v>1349</v>
      </c>
      <c r="D522" s="71" t="s">
        <v>155</v>
      </c>
      <c r="E522" s="66" t="str">
        <f t="array" ref="E522">IF(D522="", "", XLOOKUP(D522, 'MASTER ITEM LIST'!A:A, 'MASTER ITEM LIST'!B:B, ""))</f>
        <v>TIMEOUT BODY FILLER WITH HARDENER 4L</v>
      </c>
      <c r="F522" s="31"/>
      <c r="G522" s="67" t="s">
        <v>34</v>
      </c>
      <c r="H522" s="31">
        <v>1.0</v>
      </c>
      <c r="I522" s="31" t="str">
        <f t="array" ref="I522">IFERROR(XLOOKUP(D522,'MASTER ITEM LIST'!A:A,'MASTER ITEM LIST'!D:D), "")</f>
        <v>GAL</v>
      </c>
      <c r="J522" s="34">
        <v>710.0</v>
      </c>
      <c r="K522" s="69">
        <f t="shared" si="1"/>
        <v>710</v>
      </c>
      <c r="L522" s="70" t="s">
        <v>42</v>
      </c>
    </row>
    <row r="523" ht="22.5" customHeight="1">
      <c r="A523" s="29">
        <v>46171.0</v>
      </c>
      <c r="B523" s="31" t="s">
        <v>1350</v>
      </c>
      <c r="C523" s="32" t="s">
        <v>93</v>
      </c>
      <c r="D523" s="71" t="s">
        <v>246</v>
      </c>
      <c r="E523" s="66" t="str">
        <f t="array" ref="E523">IF(D523="", "", XLOOKUP(D523, 'MASTER ITEM LIST'!A:A, 'MASTER ITEM LIST'!B:B, ""))</f>
        <v>DOMINO BODY FILTER WITH HARDENER 4L</v>
      </c>
      <c r="F523" s="31"/>
      <c r="G523" s="67" t="s">
        <v>34</v>
      </c>
      <c r="H523" s="31">
        <v>1.0</v>
      </c>
      <c r="I523" s="31" t="str">
        <f t="array" ref="I523">IFERROR(XLOOKUP(D523,'MASTER ITEM LIST'!A:A,'MASTER ITEM LIST'!D:D), "")</f>
        <v>GAL</v>
      </c>
      <c r="J523" s="34">
        <v>615.0</v>
      </c>
      <c r="K523" s="69">
        <f t="shared" si="1"/>
        <v>615</v>
      </c>
      <c r="L523" s="70" t="s">
        <v>42</v>
      </c>
    </row>
    <row r="524" ht="22.5" customHeight="1">
      <c r="A524" s="29">
        <v>46171.0</v>
      </c>
      <c r="B524" s="31" t="s">
        <v>1351</v>
      </c>
      <c r="C524" s="32" t="s">
        <v>93</v>
      </c>
      <c r="D524" s="71" t="s">
        <v>160</v>
      </c>
      <c r="E524" s="66" t="str">
        <f t="array" ref="E524">IF(D524="", "", XLOOKUP(D524, 'MASTER ITEM LIST'!A:A, 'MASTER ITEM LIST'!B:B, ""))</f>
        <v>NAX 141 NAX MAXIMA URETHANE FD CLEAR WITH HARDENER 1L</v>
      </c>
      <c r="F524" s="31"/>
      <c r="G524" s="67" t="s">
        <v>34</v>
      </c>
      <c r="H524" s="31">
        <v>1.0</v>
      </c>
      <c r="I524" s="31" t="str">
        <f t="array" ref="I524">IFERROR(XLOOKUP(D524,'MASTER ITEM LIST'!A:A,'MASTER ITEM LIST'!D:D), "")</f>
        <v>LITER</v>
      </c>
      <c r="J524" s="34">
        <v>580.0</v>
      </c>
      <c r="K524" s="69">
        <f t="shared" si="1"/>
        <v>580</v>
      </c>
      <c r="L524" s="70" t="s">
        <v>42</v>
      </c>
    </row>
    <row r="525" ht="22.5" customHeight="1">
      <c r="A525" s="29">
        <v>46172.0</v>
      </c>
      <c r="B525" s="31" t="s">
        <v>1352</v>
      </c>
      <c r="C525" s="32" t="s">
        <v>93</v>
      </c>
      <c r="D525" s="71" t="s">
        <v>63</v>
      </c>
      <c r="E525" s="66" t="str">
        <f t="array" ref="E525">IF(D525="", "", XLOOKUP(D525, 'MASTER ITEM LIST'!A:A, 'MASTER ITEM LIST'!B:B, ""))</f>
        <v>OLD NEWS</v>
      </c>
      <c r="F525" s="31"/>
      <c r="G525" s="67" t="s">
        <v>34</v>
      </c>
      <c r="H525" s="31">
        <v>3.0</v>
      </c>
      <c r="I525" s="31" t="str">
        <f t="array" ref="I525">IFERROR(XLOOKUP(D525,'MASTER ITEM LIST'!A:A,'MASTER ITEM LIST'!D:D), "")</f>
        <v>KG</v>
      </c>
      <c r="J525" s="34">
        <v>100.0</v>
      </c>
      <c r="K525" s="69">
        <f t="shared" si="1"/>
        <v>300</v>
      </c>
      <c r="L525" s="70" t="s">
        <v>42</v>
      </c>
    </row>
    <row r="526" ht="22.5" customHeight="1">
      <c r="A526" s="29">
        <v>46172.0</v>
      </c>
      <c r="B526" s="31" t="s">
        <v>1353</v>
      </c>
      <c r="C526" s="32" t="s">
        <v>1354</v>
      </c>
      <c r="D526" s="71" t="s">
        <v>21</v>
      </c>
      <c r="E526" s="66" t="str">
        <f t="array" ref="E526">IF(D526="", "", XLOOKUP(D526, 'MASTER ITEM LIST'!A:A, 'MASTER ITEM LIST'!B:B, ""))</f>
        <v>RAIN OR SHINE CHOCOLATE BROWN 4L</v>
      </c>
      <c r="F526" s="31"/>
      <c r="G526" s="67" t="s">
        <v>34</v>
      </c>
      <c r="H526" s="31">
        <v>0.25</v>
      </c>
      <c r="I526" s="31" t="str">
        <f t="array" ref="I526">IFERROR(XLOOKUP(D526,'MASTER ITEM LIST'!A:A,'MASTER ITEM LIST'!D:D), "")</f>
        <v>GALON</v>
      </c>
      <c r="J526" s="34">
        <v>1000.0</v>
      </c>
      <c r="K526" s="69">
        <f t="shared" si="1"/>
        <v>250</v>
      </c>
      <c r="L526" s="70" t="s">
        <v>42</v>
      </c>
    </row>
    <row r="527" ht="22.5" customHeight="1">
      <c r="A527" s="29">
        <v>46172.0</v>
      </c>
      <c r="B527" s="31" t="s">
        <v>1355</v>
      </c>
      <c r="C527" s="32" t="s">
        <v>1356</v>
      </c>
      <c r="D527" s="71" t="s">
        <v>43</v>
      </c>
      <c r="E527" s="66" t="str">
        <f t="array" ref="E527">IF(D527="", "", XLOOKUP(D527, 'MASTER ITEM LIST'!A:A, 'MASTER ITEM LIST'!B:B, ""))</f>
        <v>RAIN OR SHINE BAGUIO GREEN 4L</v>
      </c>
      <c r="F527" s="31"/>
      <c r="G527" s="67" t="s">
        <v>34</v>
      </c>
      <c r="H527" s="31">
        <v>2.0</v>
      </c>
      <c r="I527" s="31" t="str">
        <f t="array" ref="I527">IFERROR(XLOOKUP(D527,'MASTER ITEM LIST'!A:A,'MASTER ITEM LIST'!D:D), "")</f>
        <v>GALON</v>
      </c>
      <c r="J527" s="34">
        <v>920.0</v>
      </c>
      <c r="K527" s="69">
        <f t="shared" si="1"/>
        <v>1840</v>
      </c>
      <c r="L527" s="70" t="s">
        <v>42</v>
      </c>
    </row>
    <row r="528" ht="22.5" customHeight="1">
      <c r="A528" s="29">
        <v>46174.0</v>
      </c>
      <c r="B528" s="31" t="s">
        <v>1357</v>
      </c>
      <c r="C528" s="32" t="s">
        <v>1358</v>
      </c>
      <c r="D528" s="71" t="s">
        <v>134</v>
      </c>
      <c r="E528" s="66" t="str">
        <f t="array" ref="E528">IF(D528="", "", XLOOKUP(D528, 'MASTER ITEM LIST'!A:A, 'MASTER ITEM LIST'!B:B, ""))</f>
        <v>QDE MIXING NP, DAVIES, BOYSEN, ALPHA CHROMA, WC 1L</v>
      </c>
      <c r="F528" s="31"/>
      <c r="G528" s="67" t="s">
        <v>34</v>
      </c>
      <c r="H528" s="31">
        <v>4.0</v>
      </c>
      <c r="I528" s="31" t="str">
        <f t="array" ref="I528">IFERROR(XLOOKUP(D528,'MASTER ITEM LIST'!A:A,'MASTER ITEM LIST'!D:D), "")</f>
        <v>LITER</v>
      </c>
      <c r="J528" s="34">
        <v>275.0</v>
      </c>
      <c r="K528" s="69">
        <f t="shared" si="1"/>
        <v>1100</v>
      </c>
      <c r="L528" s="70" t="s">
        <v>42</v>
      </c>
    </row>
    <row r="529" ht="22.5" customHeight="1">
      <c r="A529" s="29">
        <v>46175.0</v>
      </c>
      <c r="B529" s="31" t="s">
        <v>1359</v>
      </c>
      <c r="C529" s="32" t="s">
        <v>1349</v>
      </c>
      <c r="D529" s="23" t="s">
        <v>167</v>
      </c>
      <c r="E529" s="66" t="str">
        <f t="array" ref="E529">IF(D529="", "", XLOOKUP(D529, 'MASTER ITEM LIST'!A:A, 'MASTER ITEM LIST'!B:B, ""))</f>
        <v>NAX QDU MIX 1L</v>
      </c>
      <c r="F529" s="31"/>
      <c r="G529" s="67" t="s">
        <v>34</v>
      </c>
      <c r="H529" s="31">
        <v>0.5</v>
      </c>
      <c r="I529" s="31" t="str">
        <f t="array" ref="I529">IFERROR(XLOOKUP(D529,'MASTER ITEM LIST'!A:A,'MASTER ITEM LIST'!D:D), "")</f>
        <v>LITER</v>
      </c>
      <c r="J529" s="34">
        <v>1400.0</v>
      </c>
      <c r="K529" s="69">
        <f t="shared" si="1"/>
        <v>700</v>
      </c>
      <c r="L529" s="70" t="s">
        <v>42</v>
      </c>
    </row>
    <row r="530" ht="22.5" customHeight="1">
      <c r="A530" s="29">
        <v>46176.0</v>
      </c>
      <c r="B530" s="31" t="s">
        <v>1360</v>
      </c>
      <c r="C530" s="32" t="s">
        <v>1361</v>
      </c>
      <c r="D530" s="71" t="s">
        <v>177</v>
      </c>
      <c r="E530" s="66" t="str">
        <f t="array" ref="E530">IF(D530="", "", XLOOKUP(D530, 'MASTER ITEM LIST'!A:A, 'MASTER ITEM LIST'!B:B, ""))</f>
        <v>UNO LACQUER THINNER BOT</v>
      </c>
      <c r="F530" s="31"/>
      <c r="G530" s="67" t="s">
        <v>34</v>
      </c>
      <c r="H530" s="31">
        <v>2.0</v>
      </c>
      <c r="I530" s="31" t="str">
        <f t="array" ref="I530">IFERROR(XLOOKUP(D530,'MASTER ITEM LIST'!A:A,'MASTER ITEM LIST'!D:D), "")</f>
        <v>BOT</v>
      </c>
      <c r="J530" s="34">
        <v>80.0</v>
      </c>
      <c r="K530" s="69">
        <f t="shared" si="1"/>
        <v>160</v>
      </c>
      <c r="L530" s="70" t="s">
        <v>42</v>
      </c>
    </row>
    <row r="531" ht="22.5" customHeight="1">
      <c r="A531" s="29">
        <v>46176.0</v>
      </c>
      <c r="B531" s="31" t="s">
        <v>1360</v>
      </c>
      <c r="C531" s="32" t="s">
        <v>1361</v>
      </c>
      <c r="D531" s="71" t="s">
        <v>1166</v>
      </c>
      <c r="E531" s="66" t="str">
        <f t="array" ref="E531">IF(D531="", "", XLOOKUP(D531, 'MASTER ITEM LIST'!A:A, 'MASTER ITEM LIST'!B:B, ""))</f>
        <v>2B PAINT BRUSH 1 1/2</v>
      </c>
      <c r="F531" s="31"/>
      <c r="G531" s="67" t="s">
        <v>34</v>
      </c>
      <c r="H531" s="31">
        <v>4.0</v>
      </c>
      <c r="I531" s="31" t="str">
        <f t="array" ref="I531">IFERROR(XLOOKUP(D531,'MASTER ITEM LIST'!A:A,'MASTER ITEM LIST'!D:D), "")</f>
        <v>PC/S</v>
      </c>
      <c r="J531" s="34">
        <v>35.0</v>
      </c>
      <c r="K531" s="69">
        <f t="shared" si="1"/>
        <v>140</v>
      </c>
      <c r="L531" s="70" t="s">
        <v>42</v>
      </c>
    </row>
    <row r="532" ht="22.5" customHeight="1">
      <c r="A532" s="29">
        <v>46177.0</v>
      </c>
      <c r="B532" s="31" t="s">
        <v>1362</v>
      </c>
      <c r="C532" s="32" t="s">
        <v>93</v>
      </c>
      <c r="D532" s="71" t="s">
        <v>246</v>
      </c>
      <c r="E532" s="66" t="str">
        <f t="array" ref="E532">IF(D532="", "", XLOOKUP(D532, 'MASTER ITEM LIST'!A:A, 'MASTER ITEM LIST'!B:B, ""))</f>
        <v>DOMINO BODY FILTER WITH HARDENER 4L</v>
      </c>
      <c r="F532" s="31"/>
      <c r="G532" s="67" t="s">
        <v>34</v>
      </c>
      <c r="H532" s="31">
        <v>1.0</v>
      </c>
      <c r="I532" s="31" t="str">
        <f t="array" ref="I532">IFERROR(XLOOKUP(D532,'MASTER ITEM LIST'!A:A,'MASTER ITEM LIST'!D:D), "")</f>
        <v>GAL</v>
      </c>
      <c r="J532" s="34">
        <v>615.0</v>
      </c>
      <c r="K532" s="69">
        <f t="shared" si="1"/>
        <v>615</v>
      </c>
      <c r="L532" s="70" t="s">
        <v>42</v>
      </c>
    </row>
    <row r="533" ht="22.5" customHeight="1">
      <c r="A533" s="29">
        <v>46177.0</v>
      </c>
      <c r="B533" s="31" t="s">
        <v>1362</v>
      </c>
      <c r="C533" s="32" t="s">
        <v>93</v>
      </c>
      <c r="D533" s="71" t="s">
        <v>53</v>
      </c>
      <c r="E533" s="66" t="str">
        <f t="array" ref="E533">IF(D533="", "", XLOOKUP(D533, 'MASTER ITEM LIST'!A:A, 'MASTER ITEM LIST'!B:B, ""))</f>
        <v>NAX 108 CERAMIC 2K CLEAR WITH HARDENER 1L</v>
      </c>
      <c r="F533" s="31"/>
      <c r="G533" s="67" t="s">
        <v>34</v>
      </c>
      <c r="H533" s="31">
        <v>2.0</v>
      </c>
      <c r="I533" s="31" t="str">
        <f t="array" ref="I533">IFERROR(XLOOKUP(D533,'MASTER ITEM LIST'!A:A,'MASTER ITEM LIST'!D:D), "")</f>
        <v>LITER</v>
      </c>
      <c r="J533" s="34">
        <v>680.0</v>
      </c>
      <c r="K533" s="69">
        <f t="shared" si="1"/>
        <v>1360</v>
      </c>
      <c r="L533" s="70" t="s">
        <v>42</v>
      </c>
    </row>
    <row r="534" ht="22.5" customHeight="1">
      <c r="A534" s="29">
        <v>46177.0</v>
      </c>
      <c r="B534" s="31" t="s">
        <v>1362</v>
      </c>
      <c r="C534" s="32" t="s">
        <v>93</v>
      </c>
      <c r="D534" s="23" t="s">
        <v>167</v>
      </c>
      <c r="E534" s="66" t="str">
        <f t="array" ref="E534">IF(D534="", "", XLOOKUP(D534, 'MASTER ITEM LIST'!A:A, 'MASTER ITEM LIST'!B:B, ""))</f>
        <v>NAX QDU MIX 1L</v>
      </c>
      <c r="F534" s="31"/>
      <c r="G534" s="67" t="s">
        <v>34</v>
      </c>
      <c r="H534" s="31">
        <v>0.25</v>
      </c>
      <c r="I534" s="31" t="str">
        <f t="array" ref="I534">IFERROR(XLOOKUP(D534,'MASTER ITEM LIST'!A:A,'MASTER ITEM LIST'!D:D), "")</f>
        <v>LITER</v>
      </c>
      <c r="J534" s="34">
        <v>1800.0</v>
      </c>
      <c r="K534" s="69">
        <f t="shared" si="1"/>
        <v>450</v>
      </c>
      <c r="L534" s="70" t="s">
        <v>42</v>
      </c>
    </row>
    <row r="535" ht="22.5" customHeight="1">
      <c r="A535" s="29">
        <v>46177.0</v>
      </c>
      <c r="B535" s="31" t="s">
        <v>1362</v>
      </c>
      <c r="C535" s="32" t="s">
        <v>93</v>
      </c>
      <c r="D535" s="23" t="s">
        <v>220</v>
      </c>
      <c r="E535" s="66" t="str">
        <f t="array" ref="E535">IF(D535="", "", XLOOKUP(D535, 'MASTER ITEM LIST'!A:A, 'MASTER ITEM LIST'!B:B, ""))</f>
        <v>PREMILA MIXING 1L</v>
      </c>
      <c r="F535" s="31" t="s">
        <v>1363</v>
      </c>
      <c r="G535" s="67" t="s">
        <v>34</v>
      </c>
      <c r="H535" s="31">
        <v>0.5</v>
      </c>
      <c r="I535" s="31" t="str">
        <f t="array" ref="I535">IFERROR(XLOOKUP(D535,'MASTER ITEM LIST'!A:A,'MASTER ITEM LIST'!D:D), "")</f>
        <v>LITER</v>
      </c>
      <c r="J535" s="34">
        <v>2600.0</v>
      </c>
      <c r="K535" s="69">
        <f t="shared" si="1"/>
        <v>1300</v>
      </c>
      <c r="L535" s="70" t="s">
        <v>42</v>
      </c>
    </row>
    <row r="536" ht="22.5" customHeight="1">
      <c r="A536" s="29">
        <v>46177.0</v>
      </c>
      <c r="B536" s="31" t="s">
        <v>1364</v>
      </c>
      <c r="C536" s="32" t="s">
        <v>1365</v>
      </c>
      <c r="D536" s="71" t="s">
        <v>1170</v>
      </c>
      <c r="E536" s="66" t="str">
        <f t="array" ref="E536">IF(D536="", "", XLOOKUP(D536, 'MASTER ITEM LIST'!A:A, 'MASTER ITEM LIST'!B:B, ""))</f>
        <v>RAIN OR SHINE-TEMPTATION 4L</v>
      </c>
      <c r="F536" s="31"/>
      <c r="G536" s="67" t="s">
        <v>34</v>
      </c>
      <c r="H536" s="31">
        <v>0.125</v>
      </c>
      <c r="I536" s="31" t="str">
        <f t="array" ref="I536">IFERROR(XLOOKUP(D536,'MASTER ITEM LIST'!A:A,'MASTER ITEM LIST'!D:D), "")</f>
        <v>GALON</v>
      </c>
      <c r="J536" s="34">
        <v>3800.0</v>
      </c>
      <c r="K536" s="69">
        <f t="shared" si="1"/>
        <v>475</v>
      </c>
      <c r="L536" s="70" t="s">
        <v>42</v>
      </c>
    </row>
    <row r="537" ht="22.5" customHeight="1">
      <c r="A537" s="74">
        <v>46177.0</v>
      </c>
      <c r="B537" s="31" t="s">
        <v>1364</v>
      </c>
      <c r="C537" s="32" t="s">
        <v>1365</v>
      </c>
      <c r="D537" s="71" t="s">
        <v>40</v>
      </c>
      <c r="E537" s="66" t="str">
        <f t="array" ref="E537">IF(D537="", "", XLOOKUP(D537, 'MASTER ITEM LIST'!A:A, 'MASTER ITEM LIST'!B:B, ""))</f>
        <v>2B PAINT BRUSH #2</v>
      </c>
      <c r="F537" s="31"/>
      <c r="G537" s="67" t="s">
        <v>34</v>
      </c>
      <c r="H537" s="31">
        <v>1.0</v>
      </c>
      <c r="I537" s="31" t="str">
        <f t="array" ref="I537">IFERROR(XLOOKUP(D537,'MASTER ITEM LIST'!A:A,'MASTER ITEM LIST'!D:D), "")</f>
        <v>PC/S</v>
      </c>
      <c r="J537" s="34">
        <v>50.0</v>
      </c>
      <c r="K537" s="69">
        <f t="shared" si="1"/>
        <v>50</v>
      </c>
      <c r="L537" s="70" t="s">
        <v>42</v>
      </c>
    </row>
    <row r="538" ht="22.5" customHeight="1">
      <c r="A538" s="29">
        <v>46178.0</v>
      </c>
      <c r="B538" s="31" t="s">
        <v>1366</v>
      </c>
      <c r="C538" s="32" t="s">
        <v>93</v>
      </c>
      <c r="D538" s="71" t="s">
        <v>90</v>
      </c>
      <c r="E538" s="66" t="str">
        <f t="array" ref="E538">IF(D538="", "", XLOOKUP(D538, 'MASTER ITEM LIST'!A:A, 'MASTER ITEM LIST'!B:B, ""))</f>
        <v>NAX SOB757 HIGH GRADE URETHANE THINNER 4L</v>
      </c>
      <c r="F538" s="31"/>
      <c r="G538" s="67" t="s">
        <v>34</v>
      </c>
      <c r="H538" s="31">
        <v>1.0</v>
      </c>
      <c r="I538" s="31" t="str">
        <f t="array" ref="I538">IFERROR(XLOOKUP(D538,'MASTER ITEM LIST'!A:A,'MASTER ITEM LIST'!D:D), "")</f>
        <v>GAL</v>
      </c>
      <c r="J538" s="34">
        <v>750.0</v>
      </c>
      <c r="K538" s="69">
        <f t="shared" si="1"/>
        <v>750</v>
      </c>
      <c r="L538" s="70" t="s">
        <v>42</v>
      </c>
    </row>
    <row r="539" ht="22.5" customHeight="1">
      <c r="A539" s="29">
        <v>46178.0</v>
      </c>
      <c r="B539" s="31" t="s">
        <v>1367</v>
      </c>
      <c r="C539" s="32" t="s">
        <v>1368</v>
      </c>
      <c r="D539" s="71" t="s">
        <v>111</v>
      </c>
      <c r="E539" s="66" t="str">
        <f t="array" ref="E539">IF(D539="", "", XLOOKUP(D539, 'MASTER ITEM LIST'!A:A, 'MASTER ITEM LIST'!B:B, ""))</f>
        <v>RAIN OR SHINE- HAPPY DAYS 4L</v>
      </c>
      <c r="F539" s="31"/>
      <c r="G539" s="67" t="s">
        <v>34</v>
      </c>
      <c r="H539" s="31">
        <v>2.0</v>
      </c>
      <c r="I539" s="31" t="str">
        <f t="array" ref="I539">IFERROR(XLOOKUP(D539,'MASTER ITEM LIST'!A:A,'MASTER ITEM LIST'!D:D), "")</f>
        <v>GALON</v>
      </c>
      <c r="J539" s="34">
        <v>930.0</v>
      </c>
      <c r="K539" s="69">
        <f t="shared" si="1"/>
        <v>1860</v>
      </c>
      <c r="L539" s="70" t="s">
        <v>42</v>
      </c>
    </row>
    <row r="540" ht="22.5" customHeight="1">
      <c r="A540" s="29">
        <v>46178.0</v>
      </c>
      <c r="B540" s="31" t="s">
        <v>1367</v>
      </c>
      <c r="C540" s="32" t="s">
        <v>1368</v>
      </c>
      <c r="D540" s="71" t="s">
        <v>319</v>
      </c>
      <c r="E540" s="66" t="str">
        <f t="array" ref="E540">IF(D540="", "", XLOOKUP(D540, 'MASTER ITEM LIST'!A:A, 'MASTER ITEM LIST'!B:B, ""))</f>
        <v>RAIN OR SHINE IVORY 4L</v>
      </c>
      <c r="F540" s="31"/>
      <c r="G540" s="67" t="s">
        <v>34</v>
      </c>
      <c r="H540" s="31">
        <v>1.0</v>
      </c>
      <c r="I540" s="31" t="str">
        <f t="array" ref="I540">IFERROR(XLOOKUP(D540,'MASTER ITEM LIST'!A:A,'MASTER ITEM LIST'!D:D), "")</f>
        <v>GALON</v>
      </c>
      <c r="J540" s="34">
        <v>930.0</v>
      </c>
      <c r="K540" s="69">
        <f t="shared" si="1"/>
        <v>930</v>
      </c>
      <c r="L540" s="70" t="s">
        <v>42</v>
      </c>
    </row>
    <row r="541" ht="22.5" customHeight="1">
      <c r="A541" s="29">
        <v>46178.0</v>
      </c>
      <c r="B541" s="31" t="s">
        <v>1367</v>
      </c>
      <c r="C541" s="32" t="s">
        <v>1368</v>
      </c>
      <c r="D541" s="71" t="s">
        <v>112</v>
      </c>
      <c r="E541" s="66" t="str">
        <f t="array" ref="E541">IF(D541="", "", XLOOKUP(D541, 'MASTER ITEM LIST'!A:A, 'MASTER ITEM LIST'!B:B, ""))</f>
        <v>2B PAINT ROLLER #7</v>
      </c>
      <c r="F541" s="31"/>
      <c r="G541" s="67" t="s">
        <v>34</v>
      </c>
      <c r="H541" s="31">
        <v>3.0</v>
      </c>
      <c r="I541" s="31" t="str">
        <f t="array" ref="I541">IFERROR(XLOOKUP(D541,'MASTER ITEM LIST'!A:A,'MASTER ITEM LIST'!D:D), "")</f>
        <v>PC/S</v>
      </c>
      <c r="J541" s="34">
        <v>85.0</v>
      </c>
      <c r="K541" s="69">
        <f t="shared" si="1"/>
        <v>255</v>
      </c>
      <c r="L541" s="70" t="s">
        <v>42</v>
      </c>
    </row>
    <row r="542" ht="22.5" customHeight="1">
      <c r="A542" s="29">
        <v>46179.0</v>
      </c>
      <c r="B542" s="31" t="s">
        <v>1369</v>
      </c>
      <c r="C542" s="32" t="s">
        <v>588</v>
      </c>
      <c r="D542" s="71" t="s">
        <v>90</v>
      </c>
      <c r="E542" s="66" t="str">
        <f t="array" ref="E542">IF(D542="", "", XLOOKUP(D542, 'MASTER ITEM LIST'!A:A, 'MASTER ITEM LIST'!B:B, ""))</f>
        <v>NAX SOB757 HIGH GRADE URETHANE THINNER 4L</v>
      </c>
      <c r="F542" s="31"/>
      <c r="G542" s="67" t="s">
        <v>34</v>
      </c>
      <c r="H542" s="31">
        <v>1.0</v>
      </c>
      <c r="I542" s="31" t="str">
        <f t="array" ref="I542">IFERROR(XLOOKUP(D542,'MASTER ITEM LIST'!A:A,'MASTER ITEM LIST'!D:D), "")</f>
        <v>GAL</v>
      </c>
      <c r="J542" s="34">
        <v>740.0</v>
      </c>
      <c r="K542" s="69">
        <f t="shared" si="1"/>
        <v>740</v>
      </c>
      <c r="L542" s="70" t="s">
        <v>42</v>
      </c>
    </row>
    <row r="543" ht="22.5" customHeight="1">
      <c r="A543" s="29">
        <v>46179.0</v>
      </c>
      <c r="B543" s="31" t="s">
        <v>1369</v>
      </c>
      <c r="C543" s="32" t="s">
        <v>588</v>
      </c>
      <c r="D543" s="71" t="s">
        <v>233</v>
      </c>
      <c r="E543" s="66" t="str">
        <f t="array" ref="E543">IF(D543="", "", XLOOKUP(D543, 'MASTER ITEM LIST'!A:A, 'MASTER ITEM LIST'!B:B, ""))</f>
        <v>NAX ALPHA HB SPRAY FILLER GRAY WITH HARDENER 1L</v>
      </c>
      <c r="F543" s="31"/>
      <c r="G543" s="67" t="s">
        <v>34</v>
      </c>
      <c r="H543" s="31">
        <v>1.0</v>
      </c>
      <c r="I543" s="31" t="str">
        <f t="array" ref="I543">IFERROR(XLOOKUP(D543,'MASTER ITEM LIST'!A:A,'MASTER ITEM LIST'!D:D), "")</f>
        <v>LITER</v>
      </c>
      <c r="J543" s="34">
        <v>590.0</v>
      </c>
      <c r="K543" s="69">
        <f t="shared" si="1"/>
        <v>590</v>
      </c>
      <c r="L543" s="70" t="s">
        <v>42</v>
      </c>
    </row>
    <row r="544" ht="22.5" customHeight="1">
      <c r="A544" s="29">
        <v>46179.0</v>
      </c>
      <c r="B544" s="31" t="s">
        <v>1369</v>
      </c>
      <c r="C544" s="32" t="s">
        <v>588</v>
      </c>
      <c r="D544" s="71" t="s">
        <v>160</v>
      </c>
      <c r="E544" s="66" t="str">
        <f t="array" ref="E544">IF(D544="", "", XLOOKUP(D544, 'MASTER ITEM LIST'!A:A, 'MASTER ITEM LIST'!B:B, ""))</f>
        <v>NAX 141 NAX MAXIMA URETHANE FD CLEAR WITH HARDENER 1L</v>
      </c>
      <c r="F544" s="31"/>
      <c r="G544" s="67" t="s">
        <v>34</v>
      </c>
      <c r="H544" s="31">
        <v>1.0</v>
      </c>
      <c r="I544" s="31" t="str">
        <f t="array" ref="I544">IFERROR(XLOOKUP(D544,'MASTER ITEM LIST'!A:A,'MASTER ITEM LIST'!D:D), "")</f>
        <v>LITER</v>
      </c>
      <c r="J544" s="34">
        <v>580.0</v>
      </c>
      <c r="K544" s="69">
        <f t="shared" si="1"/>
        <v>580</v>
      </c>
      <c r="L544" s="70" t="s">
        <v>42</v>
      </c>
    </row>
    <row r="545" ht="22.5" customHeight="1">
      <c r="A545" s="29">
        <v>46179.0</v>
      </c>
      <c r="B545" s="31" t="s">
        <v>1369</v>
      </c>
      <c r="C545" s="32" t="s">
        <v>588</v>
      </c>
      <c r="D545" s="23" t="s">
        <v>167</v>
      </c>
      <c r="E545" s="66" t="str">
        <f t="array" ref="E545">IF(D545="", "", XLOOKUP(D545, 'MASTER ITEM LIST'!A:A, 'MASTER ITEM LIST'!B:B, ""))</f>
        <v>NAX QDU MIX 1L</v>
      </c>
      <c r="F545" s="31"/>
      <c r="G545" s="67" t="s">
        <v>34</v>
      </c>
      <c r="H545" s="31">
        <v>2.0</v>
      </c>
      <c r="I545" s="31" t="str">
        <f t="array" ref="I545">IFERROR(XLOOKUP(D545,'MASTER ITEM LIST'!A:A,'MASTER ITEM LIST'!D:D), "")</f>
        <v>LITER</v>
      </c>
      <c r="J545" s="34">
        <v>650.0</v>
      </c>
      <c r="K545" s="69">
        <f t="shared" si="1"/>
        <v>1300</v>
      </c>
      <c r="L545" s="70" t="s">
        <v>42</v>
      </c>
    </row>
    <row r="546" ht="22.5" customHeight="1">
      <c r="A546" s="29">
        <v>46181.0</v>
      </c>
      <c r="B546" s="31" t="s">
        <v>1370</v>
      </c>
      <c r="C546" s="32" t="s">
        <v>1371</v>
      </c>
      <c r="D546" s="71" t="s">
        <v>227</v>
      </c>
      <c r="E546" s="66" t="str">
        <f t="array" ref="E546">IF(D546="", "", XLOOKUP(D546, 'MASTER ITEM LIST'!A:A, 'MASTER ITEM LIST'!B:B, ""))</f>
        <v>SUPRA GLOSS (TURTLE WAX)</v>
      </c>
      <c r="F546" s="31"/>
      <c r="G546" s="67" t="s">
        <v>34</v>
      </c>
      <c r="H546" s="31">
        <v>1.0</v>
      </c>
      <c r="I546" s="31" t="str">
        <f t="array" ref="I546">IFERROR(XLOOKUP(D546,'MASTER ITEM LIST'!A:A,'MASTER ITEM LIST'!D:D), "")</f>
        <v>LTR</v>
      </c>
      <c r="J546" s="34">
        <v>950.0</v>
      </c>
      <c r="K546" s="69">
        <f t="shared" si="1"/>
        <v>950</v>
      </c>
      <c r="L546" s="70" t="s">
        <v>42</v>
      </c>
    </row>
    <row r="547" ht="22.5" customHeight="1">
      <c r="A547" s="29">
        <v>46183.0</v>
      </c>
      <c r="B547" s="31" t="s">
        <v>1372</v>
      </c>
      <c r="C547" s="32" t="s">
        <v>1373</v>
      </c>
      <c r="D547" s="71" t="s">
        <v>1073</v>
      </c>
      <c r="E547" s="66" t="str">
        <f t="array" ref="E547">IF(D547="", "", XLOOKUP(D547, 'MASTER ITEM LIST'!A:A, 'MASTER ITEM LIST'!B:B, ""))</f>
        <v>BOYSEN QDE WHITE GAL</v>
      </c>
      <c r="F547" s="31"/>
      <c r="G547" s="67" t="s">
        <v>34</v>
      </c>
      <c r="H547" s="31">
        <v>0.25</v>
      </c>
      <c r="I547" s="31" t="str">
        <f t="array" ref="I547">IFERROR(XLOOKUP(D547,'MASTER ITEM LIST'!A:A,'MASTER ITEM LIST'!D:D), "")</f>
        <v>GAL</v>
      </c>
      <c r="J547" s="34">
        <v>1120.0</v>
      </c>
      <c r="K547" s="69">
        <f t="shared" si="1"/>
        <v>280</v>
      </c>
      <c r="L547" s="70" t="s">
        <v>42</v>
      </c>
    </row>
    <row r="548" ht="22.5" customHeight="1">
      <c r="A548" s="29">
        <v>46183.0</v>
      </c>
      <c r="B548" s="31" t="s">
        <v>1372</v>
      </c>
      <c r="C548" s="32" t="s">
        <v>1373</v>
      </c>
      <c r="D548" s="71" t="s">
        <v>81</v>
      </c>
      <c r="E548" s="66" t="str">
        <f t="array" ref="E548">IF(D548="", "", XLOOKUP(D548, 'MASTER ITEM LIST'!A:A, 'MASTER ITEM LIST'!B:B, ""))</f>
        <v>NIPPON SEALERMAX 5170 4L</v>
      </c>
      <c r="F548" s="31"/>
      <c r="G548" s="67" t="s">
        <v>34</v>
      </c>
      <c r="H548" s="31">
        <v>0.125</v>
      </c>
      <c r="I548" s="31" t="str">
        <f t="array" ref="I548">IFERROR(XLOOKUP(D548,'MASTER ITEM LIST'!A:A,'MASTER ITEM LIST'!D:D), "")</f>
        <v>GAL/S</v>
      </c>
      <c r="J548" s="34">
        <v>1200.0</v>
      </c>
      <c r="K548" s="69">
        <f t="shared" si="1"/>
        <v>150</v>
      </c>
      <c r="L548" s="70" t="s">
        <v>42</v>
      </c>
    </row>
    <row r="549" ht="22.5" customHeight="1">
      <c r="A549" s="29">
        <v>46183.0</v>
      </c>
      <c r="B549" s="31" t="s">
        <v>1372</v>
      </c>
      <c r="C549" s="32" t="s">
        <v>1373</v>
      </c>
      <c r="D549" s="71" t="s">
        <v>127</v>
      </c>
      <c r="E549" s="66" t="str">
        <f t="array" ref="E549">IF(D549="", "", XLOOKUP(D549, 'MASTER ITEM LIST'!A:A, 'MASTER ITEM LIST'!B:B, ""))</f>
        <v>JAPAN PUTTY KNIFE #4</v>
      </c>
      <c r="F549" s="31"/>
      <c r="G549" s="67" t="s">
        <v>34</v>
      </c>
      <c r="H549" s="31">
        <v>1.0</v>
      </c>
      <c r="I549" s="31" t="str">
        <f t="array" ref="I549">IFERROR(XLOOKUP(D549,'MASTER ITEM LIST'!A:A,'MASTER ITEM LIST'!D:D), "")</f>
        <v>PC/S</v>
      </c>
      <c r="J549" s="34">
        <v>60.0</v>
      </c>
      <c r="K549" s="69">
        <f t="shared" si="1"/>
        <v>60</v>
      </c>
      <c r="L549" s="70" t="s">
        <v>42</v>
      </c>
    </row>
    <row r="550" ht="22.5" customHeight="1">
      <c r="A550" s="29">
        <v>46143.0</v>
      </c>
      <c r="B550" s="31"/>
      <c r="C550" s="32" t="s">
        <v>711</v>
      </c>
      <c r="D550" s="71" t="s">
        <v>779</v>
      </c>
      <c r="E550" s="66" t="str">
        <f t="array" ref="E550">IF(D550="", "", XLOOKUP(D550, 'MASTER ITEM LIST'!A:A, 'MASTER ITEM LIST'!B:B, ""))</f>
        <v>METALGUARD EPOXY PRIMER GRAY WITH HARDENER 4L</v>
      </c>
      <c r="F550" s="31"/>
      <c r="G550" s="67" t="s">
        <v>34</v>
      </c>
      <c r="H550" s="31">
        <v>1.0</v>
      </c>
      <c r="I550" s="31" t="str">
        <f t="array" ref="I550">IFERROR(XLOOKUP(D550,'MASTER ITEM LIST'!A:A,'MASTER ITEM LIST'!D:D), "")</f>
        <v>GAL</v>
      </c>
      <c r="J550" s="34">
        <v>1200.0</v>
      </c>
      <c r="K550" s="69">
        <f t="shared" si="1"/>
        <v>1200</v>
      </c>
      <c r="L550" s="70" t="s">
        <v>42</v>
      </c>
    </row>
    <row r="551" ht="22.5" customHeight="1">
      <c r="A551" s="29">
        <v>46143.0</v>
      </c>
      <c r="B551" s="31"/>
      <c r="C551" s="32" t="s">
        <v>711</v>
      </c>
      <c r="D551" s="71" t="s">
        <v>390</v>
      </c>
      <c r="E551" s="66" t="str">
        <f t="array" ref="E551">IF(D551="", "", XLOOKUP(D551, 'MASTER ITEM LIST'!A:A, 'MASTER ITEM LIST'!B:B, ""))</f>
        <v>NIPPON EPOXY THINNER 4L</v>
      </c>
      <c r="F551" s="31"/>
      <c r="G551" s="67" t="s">
        <v>34</v>
      </c>
      <c r="H551" s="31">
        <v>1.0</v>
      </c>
      <c r="I551" s="31" t="str">
        <f t="array" ref="I551">IFERROR(XLOOKUP(D551,'MASTER ITEM LIST'!A:A,'MASTER ITEM LIST'!D:D), "")</f>
        <v>GAL/S</v>
      </c>
      <c r="J551" s="34">
        <v>700.0</v>
      </c>
      <c r="K551" s="69">
        <f t="shared" si="1"/>
        <v>700</v>
      </c>
      <c r="L551" s="70" t="s">
        <v>42</v>
      </c>
    </row>
    <row r="552" ht="22.5" customHeight="1">
      <c r="A552" s="29">
        <v>46143.0</v>
      </c>
      <c r="B552" s="31"/>
      <c r="C552" s="32" t="s">
        <v>711</v>
      </c>
      <c r="D552" s="71" t="s">
        <v>112</v>
      </c>
      <c r="E552" s="66" t="str">
        <f t="array" ref="E552">IF(D552="", "", XLOOKUP(D552, 'MASTER ITEM LIST'!A:A, 'MASTER ITEM LIST'!B:B, ""))</f>
        <v>2B PAINT ROLLER #7</v>
      </c>
      <c r="F552" s="31"/>
      <c r="G552" s="67" t="s">
        <v>34</v>
      </c>
      <c r="H552" s="31">
        <v>2.0</v>
      </c>
      <c r="I552" s="31" t="str">
        <f t="array" ref="I552">IFERROR(XLOOKUP(D552,'MASTER ITEM LIST'!A:A,'MASTER ITEM LIST'!D:D), "")</f>
        <v>PC/S</v>
      </c>
      <c r="J552" s="34">
        <v>65.0</v>
      </c>
      <c r="K552" s="69">
        <f t="shared" si="1"/>
        <v>130</v>
      </c>
      <c r="L552" s="70" t="s">
        <v>42</v>
      </c>
    </row>
    <row r="553" ht="22.5" customHeight="1">
      <c r="A553" s="29">
        <v>46143.0</v>
      </c>
      <c r="B553" s="31"/>
      <c r="C553" s="32" t="s">
        <v>711</v>
      </c>
      <c r="D553" s="71" t="s">
        <v>40</v>
      </c>
      <c r="E553" s="66" t="str">
        <f t="array" ref="E553">IF(D553="", "", XLOOKUP(D553, 'MASTER ITEM LIST'!A:A, 'MASTER ITEM LIST'!B:B, ""))</f>
        <v>2B PAINT BRUSH #2</v>
      </c>
      <c r="F553" s="31"/>
      <c r="G553" s="67" t="s">
        <v>34</v>
      </c>
      <c r="H553" s="31">
        <v>1.0</v>
      </c>
      <c r="I553" s="31" t="str">
        <f t="array" ref="I553">IFERROR(XLOOKUP(D553,'MASTER ITEM LIST'!A:A,'MASTER ITEM LIST'!D:D), "")</f>
        <v>PC/S</v>
      </c>
      <c r="J553" s="34">
        <v>50.0</v>
      </c>
      <c r="K553" s="69">
        <f t="shared" si="1"/>
        <v>50</v>
      </c>
      <c r="L553" s="70" t="s">
        <v>42</v>
      </c>
    </row>
    <row r="554" ht="22.5" customHeight="1">
      <c r="A554" s="29">
        <v>46143.0</v>
      </c>
      <c r="B554" s="31"/>
      <c r="C554" s="32" t="s">
        <v>711</v>
      </c>
      <c r="D554" s="71" t="s">
        <v>155</v>
      </c>
      <c r="E554" s="66" t="str">
        <f t="array" ref="E554">IF(D554="", "", XLOOKUP(D554, 'MASTER ITEM LIST'!A:A, 'MASTER ITEM LIST'!B:B, ""))</f>
        <v>TIMEOUT BODY FILLER WITH HARDENER 4L</v>
      </c>
      <c r="F554" s="31"/>
      <c r="G554" s="67" t="s">
        <v>34</v>
      </c>
      <c r="H554" s="31">
        <v>1.0</v>
      </c>
      <c r="I554" s="31" t="str">
        <f t="array" ref="I554">IFERROR(XLOOKUP(D554,'MASTER ITEM LIST'!A:A,'MASTER ITEM LIST'!D:D), "")</f>
        <v>GAL</v>
      </c>
      <c r="J554" s="34">
        <v>700.0</v>
      </c>
      <c r="K554" s="69">
        <f t="shared" si="1"/>
        <v>700</v>
      </c>
      <c r="L554" s="70" t="s">
        <v>42</v>
      </c>
    </row>
    <row r="555" ht="22.5" customHeight="1">
      <c r="A555" s="29">
        <v>46143.0</v>
      </c>
      <c r="B555" s="31"/>
      <c r="C555" s="32" t="s">
        <v>711</v>
      </c>
      <c r="D555" s="71" t="s">
        <v>384</v>
      </c>
      <c r="E555" s="66" t="str">
        <f t="array" ref="E555">IF(D555="", "", XLOOKUP(D555, 'MASTER ITEM LIST'!A:A, 'MASTER ITEM LIST'!B:B, ""))</f>
        <v>PAINT BRUSH 2B #1</v>
      </c>
      <c r="F555" s="31"/>
      <c r="G555" s="67" t="s">
        <v>34</v>
      </c>
      <c r="H555" s="31">
        <v>1.0</v>
      </c>
      <c r="I555" s="31" t="str">
        <f t="array" ref="I555">IFERROR(XLOOKUP(D555,'MASTER ITEM LIST'!A:A,'MASTER ITEM LIST'!D:D), "")</f>
        <v>PC/S</v>
      </c>
      <c r="J555" s="34">
        <v>25.0</v>
      </c>
      <c r="K555" s="69">
        <f t="shared" si="1"/>
        <v>25</v>
      </c>
      <c r="L555" s="70" t="s">
        <v>42</v>
      </c>
    </row>
    <row r="556" ht="22.5" customHeight="1">
      <c r="A556" s="29">
        <v>46143.0</v>
      </c>
      <c r="B556" s="31"/>
      <c r="C556" s="32" t="s">
        <v>711</v>
      </c>
      <c r="D556" s="71" t="s">
        <v>246</v>
      </c>
      <c r="E556" s="66" t="str">
        <f t="array" ref="E556">IF(D556="", "", XLOOKUP(D556, 'MASTER ITEM LIST'!A:A, 'MASTER ITEM LIST'!B:B, ""))</f>
        <v>DOMINO BODY FILTER WITH HARDENER 4L</v>
      </c>
      <c r="F556" s="31"/>
      <c r="G556" s="67" t="s">
        <v>34</v>
      </c>
      <c r="H556" s="31">
        <v>1.0</v>
      </c>
      <c r="I556" s="31" t="str">
        <f t="array" ref="I556">IFERROR(XLOOKUP(D556,'MASTER ITEM LIST'!A:A,'MASTER ITEM LIST'!D:D), "")</f>
        <v>GAL</v>
      </c>
      <c r="J556" s="34">
        <v>590.0</v>
      </c>
      <c r="K556" s="69">
        <f t="shared" si="1"/>
        <v>590</v>
      </c>
      <c r="L556" s="70" t="s">
        <v>42</v>
      </c>
    </row>
    <row r="557" ht="22.5" customHeight="1">
      <c r="A557" s="29">
        <v>46143.0</v>
      </c>
      <c r="B557" s="31"/>
      <c r="C557" s="32" t="s">
        <v>711</v>
      </c>
      <c r="D557" s="71" t="s">
        <v>782</v>
      </c>
      <c r="E557" s="66" t="str">
        <f t="array" ref="E557">IF(D557="", "", XLOOKUP(D557, 'MASTER ITEM LIST'!A:A, 'MASTER ITEM LIST'!B:B, ""))</f>
        <v>METALGUARD EPOXY PRIMER RED OXIDE WITH HARDENER 1L</v>
      </c>
      <c r="F557" s="31"/>
      <c r="G557" s="67" t="s">
        <v>34</v>
      </c>
      <c r="H557" s="31">
        <v>0.25</v>
      </c>
      <c r="I557" s="31" t="str">
        <f t="array" ref="I557">IFERROR(XLOOKUP(D557,'MASTER ITEM LIST'!A:A,'MASTER ITEM LIST'!D:D), "")</f>
        <v>LITER</v>
      </c>
      <c r="J557" s="34">
        <v>280.0</v>
      </c>
      <c r="K557" s="69">
        <f t="shared" si="1"/>
        <v>70</v>
      </c>
      <c r="L557" s="70" t="s">
        <v>42</v>
      </c>
    </row>
    <row r="558" ht="22.5" customHeight="1">
      <c r="A558" s="29">
        <v>46144.0</v>
      </c>
      <c r="B558" s="31"/>
      <c r="C558" s="32" t="s">
        <v>711</v>
      </c>
      <c r="D558" s="23" t="s">
        <v>167</v>
      </c>
      <c r="E558" s="66" t="str">
        <f t="array" ref="E558">IF(D558="", "", XLOOKUP(D558, 'MASTER ITEM LIST'!A:A, 'MASTER ITEM LIST'!B:B, ""))</f>
        <v>NAX QDU MIX 1L</v>
      </c>
      <c r="F558" s="31"/>
      <c r="G558" s="67" t="s">
        <v>34</v>
      </c>
      <c r="H558" s="31">
        <v>0.25</v>
      </c>
      <c r="I558" s="31" t="str">
        <f t="array" ref="I558">IFERROR(XLOOKUP(D558,'MASTER ITEM LIST'!A:A,'MASTER ITEM LIST'!D:D), "")</f>
        <v>LITER</v>
      </c>
      <c r="J558" s="34">
        <v>1400.0</v>
      </c>
      <c r="K558" s="69">
        <f t="shared" si="1"/>
        <v>350</v>
      </c>
      <c r="L558" s="70" t="s">
        <v>42</v>
      </c>
    </row>
    <row r="559" ht="22.5" customHeight="1">
      <c r="A559" s="29">
        <v>46144.0</v>
      </c>
      <c r="B559" s="31"/>
      <c r="C559" s="32" t="s">
        <v>711</v>
      </c>
      <c r="D559" s="23" t="s">
        <v>167</v>
      </c>
      <c r="E559" s="66" t="str">
        <f t="array" ref="E559">IF(D559="", "", XLOOKUP(D559, 'MASTER ITEM LIST'!A:A, 'MASTER ITEM LIST'!B:B, ""))</f>
        <v>NAX QDU MIX 1L</v>
      </c>
      <c r="F559" s="31"/>
      <c r="G559" s="67" t="s">
        <v>34</v>
      </c>
      <c r="H559" s="31">
        <v>0.25</v>
      </c>
      <c r="I559" s="31" t="str">
        <f t="array" ref="I559">IFERROR(XLOOKUP(D559,'MASTER ITEM LIST'!A:A,'MASTER ITEM LIST'!D:D), "")</f>
        <v>LITER</v>
      </c>
      <c r="J559" s="34">
        <v>1000.0</v>
      </c>
      <c r="K559" s="69">
        <f t="shared" si="1"/>
        <v>250</v>
      </c>
      <c r="L559" s="70" t="s">
        <v>42</v>
      </c>
    </row>
    <row r="560" ht="22.5" customHeight="1">
      <c r="A560" s="29">
        <v>46144.0</v>
      </c>
      <c r="B560" s="31"/>
      <c r="C560" s="32" t="s">
        <v>711</v>
      </c>
      <c r="D560" s="71" t="s">
        <v>136</v>
      </c>
      <c r="E560" s="66" t="str">
        <f t="array" ref="E560">IF(D560="", "", XLOOKUP(D560, 'MASTER ITEM LIST'!A:A, 'MASTER ITEM LIST'!B:B, ""))</f>
        <v>CROCO MASKING TAPE 3/4 18MM (1X64)</v>
      </c>
      <c r="F560" s="31"/>
      <c r="G560" s="67" t="s">
        <v>34</v>
      </c>
      <c r="H560" s="31">
        <v>2.0</v>
      </c>
      <c r="I560" s="31" t="str">
        <f t="array" ref="I560">IFERROR(XLOOKUP(D560,'MASTER ITEM LIST'!A:A,'MASTER ITEM LIST'!D:D), "")</f>
        <v>PC/S</v>
      </c>
      <c r="J560" s="34">
        <v>35.0</v>
      </c>
      <c r="K560" s="69">
        <f t="shared" si="1"/>
        <v>70</v>
      </c>
      <c r="L560" s="70" t="s">
        <v>42</v>
      </c>
    </row>
    <row r="561" ht="22.5" customHeight="1">
      <c r="A561" s="29">
        <v>46144.0</v>
      </c>
      <c r="B561" s="31"/>
      <c r="C561" s="32" t="s">
        <v>711</v>
      </c>
      <c r="D561" s="71" t="s">
        <v>63</v>
      </c>
      <c r="E561" s="66" t="str">
        <f t="array" ref="E561">IF(D561="", "", XLOOKUP(D561, 'MASTER ITEM LIST'!A:A, 'MASTER ITEM LIST'!B:B, ""))</f>
        <v>OLD NEWS</v>
      </c>
      <c r="F561" s="31"/>
      <c r="G561" s="67" t="s">
        <v>34</v>
      </c>
      <c r="H561" s="31">
        <v>0.5</v>
      </c>
      <c r="I561" s="31" t="str">
        <f t="array" ref="I561">IFERROR(XLOOKUP(D561,'MASTER ITEM LIST'!A:A,'MASTER ITEM LIST'!D:D), "")</f>
        <v>KG</v>
      </c>
      <c r="J561" s="34">
        <v>100.0</v>
      </c>
      <c r="K561" s="69">
        <f t="shared" si="1"/>
        <v>50</v>
      </c>
      <c r="L561" s="70" t="s">
        <v>42</v>
      </c>
    </row>
    <row r="562" ht="22.5" customHeight="1">
      <c r="A562" s="29">
        <v>46144.0</v>
      </c>
      <c r="B562" s="31"/>
      <c r="C562" s="32" t="s">
        <v>711</v>
      </c>
      <c r="D562" s="71" t="s">
        <v>53</v>
      </c>
      <c r="E562" s="66" t="str">
        <f t="array" ref="E562">IF(D562="", "", XLOOKUP(D562, 'MASTER ITEM LIST'!A:A, 'MASTER ITEM LIST'!B:B, ""))</f>
        <v>NAX 108 CERAMIC 2K CLEAR WITH HARDENER 1L</v>
      </c>
      <c r="F562" s="31"/>
      <c r="G562" s="67" t="s">
        <v>34</v>
      </c>
      <c r="H562" s="31">
        <v>0.5</v>
      </c>
      <c r="I562" s="31" t="str">
        <f t="array" ref="I562">IFERROR(XLOOKUP(D562,'MASTER ITEM LIST'!A:A,'MASTER ITEM LIST'!D:D), "")</f>
        <v>LITER</v>
      </c>
      <c r="J562" s="34">
        <v>700.0</v>
      </c>
      <c r="K562" s="69">
        <f t="shared" si="1"/>
        <v>350</v>
      </c>
      <c r="L562" s="70" t="s">
        <v>42</v>
      </c>
    </row>
    <row r="563" ht="22.5" customHeight="1">
      <c r="A563" s="29">
        <v>46144.0</v>
      </c>
      <c r="B563" s="31"/>
      <c r="C563" s="32" t="s">
        <v>711</v>
      </c>
      <c r="D563" s="23" t="s">
        <v>220</v>
      </c>
      <c r="E563" s="66" t="str">
        <f t="array" ref="E563">IF(D563="", "", XLOOKUP(D563, 'MASTER ITEM LIST'!A:A, 'MASTER ITEM LIST'!B:B, ""))</f>
        <v>PREMILA MIXING 1L</v>
      </c>
      <c r="F563" s="31" t="s">
        <v>1374</v>
      </c>
      <c r="G563" s="67" t="s">
        <v>34</v>
      </c>
      <c r="H563" s="31">
        <v>0.25</v>
      </c>
      <c r="I563" s="31" t="str">
        <f t="array" ref="I563">IFERROR(XLOOKUP(D563,'MASTER ITEM LIST'!A:A,'MASTER ITEM LIST'!D:D), "")</f>
        <v>LITER</v>
      </c>
      <c r="J563" s="34">
        <v>2600.0</v>
      </c>
      <c r="K563" s="69">
        <f t="shared" si="1"/>
        <v>650</v>
      </c>
      <c r="L563" s="70" t="s">
        <v>42</v>
      </c>
    </row>
    <row r="564" ht="22.5" customHeight="1">
      <c r="A564" s="29">
        <v>46144.0</v>
      </c>
      <c r="B564" s="31"/>
      <c r="C564" s="32" t="s">
        <v>711</v>
      </c>
      <c r="D564" s="23" t="s">
        <v>220</v>
      </c>
      <c r="E564" s="66" t="str">
        <f t="array" ref="E564">IF(D564="", "", XLOOKUP(D564, 'MASTER ITEM LIST'!A:A, 'MASTER ITEM LIST'!B:B, ""))</f>
        <v>PREMILA MIXING 1L</v>
      </c>
      <c r="F564" s="31" t="s">
        <v>1375</v>
      </c>
      <c r="G564" s="67" t="s">
        <v>1376</v>
      </c>
      <c r="H564" s="31">
        <v>0.25</v>
      </c>
      <c r="I564" s="31" t="str">
        <f t="array" ref="I564">IFERROR(XLOOKUP(D564,'MASTER ITEM LIST'!A:A,'MASTER ITEM LIST'!D:D), "")</f>
        <v>LITER</v>
      </c>
      <c r="J564" s="34">
        <v>2600.0</v>
      </c>
      <c r="K564" s="69">
        <f t="shared" si="1"/>
        <v>650</v>
      </c>
      <c r="L564" s="70" t="s">
        <v>42</v>
      </c>
    </row>
    <row r="565" ht="22.5" customHeight="1">
      <c r="A565" s="29">
        <v>46144.0</v>
      </c>
      <c r="B565" s="31"/>
      <c r="C565" s="32" t="s">
        <v>711</v>
      </c>
      <c r="D565" s="71" t="s">
        <v>53</v>
      </c>
      <c r="E565" s="66" t="str">
        <f t="array" ref="E565">IF(D565="", "", XLOOKUP(D565, 'MASTER ITEM LIST'!A:A, 'MASTER ITEM LIST'!B:B, ""))</f>
        <v>NAX 108 CERAMIC 2K CLEAR WITH HARDENER 1L</v>
      </c>
      <c r="F565" s="31"/>
      <c r="G565" s="67" t="s">
        <v>1376</v>
      </c>
      <c r="H565" s="31">
        <v>2.0</v>
      </c>
      <c r="I565" s="31" t="str">
        <f t="array" ref="I565">IFERROR(XLOOKUP(D565,'MASTER ITEM LIST'!A:A,'MASTER ITEM LIST'!D:D), "")</f>
        <v>LITER</v>
      </c>
      <c r="J565" s="34">
        <v>680.0</v>
      </c>
      <c r="K565" s="69">
        <f t="shared" si="1"/>
        <v>1360</v>
      </c>
      <c r="L565" s="70" t="s">
        <v>42</v>
      </c>
    </row>
    <row r="566" ht="22.5" customHeight="1">
      <c r="A566" s="29">
        <v>46144.0</v>
      </c>
      <c r="B566" s="31"/>
      <c r="C566" s="32" t="s">
        <v>711</v>
      </c>
      <c r="D566" s="71" t="s">
        <v>233</v>
      </c>
      <c r="E566" s="66" t="str">
        <f t="array" ref="E566">IF(D566="", "", XLOOKUP(D566, 'MASTER ITEM LIST'!A:A, 'MASTER ITEM LIST'!B:B, ""))</f>
        <v>NAX ALPHA HB SPRAY FILLER GRAY WITH HARDENER 1L</v>
      </c>
      <c r="F566" s="31"/>
      <c r="G566" s="67" t="s">
        <v>1376</v>
      </c>
      <c r="H566" s="31">
        <v>0.5</v>
      </c>
      <c r="I566" s="31" t="str">
        <f t="array" ref="I566">IFERROR(XLOOKUP(D566,'MASTER ITEM LIST'!A:A,'MASTER ITEM LIST'!D:D), "")</f>
        <v>LITER</v>
      </c>
      <c r="J566" s="34">
        <v>720.0</v>
      </c>
      <c r="K566" s="69">
        <f t="shared" si="1"/>
        <v>360</v>
      </c>
      <c r="L566" s="70" t="s">
        <v>42</v>
      </c>
    </row>
    <row r="567" ht="22.5" customHeight="1">
      <c r="A567" s="29">
        <v>46144.0</v>
      </c>
      <c r="B567" s="31"/>
      <c r="C567" s="32" t="s">
        <v>711</v>
      </c>
      <c r="D567" s="23" t="s">
        <v>167</v>
      </c>
      <c r="E567" s="66" t="str">
        <f t="array" ref="E567">IF(D567="", "", XLOOKUP(D567, 'MASTER ITEM LIST'!A:A, 'MASTER ITEM LIST'!B:B, ""))</f>
        <v>NAX QDU MIX 1L</v>
      </c>
      <c r="F567" s="31"/>
      <c r="G567" s="67" t="s">
        <v>1376</v>
      </c>
      <c r="H567" s="31">
        <v>0.25</v>
      </c>
      <c r="I567" s="31" t="str">
        <f t="array" ref="I567">IFERROR(XLOOKUP(D567,'MASTER ITEM LIST'!A:A,'MASTER ITEM LIST'!D:D), "")</f>
        <v>LITER</v>
      </c>
      <c r="J567" s="34">
        <v>1000.0</v>
      </c>
      <c r="K567" s="69">
        <f t="shared" si="1"/>
        <v>250</v>
      </c>
      <c r="L567" s="70" t="s">
        <v>42</v>
      </c>
    </row>
    <row r="568" ht="22.5" customHeight="1">
      <c r="A568" s="29">
        <v>46145.0</v>
      </c>
      <c r="B568" s="31"/>
      <c r="C568" s="32" t="s">
        <v>711</v>
      </c>
      <c r="D568" s="71" t="s">
        <v>776</v>
      </c>
      <c r="E568" s="66" t="str">
        <f t="array" ref="E568">IF(D568="", "", XLOOKUP(D568, 'MASTER ITEM LIST'!A:A, 'MASTER ITEM LIST'!B:B, ""))</f>
        <v>METALGUARD EPOXY PRIMER BLACK WITH HARDENER 4L</v>
      </c>
      <c r="F568" s="31"/>
      <c r="G568" s="67" t="s">
        <v>34</v>
      </c>
      <c r="H568" s="31">
        <v>1.0</v>
      </c>
      <c r="I568" s="31" t="str">
        <f t="array" ref="I568">IFERROR(XLOOKUP(D568,'MASTER ITEM LIST'!A:A,'MASTER ITEM LIST'!D:D), "")</f>
        <v>GAL</v>
      </c>
      <c r="J568" s="34">
        <v>700.0</v>
      </c>
      <c r="K568" s="69">
        <f t="shared" si="1"/>
        <v>700</v>
      </c>
      <c r="L568" s="70" t="s">
        <v>42</v>
      </c>
    </row>
    <row r="569" ht="22.5" customHeight="1">
      <c r="A569" s="29">
        <v>46145.0</v>
      </c>
      <c r="B569" s="31"/>
      <c r="C569" s="32" t="s">
        <v>711</v>
      </c>
      <c r="D569" s="71" t="s">
        <v>155</v>
      </c>
      <c r="E569" s="66" t="str">
        <f t="array" ref="E569">IF(D569="", "", XLOOKUP(D569, 'MASTER ITEM LIST'!A:A, 'MASTER ITEM LIST'!B:B, ""))</f>
        <v>TIMEOUT BODY FILLER WITH HARDENER 4L</v>
      </c>
      <c r="F569" s="31"/>
      <c r="G569" s="67" t="s">
        <v>34</v>
      </c>
      <c r="H569" s="31">
        <v>1.0</v>
      </c>
      <c r="I569" s="31" t="str">
        <f t="array" ref="I569">IFERROR(XLOOKUP(D569,'MASTER ITEM LIST'!A:A,'MASTER ITEM LIST'!D:D), "")</f>
        <v>GAL</v>
      </c>
      <c r="J569" s="34">
        <v>700.0</v>
      </c>
      <c r="K569" s="69">
        <f t="shared" si="1"/>
        <v>700</v>
      </c>
      <c r="L569" s="70" t="s">
        <v>42</v>
      </c>
    </row>
    <row r="570" ht="22.5" customHeight="1">
      <c r="A570" s="29">
        <v>46145.0</v>
      </c>
      <c r="B570" s="31"/>
      <c r="C570" s="32" t="s">
        <v>711</v>
      </c>
      <c r="D570" s="23" t="s">
        <v>220</v>
      </c>
      <c r="E570" s="66" t="str">
        <f t="array" ref="E570">IF(D570="", "", XLOOKUP(D570, 'MASTER ITEM LIST'!A:A, 'MASTER ITEM LIST'!B:B, ""))</f>
        <v>PREMILA MIXING 1L</v>
      </c>
      <c r="F570" s="31"/>
      <c r="G570" s="67" t="s">
        <v>34</v>
      </c>
      <c r="H570" s="31">
        <v>0.125</v>
      </c>
      <c r="I570" s="31" t="str">
        <f t="array" ref="I570">IFERROR(XLOOKUP(D570,'MASTER ITEM LIST'!A:A,'MASTER ITEM LIST'!D:D), "")</f>
        <v>LITER</v>
      </c>
      <c r="J570" s="34">
        <v>2000.0</v>
      </c>
      <c r="K570" s="69">
        <f t="shared" si="1"/>
        <v>250</v>
      </c>
      <c r="L570" s="70" t="s">
        <v>42</v>
      </c>
    </row>
    <row r="571" ht="22.5" customHeight="1">
      <c r="A571" s="29">
        <v>46145.0</v>
      </c>
      <c r="B571" s="31"/>
      <c r="C571" s="32" t="s">
        <v>711</v>
      </c>
      <c r="D571" s="23" t="s">
        <v>220</v>
      </c>
      <c r="E571" s="66" t="str">
        <f t="array" ref="E571">IF(D571="", "", XLOOKUP(D571, 'MASTER ITEM LIST'!A:A, 'MASTER ITEM LIST'!B:B, ""))</f>
        <v>PREMILA MIXING 1L</v>
      </c>
      <c r="F571" s="31"/>
      <c r="G571" s="67" t="s">
        <v>34</v>
      </c>
      <c r="H571" s="31">
        <v>0.125</v>
      </c>
      <c r="I571" s="31" t="str">
        <f t="array" ref="I571">IFERROR(XLOOKUP(D571,'MASTER ITEM LIST'!A:A,'MASTER ITEM LIST'!D:D), "")</f>
        <v>LITER</v>
      </c>
      <c r="J571" s="34">
        <v>2800.0</v>
      </c>
      <c r="K571" s="69">
        <f t="shared" si="1"/>
        <v>350</v>
      </c>
      <c r="L571" s="70" t="s">
        <v>42</v>
      </c>
    </row>
    <row r="572" ht="22.5" customHeight="1">
      <c r="A572" s="29">
        <v>46191.0</v>
      </c>
      <c r="B572" s="31" t="s">
        <v>1377</v>
      </c>
      <c r="C572" s="32" t="s">
        <v>1210</v>
      </c>
      <c r="D572" s="23" t="s">
        <v>220</v>
      </c>
      <c r="E572" s="66" t="str">
        <f t="array" ref="E572">IF(D572="", "", XLOOKUP(D572, 'MASTER ITEM LIST'!A:A, 'MASTER ITEM LIST'!B:B, ""))</f>
        <v>PREMILA MIXING 1L</v>
      </c>
      <c r="F572" s="31"/>
      <c r="G572" s="67" t="s">
        <v>1211</v>
      </c>
      <c r="H572" s="31">
        <v>0.5</v>
      </c>
      <c r="I572" s="31" t="str">
        <f t="array" ref="I572">IFERROR(XLOOKUP(D572,'MASTER ITEM LIST'!A:A,'MASTER ITEM LIST'!D:D), "")</f>
        <v>LITER</v>
      </c>
      <c r="J572" s="34">
        <v>2700.0</v>
      </c>
      <c r="K572" s="69">
        <f t="shared" si="1"/>
        <v>1350</v>
      </c>
      <c r="L572" s="70" t="s">
        <v>1212</v>
      </c>
    </row>
    <row r="573" ht="22.5" customHeight="1">
      <c r="A573" s="29">
        <v>46191.0</v>
      </c>
      <c r="B573" s="31" t="s">
        <v>1377</v>
      </c>
      <c r="C573" s="32" t="s">
        <v>1210</v>
      </c>
      <c r="D573" s="71" t="s">
        <v>674</v>
      </c>
      <c r="E573" s="66" t="str">
        <f t="array" ref="E573">IF(D573="", "", XLOOKUP(D573, 'MASTER ITEM LIST'!A:A, 'MASTER ITEM LIST'!B:B, ""))</f>
        <v>DOMINO BODY FILTER WITH HARDENER 1L</v>
      </c>
      <c r="F573" s="31"/>
      <c r="G573" s="67" t="s">
        <v>1211</v>
      </c>
      <c r="H573" s="31">
        <v>1.0</v>
      </c>
      <c r="I573" s="31" t="str">
        <f t="array" ref="I573">IFERROR(XLOOKUP(D573,'MASTER ITEM LIST'!A:A,'MASTER ITEM LIST'!D:D), "")</f>
        <v>LITER</v>
      </c>
      <c r="J573" s="34">
        <v>215.0</v>
      </c>
      <c r="K573" s="69">
        <f t="shared" si="1"/>
        <v>215</v>
      </c>
      <c r="L573" s="70" t="s">
        <v>1212</v>
      </c>
    </row>
    <row r="574" ht="22.5" customHeight="1">
      <c r="A574" s="29">
        <v>46191.0</v>
      </c>
      <c r="B574" s="31" t="s">
        <v>1377</v>
      </c>
      <c r="C574" s="32" t="s">
        <v>1210</v>
      </c>
      <c r="D574" s="71" t="s">
        <v>233</v>
      </c>
      <c r="E574" s="66" t="str">
        <f t="array" ref="E574">IF(D574="", "", XLOOKUP(D574, 'MASTER ITEM LIST'!A:A, 'MASTER ITEM LIST'!B:B, ""))</f>
        <v>NAX ALPHA HB SPRAY FILLER GRAY WITH HARDENER 1L</v>
      </c>
      <c r="F574" s="31"/>
      <c r="G574" s="67" t="s">
        <v>1211</v>
      </c>
      <c r="H574" s="31">
        <v>0.5</v>
      </c>
      <c r="I574" s="31" t="str">
        <f t="array" ref="I574">IFERROR(XLOOKUP(D574,'MASTER ITEM LIST'!A:A,'MASTER ITEM LIST'!D:D), "")</f>
        <v>LITER</v>
      </c>
      <c r="J574" s="34">
        <v>600.0</v>
      </c>
      <c r="K574" s="69">
        <f t="shared" si="1"/>
        <v>300</v>
      </c>
      <c r="L574" s="70" t="s">
        <v>1212</v>
      </c>
    </row>
    <row r="575" ht="22.5" customHeight="1">
      <c r="A575" s="29">
        <v>46191.0</v>
      </c>
      <c r="B575" s="31" t="s">
        <v>1377</v>
      </c>
      <c r="C575" s="32" t="s">
        <v>1210</v>
      </c>
      <c r="D575" s="71" t="s">
        <v>53</v>
      </c>
      <c r="E575" s="66" t="str">
        <f t="array" ref="E575">IF(D575="", "", XLOOKUP(D575, 'MASTER ITEM LIST'!A:A, 'MASTER ITEM LIST'!B:B, ""))</f>
        <v>NAX 108 CERAMIC 2K CLEAR WITH HARDENER 1L</v>
      </c>
      <c r="F575" s="31"/>
      <c r="G575" s="67" t="s">
        <v>1211</v>
      </c>
      <c r="H575" s="31">
        <v>0.5</v>
      </c>
      <c r="I575" s="31" t="str">
        <f t="array" ref="I575">IFERROR(XLOOKUP(D575,'MASTER ITEM LIST'!A:A,'MASTER ITEM LIST'!D:D), "")</f>
        <v>LITER</v>
      </c>
      <c r="J575" s="34">
        <v>720.0</v>
      </c>
      <c r="K575" s="69">
        <f t="shared" si="1"/>
        <v>360</v>
      </c>
      <c r="L575" s="70" t="s">
        <v>1212</v>
      </c>
    </row>
    <row r="576" ht="22.5" customHeight="1">
      <c r="A576" s="29">
        <v>46191.0</v>
      </c>
      <c r="B576" s="31" t="s">
        <v>1377</v>
      </c>
      <c r="C576" s="32" t="s">
        <v>1210</v>
      </c>
      <c r="D576" s="71" t="s">
        <v>136</v>
      </c>
      <c r="E576" s="66" t="str">
        <f t="array" ref="E576">IF(D576="", "", XLOOKUP(D576, 'MASTER ITEM LIST'!A:A, 'MASTER ITEM LIST'!B:B, ""))</f>
        <v>CROCO MASKING TAPE 3/4 18MM (1X64)</v>
      </c>
      <c r="F576" s="31"/>
      <c r="G576" s="67" t="s">
        <v>1211</v>
      </c>
      <c r="H576" s="31">
        <v>3.0</v>
      </c>
      <c r="I576" s="31" t="str">
        <f t="array" ref="I576">IFERROR(XLOOKUP(D576,'MASTER ITEM LIST'!A:A,'MASTER ITEM LIST'!D:D), "")</f>
        <v>PC/S</v>
      </c>
      <c r="J576" s="34">
        <v>35.0</v>
      </c>
      <c r="K576" s="69">
        <f t="shared" si="1"/>
        <v>105</v>
      </c>
      <c r="L576" s="70" t="s">
        <v>1212</v>
      </c>
    </row>
    <row r="577" ht="22.5" customHeight="1">
      <c r="A577" s="29">
        <v>46191.0</v>
      </c>
      <c r="B577" s="31" t="s">
        <v>1377</v>
      </c>
      <c r="C577" s="32" t="s">
        <v>1210</v>
      </c>
      <c r="D577" s="71" t="s">
        <v>117</v>
      </c>
      <c r="E577" s="66" t="str">
        <f t="array" ref="E577">IF(D577="", "", XLOOKUP(D577, 'MASTER ITEM LIST'!A:A, 'MASTER ITEM LIST'!B:B, ""))</f>
        <v>EAGLE SANDPAPER #120</v>
      </c>
      <c r="F577" s="31"/>
      <c r="G577" s="67" t="s">
        <v>1211</v>
      </c>
      <c r="H577" s="31">
        <v>3.0</v>
      </c>
      <c r="I577" s="31" t="str">
        <f t="array" ref="I577">IFERROR(XLOOKUP(D577,'MASTER ITEM LIST'!A:A,'MASTER ITEM LIST'!D:D), "")</f>
        <v>PC/S</v>
      </c>
      <c r="J577" s="34">
        <v>25.0</v>
      </c>
      <c r="K577" s="69">
        <f t="shared" si="1"/>
        <v>75</v>
      </c>
      <c r="L577" s="70" t="s">
        <v>1212</v>
      </c>
    </row>
    <row r="578" ht="22.5" customHeight="1">
      <c r="A578" s="29">
        <v>46191.0</v>
      </c>
      <c r="B578" s="31" t="s">
        <v>1377</v>
      </c>
      <c r="C578" s="32" t="s">
        <v>1210</v>
      </c>
      <c r="D578" s="71" t="s">
        <v>548</v>
      </c>
      <c r="E578" s="66" t="str">
        <f t="array" ref="E578">IF(D578="", "", XLOOKUP(D578, 'MASTER ITEM LIST'!A:A, 'MASTER ITEM LIST'!B:B, ""))</f>
        <v>EAGLE SANDPAPER #240</v>
      </c>
      <c r="F578" s="31"/>
      <c r="G578" s="67" t="s">
        <v>1211</v>
      </c>
      <c r="H578" s="31">
        <v>3.0</v>
      </c>
      <c r="I578" s="31" t="str">
        <f t="array" ref="I578">IFERROR(XLOOKUP(D578,'MASTER ITEM LIST'!A:A,'MASTER ITEM LIST'!D:D), "")</f>
        <v>PC/S</v>
      </c>
      <c r="J578" s="34">
        <v>25.0</v>
      </c>
      <c r="K578" s="69">
        <f t="shared" si="1"/>
        <v>75</v>
      </c>
      <c r="L578" s="70" t="s">
        <v>1212</v>
      </c>
    </row>
    <row r="579" ht="22.5" customHeight="1">
      <c r="A579" s="29">
        <v>46191.0</v>
      </c>
      <c r="B579" s="31" t="s">
        <v>1377</v>
      </c>
      <c r="C579" s="32" t="s">
        <v>1210</v>
      </c>
      <c r="D579" s="71" t="s">
        <v>426</v>
      </c>
      <c r="E579" s="66" t="str">
        <f t="array" ref="E579">IF(D579="", "", XLOOKUP(D579, 'MASTER ITEM LIST'!A:A, 'MASTER ITEM LIST'!B:B, ""))</f>
        <v>EAGLE SAND PAPER #320</v>
      </c>
      <c r="F579" s="31"/>
      <c r="G579" s="67" t="s">
        <v>1211</v>
      </c>
      <c r="H579" s="31">
        <v>3.0</v>
      </c>
      <c r="I579" s="31" t="str">
        <f t="array" ref="I579">IFERROR(XLOOKUP(D579,'MASTER ITEM LIST'!A:A,'MASTER ITEM LIST'!D:D), "")</f>
        <v>PCS</v>
      </c>
      <c r="J579" s="34">
        <v>25.0</v>
      </c>
      <c r="K579" s="69">
        <f t="shared" si="1"/>
        <v>75</v>
      </c>
      <c r="L579" s="70" t="s">
        <v>1212</v>
      </c>
    </row>
    <row r="580" ht="22.5" customHeight="1">
      <c r="A580" s="29">
        <v>46191.0</v>
      </c>
      <c r="B580" s="31" t="s">
        <v>1377</v>
      </c>
      <c r="C580" s="32" t="s">
        <v>1210</v>
      </c>
      <c r="D580" s="71" t="s">
        <v>63</v>
      </c>
      <c r="E580" s="66" t="str">
        <f t="array" ref="E580">IF(D580="", "", XLOOKUP(D580, 'MASTER ITEM LIST'!A:A, 'MASTER ITEM LIST'!B:B, ""))</f>
        <v>OLD NEWS</v>
      </c>
      <c r="F580" s="31"/>
      <c r="G580" s="67" t="s">
        <v>1211</v>
      </c>
      <c r="H580" s="31">
        <v>1.0</v>
      </c>
      <c r="I580" s="31" t="str">
        <f t="array" ref="I580">IFERROR(XLOOKUP(D580,'MASTER ITEM LIST'!A:A,'MASTER ITEM LIST'!D:D), "")</f>
        <v>KG</v>
      </c>
      <c r="J580" s="34">
        <v>100.0</v>
      </c>
      <c r="K580" s="69">
        <f t="shared" si="1"/>
        <v>100</v>
      </c>
      <c r="L580" s="70" t="s">
        <v>1212</v>
      </c>
    </row>
    <row r="581" ht="22.5" customHeight="1">
      <c r="A581" s="29">
        <v>46147.0</v>
      </c>
      <c r="B581" s="31"/>
      <c r="C581" s="32" t="s">
        <v>711</v>
      </c>
      <c r="D581" s="71" t="s">
        <v>134</v>
      </c>
      <c r="E581" s="66" t="str">
        <f t="array" ref="E581">IF(D581="", "", XLOOKUP(D581, 'MASTER ITEM LIST'!A:A, 'MASTER ITEM LIST'!B:B, ""))</f>
        <v>QDE MIXING NP, DAVIES, BOYSEN, ALPHA CHROMA, WC 1L</v>
      </c>
      <c r="F581" s="31"/>
      <c r="G581" s="67" t="s">
        <v>34</v>
      </c>
      <c r="H581" s="31">
        <v>1.0</v>
      </c>
      <c r="I581" s="31" t="str">
        <f t="array" ref="I581">IFERROR(XLOOKUP(D581,'MASTER ITEM LIST'!A:A,'MASTER ITEM LIST'!D:D), "")</f>
        <v>LITER</v>
      </c>
      <c r="J581" s="34">
        <v>230.0</v>
      </c>
      <c r="K581" s="69">
        <f t="shared" si="1"/>
        <v>230</v>
      </c>
      <c r="L581" s="70" t="s">
        <v>42</v>
      </c>
    </row>
    <row r="582" ht="22.5" customHeight="1">
      <c r="A582" s="29">
        <v>46148.0</v>
      </c>
      <c r="B582" s="31"/>
      <c r="C582" s="32" t="s">
        <v>711</v>
      </c>
      <c r="D582" s="71" t="s">
        <v>90</v>
      </c>
      <c r="E582" s="66" t="str">
        <f t="array" ref="E582">IF(D582="", "", XLOOKUP(D582, 'MASTER ITEM LIST'!A:A, 'MASTER ITEM LIST'!B:B, ""))</f>
        <v>NAX SOB757 HIGH GRADE URETHANE THINNER 4L</v>
      </c>
      <c r="F582" s="31"/>
      <c r="G582" s="67" t="s">
        <v>34</v>
      </c>
      <c r="H582" s="31">
        <v>1.0</v>
      </c>
      <c r="I582" s="31" t="str">
        <f t="array" ref="I582">IFERROR(XLOOKUP(D582,'MASTER ITEM LIST'!A:A,'MASTER ITEM LIST'!D:D), "")</f>
        <v>GAL</v>
      </c>
      <c r="J582" s="34">
        <v>650.0</v>
      </c>
      <c r="K582" s="69">
        <f t="shared" si="1"/>
        <v>650</v>
      </c>
      <c r="L582" s="70" t="s">
        <v>42</v>
      </c>
    </row>
    <row r="583" ht="22.5" customHeight="1">
      <c r="A583" s="29">
        <v>46148.0</v>
      </c>
      <c r="B583" s="31"/>
      <c r="C583" s="32" t="s">
        <v>711</v>
      </c>
      <c r="D583" s="71" t="s">
        <v>674</v>
      </c>
      <c r="E583" s="66" t="str">
        <f t="array" ref="E583">IF(D583="", "", XLOOKUP(D583, 'MASTER ITEM LIST'!A:A, 'MASTER ITEM LIST'!B:B, ""))</f>
        <v>DOMINO BODY FILTER WITH HARDENER 1L</v>
      </c>
      <c r="F583" s="31"/>
      <c r="G583" s="67" t="s">
        <v>34</v>
      </c>
      <c r="H583" s="31">
        <v>1.0</v>
      </c>
      <c r="I583" s="31" t="str">
        <f t="array" ref="I583">IFERROR(XLOOKUP(D583,'MASTER ITEM LIST'!A:A,'MASTER ITEM LIST'!D:D), "")</f>
        <v>LITER</v>
      </c>
      <c r="J583" s="34">
        <v>185.0</v>
      </c>
      <c r="K583" s="69">
        <f t="shared" si="1"/>
        <v>185</v>
      </c>
      <c r="L583" s="70" t="s">
        <v>42</v>
      </c>
    </row>
    <row r="584" ht="22.5" customHeight="1">
      <c r="A584" s="29">
        <v>46148.0</v>
      </c>
      <c r="B584" s="31"/>
      <c r="C584" s="32" t="s">
        <v>711</v>
      </c>
      <c r="D584" s="71" t="s">
        <v>117</v>
      </c>
      <c r="E584" s="66" t="str">
        <f t="array" ref="E584">IF(D584="", "", XLOOKUP(D584, 'MASTER ITEM LIST'!A:A, 'MASTER ITEM LIST'!B:B, ""))</f>
        <v>EAGLE SANDPAPER #120</v>
      </c>
      <c r="F584" s="31"/>
      <c r="G584" s="67" t="s">
        <v>34</v>
      </c>
      <c r="H584" s="31">
        <v>5.0</v>
      </c>
      <c r="I584" s="31" t="str">
        <f t="array" ref="I584">IFERROR(XLOOKUP(D584,'MASTER ITEM LIST'!A:A,'MASTER ITEM LIST'!D:D), "")</f>
        <v>PC/S</v>
      </c>
      <c r="J584" s="34">
        <v>25.0</v>
      </c>
      <c r="K584" s="69">
        <f t="shared" si="1"/>
        <v>125</v>
      </c>
      <c r="L584" s="70" t="s">
        <v>42</v>
      </c>
    </row>
    <row r="585" ht="22.5" customHeight="1">
      <c r="A585" s="29">
        <v>46148.0</v>
      </c>
      <c r="B585" s="31"/>
      <c r="C585" s="32" t="s">
        <v>711</v>
      </c>
      <c r="D585" s="71" t="s">
        <v>548</v>
      </c>
      <c r="E585" s="66" t="str">
        <f t="array" ref="E585">IF(D585="", "", XLOOKUP(D585, 'MASTER ITEM LIST'!A:A, 'MASTER ITEM LIST'!B:B, ""))</f>
        <v>EAGLE SANDPAPER #240</v>
      </c>
      <c r="F585" s="31"/>
      <c r="G585" s="67" t="s">
        <v>34</v>
      </c>
      <c r="H585" s="31">
        <v>5.0</v>
      </c>
      <c r="I585" s="31" t="str">
        <f t="array" ref="I585">IFERROR(XLOOKUP(D585,'MASTER ITEM LIST'!A:A,'MASTER ITEM LIST'!D:D), "")</f>
        <v>PC/S</v>
      </c>
      <c r="J585" s="34">
        <v>25.0</v>
      </c>
      <c r="K585" s="69">
        <f t="shared" si="1"/>
        <v>125</v>
      </c>
      <c r="L585" s="70" t="s">
        <v>42</v>
      </c>
    </row>
    <row r="586" ht="22.5" customHeight="1">
      <c r="A586" s="29">
        <v>46148.0</v>
      </c>
      <c r="B586" s="31"/>
      <c r="C586" s="32" t="s">
        <v>711</v>
      </c>
      <c r="D586" s="71" t="s">
        <v>326</v>
      </c>
      <c r="E586" s="66" t="str">
        <f t="array" ref="E586">IF(D586="", "", XLOOKUP(D586, 'MASTER ITEM LIST'!A:A, 'MASTER ITEM LIST'!B:B, ""))</f>
        <v>EAGLE SANDPAPER #1200</v>
      </c>
      <c r="F586" s="31"/>
      <c r="G586" s="67" t="s">
        <v>34</v>
      </c>
      <c r="H586" s="31">
        <v>5.0</v>
      </c>
      <c r="I586" s="31" t="str">
        <f t="array" ref="I586">IFERROR(XLOOKUP(D586,'MASTER ITEM LIST'!A:A,'MASTER ITEM LIST'!D:D), "")</f>
        <v>PC/S</v>
      </c>
      <c r="J586" s="34">
        <v>25.0</v>
      </c>
      <c r="K586" s="69">
        <f t="shared" si="1"/>
        <v>125</v>
      </c>
      <c r="L586" s="70" t="s">
        <v>42</v>
      </c>
    </row>
    <row r="587" ht="22.5" customHeight="1">
      <c r="A587" s="29">
        <v>46148.0</v>
      </c>
      <c r="B587" s="31"/>
      <c r="C587" s="32" t="s">
        <v>711</v>
      </c>
      <c r="D587" s="71" t="s">
        <v>198</v>
      </c>
      <c r="E587" s="66" t="str">
        <f t="array" ref="E587">IF(D587="", "", XLOOKUP(D587, 'MASTER ITEM LIST'!A:A, 'MASTER ITEM LIST'!B:B, ""))</f>
        <v>EAGLE SANDPAPER #2000</v>
      </c>
      <c r="F587" s="31"/>
      <c r="G587" s="67" t="s">
        <v>34</v>
      </c>
      <c r="H587" s="31">
        <v>1.0</v>
      </c>
      <c r="I587" s="31" t="str">
        <f t="array" ref="I587">IFERROR(XLOOKUP(D587,'MASTER ITEM LIST'!A:A,'MASTER ITEM LIST'!D:D), "")</f>
        <v>PC/S</v>
      </c>
      <c r="J587" s="34">
        <v>35.0</v>
      </c>
      <c r="K587" s="69">
        <f t="shared" si="1"/>
        <v>35</v>
      </c>
      <c r="L587" s="70" t="s">
        <v>42</v>
      </c>
    </row>
    <row r="588" ht="22.5" customHeight="1">
      <c r="A588" s="29">
        <v>46148.0</v>
      </c>
      <c r="B588" s="31"/>
      <c r="C588" s="32" t="s">
        <v>711</v>
      </c>
      <c r="D588" s="71" t="s">
        <v>340</v>
      </c>
      <c r="E588" s="66" t="str">
        <f t="array" ref="E588">IF(D588="", "", XLOOKUP(D588, 'MASTER ITEM LIST'!A:A, 'MASTER ITEM LIST'!B:B, ""))</f>
        <v>PYLOX LAZER GLOSS BLACK 48</v>
      </c>
      <c r="F588" s="31"/>
      <c r="G588" s="67" t="s">
        <v>34</v>
      </c>
      <c r="H588" s="31">
        <v>1.0</v>
      </c>
      <c r="I588" s="31" t="str">
        <f t="array" ref="I588">IFERROR(XLOOKUP(D588,'MASTER ITEM LIST'!A:A,'MASTER ITEM LIST'!D:D), "")</f>
        <v>CAN</v>
      </c>
      <c r="J588" s="34">
        <v>140.0</v>
      </c>
      <c r="K588" s="69">
        <f t="shared" si="1"/>
        <v>140</v>
      </c>
      <c r="L588" s="70" t="s">
        <v>42</v>
      </c>
    </row>
    <row r="589" ht="22.5" customHeight="1">
      <c r="A589" s="29">
        <v>46148.0</v>
      </c>
      <c r="B589" s="31"/>
      <c r="C589" s="32" t="s">
        <v>711</v>
      </c>
      <c r="D589" s="71" t="s">
        <v>198</v>
      </c>
      <c r="E589" s="66" t="str">
        <f t="array" ref="E589">IF(D589="", "", XLOOKUP(D589, 'MASTER ITEM LIST'!A:A, 'MASTER ITEM LIST'!B:B, ""))</f>
        <v>EAGLE SANDPAPER #2000</v>
      </c>
      <c r="F589" s="31"/>
      <c r="G589" s="67" t="s">
        <v>34</v>
      </c>
      <c r="H589" s="31">
        <v>1.0</v>
      </c>
      <c r="I589" s="31" t="str">
        <f t="array" ref="I589">IFERROR(XLOOKUP(D589,'MASTER ITEM LIST'!A:A,'MASTER ITEM LIST'!D:D), "")</f>
        <v>PC/S</v>
      </c>
      <c r="J589" s="34">
        <v>35.0</v>
      </c>
      <c r="K589" s="69">
        <f t="shared" si="1"/>
        <v>35</v>
      </c>
      <c r="L589" s="70" t="s">
        <v>42</v>
      </c>
    </row>
    <row r="590" ht="22.5" customHeight="1">
      <c r="A590" s="29">
        <v>46148.0</v>
      </c>
      <c r="B590" s="31"/>
      <c r="C590" s="32" t="s">
        <v>711</v>
      </c>
      <c r="D590" s="23" t="s">
        <v>167</v>
      </c>
      <c r="E590" s="66" t="str">
        <f t="array" ref="E590">IF(D590="", "", XLOOKUP(D590, 'MASTER ITEM LIST'!A:A, 'MASTER ITEM LIST'!B:B, ""))</f>
        <v>NAX QDU MIX 1L</v>
      </c>
      <c r="F590" s="31"/>
      <c r="G590" s="67" t="s">
        <v>34</v>
      </c>
      <c r="H590" s="31">
        <v>0.5</v>
      </c>
      <c r="I590" s="31" t="str">
        <f t="array" ref="I590">IFERROR(XLOOKUP(D590,'MASTER ITEM LIST'!A:A,'MASTER ITEM LIST'!D:D), "")</f>
        <v>LITER</v>
      </c>
      <c r="J590" s="34">
        <v>1600.0</v>
      </c>
      <c r="K590" s="69">
        <f t="shared" si="1"/>
        <v>800</v>
      </c>
      <c r="L590" s="70" t="s">
        <v>42</v>
      </c>
    </row>
    <row r="591" ht="22.5" customHeight="1">
      <c r="A591" s="29">
        <v>46148.0</v>
      </c>
      <c r="B591" s="31"/>
      <c r="C591" s="32" t="s">
        <v>711</v>
      </c>
      <c r="D591" s="71" t="s">
        <v>117</v>
      </c>
      <c r="E591" s="66" t="str">
        <f t="array" ref="E591">IF(D591="", "", XLOOKUP(D591, 'MASTER ITEM LIST'!A:A, 'MASTER ITEM LIST'!B:B, ""))</f>
        <v>EAGLE SANDPAPER #120</v>
      </c>
      <c r="F591" s="31"/>
      <c r="G591" s="67" t="s">
        <v>34</v>
      </c>
      <c r="H591" s="31">
        <v>20.0</v>
      </c>
      <c r="I591" s="31" t="str">
        <f t="array" ref="I591">IFERROR(XLOOKUP(D591,'MASTER ITEM LIST'!A:A,'MASTER ITEM LIST'!D:D), "")</f>
        <v>PC/S</v>
      </c>
      <c r="J591" s="34">
        <v>25.0</v>
      </c>
      <c r="K591" s="69">
        <f t="shared" si="1"/>
        <v>500</v>
      </c>
      <c r="L591" s="70" t="s">
        <v>42</v>
      </c>
    </row>
    <row r="592" ht="22.5" customHeight="1">
      <c r="A592" s="29">
        <v>46149.0</v>
      </c>
      <c r="B592" s="31"/>
      <c r="C592" s="32" t="s">
        <v>711</v>
      </c>
      <c r="D592" s="71" t="s">
        <v>63</v>
      </c>
      <c r="E592" s="66" t="str">
        <f t="array" ref="E592">IF(D592="", "", XLOOKUP(D592, 'MASTER ITEM LIST'!A:A, 'MASTER ITEM LIST'!B:B, ""))</f>
        <v>OLD NEWS</v>
      </c>
      <c r="F592" s="31"/>
      <c r="G592" s="67" t="s">
        <v>34</v>
      </c>
      <c r="H592" s="31">
        <v>1.0</v>
      </c>
      <c r="I592" s="31" t="str">
        <f t="array" ref="I592">IFERROR(XLOOKUP(D592,'MASTER ITEM LIST'!A:A,'MASTER ITEM LIST'!D:D), "")</f>
        <v>KG</v>
      </c>
      <c r="J592" s="34">
        <v>100.0</v>
      </c>
      <c r="K592" s="69">
        <f t="shared" si="1"/>
        <v>100</v>
      </c>
      <c r="L592" s="70" t="s">
        <v>42</v>
      </c>
    </row>
    <row r="593" ht="22.5" customHeight="1">
      <c r="A593" s="29">
        <v>46149.0</v>
      </c>
      <c r="B593" s="31"/>
      <c r="C593" s="32" t="s">
        <v>711</v>
      </c>
      <c r="D593" s="23" t="s">
        <v>167</v>
      </c>
      <c r="E593" s="66" t="str">
        <f t="array" ref="E593">IF(D593="", "", XLOOKUP(D593, 'MASTER ITEM LIST'!A:A, 'MASTER ITEM LIST'!B:B, ""))</f>
        <v>NAX QDU MIX 1L</v>
      </c>
      <c r="F593" s="31"/>
      <c r="G593" s="67" t="s">
        <v>34</v>
      </c>
      <c r="H593" s="31">
        <v>2.0</v>
      </c>
      <c r="I593" s="31" t="str">
        <f t="array" ref="I593">IFERROR(XLOOKUP(D593,'MASTER ITEM LIST'!A:A,'MASTER ITEM LIST'!D:D), "")</f>
        <v>LITER</v>
      </c>
      <c r="J593" s="34">
        <v>1000.0</v>
      </c>
      <c r="K593" s="69">
        <f t="shared" si="1"/>
        <v>2000</v>
      </c>
      <c r="L593" s="70" t="s">
        <v>42</v>
      </c>
    </row>
    <row r="594" ht="22.5" customHeight="1">
      <c r="A594" s="29">
        <v>46149.0</v>
      </c>
      <c r="B594" s="31"/>
      <c r="C594" s="32" t="s">
        <v>711</v>
      </c>
      <c r="D594" s="71" t="s">
        <v>136</v>
      </c>
      <c r="E594" s="66" t="str">
        <f t="array" ref="E594">IF(D594="", "", XLOOKUP(D594, 'MASTER ITEM LIST'!A:A, 'MASTER ITEM LIST'!B:B, ""))</f>
        <v>CROCO MASKING TAPE 3/4 18MM (1X64)</v>
      </c>
      <c r="F594" s="31"/>
      <c r="G594" s="67" t="s">
        <v>34</v>
      </c>
      <c r="H594" s="31">
        <v>2.0</v>
      </c>
      <c r="I594" s="31" t="str">
        <f t="array" ref="I594">IFERROR(XLOOKUP(D594,'MASTER ITEM LIST'!A:A,'MASTER ITEM LIST'!D:D), "")</f>
        <v>PC/S</v>
      </c>
      <c r="J594" s="34">
        <v>35.0</v>
      </c>
      <c r="K594" s="69">
        <f t="shared" si="1"/>
        <v>70</v>
      </c>
      <c r="L594" s="70" t="s">
        <v>42</v>
      </c>
    </row>
    <row r="595" ht="22.5" customHeight="1">
      <c r="A595" s="29">
        <v>46149.0</v>
      </c>
      <c r="B595" s="31"/>
      <c r="C595" s="32" t="s">
        <v>711</v>
      </c>
      <c r="D595" s="71" t="s">
        <v>117</v>
      </c>
      <c r="E595" s="66" t="str">
        <f t="array" ref="E595">IF(D595="", "", XLOOKUP(D595, 'MASTER ITEM LIST'!A:A, 'MASTER ITEM LIST'!B:B, ""))</f>
        <v>EAGLE SANDPAPER #120</v>
      </c>
      <c r="F595" s="31"/>
      <c r="G595" s="67" t="s">
        <v>34</v>
      </c>
      <c r="H595" s="31">
        <v>2.0</v>
      </c>
      <c r="I595" s="31" t="str">
        <f t="array" ref="I595">IFERROR(XLOOKUP(D595,'MASTER ITEM LIST'!A:A,'MASTER ITEM LIST'!D:D), "")</f>
        <v>PC/S</v>
      </c>
      <c r="J595" s="34">
        <v>25.0</v>
      </c>
      <c r="K595" s="69">
        <f t="shared" si="1"/>
        <v>50</v>
      </c>
      <c r="L595" s="70" t="s">
        <v>42</v>
      </c>
    </row>
    <row r="596" ht="22.5" customHeight="1">
      <c r="A596" s="29">
        <v>46149.0</v>
      </c>
      <c r="B596" s="31"/>
      <c r="C596" s="32" t="s">
        <v>711</v>
      </c>
      <c r="D596" s="71" t="s">
        <v>198</v>
      </c>
      <c r="E596" s="66" t="str">
        <f t="array" ref="E596">IF(D596="", "", XLOOKUP(D596, 'MASTER ITEM LIST'!A:A, 'MASTER ITEM LIST'!B:B, ""))</f>
        <v>EAGLE SANDPAPER #2000</v>
      </c>
      <c r="F596" s="31"/>
      <c r="G596" s="67" t="s">
        <v>34</v>
      </c>
      <c r="H596" s="31">
        <v>2.0</v>
      </c>
      <c r="I596" s="31" t="str">
        <f t="array" ref="I596">IFERROR(XLOOKUP(D596,'MASTER ITEM LIST'!A:A,'MASTER ITEM LIST'!D:D), "")</f>
        <v>PC/S</v>
      </c>
      <c r="J596" s="34">
        <v>25.0</v>
      </c>
      <c r="K596" s="69">
        <f t="shared" si="1"/>
        <v>50</v>
      </c>
      <c r="L596" s="70" t="s">
        <v>42</v>
      </c>
    </row>
    <row r="597" ht="22.5" customHeight="1">
      <c r="A597" s="29">
        <v>46149.0</v>
      </c>
      <c r="B597" s="31"/>
      <c r="C597" s="32" t="s">
        <v>711</v>
      </c>
      <c r="D597" s="71" t="s">
        <v>548</v>
      </c>
      <c r="E597" s="66" t="str">
        <f t="array" ref="E597">IF(D597="", "", XLOOKUP(D597, 'MASTER ITEM LIST'!A:A, 'MASTER ITEM LIST'!B:B, ""))</f>
        <v>EAGLE SANDPAPER #240</v>
      </c>
      <c r="F597" s="31"/>
      <c r="G597" s="67" t="s">
        <v>34</v>
      </c>
      <c r="H597" s="31">
        <v>2.0</v>
      </c>
      <c r="I597" s="31" t="str">
        <f t="array" ref="I597">IFERROR(XLOOKUP(D597,'MASTER ITEM LIST'!A:A,'MASTER ITEM LIST'!D:D), "")</f>
        <v>PC/S</v>
      </c>
      <c r="J597" s="34">
        <v>25.0</v>
      </c>
      <c r="K597" s="69">
        <f t="shared" si="1"/>
        <v>50</v>
      </c>
      <c r="L597" s="70" t="s">
        <v>42</v>
      </c>
    </row>
    <row r="598" ht="22.5" customHeight="1">
      <c r="A598" s="29">
        <v>46149.0</v>
      </c>
      <c r="B598" s="31"/>
      <c r="C598" s="32" t="s">
        <v>711</v>
      </c>
      <c r="D598" s="71" t="s">
        <v>326</v>
      </c>
      <c r="E598" s="66" t="str">
        <f t="array" ref="E598">IF(D598="", "", XLOOKUP(D598, 'MASTER ITEM LIST'!A:A, 'MASTER ITEM LIST'!B:B, ""))</f>
        <v>EAGLE SANDPAPER #1200</v>
      </c>
      <c r="F598" s="31"/>
      <c r="G598" s="67" t="s">
        <v>34</v>
      </c>
      <c r="H598" s="31">
        <v>2.0</v>
      </c>
      <c r="I598" s="31" t="str">
        <f t="array" ref="I598">IFERROR(XLOOKUP(D598,'MASTER ITEM LIST'!A:A,'MASTER ITEM LIST'!D:D), "")</f>
        <v>PC/S</v>
      </c>
      <c r="J598" s="34">
        <v>25.0</v>
      </c>
      <c r="K598" s="69">
        <f t="shared" si="1"/>
        <v>50</v>
      </c>
      <c r="L598" s="70" t="s">
        <v>42</v>
      </c>
    </row>
    <row r="599" ht="22.5" customHeight="1">
      <c r="A599" s="29">
        <v>46149.0</v>
      </c>
      <c r="B599" s="31"/>
      <c r="C599" s="32" t="s">
        <v>711</v>
      </c>
      <c r="D599" s="71" t="s">
        <v>205</v>
      </c>
      <c r="E599" s="66" t="str">
        <f t="array" ref="E599">IF(D599="", "", XLOOKUP(D599, 'MASTER ITEM LIST'!A:A, 'MASTER ITEM LIST'!B:B, ""))</f>
        <v>TIMELESS PREMIUM LIQUID WAX 5OML</v>
      </c>
      <c r="F599" s="31"/>
      <c r="G599" s="67" t="s">
        <v>34</v>
      </c>
      <c r="H599" s="31">
        <v>2.0</v>
      </c>
      <c r="I599" s="31" t="str">
        <f t="array" ref="I599">IFERROR(XLOOKUP(D599,'MASTER ITEM LIST'!A:A,'MASTER ITEM LIST'!D:D), "")</f>
        <v>PC/S</v>
      </c>
      <c r="J599" s="34">
        <v>100.0</v>
      </c>
      <c r="K599" s="69">
        <f t="shared" si="1"/>
        <v>200</v>
      </c>
      <c r="L599" s="70" t="s">
        <v>42</v>
      </c>
    </row>
    <row r="600" ht="22.5" customHeight="1">
      <c r="A600" s="29">
        <v>46149.0</v>
      </c>
      <c r="B600" s="31"/>
      <c r="C600" s="32" t="s">
        <v>711</v>
      </c>
      <c r="D600" s="71" t="s">
        <v>233</v>
      </c>
      <c r="E600" s="66" t="str">
        <f t="array" ref="E600">IF(D600="", "", XLOOKUP(D600, 'MASTER ITEM LIST'!A:A, 'MASTER ITEM LIST'!B:B, ""))</f>
        <v>NAX ALPHA HB SPRAY FILLER GRAY WITH HARDENER 1L</v>
      </c>
      <c r="F600" s="31"/>
      <c r="G600" s="67" t="s">
        <v>34</v>
      </c>
      <c r="H600" s="31">
        <v>1.0</v>
      </c>
      <c r="I600" s="31" t="str">
        <f t="array" ref="I600">IFERROR(XLOOKUP(D600,'MASTER ITEM LIST'!A:A,'MASTER ITEM LIST'!D:D), "")</f>
        <v>LITER</v>
      </c>
      <c r="J600" s="34">
        <v>600.0</v>
      </c>
      <c r="K600" s="69">
        <f t="shared" si="1"/>
        <v>600</v>
      </c>
      <c r="L600" s="75" t="s">
        <v>42</v>
      </c>
    </row>
    <row r="601" ht="22.5" customHeight="1">
      <c r="A601" s="29">
        <v>46149.0</v>
      </c>
      <c r="B601" s="31"/>
      <c r="C601" s="32" t="s">
        <v>711</v>
      </c>
      <c r="D601" s="71" t="s">
        <v>90</v>
      </c>
      <c r="E601" s="66" t="str">
        <f t="array" ref="E601">IF(D601="", "", XLOOKUP(D601, 'MASTER ITEM LIST'!A:A, 'MASTER ITEM LIST'!B:B, ""))</f>
        <v>NAX SOB757 HIGH GRADE URETHANE THINNER 4L</v>
      </c>
      <c r="F601" s="31"/>
      <c r="G601" s="67" t="s">
        <v>34</v>
      </c>
      <c r="H601" s="31">
        <v>1.0</v>
      </c>
      <c r="I601" s="31" t="str">
        <f t="array" ref="I601">IFERROR(XLOOKUP(D601,'MASTER ITEM LIST'!A:A,'MASTER ITEM LIST'!D:D), "")</f>
        <v>GAL</v>
      </c>
      <c r="J601" s="34">
        <v>700.0</v>
      </c>
      <c r="K601" s="69">
        <f t="shared" si="1"/>
        <v>700</v>
      </c>
      <c r="L601" s="70" t="s">
        <v>42</v>
      </c>
    </row>
    <row r="602" ht="22.5" customHeight="1">
      <c r="A602" s="29">
        <v>46149.0</v>
      </c>
      <c r="B602" s="31"/>
      <c r="C602" s="32" t="s">
        <v>711</v>
      </c>
      <c r="D602" s="71" t="s">
        <v>220</v>
      </c>
      <c r="E602" s="66" t="str">
        <f t="array" ref="E602">IF(D602="", "", XLOOKUP(D602, 'MASTER ITEM LIST'!A:A, 'MASTER ITEM LIST'!B:B, ""))</f>
        <v>PREMILA MIXING 1L</v>
      </c>
      <c r="F602" s="31"/>
      <c r="G602" s="67" t="s">
        <v>34</v>
      </c>
      <c r="H602" s="31">
        <v>0.5</v>
      </c>
      <c r="I602" s="31" t="str">
        <f t="array" ref="I602">IFERROR(XLOOKUP(D602,'MASTER ITEM LIST'!A:A,'MASTER ITEM LIST'!D:D), "")</f>
        <v>LITER</v>
      </c>
      <c r="J602" s="34">
        <v>600.0</v>
      </c>
      <c r="K602" s="69">
        <f t="shared" si="1"/>
        <v>300</v>
      </c>
      <c r="L602" s="70" t="s">
        <v>42</v>
      </c>
    </row>
    <row r="603" ht="22.5" customHeight="1">
      <c r="A603" s="29">
        <v>46150.0</v>
      </c>
      <c r="B603" s="31"/>
      <c r="C603" s="32" t="s">
        <v>711</v>
      </c>
      <c r="D603" s="71" t="s">
        <v>117</v>
      </c>
      <c r="E603" s="66" t="str">
        <f t="array" ref="E603">IF(D603="", "", XLOOKUP(D603, 'MASTER ITEM LIST'!A:A, 'MASTER ITEM LIST'!B:B, ""))</f>
        <v>EAGLE SANDPAPER #120</v>
      </c>
      <c r="F603" s="31"/>
      <c r="G603" s="67" t="s">
        <v>34</v>
      </c>
      <c r="H603" s="31">
        <v>1.0</v>
      </c>
      <c r="I603" s="31" t="str">
        <f t="array" ref="I603">IFERROR(XLOOKUP(D603,'MASTER ITEM LIST'!A:A,'MASTER ITEM LIST'!D:D), "")</f>
        <v>PC/S</v>
      </c>
      <c r="J603" s="34">
        <v>25.0</v>
      </c>
      <c r="K603" s="69">
        <f t="shared" si="1"/>
        <v>25</v>
      </c>
      <c r="L603" s="70" t="s">
        <v>42</v>
      </c>
    </row>
    <row r="604" ht="22.5" customHeight="1">
      <c r="A604" s="29">
        <v>46192.0</v>
      </c>
      <c r="B604" s="31"/>
      <c r="C604" s="32" t="s">
        <v>711</v>
      </c>
      <c r="D604" s="71" t="s">
        <v>177</v>
      </c>
      <c r="E604" s="66" t="str">
        <f t="array" ref="E604">IF(D604="", "", XLOOKUP(D604, 'MASTER ITEM LIST'!A:A, 'MASTER ITEM LIST'!B:B, ""))</f>
        <v>UNO LACQUER THINNER BOT</v>
      </c>
      <c r="F604" s="31"/>
      <c r="G604" s="67" t="s">
        <v>34</v>
      </c>
      <c r="H604" s="31">
        <v>1.0</v>
      </c>
      <c r="I604" s="31" t="str">
        <f t="array" ref="I604">IFERROR(XLOOKUP(D604,'MASTER ITEM LIST'!A:A,'MASTER ITEM LIST'!D:D), "")</f>
        <v>BOT</v>
      </c>
      <c r="J604" s="34">
        <v>75.0</v>
      </c>
      <c r="K604" s="69">
        <f t="shared" si="1"/>
        <v>75</v>
      </c>
      <c r="L604" s="70" t="s">
        <v>42</v>
      </c>
    </row>
    <row r="605" ht="22.5" customHeight="1">
      <c r="A605" s="29">
        <v>46192.0</v>
      </c>
      <c r="B605" s="31"/>
      <c r="C605" s="32" t="s">
        <v>711</v>
      </c>
      <c r="D605" s="88" t="s">
        <v>384</v>
      </c>
      <c r="E605" s="66" t="str">
        <f t="array" ref="E605">IF(D605="", "", XLOOKUP(D605, 'MASTER ITEM LIST'!A:A, 'MASTER ITEM LIST'!B:B, ""))</f>
        <v>PAINT BRUSH 2B #1</v>
      </c>
      <c r="F605" s="31"/>
      <c r="G605" s="67" t="s">
        <v>34</v>
      </c>
      <c r="H605" s="31">
        <v>1.0</v>
      </c>
      <c r="I605" s="31" t="str">
        <f t="array" ref="I605">IFERROR(XLOOKUP(D605,'MASTER ITEM LIST'!A:A,'MASTER ITEM LIST'!D:D), "")</f>
        <v>PC/S</v>
      </c>
      <c r="J605" s="34">
        <v>25.0</v>
      </c>
      <c r="K605" s="69">
        <f t="shared" si="1"/>
        <v>25</v>
      </c>
      <c r="L605" s="70" t="s">
        <v>42</v>
      </c>
    </row>
    <row r="606" ht="22.5" customHeight="1">
      <c r="A606" s="29">
        <v>46192.0</v>
      </c>
      <c r="B606" s="31"/>
      <c r="C606" s="32" t="s">
        <v>711</v>
      </c>
      <c r="D606" s="71" t="s">
        <v>604</v>
      </c>
      <c r="E606" s="66" t="str">
        <f t="array" ref="E606">IF(D606="", "", XLOOKUP(D606, 'MASTER ITEM LIST'!A:A, 'MASTER ITEM LIST'!B:B, ""))</f>
        <v>METALGUARD EPOXY PRIMER WHITE WITH HARDENER 4L</v>
      </c>
      <c r="F606" s="31"/>
      <c r="G606" s="67" t="s">
        <v>34</v>
      </c>
      <c r="H606" s="31">
        <v>0.125</v>
      </c>
      <c r="I606" s="31" t="str">
        <f t="array" ref="I606">IFERROR(XLOOKUP(D606,'MASTER ITEM LIST'!A:A,'MASTER ITEM LIST'!D:D), "")</f>
        <v>GAL</v>
      </c>
      <c r="J606" s="34">
        <v>1280.0</v>
      </c>
      <c r="K606" s="69">
        <f t="shared" si="1"/>
        <v>160</v>
      </c>
      <c r="L606" s="70" t="s">
        <v>42</v>
      </c>
    </row>
    <row r="607" ht="22.5" customHeight="1">
      <c r="A607" s="29">
        <v>46192.0</v>
      </c>
      <c r="B607" s="31"/>
      <c r="C607" s="32" t="s">
        <v>711</v>
      </c>
      <c r="D607" s="23" t="s">
        <v>31</v>
      </c>
      <c r="E607" s="66" t="str">
        <f t="array" ref="E607">IF(D607="", "", XLOOKUP(D607, 'MASTER ITEM LIST'!A:A, 'MASTER ITEM LIST'!B:B, ""))</f>
        <v>EXTREME QDU MIXING 1L</v>
      </c>
      <c r="F607" s="31"/>
      <c r="G607" s="67" t="s">
        <v>34</v>
      </c>
      <c r="H607" s="31">
        <v>1.0</v>
      </c>
      <c r="I607" s="31" t="str">
        <f t="array" ref="I607">IFERROR(XLOOKUP(D607,'MASTER ITEM LIST'!A:A,'MASTER ITEM LIST'!D:D), "")</f>
        <v>LITER</v>
      </c>
      <c r="J607" s="34">
        <v>700.0</v>
      </c>
      <c r="K607" s="69">
        <f t="shared" si="1"/>
        <v>700</v>
      </c>
      <c r="L607" s="70" t="s">
        <v>42</v>
      </c>
    </row>
    <row r="608" ht="22.5" customHeight="1">
      <c r="A608" s="29">
        <v>46192.0</v>
      </c>
      <c r="B608" s="31"/>
      <c r="C608" s="32" t="s">
        <v>711</v>
      </c>
      <c r="D608" s="71" t="s">
        <v>136</v>
      </c>
      <c r="E608" s="66" t="str">
        <f t="array" ref="E608">IF(D608="", "", XLOOKUP(D608, 'MASTER ITEM LIST'!A:A, 'MASTER ITEM LIST'!B:B, ""))</f>
        <v>CROCO MASKING TAPE 3/4 18MM (1X64)</v>
      </c>
      <c r="F608" s="31"/>
      <c r="G608" s="67" t="s">
        <v>34</v>
      </c>
      <c r="H608" s="31">
        <v>2.0</v>
      </c>
      <c r="I608" s="31" t="str">
        <f t="array" ref="I608">IFERROR(XLOOKUP(D608,'MASTER ITEM LIST'!A:A,'MASTER ITEM LIST'!D:D), "")</f>
        <v>PC/S</v>
      </c>
      <c r="J608" s="34">
        <v>35.0</v>
      </c>
      <c r="K608" s="69">
        <f t="shared" si="1"/>
        <v>70</v>
      </c>
      <c r="L608" s="70" t="s">
        <v>42</v>
      </c>
    </row>
    <row r="609" ht="22.5" customHeight="1">
      <c r="A609" s="29">
        <v>46192.0</v>
      </c>
      <c r="B609" s="31"/>
      <c r="C609" s="32" t="s">
        <v>711</v>
      </c>
      <c r="D609" s="71" t="s">
        <v>117</v>
      </c>
      <c r="E609" s="66" t="str">
        <f t="array" ref="E609">IF(D609="", "", XLOOKUP(D609, 'MASTER ITEM LIST'!A:A, 'MASTER ITEM LIST'!B:B, ""))</f>
        <v>EAGLE SANDPAPER #120</v>
      </c>
      <c r="F609" s="31"/>
      <c r="G609" s="67" t="s">
        <v>34</v>
      </c>
      <c r="H609" s="31">
        <v>2.0</v>
      </c>
      <c r="I609" s="31" t="str">
        <f t="array" ref="I609">IFERROR(XLOOKUP(D609,'MASTER ITEM LIST'!A:A,'MASTER ITEM LIST'!D:D), "")</f>
        <v>PC/S</v>
      </c>
      <c r="J609" s="34">
        <v>25.0</v>
      </c>
      <c r="K609" s="69">
        <f t="shared" si="1"/>
        <v>50</v>
      </c>
      <c r="L609" s="70" t="s">
        <v>42</v>
      </c>
    </row>
    <row r="610" ht="22.5" customHeight="1">
      <c r="A610" s="29">
        <v>46192.0</v>
      </c>
      <c r="B610" s="31"/>
      <c r="C610" s="32" t="s">
        <v>711</v>
      </c>
      <c r="D610" s="71" t="s">
        <v>548</v>
      </c>
      <c r="E610" s="66" t="str">
        <f t="array" ref="E610">IF(D610="", "", XLOOKUP(D610, 'MASTER ITEM LIST'!A:A, 'MASTER ITEM LIST'!B:B, ""))</f>
        <v>EAGLE SANDPAPER #240</v>
      </c>
      <c r="F610" s="31"/>
      <c r="G610" s="67" t="s">
        <v>34</v>
      </c>
      <c r="H610" s="31">
        <v>2.0</v>
      </c>
      <c r="I610" s="31" t="str">
        <f t="array" ref="I610">IFERROR(XLOOKUP(D610,'MASTER ITEM LIST'!A:A,'MASTER ITEM LIST'!D:D), "")</f>
        <v>PC/S</v>
      </c>
      <c r="J610" s="34">
        <v>25.0</v>
      </c>
      <c r="K610" s="69">
        <f t="shared" si="1"/>
        <v>50</v>
      </c>
      <c r="L610" s="70" t="s">
        <v>42</v>
      </c>
    </row>
    <row r="611" ht="22.5" customHeight="1">
      <c r="A611" s="29">
        <v>46192.0</v>
      </c>
      <c r="B611" s="31"/>
      <c r="C611" s="32" t="s">
        <v>711</v>
      </c>
      <c r="D611" s="71" t="s">
        <v>246</v>
      </c>
      <c r="E611" s="66" t="str">
        <f t="array" ref="E611">IF(D611="", "", XLOOKUP(D611, 'MASTER ITEM LIST'!A:A, 'MASTER ITEM LIST'!B:B, ""))</f>
        <v>DOMINO BODY FILTER WITH HARDENER 4L</v>
      </c>
      <c r="F611" s="31"/>
      <c r="G611" s="67" t="s">
        <v>34</v>
      </c>
      <c r="H611" s="31">
        <v>1.0</v>
      </c>
      <c r="I611" s="31" t="str">
        <f t="array" ref="I611">IFERROR(XLOOKUP(D611,'MASTER ITEM LIST'!A:A,'MASTER ITEM LIST'!D:D), "")</f>
        <v>GAL</v>
      </c>
      <c r="J611" s="34">
        <v>215.0</v>
      </c>
      <c r="K611" s="69">
        <f t="shared" si="1"/>
        <v>215</v>
      </c>
      <c r="L611" s="70" t="s">
        <v>42</v>
      </c>
    </row>
    <row r="612" ht="22.5" customHeight="1">
      <c r="A612" s="29">
        <v>46150.0</v>
      </c>
      <c r="B612" s="31"/>
      <c r="C612" s="32" t="s">
        <v>711</v>
      </c>
      <c r="D612" s="23" t="s">
        <v>31</v>
      </c>
      <c r="E612" s="66" t="str">
        <f t="array" ref="E612">IF(D612="", "", XLOOKUP(D612, 'MASTER ITEM LIST'!A:A, 'MASTER ITEM LIST'!B:B, ""))</f>
        <v>EXTREME QDU MIXING 1L</v>
      </c>
      <c r="F612" s="31"/>
      <c r="G612" s="67" t="s">
        <v>34</v>
      </c>
      <c r="H612" s="31">
        <v>0.5</v>
      </c>
      <c r="I612" s="31" t="str">
        <f t="array" ref="I612">IFERROR(XLOOKUP(D612,'MASTER ITEM LIST'!A:A,'MASTER ITEM LIST'!D:D), "")</f>
        <v>LITER</v>
      </c>
      <c r="J612" s="34">
        <v>600.0</v>
      </c>
      <c r="K612" s="69">
        <f t="shared" si="1"/>
        <v>300</v>
      </c>
      <c r="L612" s="70" t="s">
        <v>42</v>
      </c>
    </row>
    <row r="613" ht="22.5" customHeight="1">
      <c r="A613" s="29">
        <v>46150.0</v>
      </c>
      <c r="B613" s="31"/>
      <c r="C613" s="32" t="s">
        <v>711</v>
      </c>
      <c r="D613" s="71" t="s">
        <v>64</v>
      </c>
      <c r="E613" s="66" t="str">
        <f t="array" ref="E613">IF(D613="", "", XLOOKUP(D613, 'MASTER ITEM LIST'!A:A, 'MASTER ITEM LIST'!B:B, ""))</f>
        <v>POLYGLOSS PU FLAT BLACK 4L</v>
      </c>
      <c r="F613" s="31"/>
      <c r="G613" s="67" t="s">
        <v>34</v>
      </c>
      <c r="H613" s="31">
        <v>0.125</v>
      </c>
      <c r="I613" s="31" t="str">
        <f t="array" ref="I613">IFERROR(XLOOKUP(D613,'MASTER ITEM LIST'!A:A,'MASTER ITEM LIST'!D:D), "")</f>
        <v>GALON</v>
      </c>
      <c r="J613" s="34">
        <v>2800.0</v>
      </c>
      <c r="K613" s="69">
        <f t="shared" si="1"/>
        <v>350</v>
      </c>
      <c r="L613" s="70" t="s">
        <v>42</v>
      </c>
    </row>
    <row r="614" ht="22.5" customHeight="1">
      <c r="A614" s="29">
        <v>46150.0</v>
      </c>
      <c r="B614" s="31"/>
      <c r="C614" s="32" t="s">
        <v>711</v>
      </c>
      <c r="D614" s="23" t="s">
        <v>1158</v>
      </c>
      <c r="E614" s="66" t="str">
        <f t="array" ref="E614">IF(D614="", "", XLOOKUP(D614, 'MASTER ITEM LIST'!A:A, 'MASTER ITEM LIST'!B:B, ""))</f>
        <v>NAX QDU MIX 4L</v>
      </c>
      <c r="F614" s="31"/>
      <c r="G614" s="67" t="s">
        <v>34</v>
      </c>
      <c r="H614" s="31">
        <v>1.5</v>
      </c>
      <c r="I614" s="31" t="str">
        <f t="array" ref="I614">IFERROR(XLOOKUP(D614,'MASTER ITEM LIST'!A:A,'MASTER ITEM LIST'!D:D), "")</f>
        <v>GALON</v>
      </c>
      <c r="J614" s="34">
        <v>2700.0</v>
      </c>
      <c r="K614" s="69">
        <f t="shared" si="1"/>
        <v>4050</v>
      </c>
      <c r="L614" s="70" t="s">
        <v>42</v>
      </c>
    </row>
    <row r="615" ht="22.5" customHeight="1">
      <c r="A615" s="29">
        <v>46150.0</v>
      </c>
      <c r="B615" s="31"/>
      <c r="C615" s="32" t="s">
        <v>711</v>
      </c>
      <c r="D615" s="71" t="s">
        <v>410</v>
      </c>
      <c r="E615" s="66" t="str">
        <f t="array" ref="E615">IF(D615="", "", XLOOKUP(D615, 'MASTER ITEM LIST'!A:A, 'MASTER ITEM LIST'!B:B, ""))</f>
        <v>NAX NAX21 URETHANE HAEDENER</v>
      </c>
      <c r="F615" s="31"/>
      <c r="G615" s="67" t="s">
        <v>34</v>
      </c>
      <c r="H615" s="31">
        <v>2.0</v>
      </c>
      <c r="I615" s="31" t="str">
        <f t="array" ref="I615">IFERROR(XLOOKUP(D615,'MASTER ITEM LIST'!A:A,'MASTER ITEM LIST'!D:D), "")</f>
        <v>CANS</v>
      </c>
      <c r="J615" s="34">
        <v>240.0</v>
      </c>
      <c r="K615" s="69">
        <f t="shared" si="1"/>
        <v>480</v>
      </c>
      <c r="L615" s="70" t="s">
        <v>42</v>
      </c>
    </row>
    <row r="616" ht="22.5" customHeight="1">
      <c r="A616" s="29">
        <v>46150.0</v>
      </c>
      <c r="B616" s="31"/>
      <c r="C616" s="32" t="s">
        <v>711</v>
      </c>
      <c r="D616" s="71" t="s">
        <v>90</v>
      </c>
      <c r="E616" s="66" t="str">
        <f t="array" ref="E616">IF(D616="", "", XLOOKUP(D616, 'MASTER ITEM LIST'!A:A, 'MASTER ITEM LIST'!B:B, ""))</f>
        <v>NAX SOB757 HIGH GRADE URETHANE THINNER 4L</v>
      </c>
      <c r="F616" s="31"/>
      <c r="G616" s="67" t="s">
        <v>34</v>
      </c>
      <c r="H616" s="31">
        <v>1.0</v>
      </c>
      <c r="I616" s="31" t="str">
        <f t="array" ref="I616">IFERROR(XLOOKUP(D616,'MASTER ITEM LIST'!A:A,'MASTER ITEM LIST'!D:D), "")</f>
        <v>GAL</v>
      </c>
      <c r="J616" s="34">
        <v>750.0</v>
      </c>
      <c r="K616" s="69">
        <f t="shared" si="1"/>
        <v>750</v>
      </c>
      <c r="L616" s="70" t="s">
        <v>42</v>
      </c>
    </row>
    <row r="617" ht="22.5" customHeight="1">
      <c r="A617" s="29">
        <v>46150.0</v>
      </c>
      <c r="B617" s="31"/>
      <c r="C617" s="32" t="s">
        <v>711</v>
      </c>
      <c r="D617" s="71" t="s">
        <v>134</v>
      </c>
      <c r="E617" s="66" t="str">
        <f t="array" ref="E617">IF(D617="", "", XLOOKUP(D617, 'MASTER ITEM LIST'!A:A, 'MASTER ITEM LIST'!B:B, ""))</f>
        <v>QDE MIXING NP, DAVIES, BOYSEN, ALPHA CHROMA, WC 1L</v>
      </c>
      <c r="F617" s="31"/>
      <c r="G617" s="67" t="s">
        <v>34</v>
      </c>
      <c r="H617" s="31">
        <v>1.0</v>
      </c>
      <c r="I617" s="31" t="str">
        <f t="array" ref="I617">IFERROR(XLOOKUP(D617,'MASTER ITEM LIST'!A:A,'MASTER ITEM LIST'!D:D), "")</f>
        <v>LITER</v>
      </c>
      <c r="J617" s="34">
        <v>275.0</v>
      </c>
      <c r="K617" s="69">
        <f t="shared" si="1"/>
        <v>275</v>
      </c>
      <c r="L617" s="70" t="s">
        <v>42</v>
      </c>
    </row>
    <row r="618" ht="22.5" customHeight="1">
      <c r="A618" s="29">
        <v>46150.0</v>
      </c>
      <c r="B618" s="31"/>
      <c r="C618" s="32" t="s">
        <v>711</v>
      </c>
      <c r="D618" s="71" t="s">
        <v>563</v>
      </c>
      <c r="E618" s="66" t="str">
        <f t="array" ref="E618">IF(D618="", "", XLOOKUP(D618, 'MASTER ITEM LIST'!A:A, 'MASTER ITEM LIST'!B:B, ""))</f>
        <v>NIPPON EXTREME QDU WHITE 4L</v>
      </c>
      <c r="F618" s="31"/>
      <c r="G618" s="67" t="s">
        <v>34</v>
      </c>
      <c r="H618" s="31">
        <v>1.0</v>
      </c>
      <c r="I618" s="31" t="str">
        <f t="array" ref="I618">IFERROR(XLOOKUP(D618,'MASTER ITEM LIST'!A:A,'MASTER ITEM LIST'!D:D), "")</f>
        <v>GAL</v>
      </c>
      <c r="J618" s="34">
        <v>2400.0</v>
      </c>
      <c r="K618" s="69">
        <f t="shared" si="1"/>
        <v>2400</v>
      </c>
      <c r="L618" s="70" t="s">
        <v>42</v>
      </c>
    </row>
    <row r="619" ht="22.5" customHeight="1">
      <c r="A619" s="29">
        <v>46192.0</v>
      </c>
      <c r="B619" s="31" t="s">
        <v>1388</v>
      </c>
      <c r="C619" s="32" t="s">
        <v>93</v>
      </c>
      <c r="D619" s="71" t="s">
        <v>246</v>
      </c>
      <c r="E619" s="66" t="str">
        <f t="array" ref="E619">IF(D619="", "", XLOOKUP(D619, 'MASTER ITEM LIST'!A:A, 'MASTER ITEM LIST'!B:B, ""))</f>
        <v>DOMINO BODY FILTER WITH HARDENER 4L</v>
      </c>
      <c r="F619" s="31"/>
      <c r="G619" s="67" t="s">
        <v>34</v>
      </c>
      <c r="H619" s="31">
        <v>1.0</v>
      </c>
      <c r="I619" s="31" t="str">
        <f t="array" ref="I619">IFERROR(XLOOKUP(D619,'MASTER ITEM LIST'!A:A,'MASTER ITEM LIST'!D:D), "")</f>
        <v>GAL</v>
      </c>
      <c r="J619" s="34">
        <v>615.0</v>
      </c>
      <c r="K619" s="69">
        <f t="shared" si="1"/>
        <v>615</v>
      </c>
      <c r="L619" s="70" t="s">
        <v>42</v>
      </c>
    </row>
    <row r="620" ht="22.5" customHeight="1">
      <c r="A620" s="29">
        <v>46192.0</v>
      </c>
      <c r="B620" s="31" t="s">
        <v>1388</v>
      </c>
      <c r="C620" s="32" t="s">
        <v>93</v>
      </c>
      <c r="D620" s="71" t="s">
        <v>63</v>
      </c>
      <c r="E620" s="66" t="str">
        <f t="array" ref="E620">IF(D620="", "", XLOOKUP(D620, 'MASTER ITEM LIST'!A:A, 'MASTER ITEM LIST'!B:B, ""))</f>
        <v>OLD NEWS</v>
      </c>
      <c r="F620" s="31"/>
      <c r="G620" s="67" t="s">
        <v>34</v>
      </c>
      <c r="H620" s="31">
        <v>3.0</v>
      </c>
      <c r="I620" s="31" t="str">
        <f t="array" ref="I620">IFERROR(XLOOKUP(D620,'MASTER ITEM LIST'!A:A,'MASTER ITEM LIST'!D:D), "")</f>
        <v>KG</v>
      </c>
      <c r="J620" s="34">
        <v>100.0</v>
      </c>
      <c r="K620" s="69">
        <f t="shared" si="1"/>
        <v>300</v>
      </c>
      <c r="L620" s="70" t="s">
        <v>42</v>
      </c>
    </row>
    <row r="621" ht="22.5" customHeight="1">
      <c r="A621" s="29" t="s">
        <v>1389</v>
      </c>
      <c r="B621" s="31"/>
      <c r="C621" s="32" t="s">
        <v>711</v>
      </c>
      <c r="D621" s="71" t="s">
        <v>253</v>
      </c>
      <c r="E621" s="66" t="str">
        <f t="array" ref="E621">IF(D621="", "", XLOOKUP(D621, 'MASTER ITEM LIST'!A:A, 'MASTER ITEM LIST'!B:B, ""))</f>
        <v>ROBERLO RUBBING COMPOUND 1KG</v>
      </c>
      <c r="F621" s="31"/>
      <c r="G621" s="67" t="s">
        <v>34</v>
      </c>
      <c r="H621" s="31">
        <v>1.0</v>
      </c>
      <c r="I621" s="31" t="str">
        <f t="array" ref="I621">IFERROR(XLOOKUP(D621,'MASTER ITEM LIST'!A:A,'MASTER ITEM LIST'!D:D), "")</f>
        <v>KG</v>
      </c>
      <c r="J621" s="34">
        <v>1100.0</v>
      </c>
      <c r="K621" s="69">
        <f t="shared" si="1"/>
        <v>1100</v>
      </c>
      <c r="L621" s="70" t="s">
        <v>42</v>
      </c>
    </row>
    <row r="622" ht="22.5" customHeight="1">
      <c r="A622" s="29" t="s">
        <v>1389</v>
      </c>
      <c r="B622" s="31"/>
      <c r="C622" s="32" t="s">
        <v>711</v>
      </c>
      <c r="D622" s="71" t="s">
        <v>454</v>
      </c>
      <c r="E622" s="66" t="str">
        <f t="array" ref="E622">IF(D622="", "", XLOOKUP(D622, 'MASTER ITEM LIST'!A:A, 'MASTER ITEM LIST'!B:B, ""))</f>
        <v>POLYGLOSS PU 888 RED 4L</v>
      </c>
      <c r="F622" s="31"/>
      <c r="G622" s="67" t="s">
        <v>34</v>
      </c>
      <c r="H622" s="31">
        <v>0.375</v>
      </c>
      <c r="I622" s="31" t="str">
        <f t="array" ref="I622">IFERROR(XLOOKUP(D622,'MASTER ITEM LIST'!A:A,'MASTER ITEM LIST'!D:D), "")</f>
        <v>GALON</v>
      </c>
      <c r="J622" s="34">
        <v>3413.33</v>
      </c>
      <c r="K622" s="69">
        <f t="shared" si="1"/>
        <v>1279.99875</v>
      </c>
      <c r="L622" s="70" t="s">
        <v>42</v>
      </c>
    </row>
    <row r="623" ht="22.5" customHeight="1">
      <c r="A623" s="29" t="s">
        <v>1389</v>
      </c>
      <c r="B623" s="31"/>
      <c r="C623" s="32" t="s">
        <v>711</v>
      </c>
      <c r="D623" s="71" t="s">
        <v>51</v>
      </c>
      <c r="E623" s="66" t="str">
        <f t="array" ref="E623">IF(D623="", "", XLOOKUP(D623, 'MASTER ITEM LIST'!A:A, 'MASTER ITEM LIST'!B:B, ""))</f>
        <v>POLYGLOSS PU PHTHALO BLUE 4L</v>
      </c>
      <c r="F623" s="31"/>
      <c r="G623" s="67" t="s">
        <v>34</v>
      </c>
      <c r="H623" s="31">
        <v>0.25</v>
      </c>
      <c r="I623" s="31" t="str">
        <f t="array" ref="I623">IFERROR(XLOOKUP(D623,'MASTER ITEM LIST'!A:A,'MASTER ITEM LIST'!D:D), "")</f>
        <v>GALON</v>
      </c>
      <c r="J623" s="34">
        <v>2720.0</v>
      </c>
      <c r="K623" s="69">
        <f t="shared" si="1"/>
        <v>680</v>
      </c>
      <c r="L623" s="70" t="s">
        <v>42</v>
      </c>
    </row>
    <row r="624" ht="22.5" customHeight="1">
      <c r="A624" s="29" t="s">
        <v>1389</v>
      </c>
      <c r="B624" s="31"/>
      <c r="C624" s="32" t="s">
        <v>711</v>
      </c>
      <c r="D624" s="71" t="s">
        <v>1177</v>
      </c>
      <c r="E624" s="66" t="str">
        <f t="array" ref="E624">IF(D624="", "", XLOOKUP(D624, 'MASTER ITEM LIST'!A:A, 'MASTER ITEM LIST'!B:B, ""))</f>
        <v>ROS-SAFARI BROWN_4L</v>
      </c>
      <c r="F624" s="31"/>
      <c r="G624" s="67" t="s">
        <v>34</v>
      </c>
      <c r="H624" s="31">
        <v>1.0</v>
      </c>
      <c r="I624" s="31" t="str">
        <f t="array" ref="I624">IFERROR(XLOOKUP(D624,'MASTER ITEM LIST'!A:A,'MASTER ITEM LIST'!D:D), "")</f>
        <v>GALON</v>
      </c>
      <c r="J624" s="34">
        <v>880.0</v>
      </c>
      <c r="K624" s="69">
        <f t="shared" si="1"/>
        <v>880</v>
      </c>
      <c r="L624" s="70" t="s">
        <v>42</v>
      </c>
    </row>
    <row r="625" ht="22.5" customHeight="1">
      <c r="A625" s="29" t="s">
        <v>1389</v>
      </c>
      <c r="B625" s="31"/>
      <c r="C625" s="32" t="s">
        <v>711</v>
      </c>
      <c r="D625" s="71" t="s">
        <v>1062</v>
      </c>
      <c r="E625" s="66" t="str">
        <f t="array" ref="E625">IF(D625="", "", XLOOKUP(D625, 'MASTER ITEM LIST'!A:A, 'MASTER ITEM LIST'!B:B, ""))</f>
        <v>DRAGONFLY MINI BABY ROLLER #4 W/H</v>
      </c>
      <c r="F625" s="31"/>
      <c r="G625" s="67" t="s">
        <v>34</v>
      </c>
      <c r="H625" s="31">
        <v>1.0</v>
      </c>
      <c r="I625" s="31" t="str">
        <f t="array" ref="I625">IFERROR(XLOOKUP(D625,'MASTER ITEM LIST'!A:A,'MASTER ITEM LIST'!D:D), "")</f>
        <v>PC/S</v>
      </c>
      <c r="J625" s="34">
        <v>65.0</v>
      </c>
      <c r="K625" s="69">
        <f t="shared" si="1"/>
        <v>65</v>
      </c>
      <c r="L625" s="70" t="s">
        <v>42</v>
      </c>
    </row>
    <row r="626" ht="22.5" customHeight="1">
      <c r="A626" s="29" t="s">
        <v>1389</v>
      </c>
      <c r="B626" s="31"/>
      <c r="C626" s="32" t="s">
        <v>711</v>
      </c>
      <c r="D626" s="71" t="s">
        <v>40</v>
      </c>
      <c r="E626" s="66" t="str">
        <f t="array" ref="E626">IF(D626="", "", XLOOKUP(D626, 'MASTER ITEM LIST'!A:A, 'MASTER ITEM LIST'!B:B, ""))</f>
        <v>2B PAINT BRUSH #2</v>
      </c>
      <c r="F626" s="31"/>
      <c r="G626" s="67" t="s">
        <v>34</v>
      </c>
      <c r="H626" s="31">
        <v>1.0</v>
      </c>
      <c r="I626" s="31" t="str">
        <f t="array" ref="I626">IFERROR(XLOOKUP(D626,'MASTER ITEM LIST'!A:A,'MASTER ITEM LIST'!D:D), "")</f>
        <v>PC/S</v>
      </c>
      <c r="J626" s="34">
        <v>50.0</v>
      </c>
      <c r="K626" s="69">
        <f t="shared" si="1"/>
        <v>50</v>
      </c>
      <c r="L626" s="70" t="s">
        <v>42</v>
      </c>
    </row>
    <row r="627" ht="22.5" customHeight="1">
      <c r="A627" s="29" t="s">
        <v>1389</v>
      </c>
      <c r="B627" s="31"/>
      <c r="C627" s="32" t="s">
        <v>711</v>
      </c>
      <c r="D627" s="71" t="s">
        <v>1046</v>
      </c>
      <c r="E627" s="66" t="str">
        <f t="array" ref="E627">IF(D627="", "", XLOOKUP(D627, 'MASTER ITEM LIST'!A:A, 'MASTER ITEM LIST'!B:B, ""))</f>
        <v>CUMI SUPREME FLOOR SANDING 36</v>
      </c>
      <c r="F627" s="31"/>
      <c r="G627" s="67" t="s">
        <v>34</v>
      </c>
      <c r="H627" s="31">
        <v>1.0</v>
      </c>
      <c r="I627" s="31" t="str">
        <f t="array" ref="I627">IFERROR(XLOOKUP(D627,'MASTER ITEM LIST'!A:A,'MASTER ITEM LIST'!D:D), "")</f>
        <v>FT</v>
      </c>
      <c r="J627" s="34">
        <v>120.0</v>
      </c>
      <c r="K627" s="69">
        <f t="shared" si="1"/>
        <v>120</v>
      </c>
      <c r="L627" s="70" t="s">
        <v>42</v>
      </c>
    </row>
    <row r="628" ht="22.5" customHeight="1">
      <c r="A628" s="29" t="s">
        <v>1389</v>
      </c>
      <c r="B628" s="31"/>
      <c r="C628" s="32" t="s">
        <v>711</v>
      </c>
      <c r="D628" s="71" t="s">
        <v>107</v>
      </c>
      <c r="E628" s="66" t="str">
        <f t="array" ref="E628">IF(D628="", "", XLOOKUP(D628, 'MASTER ITEM LIST'!A:A, 'MASTER ITEM LIST'!B:B, ""))</f>
        <v>2B PAINT ROLLER #4</v>
      </c>
      <c r="F628" s="31"/>
      <c r="G628" s="67" t="s">
        <v>34</v>
      </c>
      <c r="H628" s="31">
        <v>1.0</v>
      </c>
      <c r="I628" s="31" t="str">
        <f t="array" ref="I628">IFERROR(XLOOKUP(D628,'MASTER ITEM LIST'!A:A,'MASTER ITEM LIST'!D:D), "")</f>
        <v>PC/S</v>
      </c>
      <c r="J628" s="34">
        <v>65.0</v>
      </c>
      <c r="K628" s="69">
        <f t="shared" si="1"/>
        <v>65</v>
      </c>
      <c r="L628" s="70" t="s">
        <v>42</v>
      </c>
    </row>
    <row r="629" ht="22.5" customHeight="1">
      <c r="A629" s="29" t="s">
        <v>1389</v>
      </c>
      <c r="B629" s="31"/>
      <c r="C629" s="32" t="s">
        <v>711</v>
      </c>
      <c r="D629" s="23" t="s">
        <v>220</v>
      </c>
      <c r="E629" s="66" t="str">
        <f t="array" ref="E629">IF(D629="", "", XLOOKUP(D629, 'MASTER ITEM LIST'!A:A, 'MASTER ITEM LIST'!B:B, ""))</f>
        <v>PREMILA MIXING 1L</v>
      </c>
      <c r="F629" s="31" t="s">
        <v>1266</v>
      </c>
      <c r="G629" s="67" t="s">
        <v>34</v>
      </c>
      <c r="H629" s="31">
        <v>0.125</v>
      </c>
      <c r="I629" s="31" t="str">
        <f t="array" ref="I629">IFERROR(XLOOKUP(D629,'MASTER ITEM LIST'!A:A,'MASTER ITEM LIST'!D:D), "")</f>
        <v>LITER</v>
      </c>
      <c r="J629" s="34">
        <v>2400.0</v>
      </c>
      <c r="K629" s="69">
        <f t="shared" si="1"/>
        <v>300</v>
      </c>
      <c r="L629" s="70" t="s">
        <v>42</v>
      </c>
    </row>
    <row r="630" ht="22.5" customHeight="1">
      <c r="A630" s="29" t="s">
        <v>1389</v>
      </c>
      <c r="B630" s="31"/>
      <c r="C630" s="32" t="s">
        <v>711</v>
      </c>
      <c r="D630" s="71" t="s">
        <v>90</v>
      </c>
      <c r="E630" s="66" t="str">
        <f t="array" ref="E630">IF(D630="", "", XLOOKUP(D630, 'MASTER ITEM LIST'!A:A, 'MASTER ITEM LIST'!B:B, ""))</f>
        <v>NAX SOB757 HIGH GRADE URETHANE THINNER 4L</v>
      </c>
      <c r="F630" s="31"/>
      <c r="G630" s="67" t="s">
        <v>34</v>
      </c>
      <c r="H630" s="31">
        <v>1.0</v>
      </c>
      <c r="I630" s="31" t="str">
        <f t="array" ref="I630">IFERROR(XLOOKUP(D630,'MASTER ITEM LIST'!A:A,'MASTER ITEM LIST'!D:D), "")</f>
        <v>GAL</v>
      </c>
      <c r="J630" s="34">
        <v>750.0</v>
      </c>
      <c r="K630" s="69">
        <f t="shared" si="1"/>
        <v>750</v>
      </c>
      <c r="L630" s="70" t="s">
        <v>42</v>
      </c>
    </row>
    <row r="631" ht="22.5" customHeight="1">
      <c r="A631" s="29" t="s">
        <v>1389</v>
      </c>
      <c r="B631" s="31"/>
      <c r="C631" s="32" t="s">
        <v>711</v>
      </c>
      <c r="D631" s="71" t="s">
        <v>1411</v>
      </c>
      <c r="E631" s="66" t="str">
        <f t="array" ref="E631">IF(D631="", "", XLOOKUP(D631, 'MASTER ITEM LIST'!A:A, 'MASTER ITEM LIST'!B:B, ""))</f>
        <v/>
      </c>
      <c r="F631" s="31"/>
      <c r="G631" s="67" t="s">
        <v>34</v>
      </c>
      <c r="H631" s="31">
        <v>1.0</v>
      </c>
      <c r="I631" s="31" t="str">
        <f t="array" ref="I631">IFERROR(XLOOKUP(D631,'MASTER ITEM LIST'!A:A,'MASTER ITEM LIST'!D:D), "")</f>
        <v/>
      </c>
      <c r="J631" s="34">
        <v>25.0</v>
      </c>
      <c r="K631" s="69">
        <f t="shared" si="1"/>
        <v>25</v>
      </c>
      <c r="L631" s="70" t="s">
        <v>42</v>
      </c>
    </row>
    <row r="632" ht="22.5" customHeight="1">
      <c r="A632" s="29" t="s">
        <v>1389</v>
      </c>
      <c r="B632" s="31"/>
      <c r="C632" s="32" t="s">
        <v>711</v>
      </c>
      <c r="D632" s="71" t="s">
        <v>134</v>
      </c>
      <c r="E632" s="66" t="str">
        <f t="array" ref="E632">IF(D632="", "", XLOOKUP(D632, 'MASTER ITEM LIST'!A:A, 'MASTER ITEM LIST'!B:B, ""))</f>
        <v>QDE MIXING NP, DAVIES, BOYSEN, ALPHA CHROMA, WC 1L</v>
      </c>
      <c r="F632" s="31"/>
      <c r="G632" s="67" t="s">
        <v>34</v>
      </c>
      <c r="H632" s="31">
        <v>0.5</v>
      </c>
      <c r="I632" s="31" t="str">
        <f t="array" ref="I632">IFERROR(XLOOKUP(D632,'MASTER ITEM LIST'!A:A,'MASTER ITEM LIST'!D:D), "")</f>
        <v>LITER</v>
      </c>
      <c r="J632" s="34">
        <v>300.0</v>
      </c>
      <c r="K632" s="69">
        <f t="shared" si="1"/>
        <v>150</v>
      </c>
      <c r="L632" s="70" t="s">
        <v>42</v>
      </c>
    </row>
    <row r="633" ht="22.5" customHeight="1">
      <c r="A633" s="29">
        <v>46153.0</v>
      </c>
      <c r="B633" s="31"/>
      <c r="C633" s="32" t="s">
        <v>711</v>
      </c>
      <c r="D633" s="71" t="s">
        <v>779</v>
      </c>
      <c r="E633" s="66" t="str">
        <f t="array" ref="E633">IF(D633="", "", XLOOKUP(D633, 'MASTER ITEM LIST'!A:A, 'MASTER ITEM LIST'!B:B, ""))</f>
        <v>METALGUARD EPOXY PRIMER GRAY WITH HARDENER 4L</v>
      </c>
      <c r="F633" s="31"/>
      <c r="G633" s="67" t="s">
        <v>34</v>
      </c>
      <c r="H633" s="31">
        <v>1.0</v>
      </c>
      <c r="I633" s="31" t="str">
        <f t="array" ref="I633">IFERROR(XLOOKUP(D633,'MASTER ITEM LIST'!A:A,'MASTER ITEM LIST'!D:D), "")</f>
        <v>GAL</v>
      </c>
      <c r="J633" s="34">
        <v>1200.0</v>
      </c>
      <c r="K633" s="69">
        <f t="shared" si="1"/>
        <v>1200</v>
      </c>
      <c r="L633" s="70" t="s">
        <v>42</v>
      </c>
    </row>
    <row r="634" ht="22.5" customHeight="1">
      <c r="A634" s="29">
        <v>46153.0</v>
      </c>
      <c r="B634" s="31"/>
      <c r="C634" s="32" t="s">
        <v>711</v>
      </c>
      <c r="D634" s="71" t="s">
        <v>136</v>
      </c>
      <c r="E634" s="66" t="str">
        <f t="array" ref="E634">IF(D634="", "", XLOOKUP(D634, 'MASTER ITEM LIST'!A:A, 'MASTER ITEM LIST'!B:B, ""))</f>
        <v>CROCO MASKING TAPE 3/4 18MM (1X64)</v>
      </c>
      <c r="F634" s="31"/>
      <c r="G634" s="67" t="s">
        <v>34</v>
      </c>
      <c r="H634" s="31">
        <v>2.0</v>
      </c>
      <c r="I634" s="31" t="str">
        <f t="array" ref="I634">IFERROR(XLOOKUP(D634,'MASTER ITEM LIST'!A:A,'MASTER ITEM LIST'!D:D), "")</f>
        <v>PC/S</v>
      </c>
      <c r="J634" s="34">
        <v>35.0</v>
      </c>
      <c r="K634" s="69">
        <f t="shared" si="1"/>
        <v>70</v>
      </c>
      <c r="L634" s="70" t="s">
        <v>42</v>
      </c>
    </row>
    <row r="635" ht="22.5" customHeight="1">
      <c r="A635" s="29">
        <v>46153.0</v>
      </c>
      <c r="B635" s="31"/>
      <c r="C635" s="32" t="s">
        <v>711</v>
      </c>
      <c r="D635" s="71" t="s">
        <v>213</v>
      </c>
      <c r="E635" s="66" t="str">
        <f t="array" ref="E635">IF(D635="", "", XLOOKUP(D635, 'MASTER ITEM LIST'!A:A, 'MASTER ITEM LIST'!B:B, ""))</f>
        <v>NAX PREMILA NP9200 2K CLEAR WITH HARDENER 1L</v>
      </c>
      <c r="F635" s="31"/>
      <c r="G635" s="67" t="s">
        <v>34</v>
      </c>
      <c r="H635" s="31">
        <v>1.0</v>
      </c>
      <c r="I635" s="31" t="str">
        <f t="array" ref="I635">IFERROR(XLOOKUP(D635,'MASTER ITEM LIST'!A:A,'MASTER ITEM LIST'!D:D), "")</f>
        <v>LITER</v>
      </c>
      <c r="J635" s="34">
        <v>1350.0</v>
      </c>
      <c r="K635" s="69">
        <f t="shared" si="1"/>
        <v>1350</v>
      </c>
      <c r="L635" s="70" t="s">
        <v>42</v>
      </c>
    </row>
    <row r="636" ht="22.5" customHeight="1">
      <c r="A636" s="29">
        <v>46153.0</v>
      </c>
      <c r="B636" s="31"/>
      <c r="C636" s="32" t="s">
        <v>711</v>
      </c>
      <c r="D636" s="71" t="s">
        <v>1110</v>
      </c>
      <c r="E636" s="66" t="str">
        <f t="array" ref="E636">IF(D636="", "", XLOOKUP(D636, 'MASTER ITEM LIST'!A:A, 'MASTER ITEM LIST'!B:B, ""))</f>
        <v>CANDY TUFF ROS-367 RAIN OR SHINE 4L</v>
      </c>
      <c r="F636" s="31"/>
      <c r="G636" s="67" t="s">
        <v>34</v>
      </c>
      <c r="H636" s="31">
        <v>3.0</v>
      </c>
      <c r="I636" s="31" t="str">
        <f t="array" ref="I636">IFERROR(XLOOKUP(D636,'MASTER ITEM LIST'!A:A,'MASTER ITEM LIST'!D:D), "")</f>
        <v>4L</v>
      </c>
      <c r="J636" s="34">
        <v>870.0</v>
      </c>
      <c r="K636" s="69">
        <f t="shared" si="1"/>
        <v>2610</v>
      </c>
      <c r="L636" s="70" t="s">
        <v>42</v>
      </c>
    </row>
    <row r="637" ht="22.5" customHeight="1">
      <c r="A637" s="29">
        <v>46153.0</v>
      </c>
      <c r="B637" s="31"/>
      <c r="C637" s="32" t="s">
        <v>711</v>
      </c>
      <c r="D637" s="71" t="s">
        <v>505</v>
      </c>
      <c r="E637" s="66" t="str">
        <f t="array" ref="E637">IF(D637="", "", XLOOKUP(D637, 'MASTER ITEM LIST'!A:A, 'MASTER ITEM LIST'!B:B, ""))</f>
        <v>PAINT ROLLER TRAY</v>
      </c>
      <c r="F637" s="31"/>
      <c r="G637" s="67" t="s">
        <v>34</v>
      </c>
      <c r="H637" s="31">
        <v>1.0</v>
      </c>
      <c r="I637" s="31" t="str">
        <f t="array" ref="I637">IFERROR(XLOOKUP(D637,'MASTER ITEM LIST'!A:A,'MASTER ITEM LIST'!D:D), "")</f>
        <v>PC/S</v>
      </c>
      <c r="J637" s="34">
        <v>80.0</v>
      </c>
      <c r="K637" s="69">
        <f t="shared" si="1"/>
        <v>80</v>
      </c>
      <c r="L637" s="70" t="s">
        <v>42</v>
      </c>
    </row>
    <row r="638" ht="22.5" customHeight="1">
      <c r="A638" s="29">
        <v>46153.0</v>
      </c>
      <c r="B638" s="31"/>
      <c r="C638" s="32" t="s">
        <v>711</v>
      </c>
      <c r="D638" s="71" t="s">
        <v>86</v>
      </c>
      <c r="E638" s="66" t="str">
        <f t="array" ref="E638">IF(D638="", "", XLOOKUP(D638, 'MASTER ITEM LIST'!A:A, 'MASTER ITEM LIST'!B:B, ""))</f>
        <v>NIPPON ROLLER PAINT #7</v>
      </c>
      <c r="F638" s="31"/>
      <c r="G638" s="67" t="s">
        <v>34</v>
      </c>
      <c r="H638" s="31">
        <v>2.0</v>
      </c>
      <c r="I638" s="31" t="str">
        <f t="array" ref="I638">IFERROR(XLOOKUP(D638,'MASTER ITEM LIST'!A:A,'MASTER ITEM LIST'!D:D), "")</f>
        <v>PC/S</v>
      </c>
      <c r="J638" s="34">
        <v>85.0</v>
      </c>
      <c r="K638" s="69">
        <f t="shared" si="1"/>
        <v>170</v>
      </c>
      <c r="L638" s="70" t="s">
        <v>42</v>
      </c>
    </row>
    <row r="639" ht="22.5" customHeight="1">
      <c r="A639" s="29">
        <v>46154.0</v>
      </c>
      <c r="B639" s="31"/>
      <c r="C639" s="32" t="s">
        <v>711</v>
      </c>
      <c r="D639" s="71" t="s">
        <v>717</v>
      </c>
      <c r="E639" s="66" t="str">
        <f t="array" ref="E639">IF(D639="", "", XLOOKUP(D639, 'MASTER ITEM LIST'!A:A, 'MASTER ITEM LIST'!B:B, ""))</f>
        <v>CROCO MASKING TAPE #1</v>
      </c>
      <c r="F639" s="31"/>
      <c r="G639" s="67" t="s">
        <v>34</v>
      </c>
      <c r="H639" s="31">
        <v>1.0</v>
      </c>
      <c r="I639" s="31" t="str">
        <f t="array" ref="I639">IFERROR(XLOOKUP(D639,'MASTER ITEM LIST'!A:A,'MASTER ITEM LIST'!D:D), "")</f>
        <v>PCS</v>
      </c>
      <c r="J639" s="34">
        <v>25.0</v>
      </c>
      <c r="K639" s="69">
        <f t="shared" si="1"/>
        <v>25</v>
      </c>
      <c r="L639" s="70" t="s">
        <v>42</v>
      </c>
    </row>
    <row r="640" ht="22.5" customHeight="1">
      <c r="A640" s="29">
        <v>46154.0</v>
      </c>
      <c r="B640" s="31"/>
      <c r="C640" s="32" t="s">
        <v>711</v>
      </c>
      <c r="D640" s="71" t="s">
        <v>112</v>
      </c>
      <c r="E640" s="66" t="str">
        <f t="array" ref="E640">IF(D640="", "", XLOOKUP(D640, 'MASTER ITEM LIST'!A:A, 'MASTER ITEM LIST'!B:B, ""))</f>
        <v>2B PAINT ROLLER #7</v>
      </c>
      <c r="F640" s="31"/>
      <c r="G640" s="67" t="s">
        <v>34</v>
      </c>
      <c r="H640" s="31">
        <v>1.0</v>
      </c>
      <c r="I640" s="31" t="str">
        <f t="array" ref="I640">IFERROR(XLOOKUP(D640,'MASTER ITEM LIST'!A:A,'MASTER ITEM LIST'!D:D), "")</f>
        <v>PC/S</v>
      </c>
      <c r="J640" s="34">
        <v>80.0</v>
      </c>
      <c r="K640" s="69">
        <f t="shared" si="1"/>
        <v>80</v>
      </c>
      <c r="L640" s="70" t="s">
        <v>42</v>
      </c>
    </row>
    <row r="641" ht="22.5" customHeight="1">
      <c r="A641" s="29">
        <v>46154.0</v>
      </c>
      <c r="B641" s="31"/>
      <c r="C641" s="32" t="s">
        <v>711</v>
      </c>
      <c r="D641" s="71" t="s">
        <v>246</v>
      </c>
      <c r="E641" s="66" t="str">
        <f t="array" ref="E641">IF(D641="", "", XLOOKUP(D641, 'MASTER ITEM LIST'!A:A, 'MASTER ITEM LIST'!B:B, ""))</f>
        <v>DOMINO BODY FILTER WITH HARDENER 4L</v>
      </c>
      <c r="F641" s="31"/>
      <c r="G641" s="67" t="s">
        <v>34</v>
      </c>
      <c r="H641" s="31">
        <v>4.0</v>
      </c>
      <c r="I641" s="31" t="str">
        <f t="array" ref="I641">IFERROR(XLOOKUP(D641,'MASTER ITEM LIST'!A:A,'MASTER ITEM LIST'!D:D), "")</f>
        <v>GAL</v>
      </c>
      <c r="J641" s="34">
        <v>615.0</v>
      </c>
      <c r="K641" s="69">
        <f t="shared" si="1"/>
        <v>2460</v>
      </c>
      <c r="L641" s="70" t="s">
        <v>42</v>
      </c>
    </row>
    <row r="642" ht="22.5" customHeight="1">
      <c r="A642" s="29">
        <v>46154.0</v>
      </c>
      <c r="B642" s="31"/>
      <c r="C642" s="32" t="s">
        <v>711</v>
      </c>
      <c r="D642" s="71" t="s">
        <v>117</v>
      </c>
      <c r="E642" s="66" t="str">
        <f t="array" ref="E642">IF(D642="", "", XLOOKUP(D642, 'MASTER ITEM LIST'!A:A, 'MASTER ITEM LIST'!B:B, ""))</f>
        <v>EAGLE SANDPAPER #120</v>
      </c>
      <c r="F642" s="31"/>
      <c r="G642" s="67" t="s">
        <v>34</v>
      </c>
      <c r="H642" s="31">
        <v>10.0</v>
      </c>
      <c r="I642" s="31" t="str">
        <f t="array" ref="I642">IFERROR(XLOOKUP(D642,'MASTER ITEM LIST'!A:A,'MASTER ITEM LIST'!D:D), "")</f>
        <v>PC/S</v>
      </c>
      <c r="J642" s="34">
        <v>25.0</v>
      </c>
      <c r="K642" s="69">
        <f t="shared" si="1"/>
        <v>250</v>
      </c>
      <c r="L642" s="70" t="s">
        <v>42</v>
      </c>
    </row>
    <row r="643" ht="22.5" customHeight="1">
      <c r="A643" s="29">
        <v>46154.0</v>
      </c>
      <c r="B643" s="31"/>
      <c r="C643" s="32" t="s">
        <v>711</v>
      </c>
      <c r="D643" s="71" t="s">
        <v>426</v>
      </c>
      <c r="E643" s="66" t="str">
        <f t="array" ref="E643">IF(D643="", "", XLOOKUP(D643, 'MASTER ITEM LIST'!A:A, 'MASTER ITEM LIST'!B:B, ""))</f>
        <v>EAGLE SAND PAPER #320</v>
      </c>
      <c r="F643" s="31"/>
      <c r="G643" s="67" t="s">
        <v>34</v>
      </c>
      <c r="H643" s="31">
        <v>10.0</v>
      </c>
      <c r="I643" s="31" t="str">
        <f t="array" ref="I643">IFERROR(XLOOKUP(D643,'MASTER ITEM LIST'!A:A,'MASTER ITEM LIST'!D:D), "")</f>
        <v>PCS</v>
      </c>
      <c r="J643" s="34">
        <v>25.0</v>
      </c>
      <c r="K643" s="69">
        <f t="shared" si="1"/>
        <v>250</v>
      </c>
      <c r="L643" s="70" t="s">
        <v>42</v>
      </c>
    </row>
    <row r="644" ht="22.5" customHeight="1">
      <c r="A644" s="29">
        <v>46154.0</v>
      </c>
      <c r="B644" s="31"/>
      <c r="C644" s="32" t="s">
        <v>711</v>
      </c>
      <c r="D644" s="71" t="s">
        <v>136</v>
      </c>
      <c r="E644" s="66" t="str">
        <f t="array" ref="E644">IF(D644="", "", XLOOKUP(D644, 'MASTER ITEM LIST'!A:A, 'MASTER ITEM LIST'!B:B, ""))</f>
        <v>CROCO MASKING TAPE 3/4 18MM (1X64)</v>
      </c>
      <c r="F644" s="31"/>
      <c r="G644" s="67" t="s">
        <v>34</v>
      </c>
      <c r="H644" s="31">
        <v>16.0</v>
      </c>
      <c r="I644" s="31" t="str">
        <f t="array" ref="I644">IFERROR(XLOOKUP(D644,'MASTER ITEM LIST'!A:A,'MASTER ITEM LIST'!D:D), "")</f>
        <v>PC/S</v>
      </c>
      <c r="J644" s="34">
        <v>35.0</v>
      </c>
      <c r="K644" s="69">
        <f t="shared" si="1"/>
        <v>560</v>
      </c>
      <c r="L644" s="70" t="s">
        <v>42</v>
      </c>
    </row>
    <row r="645" ht="22.5" customHeight="1">
      <c r="A645" s="29">
        <v>46155.0</v>
      </c>
      <c r="B645" s="31"/>
      <c r="C645" s="32" t="s">
        <v>711</v>
      </c>
      <c r="D645" s="71" t="s">
        <v>79</v>
      </c>
      <c r="E645" s="66" t="str">
        <f t="array" ref="E645">IF(D645="", "", XLOOKUP(D645, 'MASTER ITEM LIST'!A:A, 'MASTER ITEM LIST'!B:B, ""))</f>
        <v>CROCO MASKING TAPE 1/2 12MM (1X96)</v>
      </c>
      <c r="F645" s="31"/>
      <c r="G645" s="67" t="s">
        <v>34</v>
      </c>
      <c r="H645" s="31">
        <v>4.0</v>
      </c>
      <c r="I645" s="31" t="str">
        <f t="array" ref="I645">IFERROR(XLOOKUP(D645,'MASTER ITEM LIST'!A:A,'MASTER ITEM LIST'!D:D), "")</f>
        <v>PC/S</v>
      </c>
      <c r="J645" s="34">
        <v>25.0</v>
      </c>
      <c r="K645" s="69">
        <f t="shared" si="1"/>
        <v>100</v>
      </c>
      <c r="L645" s="70" t="s">
        <v>42</v>
      </c>
    </row>
    <row r="646" ht="22.5" customHeight="1">
      <c r="A646" s="29">
        <v>46155.0</v>
      </c>
      <c r="B646" s="31"/>
      <c r="C646" s="32" t="s">
        <v>711</v>
      </c>
      <c r="D646" s="71" t="s">
        <v>1121</v>
      </c>
      <c r="E646" s="66" t="str">
        <f t="array" ref="E646">IF(D646="", "", XLOOKUP(D646, 'MASTER ITEM LIST'!A:A, 'MASTER ITEM LIST'!B:B, ""))</f>
        <v>BUFFING PAD</v>
      </c>
      <c r="F646" s="31"/>
      <c r="G646" s="67" t="s">
        <v>34</v>
      </c>
      <c r="H646" s="31">
        <v>1.0</v>
      </c>
      <c r="I646" s="31" t="str">
        <f t="array" ref="I646">IFERROR(XLOOKUP(D646,'MASTER ITEM LIST'!A:A,'MASTER ITEM LIST'!D:D), "")</f>
        <v>PC/S</v>
      </c>
      <c r="J646" s="34">
        <v>1050.0</v>
      </c>
      <c r="K646" s="69">
        <f t="shared" si="1"/>
        <v>1050</v>
      </c>
      <c r="L646" s="70" t="s">
        <v>42</v>
      </c>
    </row>
    <row r="647" ht="22.5" customHeight="1">
      <c r="A647" s="29">
        <v>46155.0</v>
      </c>
      <c r="B647" s="31"/>
      <c r="C647" s="32" t="s">
        <v>711</v>
      </c>
      <c r="D647" s="71" t="s">
        <v>205</v>
      </c>
      <c r="E647" s="66" t="str">
        <f t="array" ref="E647">IF(D647="", "", XLOOKUP(D647, 'MASTER ITEM LIST'!A:A, 'MASTER ITEM LIST'!B:B, ""))</f>
        <v>TIMELESS PREMIUM LIQUID WAX 5OML</v>
      </c>
      <c r="F647" s="31"/>
      <c r="G647" s="67" t="s">
        <v>34</v>
      </c>
      <c r="H647" s="31">
        <v>2.0</v>
      </c>
      <c r="I647" s="31" t="str">
        <f t="array" ref="I647">IFERROR(XLOOKUP(D647,'MASTER ITEM LIST'!A:A,'MASTER ITEM LIST'!D:D), "")</f>
        <v>PC/S</v>
      </c>
      <c r="J647" s="34">
        <v>100.0</v>
      </c>
      <c r="K647" s="69">
        <f t="shared" si="1"/>
        <v>200</v>
      </c>
      <c r="L647" s="70" t="s">
        <v>42</v>
      </c>
    </row>
    <row r="648" ht="22.5" customHeight="1">
      <c r="A648" s="29">
        <v>46155.0</v>
      </c>
      <c r="B648" s="31"/>
      <c r="C648" s="32" t="s">
        <v>711</v>
      </c>
      <c r="D648" s="71" t="s">
        <v>253</v>
      </c>
      <c r="E648" s="66" t="str">
        <f t="array" ref="E648">IF(D648="", "", XLOOKUP(D648, 'MASTER ITEM LIST'!A:A, 'MASTER ITEM LIST'!B:B, ""))</f>
        <v>ROBERLO RUBBING COMPOUND 1KG</v>
      </c>
      <c r="F648" s="31"/>
      <c r="G648" s="67" t="s">
        <v>34</v>
      </c>
      <c r="H648" s="31">
        <v>0.25</v>
      </c>
      <c r="I648" s="31" t="str">
        <f t="array" ref="I648">IFERROR(XLOOKUP(D648,'MASTER ITEM LIST'!A:A,'MASTER ITEM LIST'!D:D), "")</f>
        <v>KG</v>
      </c>
      <c r="J648" s="34">
        <v>1000.0</v>
      </c>
      <c r="K648" s="69">
        <f t="shared" si="1"/>
        <v>250</v>
      </c>
      <c r="L648" s="70" t="s">
        <v>42</v>
      </c>
    </row>
    <row r="649" ht="22.5" customHeight="1">
      <c r="A649" s="29">
        <v>46155.0</v>
      </c>
      <c r="B649" s="31"/>
      <c r="C649" s="32" t="s">
        <v>711</v>
      </c>
      <c r="D649" s="71" t="s">
        <v>63</v>
      </c>
      <c r="E649" s="66" t="str">
        <f t="array" ref="E649">IF(D649="", "", XLOOKUP(D649, 'MASTER ITEM LIST'!A:A, 'MASTER ITEM LIST'!B:B, ""))</f>
        <v>OLD NEWS</v>
      </c>
      <c r="F649" s="31"/>
      <c r="G649" s="67" t="s">
        <v>34</v>
      </c>
      <c r="H649" s="31">
        <v>1.0</v>
      </c>
      <c r="I649" s="31" t="str">
        <f t="array" ref="I649">IFERROR(XLOOKUP(D649,'MASTER ITEM LIST'!A:A,'MASTER ITEM LIST'!D:D), "")</f>
        <v>KG</v>
      </c>
      <c r="J649" s="34">
        <v>100.0</v>
      </c>
      <c r="K649" s="69">
        <f t="shared" si="1"/>
        <v>100</v>
      </c>
      <c r="L649" s="70" t="s">
        <v>42</v>
      </c>
    </row>
    <row r="650" ht="22.5" customHeight="1">
      <c r="A650" s="29">
        <v>46155.0</v>
      </c>
      <c r="B650" s="31"/>
      <c r="C650" s="32" t="s">
        <v>711</v>
      </c>
      <c r="D650" s="71" t="s">
        <v>213</v>
      </c>
      <c r="E650" s="66" t="str">
        <f t="array" ref="E650">IF(D650="", "", XLOOKUP(D650, 'MASTER ITEM LIST'!A:A, 'MASTER ITEM LIST'!B:B, ""))</f>
        <v>NAX PREMILA NP9200 2K CLEAR WITH HARDENER 1L</v>
      </c>
      <c r="F650" s="31"/>
      <c r="G650" s="67" t="s">
        <v>34</v>
      </c>
      <c r="H650" s="31">
        <v>1.0</v>
      </c>
      <c r="I650" s="31" t="str">
        <f t="array" ref="I650">IFERROR(XLOOKUP(D650,'MASTER ITEM LIST'!A:A,'MASTER ITEM LIST'!D:D), "")</f>
        <v>LITER</v>
      </c>
      <c r="J650" s="34">
        <v>1350.0</v>
      </c>
      <c r="K650" s="69">
        <f t="shared" si="1"/>
        <v>1350</v>
      </c>
      <c r="L650" s="70" t="s">
        <v>42</v>
      </c>
    </row>
    <row r="651" ht="22.5" customHeight="1">
      <c r="A651" s="29">
        <v>46155.0</v>
      </c>
      <c r="B651" s="31"/>
      <c r="C651" s="32" t="s">
        <v>711</v>
      </c>
      <c r="D651" s="71" t="s">
        <v>90</v>
      </c>
      <c r="E651" s="66" t="str">
        <f t="array" ref="E651">IF(D651="", "", XLOOKUP(D651, 'MASTER ITEM LIST'!A:A, 'MASTER ITEM LIST'!B:B, ""))</f>
        <v>NAX SOB757 HIGH GRADE URETHANE THINNER 4L</v>
      </c>
      <c r="F651" s="31"/>
      <c r="G651" s="67" t="s">
        <v>34</v>
      </c>
      <c r="H651" s="31">
        <v>1.0</v>
      </c>
      <c r="I651" s="31" t="str">
        <f t="array" ref="I651">IFERROR(XLOOKUP(D651,'MASTER ITEM LIST'!A:A,'MASTER ITEM LIST'!D:D), "")</f>
        <v>GAL</v>
      </c>
      <c r="J651" s="34">
        <v>750.0</v>
      </c>
      <c r="K651" s="69">
        <f t="shared" si="1"/>
        <v>750</v>
      </c>
      <c r="L651" s="70" t="s">
        <v>42</v>
      </c>
    </row>
    <row r="652" ht="22.5" customHeight="1">
      <c r="A652" s="29">
        <v>46155.0</v>
      </c>
      <c r="B652" s="31"/>
      <c r="C652" s="32" t="s">
        <v>711</v>
      </c>
      <c r="D652" s="71" t="s">
        <v>548</v>
      </c>
      <c r="E652" s="66" t="str">
        <f t="array" ref="E652">IF(D652="", "", XLOOKUP(D652, 'MASTER ITEM LIST'!A:A, 'MASTER ITEM LIST'!B:B, ""))</f>
        <v>EAGLE SANDPAPER #240</v>
      </c>
      <c r="F652" s="31"/>
      <c r="G652" s="67" t="s">
        <v>34</v>
      </c>
      <c r="H652" s="31">
        <v>2.0</v>
      </c>
      <c r="I652" s="31" t="str">
        <f t="array" ref="I652">IFERROR(XLOOKUP(D652,'MASTER ITEM LIST'!A:A,'MASTER ITEM LIST'!D:D), "")</f>
        <v>PC/S</v>
      </c>
      <c r="J652" s="34">
        <v>25.0</v>
      </c>
      <c r="K652" s="69">
        <f t="shared" si="1"/>
        <v>50</v>
      </c>
      <c r="L652" s="70" t="s">
        <v>42</v>
      </c>
    </row>
    <row r="653" ht="22.5" customHeight="1">
      <c r="A653" s="29">
        <v>46155.0</v>
      </c>
      <c r="B653" s="31"/>
      <c r="C653" s="32" t="s">
        <v>711</v>
      </c>
      <c r="D653" s="71" t="s">
        <v>136</v>
      </c>
      <c r="E653" s="66" t="str">
        <f t="array" ref="E653">IF(D653="", "", XLOOKUP(D653, 'MASTER ITEM LIST'!A:A, 'MASTER ITEM LIST'!B:B, ""))</f>
        <v>CROCO MASKING TAPE 3/4 18MM (1X64)</v>
      </c>
      <c r="F653" s="31"/>
      <c r="G653" s="67" t="s">
        <v>34</v>
      </c>
      <c r="H653" s="31">
        <v>3.0</v>
      </c>
      <c r="I653" s="31" t="str">
        <f t="array" ref="I653">IFERROR(XLOOKUP(D653,'MASTER ITEM LIST'!A:A,'MASTER ITEM LIST'!D:D), "")</f>
        <v>PC/S</v>
      </c>
      <c r="J653" s="34">
        <v>35.0</v>
      </c>
      <c r="K653" s="69">
        <f t="shared" si="1"/>
        <v>105</v>
      </c>
      <c r="L653" s="70" t="s">
        <v>42</v>
      </c>
    </row>
    <row r="654" ht="22.5" customHeight="1">
      <c r="A654" s="29">
        <v>46155.0</v>
      </c>
      <c r="B654" s="31"/>
      <c r="C654" s="32" t="s">
        <v>711</v>
      </c>
      <c r="D654" s="23" t="s">
        <v>167</v>
      </c>
      <c r="E654" s="66" t="str">
        <f t="array" ref="E654">IF(D654="", "", XLOOKUP(D654, 'MASTER ITEM LIST'!A:A, 'MASTER ITEM LIST'!B:B, ""))</f>
        <v>NAX QDU MIX 1L</v>
      </c>
      <c r="F654" s="31"/>
      <c r="G654" s="67" t="s">
        <v>34</v>
      </c>
      <c r="H654" s="31">
        <v>0.5</v>
      </c>
      <c r="I654" s="31" t="str">
        <f t="array" ref="I654">IFERROR(XLOOKUP(D654,'MASTER ITEM LIST'!A:A,'MASTER ITEM LIST'!D:D), "")</f>
        <v>LITER</v>
      </c>
      <c r="J654" s="34">
        <v>1200.0</v>
      </c>
      <c r="K654" s="69">
        <f t="shared" si="1"/>
        <v>600</v>
      </c>
      <c r="L654" s="70" t="s">
        <v>42</v>
      </c>
    </row>
    <row r="655" ht="22.5" customHeight="1">
      <c r="A655" s="29">
        <v>46155.0</v>
      </c>
      <c r="B655" s="31"/>
      <c r="C655" s="32" t="s">
        <v>711</v>
      </c>
      <c r="D655" s="71" t="s">
        <v>410</v>
      </c>
      <c r="E655" s="66" t="str">
        <f t="array" ref="E655">IF(D655="", "", XLOOKUP(D655, 'MASTER ITEM LIST'!A:A, 'MASTER ITEM LIST'!B:B, ""))</f>
        <v>NAX NAX21 URETHANE HAEDENER</v>
      </c>
      <c r="F655" s="31"/>
      <c r="G655" s="67" t="s">
        <v>34</v>
      </c>
      <c r="H655" s="31">
        <v>1.0</v>
      </c>
      <c r="I655" s="31" t="str">
        <f t="array" ref="I655">IFERROR(XLOOKUP(D655,'MASTER ITEM LIST'!A:A,'MASTER ITEM LIST'!D:D), "")</f>
        <v>CANS</v>
      </c>
      <c r="J655" s="34">
        <v>240.0</v>
      </c>
      <c r="K655" s="69">
        <f t="shared" si="1"/>
        <v>240</v>
      </c>
      <c r="L655" s="70" t="s">
        <v>42</v>
      </c>
    </row>
    <row r="656" ht="22.5" customHeight="1">
      <c r="A656" s="29">
        <v>46156.0</v>
      </c>
      <c r="B656" s="31"/>
      <c r="C656" s="32" t="s">
        <v>711</v>
      </c>
      <c r="D656" s="71" t="s">
        <v>72</v>
      </c>
      <c r="E656" s="66" t="str">
        <f t="array" ref="E656">IF(D656="", "", XLOOKUP(D656, 'MASTER ITEM LIST'!A:A, 'MASTER ITEM LIST'!B:B, ""))</f>
        <v>NIPPON EXTREME QDU BLACK 4L</v>
      </c>
      <c r="F656" s="31"/>
      <c r="G656" s="67" t="s">
        <v>34</v>
      </c>
      <c r="H656" s="31">
        <v>0.125</v>
      </c>
      <c r="I656" s="31" t="str">
        <f t="array" ref="I656">IFERROR(XLOOKUP(D656,'MASTER ITEM LIST'!A:A,'MASTER ITEM LIST'!D:D), "")</f>
        <v>GAL</v>
      </c>
      <c r="J656" s="34">
        <v>2800.0</v>
      </c>
      <c r="K656" s="69">
        <f t="shared" si="1"/>
        <v>350</v>
      </c>
      <c r="L656" s="70" t="s">
        <v>42</v>
      </c>
    </row>
    <row r="657" ht="22.5" customHeight="1">
      <c r="A657" s="29">
        <v>46156.0</v>
      </c>
      <c r="B657" s="31"/>
      <c r="C657" s="32" t="s">
        <v>711</v>
      </c>
      <c r="D657" s="23" t="s">
        <v>220</v>
      </c>
      <c r="E657" s="66" t="str">
        <f t="array" ref="E657">IF(D657="", "", XLOOKUP(D657, 'MASTER ITEM LIST'!A:A, 'MASTER ITEM LIST'!B:B, ""))</f>
        <v>PREMILA MIXING 1L</v>
      </c>
      <c r="F657" s="31" t="s">
        <v>1445</v>
      </c>
      <c r="G657" s="67" t="s">
        <v>34</v>
      </c>
      <c r="H657" s="31">
        <v>0.25</v>
      </c>
      <c r="I657" s="31" t="str">
        <f t="array" ref="I657">IFERROR(XLOOKUP(D657,'MASTER ITEM LIST'!A:A,'MASTER ITEM LIST'!D:D), "")</f>
        <v>LITER</v>
      </c>
      <c r="J657" s="34">
        <v>2600.0</v>
      </c>
      <c r="K657" s="69">
        <f t="shared" si="1"/>
        <v>650</v>
      </c>
      <c r="L657" s="70" t="s">
        <v>42</v>
      </c>
    </row>
    <row r="658" ht="22.5" customHeight="1">
      <c r="A658" s="29">
        <v>46156.0</v>
      </c>
      <c r="B658" s="31"/>
      <c r="C658" s="32" t="s">
        <v>711</v>
      </c>
      <c r="D658" s="23" t="s">
        <v>1158</v>
      </c>
      <c r="E658" s="66" t="str">
        <f t="array" ref="E658">IF(D658="", "", XLOOKUP(D658, 'MASTER ITEM LIST'!A:A, 'MASTER ITEM LIST'!B:B, ""))</f>
        <v>NAX QDU MIX 4L</v>
      </c>
      <c r="F658" s="31"/>
      <c r="G658" s="67" t="s">
        <v>34</v>
      </c>
      <c r="H658" s="31">
        <v>2.0</v>
      </c>
      <c r="I658" s="31" t="str">
        <f t="array" ref="I658">IFERROR(XLOOKUP(D658,'MASTER ITEM LIST'!A:A,'MASTER ITEM LIST'!D:D), "")</f>
        <v>GALON</v>
      </c>
      <c r="J658" s="34">
        <v>2800.0</v>
      </c>
      <c r="K658" s="69">
        <f t="shared" si="1"/>
        <v>5600</v>
      </c>
      <c r="L658" s="70" t="s">
        <v>42</v>
      </c>
    </row>
    <row r="659" ht="22.5" customHeight="1">
      <c r="A659" s="29">
        <v>46156.0</v>
      </c>
      <c r="B659" s="31"/>
      <c r="C659" s="32" t="s">
        <v>711</v>
      </c>
      <c r="D659" s="71" t="s">
        <v>1158</v>
      </c>
      <c r="E659" s="66" t="str">
        <f t="array" ref="E659">IF(D659="", "", XLOOKUP(D659, 'MASTER ITEM LIST'!A:A, 'MASTER ITEM LIST'!B:B, ""))</f>
        <v>NAX QDU MIX 4L</v>
      </c>
      <c r="F659" s="31"/>
      <c r="G659" s="67" t="s">
        <v>34</v>
      </c>
      <c r="H659" s="31">
        <v>0.5</v>
      </c>
      <c r="I659" s="31" t="str">
        <f t="array" ref="I659">IFERROR(XLOOKUP(D659,'MASTER ITEM LIST'!A:A,'MASTER ITEM LIST'!D:D), "")</f>
        <v>GALON</v>
      </c>
      <c r="J659" s="34">
        <v>2800.0</v>
      </c>
      <c r="K659" s="69">
        <f t="shared" si="1"/>
        <v>1400</v>
      </c>
      <c r="L659" s="70" t="s">
        <v>42</v>
      </c>
    </row>
    <row r="660" ht="22.5" customHeight="1">
      <c r="A660" s="29">
        <v>46156.0</v>
      </c>
      <c r="B660" s="31"/>
      <c r="C660" s="32" t="s">
        <v>711</v>
      </c>
      <c r="D660" s="23" t="s">
        <v>167</v>
      </c>
      <c r="E660" s="66" t="str">
        <f t="array" ref="E660">IF(D660="", "", XLOOKUP(D660, 'MASTER ITEM LIST'!A:A, 'MASTER ITEM LIST'!B:B, ""))</f>
        <v>NAX QDU MIX 1L</v>
      </c>
      <c r="F660" s="31"/>
      <c r="G660" s="67" t="s">
        <v>34</v>
      </c>
      <c r="H660" s="31">
        <v>1.0</v>
      </c>
      <c r="I660" s="31" t="str">
        <f t="array" ref="I660">IFERROR(XLOOKUP(D660,'MASTER ITEM LIST'!A:A,'MASTER ITEM LIST'!D:D), "")</f>
        <v>LITER</v>
      </c>
      <c r="J660" s="34">
        <v>1600.0</v>
      </c>
      <c r="K660" s="69">
        <f t="shared" si="1"/>
        <v>1600</v>
      </c>
      <c r="L660" s="75" t="s">
        <v>42</v>
      </c>
    </row>
    <row r="661" ht="22.5" customHeight="1">
      <c r="A661" s="29">
        <v>46156.0</v>
      </c>
      <c r="B661" s="31"/>
      <c r="C661" s="32" t="s">
        <v>711</v>
      </c>
      <c r="D661" s="71" t="s">
        <v>304</v>
      </c>
      <c r="E661" s="66" t="str">
        <f t="array" ref="E661">IF(D661="", "", XLOOKUP(D661, 'MASTER ITEM LIST'!A:A, 'MASTER ITEM LIST'!B:B, ""))</f>
        <v>NAX NAT-100 TTC WHITE 4L</v>
      </c>
      <c r="F661" s="31"/>
      <c r="G661" s="67" t="s">
        <v>34</v>
      </c>
      <c r="H661" s="31">
        <v>0.03125</v>
      </c>
      <c r="I661" s="31" t="str">
        <f t="array" ref="I661">IFERROR(XLOOKUP(D661,'MASTER ITEM LIST'!A:A,'MASTER ITEM LIST'!D:D), "")</f>
        <v>GAL</v>
      </c>
      <c r="J661" s="34">
        <v>6080.0</v>
      </c>
      <c r="K661" s="69">
        <f t="shared" si="1"/>
        <v>190</v>
      </c>
      <c r="L661" s="70" t="s">
        <v>42</v>
      </c>
    </row>
    <row r="662" ht="22.5" customHeight="1">
      <c r="A662" s="29">
        <v>46156.0</v>
      </c>
      <c r="B662" s="31"/>
      <c r="C662" s="32" t="s">
        <v>711</v>
      </c>
      <c r="D662" s="71" t="s">
        <v>957</v>
      </c>
      <c r="E662" s="66" t="str">
        <f t="array" ref="E662">IF(D662="", "", XLOOKUP(D662, 'MASTER ITEM LIST'!A:A, 'MASTER ITEM LIST'!B:B, ""))</f>
        <v>NAX 301 NAX QDU FLAT CLEAR WITH HARDENER 1L</v>
      </c>
      <c r="F662" s="31"/>
      <c r="G662" s="67" t="s">
        <v>34</v>
      </c>
      <c r="H662" s="31">
        <v>0.125</v>
      </c>
      <c r="I662" s="31" t="str">
        <f t="array" ref="I662">IFERROR(XLOOKUP(D662,'MASTER ITEM LIST'!A:A,'MASTER ITEM LIST'!D:D), "")</f>
        <v>LITER</v>
      </c>
      <c r="J662" s="34">
        <v>1200.0</v>
      </c>
      <c r="K662" s="69">
        <f t="shared" si="1"/>
        <v>150</v>
      </c>
      <c r="L662" s="70" t="s">
        <v>42</v>
      </c>
    </row>
    <row r="663" ht="22.5" customHeight="1">
      <c r="A663" s="29">
        <v>46192.0</v>
      </c>
      <c r="B663" s="31" t="s">
        <v>1478</v>
      </c>
      <c r="C663" s="32" t="s">
        <v>1479</v>
      </c>
      <c r="D663" s="71" t="s">
        <v>104</v>
      </c>
      <c r="E663" s="66" t="str">
        <f t="array" ref="E663">IF(D663="", "", XLOOKUP(D663, 'MASTER ITEM LIST'!A:A, 'MASTER ITEM LIST'!B:B, ""))</f>
        <v>BOYSEN ACRYTEX GLOSS WHITE 4L</v>
      </c>
      <c r="F663" s="31"/>
      <c r="G663" s="67" t="s">
        <v>34</v>
      </c>
      <c r="H663" s="31">
        <v>1.0</v>
      </c>
      <c r="I663" s="31" t="str">
        <f t="array" ref="I663">IFERROR(XLOOKUP(D663,'MASTER ITEM LIST'!A:A,'MASTER ITEM LIST'!D:D), "")</f>
        <v>GALON</v>
      </c>
      <c r="J663" s="34">
        <v>1245.0</v>
      </c>
      <c r="K663" s="69">
        <f t="shared" si="1"/>
        <v>1245</v>
      </c>
      <c r="L663" s="70" t="s">
        <v>42</v>
      </c>
    </row>
    <row r="664" ht="22.5" customHeight="1">
      <c r="A664" s="29">
        <v>46156.0</v>
      </c>
      <c r="B664" s="31"/>
      <c r="C664" s="32" t="s">
        <v>711</v>
      </c>
      <c r="D664" s="23" t="s">
        <v>167</v>
      </c>
      <c r="E664" s="66" t="str">
        <f t="array" ref="E664">IF(D664="", "", XLOOKUP(D664, 'MASTER ITEM LIST'!A:A, 'MASTER ITEM LIST'!B:B, ""))</f>
        <v>NAX QDU MIX 1L</v>
      </c>
      <c r="F664" s="31"/>
      <c r="G664" s="67" t="s">
        <v>34</v>
      </c>
      <c r="H664" s="31">
        <v>0.125</v>
      </c>
      <c r="I664" s="31" t="str">
        <f t="array" ref="I664">IFERROR(XLOOKUP(D664,'MASTER ITEM LIST'!A:A,'MASTER ITEM LIST'!D:D), "")</f>
        <v>LITER</v>
      </c>
      <c r="J664" s="34">
        <v>1600.0</v>
      </c>
      <c r="K664" s="69">
        <f t="shared" si="1"/>
        <v>200</v>
      </c>
      <c r="L664" s="70" t="s">
        <v>42</v>
      </c>
    </row>
    <row r="665" ht="22.5" customHeight="1">
      <c r="A665" s="29">
        <v>46157.0</v>
      </c>
      <c r="B665" s="31"/>
      <c r="C665" s="32" t="s">
        <v>711</v>
      </c>
      <c r="D665" s="71" t="s">
        <v>90</v>
      </c>
      <c r="E665" s="66" t="str">
        <f t="array" ref="E665">IF(D665="", "", XLOOKUP(D665, 'MASTER ITEM LIST'!A:A, 'MASTER ITEM LIST'!B:B, ""))</f>
        <v>NAX SOB757 HIGH GRADE URETHANE THINNER 4L</v>
      </c>
      <c r="F665" s="31"/>
      <c r="G665" s="67" t="s">
        <v>34</v>
      </c>
      <c r="H665" s="31">
        <v>0.5</v>
      </c>
      <c r="I665" s="31" t="str">
        <f t="array" ref="I665">IFERROR(XLOOKUP(D665,'MASTER ITEM LIST'!A:A,'MASTER ITEM LIST'!D:D), "")</f>
        <v>GAL</v>
      </c>
      <c r="J665" s="34">
        <v>700.0</v>
      </c>
      <c r="K665" s="69">
        <f t="shared" si="1"/>
        <v>350</v>
      </c>
      <c r="L665" s="70" t="s">
        <v>42</v>
      </c>
    </row>
    <row r="666" ht="22.5" customHeight="1">
      <c r="A666" s="29">
        <v>46157.0</v>
      </c>
      <c r="B666" s="31"/>
      <c r="C666" s="32" t="s">
        <v>711</v>
      </c>
      <c r="D666" s="71" t="s">
        <v>64</v>
      </c>
      <c r="E666" s="66" t="str">
        <f t="array" ref="E666">IF(D666="", "", XLOOKUP(D666, 'MASTER ITEM LIST'!A:A, 'MASTER ITEM LIST'!B:B, ""))</f>
        <v>POLYGLOSS PU FLAT BLACK 4L</v>
      </c>
      <c r="F666" s="31"/>
      <c r="G666" s="67" t="s">
        <v>34</v>
      </c>
      <c r="H666" s="31">
        <v>0.125</v>
      </c>
      <c r="I666" s="31" t="str">
        <f t="array" ref="I666">IFERROR(XLOOKUP(D666,'MASTER ITEM LIST'!A:A,'MASTER ITEM LIST'!D:D), "")</f>
        <v>GALON</v>
      </c>
      <c r="J666" s="34">
        <v>3040.0</v>
      </c>
      <c r="K666" s="69">
        <f t="shared" si="1"/>
        <v>380</v>
      </c>
      <c r="L666" s="70" t="s">
        <v>42</v>
      </c>
    </row>
    <row r="667" ht="22.5" customHeight="1">
      <c r="A667" s="29">
        <v>46157.0</v>
      </c>
      <c r="B667" s="31"/>
      <c r="C667" s="32" t="s">
        <v>711</v>
      </c>
      <c r="D667" s="23" t="s">
        <v>220</v>
      </c>
      <c r="E667" s="66" t="str">
        <f t="array" ref="E667">IF(D667="", "", XLOOKUP(D667, 'MASTER ITEM LIST'!A:A, 'MASTER ITEM LIST'!B:B, ""))</f>
        <v>PREMILA MIXING 1L</v>
      </c>
      <c r="F667" s="31" t="s">
        <v>1506</v>
      </c>
      <c r="G667" s="67" t="s">
        <v>34</v>
      </c>
      <c r="H667" s="31">
        <v>0.25</v>
      </c>
      <c r="I667" s="31" t="str">
        <f t="array" ref="I667">IFERROR(XLOOKUP(D667,'MASTER ITEM LIST'!A:A,'MASTER ITEM LIST'!D:D), "")</f>
        <v>LITER</v>
      </c>
      <c r="J667" s="34">
        <v>2600.0</v>
      </c>
      <c r="K667" s="69">
        <f t="shared" si="1"/>
        <v>650</v>
      </c>
      <c r="L667" s="70" t="s">
        <v>42</v>
      </c>
    </row>
    <row r="668" ht="22.5" customHeight="1">
      <c r="A668" s="29">
        <v>46157.0</v>
      </c>
      <c r="B668" s="31"/>
      <c r="C668" s="32" t="s">
        <v>711</v>
      </c>
      <c r="D668" s="71" t="s">
        <v>136</v>
      </c>
      <c r="E668" s="66" t="str">
        <f t="array" ref="E668">IF(D668="", "", XLOOKUP(D668, 'MASTER ITEM LIST'!A:A, 'MASTER ITEM LIST'!B:B, ""))</f>
        <v>CROCO MASKING TAPE 3/4 18MM (1X64)</v>
      </c>
      <c r="F668" s="31"/>
      <c r="G668" s="67" t="s">
        <v>34</v>
      </c>
      <c r="H668" s="31">
        <v>2.0</v>
      </c>
      <c r="I668" s="31" t="str">
        <f t="array" ref="I668">IFERROR(XLOOKUP(D668,'MASTER ITEM LIST'!A:A,'MASTER ITEM LIST'!D:D), "")</f>
        <v>PC/S</v>
      </c>
      <c r="J668" s="34">
        <v>35.0</v>
      </c>
      <c r="K668" s="69">
        <f t="shared" si="1"/>
        <v>70</v>
      </c>
      <c r="L668" s="70" t="s">
        <v>42</v>
      </c>
    </row>
    <row r="669" ht="22.5" customHeight="1">
      <c r="A669" s="29">
        <v>46157.0</v>
      </c>
      <c r="B669" s="31"/>
      <c r="C669" s="32" t="s">
        <v>711</v>
      </c>
      <c r="D669" s="71" t="s">
        <v>1051</v>
      </c>
      <c r="E669" s="66" t="str">
        <f t="array" ref="E669">IF(D669="", "", XLOOKUP(D669, 'MASTER ITEM LIST'!A:A, 'MASTER ITEM LIST'!B:B, ""))</f>
        <v>CUMI SUPREME FLOOR SANDING 100</v>
      </c>
      <c r="F669" s="31"/>
      <c r="G669" s="67" t="s">
        <v>34</v>
      </c>
      <c r="H669" s="31">
        <v>3.0</v>
      </c>
      <c r="I669" s="31" t="str">
        <f t="array" ref="I669">IFERROR(XLOOKUP(D669,'MASTER ITEM LIST'!A:A,'MASTER ITEM LIST'!D:D), "")</f>
        <v>FT</v>
      </c>
      <c r="J669" s="34">
        <v>95.0</v>
      </c>
      <c r="K669" s="69">
        <f t="shared" si="1"/>
        <v>285</v>
      </c>
      <c r="L669" s="70" t="s">
        <v>42</v>
      </c>
    </row>
    <row r="670" ht="22.5" customHeight="1">
      <c r="A670" s="29">
        <v>46157.0</v>
      </c>
      <c r="B670" s="31"/>
      <c r="C670" s="32" t="s">
        <v>711</v>
      </c>
      <c r="D670" s="71" t="s">
        <v>1051</v>
      </c>
      <c r="E670" s="66" t="str">
        <f t="array" ref="E670">IF(D670="", "", XLOOKUP(D670, 'MASTER ITEM LIST'!A:A, 'MASTER ITEM LIST'!B:B, ""))</f>
        <v>CUMI SUPREME FLOOR SANDING 100</v>
      </c>
      <c r="F670" s="31"/>
      <c r="G670" s="67" t="s">
        <v>34</v>
      </c>
      <c r="H670" s="31">
        <v>3.0</v>
      </c>
      <c r="I670" s="31" t="str">
        <f t="array" ref="I670">IFERROR(XLOOKUP(D670,'MASTER ITEM LIST'!A:A,'MASTER ITEM LIST'!D:D), "")</f>
        <v>FT</v>
      </c>
      <c r="J670" s="34">
        <v>95.0</v>
      </c>
      <c r="K670" s="69">
        <f t="shared" si="1"/>
        <v>285</v>
      </c>
      <c r="L670" s="70" t="s">
        <v>42</v>
      </c>
    </row>
    <row r="671" ht="22.5" customHeight="1">
      <c r="A671" s="29">
        <v>46158.0</v>
      </c>
      <c r="B671" s="31"/>
      <c r="C671" s="32" t="s">
        <v>711</v>
      </c>
      <c r="D671" s="71" t="s">
        <v>551</v>
      </c>
      <c r="E671" s="66" t="str">
        <f t="array" ref="E671">IF(D671="", "", XLOOKUP(D671, 'MASTER ITEM LIST'!A:A, 'MASTER ITEM LIST'!B:B, ""))</f>
        <v>NIPPON FLATWALL ENAMEL WHITE 4L</v>
      </c>
      <c r="F671" s="31"/>
      <c r="G671" s="67" t="s">
        <v>34</v>
      </c>
      <c r="H671" s="31">
        <v>1.0</v>
      </c>
      <c r="I671" s="31" t="str">
        <f t="array" ref="I671">IFERROR(XLOOKUP(D671,'MASTER ITEM LIST'!A:A,'MASTER ITEM LIST'!D:D), "")</f>
        <v>GAL</v>
      </c>
      <c r="J671" s="34">
        <v>880.0</v>
      </c>
      <c r="K671" s="69">
        <f t="shared" si="1"/>
        <v>880</v>
      </c>
      <c r="L671" s="70" t="s">
        <v>42</v>
      </c>
    </row>
    <row r="672" ht="22.5" customHeight="1">
      <c r="A672" s="29">
        <v>46158.0</v>
      </c>
      <c r="B672" s="31"/>
      <c r="C672" s="32" t="s">
        <v>711</v>
      </c>
      <c r="D672" s="71" t="s">
        <v>134</v>
      </c>
      <c r="E672" s="66" t="str">
        <f t="array" ref="E672">IF(D672="", "", XLOOKUP(D672, 'MASTER ITEM LIST'!A:A, 'MASTER ITEM LIST'!B:B, ""))</f>
        <v>QDE MIXING NP, DAVIES, BOYSEN, ALPHA CHROMA, WC 1L</v>
      </c>
      <c r="F672" s="31"/>
      <c r="G672" s="67" t="s">
        <v>34</v>
      </c>
      <c r="H672" s="31">
        <v>4.0</v>
      </c>
      <c r="I672" s="31" t="str">
        <f t="array" ref="I672">IFERROR(XLOOKUP(D672,'MASTER ITEM LIST'!A:A,'MASTER ITEM LIST'!D:D), "")</f>
        <v>LITER</v>
      </c>
      <c r="J672" s="34">
        <v>300.0</v>
      </c>
      <c r="K672" s="69">
        <f t="shared" si="1"/>
        <v>1200</v>
      </c>
      <c r="L672" s="70" t="s">
        <v>42</v>
      </c>
    </row>
    <row r="673" ht="22.5" customHeight="1">
      <c r="A673" s="29">
        <v>46158.0</v>
      </c>
      <c r="B673" s="31"/>
      <c r="C673" s="32" t="s">
        <v>711</v>
      </c>
      <c r="D673" s="71" t="s">
        <v>505</v>
      </c>
      <c r="E673" s="66" t="str">
        <f t="array" ref="E673">IF(D673="", "", XLOOKUP(D673, 'MASTER ITEM LIST'!A:A, 'MASTER ITEM LIST'!B:B, ""))</f>
        <v>PAINT ROLLER TRAY</v>
      </c>
      <c r="F673" s="31"/>
      <c r="G673" s="67" t="s">
        <v>34</v>
      </c>
      <c r="H673" s="31">
        <v>1.0</v>
      </c>
      <c r="I673" s="31" t="str">
        <f t="array" ref="I673">IFERROR(XLOOKUP(D673,'MASTER ITEM LIST'!A:A,'MASTER ITEM LIST'!D:D), "")</f>
        <v>PC/S</v>
      </c>
      <c r="J673" s="34">
        <v>80.0</v>
      </c>
      <c r="K673" s="69">
        <f t="shared" si="1"/>
        <v>80</v>
      </c>
      <c r="L673" s="70" t="s">
        <v>42</v>
      </c>
    </row>
    <row r="674" ht="22.5" customHeight="1">
      <c r="A674" s="29">
        <v>46158.0</v>
      </c>
      <c r="B674" s="31"/>
      <c r="C674" s="32" t="s">
        <v>711</v>
      </c>
      <c r="D674" s="71" t="s">
        <v>1052</v>
      </c>
      <c r="E674" s="66" t="str">
        <f t="array" ref="E674">IF(D674="", "", XLOOKUP(D674, 'MASTER ITEM LIST'!A:A, 'MASTER ITEM LIST'!B:B, ""))</f>
        <v>DRAGONFLY PAINT ROLLER #7 W/H</v>
      </c>
      <c r="F674" s="31"/>
      <c r="G674" s="67" t="s">
        <v>34</v>
      </c>
      <c r="H674" s="31">
        <v>1.0</v>
      </c>
      <c r="I674" s="31" t="str">
        <f t="array" ref="I674">IFERROR(XLOOKUP(D674,'MASTER ITEM LIST'!A:A,'MASTER ITEM LIST'!D:D), "")</f>
        <v>PC/S</v>
      </c>
      <c r="J674" s="34">
        <v>85.0</v>
      </c>
      <c r="K674" s="69">
        <f t="shared" si="1"/>
        <v>85</v>
      </c>
      <c r="L674" s="70" t="s">
        <v>42</v>
      </c>
    </row>
    <row r="675" ht="22.5" customHeight="1">
      <c r="A675" s="29">
        <v>46158.0</v>
      </c>
      <c r="B675" s="31"/>
      <c r="C675" s="32" t="s">
        <v>711</v>
      </c>
      <c r="D675" s="71" t="s">
        <v>177</v>
      </c>
      <c r="E675" s="66" t="str">
        <f t="array" ref="E675">IF(D675="", "", XLOOKUP(D675, 'MASTER ITEM LIST'!A:A, 'MASTER ITEM LIST'!B:B, ""))</f>
        <v>UNO LACQUER THINNER BOT</v>
      </c>
      <c r="F675" s="31"/>
      <c r="G675" s="67" t="s">
        <v>34</v>
      </c>
      <c r="H675" s="31">
        <v>1.0</v>
      </c>
      <c r="I675" s="31" t="str">
        <f t="array" ref="I675">IFERROR(XLOOKUP(D675,'MASTER ITEM LIST'!A:A,'MASTER ITEM LIST'!D:D), "")</f>
        <v>BOT</v>
      </c>
      <c r="J675" s="34">
        <v>75.0</v>
      </c>
      <c r="K675" s="69">
        <f t="shared" si="1"/>
        <v>75</v>
      </c>
      <c r="L675" s="70" t="s">
        <v>42</v>
      </c>
    </row>
    <row r="676" ht="22.5" customHeight="1">
      <c r="A676" s="29">
        <v>46158.0</v>
      </c>
      <c r="B676" s="31"/>
      <c r="C676" s="32" t="s">
        <v>711</v>
      </c>
      <c r="D676" s="23" t="s">
        <v>167</v>
      </c>
      <c r="E676" s="66" t="str">
        <f t="array" ref="E676">IF(D676="", "", XLOOKUP(D676, 'MASTER ITEM LIST'!A:A, 'MASTER ITEM LIST'!B:B, ""))</f>
        <v>NAX QDU MIX 1L</v>
      </c>
      <c r="F676" s="31"/>
      <c r="G676" s="67" t="s">
        <v>34</v>
      </c>
      <c r="H676" s="31">
        <v>0.25</v>
      </c>
      <c r="I676" s="31" t="str">
        <f t="array" ref="I676">IFERROR(XLOOKUP(D676,'MASTER ITEM LIST'!A:A,'MASTER ITEM LIST'!D:D), "")</f>
        <v>LITER</v>
      </c>
      <c r="J676" s="34">
        <v>800.0</v>
      </c>
      <c r="K676" s="69">
        <f t="shared" si="1"/>
        <v>200</v>
      </c>
      <c r="L676" s="70" t="s">
        <v>42</v>
      </c>
    </row>
    <row r="677" ht="22.5" customHeight="1">
      <c r="A677" s="29">
        <v>46160.0</v>
      </c>
      <c r="B677" s="31"/>
      <c r="C677" s="32" t="s">
        <v>711</v>
      </c>
      <c r="D677" s="23" t="s">
        <v>1174</v>
      </c>
      <c r="E677" s="66" t="str">
        <f t="array" ref="E677">IF(D677="", "", XLOOKUP(D677, 'MASTER ITEM LIST'!A:A, 'MASTER ITEM LIST'!B:B, ""))</f>
        <v>ROS-BRIDAL GOWN-4L</v>
      </c>
      <c r="F677" s="31"/>
      <c r="G677" s="67" t="s">
        <v>34</v>
      </c>
      <c r="H677" s="31">
        <v>1.0</v>
      </c>
      <c r="I677" s="31" t="str">
        <f t="array" ref="I677">IFERROR(XLOOKUP(D677,'MASTER ITEM LIST'!A:A,'MASTER ITEM LIST'!D:D), "")</f>
        <v>GALON</v>
      </c>
      <c r="J677" s="34">
        <v>950.0</v>
      </c>
      <c r="K677" s="69">
        <f t="shared" si="1"/>
        <v>950</v>
      </c>
      <c r="L677" s="70" t="s">
        <v>42</v>
      </c>
    </row>
    <row r="678" ht="22.5" customHeight="1">
      <c r="A678" s="29">
        <v>46160.0</v>
      </c>
      <c r="B678" s="31"/>
      <c r="C678" s="32" t="s">
        <v>711</v>
      </c>
      <c r="D678" s="71" t="s">
        <v>112</v>
      </c>
      <c r="E678" s="66" t="str">
        <f t="array" ref="E678">IF(D678="", "", XLOOKUP(D678, 'MASTER ITEM LIST'!A:A, 'MASTER ITEM LIST'!B:B, ""))</f>
        <v>2B PAINT ROLLER #7</v>
      </c>
      <c r="F678" s="31"/>
      <c r="G678" s="67" t="s">
        <v>34</v>
      </c>
      <c r="H678" s="31">
        <v>1.0</v>
      </c>
      <c r="I678" s="31" t="str">
        <f t="array" ref="I678">IFERROR(XLOOKUP(D678,'MASTER ITEM LIST'!A:A,'MASTER ITEM LIST'!D:D), "")</f>
        <v>PC/S</v>
      </c>
      <c r="J678" s="34">
        <v>85.0</v>
      </c>
      <c r="K678" s="69">
        <f t="shared" si="1"/>
        <v>85</v>
      </c>
      <c r="L678" s="70" t="s">
        <v>42</v>
      </c>
    </row>
    <row r="679" ht="22.5" customHeight="1">
      <c r="A679" s="29">
        <v>46160.0</v>
      </c>
      <c r="B679" s="31"/>
      <c r="C679" s="32" t="s">
        <v>711</v>
      </c>
      <c r="D679" s="71" t="s">
        <v>40</v>
      </c>
      <c r="E679" s="66" t="str">
        <f t="array" ref="E679">IF(D679="", "", XLOOKUP(D679, 'MASTER ITEM LIST'!A:A, 'MASTER ITEM LIST'!B:B, ""))</f>
        <v>2B PAINT BRUSH #2</v>
      </c>
      <c r="F679" s="31"/>
      <c r="G679" s="67" t="s">
        <v>34</v>
      </c>
      <c r="H679" s="31">
        <v>1.0</v>
      </c>
      <c r="I679" s="31" t="str">
        <f t="array" ref="I679">IFERROR(XLOOKUP(D679,'MASTER ITEM LIST'!A:A,'MASTER ITEM LIST'!D:D), "")</f>
        <v>PC/S</v>
      </c>
      <c r="J679" s="34">
        <v>50.0</v>
      </c>
      <c r="K679" s="69">
        <f t="shared" si="1"/>
        <v>50</v>
      </c>
      <c r="L679" s="70" t="s">
        <v>42</v>
      </c>
    </row>
    <row r="680" ht="22.5" customHeight="1">
      <c r="A680" s="29">
        <v>46160.0</v>
      </c>
      <c r="B680" s="31"/>
      <c r="C680" s="32" t="s">
        <v>711</v>
      </c>
      <c r="D680" s="71" t="s">
        <v>90</v>
      </c>
      <c r="E680" s="66" t="str">
        <f t="array" ref="E680">IF(D680="", "", XLOOKUP(D680, 'MASTER ITEM LIST'!A:A, 'MASTER ITEM LIST'!B:B, ""))</f>
        <v>NAX SOB757 HIGH GRADE URETHANE THINNER 4L</v>
      </c>
      <c r="F680" s="31"/>
      <c r="G680" s="67" t="s">
        <v>34</v>
      </c>
      <c r="H680" s="31">
        <v>0.25</v>
      </c>
      <c r="I680" s="31" t="str">
        <f t="array" ref="I680">IFERROR(XLOOKUP(D680,'MASTER ITEM LIST'!A:A,'MASTER ITEM LIST'!D:D), "")</f>
        <v>GAL</v>
      </c>
      <c r="J680" s="34">
        <v>800.0</v>
      </c>
      <c r="K680" s="69">
        <f t="shared" si="1"/>
        <v>200</v>
      </c>
      <c r="L680" s="70" t="s">
        <v>42</v>
      </c>
    </row>
    <row r="681" ht="22.5" customHeight="1">
      <c r="A681" s="29">
        <v>46160.0</v>
      </c>
      <c r="B681" s="31"/>
      <c r="C681" s="32" t="s">
        <v>711</v>
      </c>
      <c r="D681" s="71" t="s">
        <v>233</v>
      </c>
      <c r="E681" s="66" t="str">
        <f t="array" ref="E681">IF(D681="", "", XLOOKUP(D681, 'MASTER ITEM LIST'!A:A, 'MASTER ITEM LIST'!B:B, ""))</f>
        <v>NAX ALPHA HB SPRAY FILLER GRAY WITH HARDENER 1L</v>
      </c>
      <c r="F681" s="31"/>
      <c r="G681" s="67" t="s">
        <v>34</v>
      </c>
      <c r="H681" s="31">
        <v>0.5</v>
      </c>
      <c r="I681" s="31" t="str">
        <f t="array" ref="I681">IFERROR(XLOOKUP(D681,'MASTER ITEM LIST'!A:A,'MASTER ITEM LIST'!D:D), "")</f>
        <v>LITER</v>
      </c>
      <c r="J681" s="34">
        <v>600.0</v>
      </c>
      <c r="K681" s="69">
        <f t="shared" si="1"/>
        <v>300</v>
      </c>
      <c r="L681" s="70" t="s">
        <v>42</v>
      </c>
    </row>
    <row r="682" ht="22.5" customHeight="1">
      <c r="A682" s="29">
        <v>46160.0</v>
      </c>
      <c r="B682" s="31"/>
      <c r="C682" s="32" t="s">
        <v>711</v>
      </c>
      <c r="D682" s="71" t="s">
        <v>53</v>
      </c>
      <c r="E682" s="66" t="str">
        <f t="array" ref="E682">IF(D682="", "", XLOOKUP(D682, 'MASTER ITEM LIST'!A:A, 'MASTER ITEM LIST'!B:B, ""))</f>
        <v>NAX 108 CERAMIC 2K CLEAR WITH HARDENER 1L</v>
      </c>
      <c r="F682" s="31"/>
      <c r="G682" s="67" t="s">
        <v>34</v>
      </c>
      <c r="H682" s="31">
        <v>1.0</v>
      </c>
      <c r="I682" s="31" t="str">
        <f t="array" ref="I682">IFERROR(XLOOKUP(D682,'MASTER ITEM LIST'!A:A,'MASTER ITEM LIST'!D:D), "")</f>
        <v>LITER</v>
      </c>
      <c r="J682" s="34">
        <v>650.0</v>
      </c>
      <c r="K682" s="69">
        <f t="shared" si="1"/>
        <v>650</v>
      </c>
      <c r="L682" s="70" t="s">
        <v>42</v>
      </c>
    </row>
    <row r="683" ht="22.5" customHeight="1">
      <c r="A683" s="29">
        <v>46160.0</v>
      </c>
      <c r="B683" s="31"/>
      <c r="C683" s="32" t="s">
        <v>711</v>
      </c>
      <c r="D683" s="71" t="s">
        <v>90</v>
      </c>
      <c r="E683" s="66" t="str">
        <f t="array" ref="E683">IF(D683="", "", XLOOKUP(D683, 'MASTER ITEM LIST'!A:A, 'MASTER ITEM LIST'!B:B, ""))</f>
        <v>NAX SOB757 HIGH GRADE URETHANE THINNER 4L</v>
      </c>
      <c r="F683" s="31"/>
      <c r="G683" s="67" t="s">
        <v>34</v>
      </c>
      <c r="H683" s="31">
        <v>1.0</v>
      </c>
      <c r="I683" s="31" t="str">
        <f t="array" ref="I683">IFERROR(XLOOKUP(D683,'MASTER ITEM LIST'!A:A,'MASTER ITEM LIST'!D:D), "")</f>
        <v>GAL</v>
      </c>
      <c r="J683" s="34">
        <v>750.0</v>
      </c>
      <c r="K683" s="69">
        <f t="shared" si="1"/>
        <v>750</v>
      </c>
      <c r="L683" s="70" t="s">
        <v>42</v>
      </c>
    </row>
    <row r="684" ht="22.5" customHeight="1">
      <c r="A684" s="29">
        <v>46160.0</v>
      </c>
      <c r="B684" s="31"/>
      <c r="C684" s="32" t="s">
        <v>711</v>
      </c>
      <c r="D684" s="23" t="s">
        <v>410</v>
      </c>
      <c r="E684" s="66" t="str">
        <f t="array" ref="E684">IF(D684="", "", XLOOKUP(D684, 'MASTER ITEM LIST'!A:A, 'MASTER ITEM LIST'!B:B, ""))</f>
        <v>NAX NAX21 URETHANE HAEDENER</v>
      </c>
      <c r="F684" s="31"/>
      <c r="G684" s="67" t="s">
        <v>34</v>
      </c>
      <c r="H684" s="31">
        <v>1.0</v>
      </c>
      <c r="I684" s="31" t="str">
        <f t="array" ref="I684">IFERROR(XLOOKUP(D684,'MASTER ITEM LIST'!A:A,'MASTER ITEM LIST'!D:D), "")</f>
        <v>CANS</v>
      </c>
      <c r="J684" s="34">
        <v>260.0</v>
      </c>
      <c r="K684" s="69">
        <f t="shared" si="1"/>
        <v>260</v>
      </c>
      <c r="L684" s="70" t="s">
        <v>42</v>
      </c>
    </row>
    <row r="685" ht="22.5" customHeight="1">
      <c r="A685" s="29">
        <v>46160.0</v>
      </c>
      <c r="B685" s="31"/>
      <c r="C685" s="32" t="s">
        <v>711</v>
      </c>
      <c r="D685" s="23" t="s">
        <v>548</v>
      </c>
      <c r="E685" s="66" t="str">
        <f t="array" ref="E685">IF(D685="", "", XLOOKUP(D685, 'MASTER ITEM LIST'!A:A, 'MASTER ITEM LIST'!B:B, ""))</f>
        <v>EAGLE SANDPAPER #240</v>
      </c>
      <c r="F685" s="31"/>
      <c r="G685" s="67" t="s">
        <v>34</v>
      </c>
      <c r="H685" s="31">
        <v>2.0</v>
      </c>
      <c r="I685" s="31" t="str">
        <f t="array" ref="I685">IFERROR(XLOOKUP(D685,'MASTER ITEM LIST'!A:A,'MASTER ITEM LIST'!D:D), "")</f>
        <v>PC/S</v>
      </c>
      <c r="J685" s="34">
        <v>25.0</v>
      </c>
      <c r="K685" s="69">
        <f t="shared" si="1"/>
        <v>50</v>
      </c>
      <c r="L685" s="70" t="s">
        <v>42</v>
      </c>
    </row>
    <row r="686" ht="22.5" customHeight="1">
      <c r="A686" s="29">
        <v>46160.0</v>
      </c>
      <c r="B686" s="31"/>
      <c r="C686" s="32" t="s">
        <v>711</v>
      </c>
      <c r="D686" s="23" t="s">
        <v>554</v>
      </c>
      <c r="E686" s="66" t="str">
        <f t="array" ref="E686">IF(D686="", "", XLOOKUP(D686, 'MASTER ITEM LIST'!A:A, 'MASTER ITEM LIST'!B:B, ""))</f>
        <v>EAGLE SANDPAPER #400</v>
      </c>
      <c r="F686" s="31"/>
      <c r="G686" s="67" t="s">
        <v>34</v>
      </c>
      <c r="H686" s="31">
        <v>2.0</v>
      </c>
      <c r="I686" s="31" t="str">
        <f t="array" ref="I686">IFERROR(XLOOKUP(D686,'MASTER ITEM LIST'!A:A,'MASTER ITEM LIST'!D:D), "")</f>
        <v>PC/S</v>
      </c>
      <c r="J686" s="34">
        <v>25.0</v>
      </c>
      <c r="K686" s="69">
        <f t="shared" si="1"/>
        <v>50</v>
      </c>
      <c r="L686" s="70" t="s">
        <v>42</v>
      </c>
    </row>
    <row r="687" ht="22.5" customHeight="1">
      <c r="A687" s="29">
        <v>46160.0</v>
      </c>
      <c r="B687" s="31"/>
      <c r="C687" s="32" t="s">
        <v>711</v>
      </c>
      <c r="D687" s="23" t="s">
        <v>432</v>
      </c>
      <c r="E687" s="66" t="str">
        <f t="array" ref="E687">IF(D687="", "", XLOOKUP(D687, 'MASTER ITEM LIST'!A:A, 'MASTER ITEM LIST'!B:B, ""))</f>
        <v>EAGLE SANDPAPER #600</v>
      </c>
      <c r="F687" s="31"/>
      <c r="G687" s="67" t="s">
        <v>34</v>
      </c>
      <c r="H687" s="31">
        <v>2.0</v>
      </c>
      <c r="I687" s="31" t="str">
        <f t="array" ref="I687">IFERROR(XLOOKUP(D687,'MASTER ITEM LIST'!A:A,'MASTER ITEM LIST'!D:D), "")</f>
        <v>PCS</v>
      </c>
      <c r="J687" s="34">
        <v>25.0</v>
      </c>
      <c r="K687" s="69">
        <f t="shared" si="1"/>
        <v>50</v>
      </c>
      <c r="L687" s="70" t="s">
        <v>42</v>
      </c>
    </row>
    <row r="688" ht="22.5" customHeight="1">
      <c r="A688" s="29">
        <v>46160.0</v>
      </c>
      <c r="B688" s="31"/>
      <c r="C688" s="32" t="s">
        <v>711</v>
      </c>
      <c r="D688" s="71" t="s">
        <v>233</v>
      </c>
      <c r="E688" s="66" t="str">
        <f t="array" ref="E688">IF(D688="", "", XLOOKUP(D688, 'MASTER ITEM LIST'!A:A, 'MASTER ITEM LIST'!B:B, ""))</f>
        <v>NAX ALPHA HB SPRAY FILLER GRAY WITH HARDENER 1L</v>
      </c>
      <c r="F688" s="31"/>
      <c r="G688" s="67" t="s">
        <v>34</v>
      </c>
      <c r="H688" s="31">
        <v>0.5</v>
      </c>
      <c r="I688" s="31" t="str">
        <f t="array" ref="I688">IFERROR(XLOOKUP(D688,'MASTER ITEM LIST'!A:A,'MASTER ITEM LIST'!D:D), "")</f>
        <v>LITER</v>
      </c>
      <c r="J688" s="34">
        <v>600.0</v>
      </c>
      <c r="K688" s="69">
        <f t="shared" si="1"/>
        <v>300</v>
      </c>
      <c r="L688" s="70" t="s">
        <v>42</v>
      </c>
    </row>
    <row r="689" ht="22.5" customHeight="1">
      <c r="A689" s="29">
        <v>46160.0</v>
      </c>
      <c r="B689" s="31"/>
      <c r="C689" s="32" t="s">
        <v>711</v>
      </c>
      <c r="D689" s="71" t="s">
        <v>1019</v>
      </c>
      <c r="E689" s="66" t="str">
        <f t="array" ref="E689">IF(D689="", "", XLOOKUP(D689, 'MASTER ITEM LIST'!A:A, 'MASTER ITEM LIST'!B:B, ""))</f>
        <v>GI PAINT REMOVER BOTTLE</v>
      </c>
      <c r="F689" s="31"/>
      <c r="G689" s="67" t="s">
        <v>34</v>
      </c>
      <c r="H689" s="31">
        <v>5.0</v>
      </c>
      <c r="I689" s="31" t="str">
        <f t="array" ref="I689">IFERROR(XLOOKUP(D689,'MASTER ITEM LIST'!A:A,'MASTER ITEM LIST'!D:D), "")</f>
        <v>BOT</v>
      </c>
      <c r="J689" s="34">
        <v>100.0</v>
      </c>
      <c r="K689" s="69">
        <f t="shared" si="1"/>
        <v>500</v>
      </c>
      <c r="L689" s="70" t="s">
        <v>42</v>
      </c>
    </row>
    <row r="690" ht="22.5" customHeight="1">
      <c r="A690" s="29">
        <v>46160.0</v>
      </c>
      <c r="B690" s="31"/>
      <c r="C690" s="32" t="s">
        <v>711</v>
      </c>
      <c r="D690" s="23" t="s">
        <v>942</v>
      </c>
      <c r="E690" s="66" t="str">
        <f t="array" ref="E690">IF(D690="", "", XLOOKUP(D690, 'MASTER ITEM LIST'!A:A, 'MASTER ITEM LIST'!B:B, ""))</f>
        <v>EAGLE SANDPAPER #1000</v>
      </c>
      <c r="F690" s="31"/>
      <c r="G690" s="67" t="s">
        <v>34</v>
      </c>
      <c r="H690" s="31">
        <v>1.0</v>
      </c>
      <c r="I690" s="31" t="str">
        <f t="array" ref="I690">IFERROR(XLOOKUP(D690,'MASTER ITEM LIST'!A:A,'MASTER ITEM LIST'!D:D), "")</f>
        <v>PC/S</v>
      </c>
      <c r="J690" s="34">
        <v>25.0</v>
      </c>
      <c r="K690" s="69">
        <f t="shared" si="1"/>
        <v>25</v>
      </c>
      <c r="L690" s="70" t="s">
        <v>42</v>
      </c>
    </row>
    <row r="691" ht="22.5" customHeight="1">
      <c r="A691" s="29">
        <v>46161.0</v>
      </c>
      <c r="B691" s="31"/>
      <c r="C691" s="32" t="s">
        <v>711</v>
      </c>
      <c r="D691" s="71" t="s">
        <v>45</v>
      </c>
      <c r="E691" s="66" t="str">
        <f t="array" ref="E691">IF(D691="", "", XLOOKUP(D691, 'MASTER ITEM LIST'!A:A, 'MASTER ITEM LIST'!B:B, ""))</f>
        <v>POLYGLOSS PU JET BLACK 4L</v>
      </c>
      <c r="F691" s="31"/>
      <c r="G691" s="67" t="s">
        <v>34</v>
      </c>
      <c r="H691" s="31">
        <v>0.03125</v>
      </c>
      <c r="I691" s="31" t="str">
        <f t="array" ref="I691">IFERROR(XLOOKUP(D691,'MASTER ITEM LIST'!A:A,'MASTER ITEM LIST'!D:D), "")</f>
        <v>GALON</v>
      </c>
      <c r="J691" s="34">
        <v>4800.0</v>
      </c>
      <c r="K691" s="69">
        <f t="shared" si="1"/>
        <v>150</v>
      </c>
      <c r="L691" s="70" t="s">
        <v>42</v>
      </c>
    </row>
    <row r="692" ht="22.5" customHeight="1">
      <c r="A692" s="29">
        <v>46161.0</v>
      </c>
      <c r="B692" s="31"/>
      <c r="C692" s="32" t="s">
        <v>711</v>
      </c>
      <c r="D692" s="71" t="s">
        <v>58</v>
      </c>
      <c r="E692" s="66" t="str">
        <f t="array" ref="E692">IF(D692="", "", XLOOKUP(D692, 'MASTER ITEM LIST'!A:A, 'MASTER ITEM LIST'!B:B, ""))</f>
        <v>POLYGLOSS PU METALLIC COARSE 4L</v>
      </c>
      <c r="F692" s="31"/>
      <c r="G692" s="67" t="s">
        <v>34</v>
      </c>
      <c r="H692" s="31">
        <v>0.03125</v>
      </c>
      <c r="I692" s="31" t="str">
        <f t="array" ref="I692">IFERROR(XLOOKUP(D692,'MASTER ITEM LIST'!A:A,'MASTER ITEM LIST'!D:D), "")</f>
        <v>GALON</v>
      </c>
      <c r="J692" s="34">
        <v>4800.0</v>
      </c>
      <c r="K692" s="69">
        <f t="shared" si="1"/>
        <v>150</v>
      </c>
      <c r="L692" s="70" t="s">
        <v>42</v>
      </c>
    </row>
    <row r="693" ht="22.5" customHeight="1">
      <c r="A693" s="29">
        <v>46161.0</v>
      </c>
      <c r="B693" s="31"/>
      <c r="C693" s="32" t="s">
        <v>711</v>
      </c>
      <c r="D693" s="71" t="s">
        <v>90</v>
      </c>
      <c r="E693" s="66" t="str">
        <f t="array" ref="E693">IF(D693="", "", XLOOKUP(D693, 'MASTER ITEM LIST'!A:A, 'MASTER ITEM LIST'!B:B, ""))</f>
        <v>NAX SOB757 HIGH GRADE URETHANE THINNER 4L</v>
      </c>
      <c r="F693" s="31"/>
      <c r="G693" s="67" t="s">
        <v>34</v>
      </c>
      <c r="H693" s="31">
        <v>0.5</v>
      </c>
      <c r="I693" s="31" t="str">
        <f t="array" ref="I693">IFERROR(XLOOKUP(D693,'MASTER ITEM LIST'!A:A,'MASTER ITEM LIST'!D:D), "")</f>
        <v>GAL</v>
      </c>
      <c r="J693" s="34">
        <v>700.0</v>
      </c>
      <c r="K693" s="69">
        <f t="shared" si="1"/>
        <v>350</v>
      </c>
      <c r="L693" s="70" t="s">
        <v>42</v>
      </c>
    </row>
    <row r="694" ht="22.5" customHeight="1">
      <c r="A694" s="29">
        <v>46161.0</v>
      </c>
      <c r="B694" s="31"/>
      <c r="C694" s="32" t="s">
        <v>711</v>
      </c>
      <c r="D694" s="23" t="s">
        <v>167</v>
      </c>
      <c r="E694" s="66" t="str">
        <f t="array" ref="E694">IF(D694="", "", XLOOKUP(D694, 'MASTER ITEM LIST'!A:A, 'MASTER ITEM LIST'!B:B, ""))</f>
        <v>NAX QDU MIX 1L</v>
      </c>
      <c r="F694" s="31"/>
      <c r="G694" s="67" t="s">
        <v>34</v>
      </c>
      <c r="H694" s="31">
        <v>0.125</v>
      </c>
      <c r="I694" s="31" t="str">
        <f t="array" ref="I694">IFERROR(XLOOKUP(D694,'MASTER ITEM LIST'!A:A,'MASTER ITEM LIST'!D:D), "")</f>
        <v>LITER</v>
      </c>
      <c r="J694" s="34">
        <v>1600.0</v>
      </c>
      <c r="K694" s="69">
        <f t="shared" si="1"/>
        <v>200</v>
      </c>
      <c r="L694" s="70" t="s">
        <v>42</v>
      </c>
    </row>
    <row r="695" ht="22.5" customHeight="1">
      <c r="A695" s="29">
        <v>46161.0</v>
      </c>
      <c r="B695" s="31"/>
      <c r="C695" s="32" t="s">
        <v>711</v>
      </c>
      <c r="D695" s="23" t="s">
        <v>548</v>
      </c>
      <c r="E695" s="66" t="str">
        <f t="array" ref="E695">IF(D695="", "", XLOOKUP(D695, 'MASTER ITEM LIST'!A:A, 'MASTER ITEM LIST'!B:B, ""))</f>
        <v>EAGLE SANDPAPER #240</v>
      </c>
      <c r="F695" s="31"/>
      <c r="G695" s="67" t="s">
        <v>34</v>
      </c>
      <c r="H695" s="31">
        <v>1.0</v>
      </c>
      <c r="I695" s="31" t="str">
        <f t="array" ref="I695">IFERROR(XLOOKUP(D695,'MASTER ITEM LIST'!A:A,'MASTER ITEM LIST'!D:D), "")</f>
        <v>PC/S</v>
      </c>
      <c r="J695" s="34">
        <v>25.0</v>
      </c>
      <c r="K695" s="69">
        <f t="shared" si="1"/>
        <v>25</v>
      </c>
      <c r="L695" s="70" t="s">
        <v>42</v>
      </c>
    </row>
    <row r="696" ht="22.5" customHeight="1">
      <c r="A696" s="29">
        <v>46161.0</v>
      </c>
      <c r="B696" s="31"/>
      <c r="C696" s="32" t="s">
        <v>711</v>
      </c>
      <c r="D696" s="23" t="s">
        <v>567</v>
      </c>
      <c r="E696" s="66" t="str">
        <f t="array" ref="E696">IF(D696="", "", XLOOKUP(D696, 'MASTER ITEM LIST'!A:A, 'MASTER ITEM LIST'!B:B, ""))</f>
        <v>EAGLE SANDPAPER #800</v>
      </c>
      <c r="F696" s="31"/>
      <c r="G696" s="67" t="s">
        <v>34</v>
      </c>
      <c r="H696" s="31">
        <v>1.0</v>
      </c>
      <c r="I696" s="31" t="str">
        <f t="array" ref="I696">IFERROR(XLOOKUP(D696,'MASTER ITEM LIST'!A:A,'MASTER ITEM LIST'!D:D), "")</f>
        <v>PC/S</v>
      </c>
      <c r="J696" s="34">
        <v>25.0</v>
      </c>
      <c r="K696" s="69">
        <f t="shared" si="1"/>
        <v>25</v>
      </c>
      <c r="L696" s="70" t="s">
        <v>42</v>
      </c>
    </row>
    <row r="697" ht="22.5" customHeight="1">
      <c r="A697" s="29">
        <v>46161.0</v>
      </c>
      <c r="B697" s="31"/>
      <c r="C697" s="32" t="s">
        <v>711</v>
      </c>
      <c r="D697" s="71" t="s">
        <v>397</v>
      </c>
      <c r="E697" s="66" t="str">
        <f t="array" ref="E697">IF(D697="", "", XLOOKUP(D697, 'MASTER ITEM LIST'!A:A, 'MASTER ITEM LIST'!B:B, ""))</f>
        <v>NIPPON HS FILLER 1L</v>
      </c>
      <c r="F697" s="31"/>
      <c r="G697" s="67" t="s">
        <v>34</v>
      </c>
      <c r="H697" s="31">
        <v>0.5</v>
      </c>
      <c r="I697" s="31" t="str">
        <f t="array" ref="I697">IFERROR(XLOOKUP(D697,'MASTER ITEM LIST'!A:A,'MASTER ITEM LIST'!D:D), "")</f>
        <v>LITER</v>
      </c>
      <c r="J697" s="34">
        <v>800.0</v>
      </c>
      <c r="K697" s="69">
        <f t="shared" si="1"/>
        <v>400</v>
      </c>
      <c r="L697" s="70" t="s">
        <v>42</v>
      </c>
    </row>
    <row r="698" ht="22.5" customHeight="1">
      <c r="A698" s="29">
        <v>46161.0</v>
      </c>
      <c r="B698" s="31"/>
      <c r="C698" s="32" t="s">
        <v>711</v>
      </c>
      <c r="D698" s="71" t="s">
        <v>53</v>
      </c>
      <c r="E698" s="66" t="str">
        <f t="array" ref="E698">IF(D698="", "", XLOOKUP(D698, 'MASTER ITEM LIST'!A:A, 'MASTER ITEM LIST'!B:B, ""))</f>
        <v>NAX 108 CERAMIC 2K CLEAR WITH HARDENER 1L</v>
      </c>
      <c r="F698" s="31"/>
      <c r="G698" s="67" t="s">
        <v>34</v>
      </c>
      <c r="H698" s="31">
        <v>1.0</v>
      </c>
      <c r="I698" s="31" t="str">
        <f t="array" ref="I698">IFERROR(XLOOKUP(D698,'MASTER ITEM LIST'!A:A,'MASTER ITEM LIST'!D:D), "")</f>
        <v>LITER</v>
      </c>
      <c r="J698" s="34">
        <v>680.0</v>
      </c>
      <c r="K698" s="69">
        <f t="shared" si="1"/>
        <v>680</v>
      </c>
      <c r="L698" s="70" t="s">
        <v>42</v>
      </c>
    </row>
    <row r="699" ht="22.5" customHeight="1">
      <c r="A699" s="29">
        <v>46161.0</v>
      </c>
      <c r="B699" s="31"/>
      <c r="C699" s="32" t="s">
        <v>711</v>
      </c>
      <c r="D699" s="23" t="s">
        <v>828</v>
      </c>
      <c r="E699" s="66" t="str">
        <f t="array" ref="E699">IF(D699="", "", XLOOKUP(D699, 'MASTER ITEM LIST'!A:A, 'MASTER ITEM LIST'!B:B, ""))</f>
        <v>NAX PP BUMPER PRIMER GRAY 1L</v>
      </c>
      <c r="F699" s="31"/>
      <c r="G699" s="67" t="s">
        <v>34</v>
      </c>
      <c r="H699" s="31">
        <v>0.125</v>
      </c>
      <c r="I699" s="31" t="str">
        <f t="array" ref="I699">IFERROR(XLOOKUP(D699,'MASTER ITEM LIST'!A:A,'MASTER ITEM LIST'!D:D), "")</f>
        <v>LITER</v>
      </c>
      <c r="J699" s="34">
        <v>960.0</v>
      </c>
      <c r="K699" s="69">
        <f t="shared" si="1"/>
        <v>120</v>
      </c>
      <c r="L699" s="70" t="s">
        <v>42</v>
      </c>
    </row>
    <row r="700" ht="22.5" customHeight="1">
      <c r="A700" s="29">
        <v>46162.0</v>
      </c>
      <c r="B700" s="31"/>
      <c r="C700" s="32" t="s">
        <v>711</v>
      </c>
      <c r="D700" s="23" t="s">
        <v>1158</v>
      </c>
      <c r="E700" s="66" t="str">
        <f t="array" ref="E700">IF(D700="", "", XLOOKUP(D700, 'MASTER ITEM LIST'!A:A, 'MASTER ITEM LIST'!B:B, ""))</f>
        <v>NAX QDU MIX 4L</v>
      </c>
      <c r="F700" s="31"/>
      <c r="G700" s="67" t="s">
        <v>34</v>
      </c>
      <c r="H700" s="31">
        <v>0.5</v>
      </c>
      <c r="I700" s="31" t="str">
        <f t="array" ref="I700">IFERROR(XLOOKUP(D700,'MASTER ITEM LIST'!A:A,'MASTER ITEM LIST'!D:D), "")</f>
        <v>GALON</v>
      </c>
      <c r="J700" s="34">
        <v>5600.0</v>
      </c>
      <c r="K700" s="69">
        <f t="shared" si="1"/>
        <v>2800</v>
      </c>
      <c r="L700" s="70" t="s">
        <v>42</v>
      </c>
    </row>
    <row r="701" ht="22.5" customHeight="1">
      <c r="A701" s="29">
        <v>46162.0</v>
      </c>
      <c r="B701" s="31"/>
      <c r="C701" s="32" t="s">
        <v>711</v>
      </c>
      <c r="D701" s="23" t="s">
        <v>90</v>
      </c>
      <c r="E701" s="66" t="str">
        <f t="array" ref="E701">IF(D701="", "", XLOOKUP(D701, 'MASTER ITEM LIST'!A:A, 'MASTER ITEM LIST'!B:B, ""))</f>
        <v>NAX SOB757 HIGH GRADE URETHANE THINNER 4L</v>
      </c>
      <c r="F701" s="31"/>
      <c r="G701" s="67" t="s">
        <v>34</v>
      </c>
      <c r="H701" s="31">
        <v>3.0</v>
      </c>
      <c r="I701" s="31" t="str">
        <f t="array" ref="I701">IFERROR(XLOOKUP(D701,'MASTER ITEM LIST'!A:A,'MASTER ITEM LIST'!D:D), "")</f>
        <v>GAL</v>
      </c>
      <c r="J701" s="34">
        <v>750.0</v>
      </c>
      <c r="K701" s="69">
        <f t="shared" si="1"/>
        <v>2250</v>
      </c>
      <c r="L701" s="70" t="s">
        <v>42</v>
      </c>
    </row>
    <row r="702" ht="22.5" customHeight="1">
      <c r="A702" s="29">
        <v>46162.0</v>
      </c>
      <c r="B702" s="31"/>
      <c r="C702" s="32" t="s">
        <v>711</v>
      </c>
      <c r="D702" s="23" t="s">
        <v>220</v>
      </c>
      <c r="E702" s="66" t="str">
        <f t="array" ref="E702">IF(D702="", "", XLOOKUP(D702, 'MASTER ITEM LIST'!A:A, 'MASTER ITEM LIST'!B:B, ""))</f>
        <v>PREMILA MIXING 1L</v>
      </c>
      <c r="F702" s="31" t="s">
        <v>1606</v>
      </c>
      <c r="G702" s="67" t="s">
        <v>34</v>
      </c>
      <c r="H702" s="31">
        <v>1.0</v>
      </c>
      <c r="I702" s="31" t="str">
        <f t="array" ref="I702">IFERROR(XLOOKUP(D702,'MASTER ITEM LIST'!A:A,'MASTER ITEM LIST'!D:D), "")</f>
        <v>LITER</v>
      </c>
      <c r="J702" s="34">
        <v>2600.0</v>
      </c>
      <c r="K702" s="69">
        <f t="shared" si="1"/>
        <v>2600</v>
      </c>
      <c r="L702" s="70" t="s">
        <v>42</v>
      </c>
    </row>
    <row r="703" ht="22.5" customHeight="1">
      <c r="A703" s="29">
        <v>46163.0</v>
      </c>
      <c r="B703" s="31"/>
      <c r="C703" s="32" t="s">
        <v>711</v>
      </c>
      <c r="D703" s="71" t="s">
        <v>54</v>
      </c>
      <c r="E703" s="66" t="str">
        <f t="array" ref="E703">IF(D703="", "", XLOOKUP(D703, 'MASTER ITEM LIST'!A:A, 'MASTER ITEM LIST'!B:B, ""))</f>
        <v>POLYGLOSS PU MICA RED FINE 4L</v>
      </c>
      <c r="F703" s="31"/>
      <c r="G703" s="67" t="s">
        <v>34</v>
      </c>
      <c r="H703" s="31">
        <v>0.5</v>
      </c>
      <c r="I703" s="31" t="str">
        <f t="array" ref="I703">IFERROR(XLOOKUP(D703,'MASTER ITEM LIST'!A:A,'MASTER ITEM LIST'!D:D), "")</f>
        <v>GALON</v>
      </c>
      <c r="J703" s="34">
        <v>2200.0</v>
      </c>
      <c r="K703" s="69">
        <f t="shared" si="1"/>
        <v>1100</v>
      </c>
      <c r="L703" s="70" t="s">
        <v>42</v>
      </c>
    </row>
    <row r="704" ht="22.5" customHeight="1">
      <c r="A704" s="29">
        <v>46163.0</v>
      </c>
      <c r="B704" s="31"/>
      <c r="C704" s="32" t="s">
        <v>711</v>
      </c>
      <c r="D704" s="71" t="s">
        <v>315</v>
      </c>
      <c r="E704" s="66" t="str">
        <f t="array" ref="E704">IF(D704="", "", XLOOKUP(D704, 'MASTER ITEM LIST'!A:A, 'MASTER ITEM LIST'!B:B, ""))</f>
        <v>CUMI SUPREME FLOOR SANDING 60</v>
      </c>
      <c r="F704" s="31"/>
      <c r="G704" s="67" t="s">
        <v>34</v>
      </c>
      <c r="H704" s="31">
        <v>10.0</v>
      </c>
      <c r="I704" s="31" t="str">
        <f t="array" ref="I704">IFERROR(XLOOKUP(D704,'MASTER ITEM LIST'!A:A,'MASTER ITEM LIST'!D:D), "")</f>
        <v>FT</v>
      </c>
      <c r="J704" s="34">
        <v>95.0</v>
      </c>
      <c r="K704" s="69">
        <f t="shared" si="1"/>
        <v>950</v>
      </c>
      <c r="L704" s="70" t="s">
        <v>42</v>
      </c>
    </row>
    <row r="705" ht="22.5" customHeight="1">
      <c r="A705" s="29">
        <v>46163.0</v>
      </c>
      <c r="B705" s="31"/>
      <c r="C705" s="32" t="s">
        <v>711</v>
      </c>
      <c r="D705" s="71" t="s">
        <v>1033</v>
      </c>
      <c r="E705" s="66" t="str">
        <f t="array" ref="E705">IF(D705="", "", XLOOKUP(D705, 'MASTER ITEM LIST'!A:A, 'MASTER ITEM LIST'!B:B, ""))</f>
        <v>CUMI SUPREME FLOOR SANDING 80</v>
      </c>
      <c r="F705" s="31"/>
      <c r="G705" s="67" t="s">
        <v>34</v>
      </c>
      <c r="H705" s="31">
        <v>10.0</v>
      </c>
      <c r="I705" s="31" t="str">
        <f t="array" ref="I705">IFERROR(XLOOKUP(D705,'MASTER ITEM LIST'!A:A,'MASTER ITEM LIST'!D:D), "")</f>
        <v>FT</v>
      </c>
      <c r="J705" s="34">
        <v>95.0</v>
      </c>
      <c r="K705" s="69">
        <f t="shared" si="1"/>
        <v>950</v>
      </c>
      <c r="L705" s="70" t="s">
        <v>42</v>
      </c>
    </row>
    <row r="706" ht="22.5" customHeight="1">
      <c r="A706" s="29">
        <v>46163.0</v>
      </c>
      <c r="B706" s="31"/>
      <c r="C706" s="32" t="s">
        <v>711</v>
      </c>
      <c r="D706" s="23" t="s">
        <v>410</v>
      </c>
      <c r="E706" s="66" t="str">
        <f t="array" ref="E706">IF(D706="", "", XLOOKUP(D706, 'MASTER ITEM LIST'!A:A, 'MASTER ITEM LIST'!B:B, ""))</f>
        <v>NAX NAX21 URETHANE HAEDENER</v>
      </c>
      <c r="F706" s="31"/>
      <c r="G706" s="67" t="s">
        <v>34</v>
      </c>
      <c r="H706" s="31">
        <v>2.0</v>
      </c>
      <c r="I706" s="31" t="str">
        <f t="array" ref="I706">IFERROR(XLOOKUP(D706,'MASTER ITEM LIST'!A:A,'MASTER ITEM LIST'!D:D), "")</f>
        <v>CANS</v>
      </c>
      <c r="J706" s="34">
        <v>250.0</v>
      </c>
      <c r="K706" s="69">
        <f t="shared" si="1"/>
        <v>500</v>
      </c>
      <c r="L706" s="70" t="s">
        <v>42</v>
      </c>
    </row>
    <row r="707" ht="22.5" customHeight="1">
      <c r="A707" s="29">
        <v>46163.0</v>
      </c>
      <c r="B707" s="31"/>
      <c r="C707" s="32" t="s">
        <v>711</v>
      </c>
      <c r="D707" s="23" t="s">
        <v>236</v>
      </c>
      <c r="E707" s="66" t="str">
        <f t="array" ref="E707">IF(D707="", "", XLOOKUP(D707, 'MASTER ITEM LIST'!A:A, 'MASTER ITEM LIST'!B:B, ""))</f>
        <v>SAND PAPER #80</v>
      </c>
      <c r="F707" s="31"/>
      <c r="G707" s="67" t="s">
        <v>34</v>
      </c>
      <c r="H707" s="31">
        <v>1.0</v>
      </c>
      <c r="I707" s="31" t="str">
        <f t="array" ref="I707">IFERROR(XLOOKUP(D707,'MASTER ITEM LIST'!A:A,'MASTER ITEM LIST'!D:D), "")</f>
        <v>PC/S</v>
      </c>
      <c r="J707" s="34">
        <v>40.0</v>
      </c>
      <c r="K707" s="69">
        <f t="shared" si="1"/>
        <v>40</v>
      </c>
      <c r="L707" s="70" t="s">
        <v>42</v>
      </c>
    </row>
    <row r="708" ht="22.5" customHeight="1">
      <c r="A708" s="29">
        <v>46163.0</v>
      </c>
      <c r="B708" s="31"/>
      <c r="C708" s="32" t="s">
        <v>711</v>
      </c>
      <c r="D708" s="23" t="s">
        <v>432</v>
      </c>
      <c r="E708" s="66" t="str">
        <f t="array" ref="E708">IF(D708="", "", XLOOKUP(D708, 'MASTER ITEM LIST'!A:A, 'MASTER ITEM LIST'!B:B, ""))</f>
        <v>EAGLE SANDPAPER #600</v>
      </c>
      <c r="F708" s="31"/>
      <c r="G708" s="67" t="s">
        <v>34</v>
      </c>
      <c r="H708" s="31">
        <v>4.0</v>
      </c>
      <c r="I708" s="31" t="str">
        <f t="array" ref="I708">IFERROR(XLOOKUP(D708,'MASTER ITEM LIST'!A:A,'MASTER ITEM LIST'!D:D), "")</f>
        <v>PCS</v>
      </c>
      <c r="J708" s="34">
        <v>25.0</v>
      </c>
      <c r="K708" s="69">
        <f t="shared" si="1"/>
        <v>100</v>
      </c>
      <c r="L708" s="70" t="s">
        <v>42</v>
      </c>
    </row>
    <row r="709" ht="22.5" customHeight="1">
      <c r="A709" s="29">
        <v>46163.0</v>
      </c>
      <c r="B709" s="31"/>
      <c r="C709" s="32" t="s">
        <v>711</v>
      </c>
      <c r="D709" s="71" t="s">
        <v>458</v>
      </c>
      <c r="E709" s="66" t="str">
        <f t="array" ref="E709">IF(D709="", "", XLOOKUP(D709, 'MASTER ITEM LIST'!A:A, 'MASTER ITEM LIST'!B:B, ""))</f>
        <v>PLATONE QDE YELLOW 4L</v>
      </c>
      <c r="F709" s="31"/>
      <c r="G709" s="67" t="s">
        <v>34</v>
      </c>
      <c r="H709" s="31">
        <v>4.0</v>
      </c>
      <c r="I709" s="31" t="str">
        <f t="array" ref="I709">IFERROR(XLOOKUP(D709,'MASTER ITEM LIST'!A:A,'MASTER ITEM LIST'!D:D), "")</f>
        <v>GAL</v>
      </c>
      <c r="J709" s="34">
        <v>1000.0</v>
      </c>
      <c r="K709" s="69">
        <f t="shared" si="1"/>
        <v>4000</v>
      </c>
      <c r="L709" s="70" t="s">
        <v>42</v>
      </c>
    </row>
    <row r="710" ht="22.5" customHeight="1">
      <c r="A710" s="29">
        <v>46163.0</v>
      </c>
      <c r="B710" s="31"/>
      <c r="C710" s="32" t="s">
        <v>711</v>
      </c>
      <c r="D710" s="71" t="s">
        <v>72</v>
      </c>
      <c r="E710" s="66" t="str">
        <f t="array" ref="E710">IF(D710="", "", XLOOKUP(D710, 'MASTER ITEM LIST'!A:A, 'MASTER ITEM LIST'!B:B, ""))</f>
        <v>NIPPON EXTREME QDU BLACK 4L</v>
      </c>
      <c r="F710" s="31"/>
      <c r="G710" s="67" t="s">
        <v>34</v>
      </c>
      <c r="H710" s="31">
        <v>0.0625</v>
      </c>
      <c r="I710" s="31" t="str">
        <f t="array" ref="I710">IFERROR(XLOOKUP(D710,'MASTER ITEM LIST'!A:A,'MASTER ITEM LIST'!D:D), "")</f>
        <v>GAL</v>
      </c>
      <c r="J710" s="34">
        <v>3200.0</v>
      </c>
      <c r="K710" s="69">
        <f t="shared" si="1"/>
        <v>200</v>
      </c>
      <c r="L710" s="70" t="s">
        <v>42</v>
      </c>
    </row>
    <row r="711" ht="22.5" customHeight="1">
      <c r="A711" s="29">
        <v>46163.0</v>
      </c>
      <c r="B711" s="31"/>
      <c r="C711" s="32" t="s">
        <v>711</v>
      </c>
      <c r="D711" s="71" t="s">
        <v>205</v>
      </c>
      <c r="E711" s="66" t="str">
        <f t="array" ref="E711">IF(D711="", "", XLOOKUP(D711, 'MASTER ITEM LIST'!A:A, 'MASTER ITEM LIST'!B:B, ""))</f>
        <v>TIMELESS PREMIUM LIQUID WAX 5OML</v>
      </c>
      <c r="F711" s="31"/>
      <c r="G711" s="67" t="s">
        <v>34</v>
      </c>
      <c r="H711" s="31">
        <v>1.0</v>
      </c>
      <c r="I711" s="31" t="str">
        <f t="array" ref="I711">IFERROR(XLOOKUP(D711,'MASTER ITEM LIST'!A:A,'MASTER ITEM LIST'!D:D), "")</f>
        <v>PC/S</v>
      </c>
      <c r="J711" s="34">
        <v>100.0</v>
      </c>
      <c r="K711" s="69">
        <f t="shared" si="1"/>
        <v>100</v>
      </c>
      <c r="L711" s="70" t="s">
        <v>42</v>
      </c>
    </row>
    <row r="712" ht="22.5" customHeight="1">
      <c r="A712" s="29">
        <v>46163.0</v>
      </c>
      <c r="B712" s="31"/>
      <c r="C712" s="32" t="s">
        <v>711</v>
      </c>
      <c r="D712" s="23" t="s">
        <v>136</v>
      </c>
      <c r="E712" s="66" t="str">
        <f t="array" ref="E712">IF(D712="", "", XLOOKUP(D712, 'MASTER ITEM LIST'!A:A, 'MASTER ITEM LIST'!B:B, ""))</f>
        <v>CROCO MASKING TAPE 3/4 18MM (1X64)</v>
      </c>
      <c r="F712" s="31"/>
      <c r="G712" s="67" t="s">
        <v>34</v>
      </c>
      <c r="H712" s="31">
        <v>1.0</v>
      </c>
      <c r="I712" s="31" t="str">
        <f t="array" ref="I712">IFERROR(XLOOKUP(D712,'MASTER ITEM LIST'!A:A,'MASTER ITEM LIST'!D:D), "")</f>
        <v>PC/S</v>
      </c>
      <c r="J712" s="34">
        <v>35.0</v>
      </c>
      <c r="K712" s="69">
        <f t="shared" si="1"/>
        <v>35</v>
      </c>
      <c r="L712" s="70" t="s">
        <v>42</v>
      </c>
    </row>
    <row r="713" ht="22.5" customHeight="1">
      <c r="A713" s="29">
        <v>46192.0</v>
      </c>
      <c r="B713" s="31"/>
      <c r="C713" s="32" t="s">
        <v>711</v>
      </c>
      <c r="D713" s="23" t="s">
        <v>942</v>
      </c>
      <c r="E713" s="66" t="str">
        <f t="array" ref="E713">IF(D713="", "", XLOOKUP(D713, 'MASTER ITEM LIST'!A:A, 'MASTER ITEM LIST'!B:B, ""))</f>
        <v>EAGLE SANDPAPER #1000</v>
      </c>
      <c r="F713" s="31"/>
      <c r="G713" s="67" t="s">
        <v>34</v>
      </c>
      <c r="H713" s="31">
        <v>1.0</v>
      </c>
      <c r="I713" s="31" t="str">
        <f t="array" ref="I713">IFERROR(XLOOKUP(D713,'MASTER ITEM LIST'!A:A,'MASTER ITEM LIST'!D:D), "")</f>
        <v>PC/S</v>
      </c>
      <c r="J713" s="34">
        <v>25.0</v>
      </c>
      <c r="K713" s="69">
        <f t="shared" si="1"/>
        <v>25</v>
      </c>
      <c r="L713" s="70" t="s">
        <v>42</v>
      </c>
    </row>
    <row r="714" ht="22.5" customHeight="1">
      <c r="A714" s="29">
        <v>46192.0</v>
      </c>
      <c r="B714" s="31"/>
      <c r="C714" s="32" t="s">
        <v>711</v>
      </c>
      <c r="D714" s="23" t="s">
        <v>432</v>
      </c>
      <c r="E714" s="66" t="str">
        <f t="array" ref="E714">IF(D714="", "", XLOOKUP(D714, 'MASTER ITEM LIST'!A:A, 'MASTER ITEM LIST'!B:B, ""))</f>
        <v>EAGLE SANDPAPER #600</v>
      </c>
      <c r="F714" s="31"/>
      <c r="G714" s="67" t="s">
        <v>34</v>
      </c>
      <c r="H714" s="31">
        <v>1.0</v>
      </c>
      <c r="I714" s="31" t="str">
        <f t="array" ref="I714">IFERROR(XLOOKUP(D714,'MASTER ITEM LIST'!A:A,'MASTER ITEM LIST'!D:D), "")</f>
        <v>PCS</v>
      </c>
      <c r="J714" s="34">
        <v>25.0</v>
      </c>
      <c r="K714" s="69">
        <f t="shared" si="1"/>
        <v>25</v>
      </c>
      <c r="L714" s="70" t="s">
        <v>42</v>
      </c>
    </row>
    <row r="715" ht="22.5" customHeight="1">
      <c r="A715" s="29">
        <v>46192.0</v>
      </c>
      <c r="B715" s="31"/>
      <c r="C715" s="32" t="s">
        <v>711</v>
      </c>
      <c r="D715" s="23" t="s">
        <v>426</v>
      </c>
      <c r="E715" s="66" t="str">
        <f t="array" ref="E715">IF(D715="", "", XLOOKUP(D715, 'MASTER ITEM LIST'!A:A, 'MASTER ITEM LIST'!B:B, ""))</f>
        <v>EAGLE SAND PAPER #320</v>
      </c>
      <c r="F715" s="31"/>
      <c r="G715" s="67" t="s">
        <v>34</v>
      </c>
      <c r="H715" s="31">
        <v>1.0</v>
      </c>
      <c r="I715" s="31" t="str">
        <f t="array" ref="I715">IFERROR(XLOOKUP(D715,'MASTER ITEM LIST'!A:A,'MASTER ITEM LIST'!D:D), "")</f>
        <v>PCS</v>
      </c>
      <c r="J715" s="34">
        <v>25.0</v>
      </c>
      <c r="K715" s="69">
        <f t="shared" si="1"/>
        <v>25</v>
      </c>
      <c r="L715" s="70" t="s">
        <v>42</v>
      </c>
    </row>
    <row r="716" ht="22.5" customHeight="1">
      <c r="A716" s="29">
        <v>46164.0</v>
      </c>
      <c r="B716" s="31"/>
      <c r="C716" s="32" t="s">
        <v>711</v>
      </c>
      <c r="D716" s="23" t="s">
        <v>167</v>
      </c>
      <c r="E716" s="66" t="str">
        <f t="array" ref="E716">IF(D716="", "", XLOOKUP(D716, 'MASTER ITEM LIST'!A:A, 'MASTER ITEM LIST'!B:B, ""))</f>
        <v>NAX QDU MIX 1L</v>
      </c>
      <c r="F716" s="31"/>
      <c r="G716" s="67" t="s">
        <v>34</v>
      </c>
      <c r="H716" s="31">
        <v>1.0</v>
      </c>
      <c r="I716" s="31" t="str">
        <f t="array" ref="I716">IFERROR(XLOOKUP(D716,'MASTER ITEM LIST'!A:A,'MASTER ITEM LIST'!D:D), "")</f>
        <v>LITER</v>
      </c>
      <c r="J716" s="34">
        <v>280.0</v>
      </c>
      <c r="K716" s="69">
        <f t="shared" si="1"/>
        <v>280</v>
      </c>
      <c r="L716" s="70" t="s">
        <v>42</v>
      </c>
    </row>
    <row r="717" ht="22.5" customHeight="1">
      <c r="A717" s="29">
        <v>46164.0</v>
      </c>
      <c r="B717" s="31"/>
      <c r="C717" s="32" t="s">
        <v>711</v>
      </c>
      <c r="D717" s="71" t="s">
        <v>107</v>
      </c>
      <c r="E717" s="66" t="str">
        <f t="array" ref="E717">IF(D717="", "", XLOOKUP(D717, 'MASTER ITEM LIST'!A:A, 'MASTER ITEM LIST'!B:B, ""))</f>
        <v>2B PAINT ROLLER #4</v>
      </c>
      <c r="F717" s="31"/>
      <c r="G717" s="67" t="s">
        <v>34</v>
      </c>
      <c r="H717" s="31">
        <v>1.0</v>
      </c>
      <c r="I717" s="31" t="str">
        <f t="array" ref="I717">IFERROR(XLOOKUP(D717,'MASTER ITEM LIST'!A:A,'MASTER ITEM LIST'!D:D), "")</f>
        <v>PC/S</v>
      </c>
      <c r="J717" s="34">
        <v>65.0</v>
      </c>
      <c r="K717" s="69">
        <f t="shared" si="1"/>
        <v>65</v>
      </c>
      <c r="L717" s="70" t="s">
        <v>42</v>
      </c>
    </row>
    <row r="718" ht="22.5" customHeight="1">
      <c r="A718" s="29">
        <v>46164.0</v>
      </c>
      <c r="B718" s="31"/>
      <c r="C718" s="32" t="s">
        <v>711</v>
      </c>
      <c r="D718" s="23" t="s">
        <v>90</v>
      </c>
      <c r="E718" s="66" t="str">
        <f t="array" ref="E718">IF(D718="", "", XLOOKUP(D718, 'MASTER ITEM LIST'!A:A, 'MASTER ITEM LIST'!B:B, ""))</f>
        <v>NAX SOB757 HIGH GRADE URETHANE THINNER 4L</v>
      </c>
      <c r="F718" s="31"/>
      <c r="G718" s="67" t="s">
        <v>34</v>
      </c>
      <c r="H718" s="31">
        <v>0.125</v>
      </c>
      <c r="I718" s="31" t="str">
        <f t="array" ref="I718">IFERROR(XLOOKUP(D718,'MASTER ITEM LIST'!A:A,'MASTER ITEM LIST'!D:D), "")</f>
        <v>GAL</v>
      </c>
      <c r="J718" s="34">
        <v>400.0</v>
      </c>
      <c r="K718" s="69">
        <f t="shared" si="1"/>
        <v>50</v>
      </c>
      <c r="L718" s="70" t="s">
        <v>42</v>
      </c>
    </row>
    <row r="719" ht="22.5" customHeight="1">
      <c r="A719" s="29">
        <v>46164.0</v>
      </c>
      <c r="B719" s="31"/>
      <c r="C719" s="32" t="s">
        <v>711</v>
      </c>
      <c r="D719" s="71" t="s">
        <v>1062</v>
      </c>
      <c r="E719" s="66" t="str">
        <f t="array" ref="E719">IF(D719="", "", XLOOKUP(D719, 'MASTER ITEM LIST'!A:A, 'MASTER ITEM LIST'!B:B, ""))</f>
        <v>DRAGONFLY MINI BABY ROLLER #4 W/H</v>
      </c>
      <c r="F719" s="31"/>
      <c r="G719" s="67" t="s">
        <v>34</v>
      </c>
      <c r="H719" s="31">
        <v>1.0</v>
      </c>
      <c r="I719" s="31" t="str">
        <f t="array" ref="I719">IFERROR(XLOOKUP(D719,'MASTER ITEM LIST'!A:A,'MASTER ITEM LIST'!D:D), "")</f>
        <v>PC/S</v>
      </c>
      <c r="J719" s="34">
        <v>65.0</v>
      </c>
      <c r="K719" s="69">
        <f t="shared" si="1"/>
        <v>65</v>
      </c>
      <c r="L719" s="70" t="s">
        <v>42</v>
      </c>
    </row>
    <row r="720" ht="22.5" customHeight="1">
      <c r="A720" s="29">
        <v>46164.0</v>
      </c>
      <c r="B720" s="31"/>
      <c r="C720" s="32" t="s">
        <v>711</v>
      </c>
      <c r="D720" s="71" t="s">
        <v>399</v>
      </c>
      <c r="E720" s="66" t="str">
        <f t="array" ref="E720">IF(D720="", "", XLOOKUP(D720, 'MASTER ITEM LIST'!A:A, 'MASTER ITEM LIST'!B:B, ""))</f>
        <v>PYLOX LAZER CLEAR 01</v>
      </c>
      <c r="F720" s="31"/>
      <c r="G720" s="67" t="s">
        <v>34</v>
      </c>
      <c r="H720" s="31">
        <v>1.0</v>
      </c>
      <c r="I720" s="31" t="str">
        <f t="array" ref="I720">IFERROR(XLOOKUP(D720,'MASTER ITEM LIST'!A:A,'MASTER ITEM LIST'!D:D), "")</f>
        <v>CAN</v>
      </c>
      <c r="J720" s="34">
        <v>140.0</v>
      </c>
      <c r="K720" s="69">
        <f t="shared" si="1"/>
        <v>140</v>
      </c>
      <c r="L720" s="70" t="s">
        <v>42</v>
      </c>
    </row>
    <row r="721" ht="22.5" customHeight="1">
      <c r="A721" s="29">
        <v>46164.0</v>
      </c>
      <c r="B721" s="31"/>
      <c r="C721" s="32" t="s">
        <v>711</v>
      </c>
      <c r="D721" s="71" t="s">
        <v>53</v>
      </c>
      <c r="E721" s="66" t="str">
        <f t="array" ref="E721">IF(D721="", "", XLOOKUP(D721, 'MASTER ITEM LIST'!A:A, 'MASTER ITEM LIST'!B:B, ""))</f>
        <v>NAX 108 CERAMIC 2K CLEAR WITH HARDENER 1L</v>
      </c>
      <c r="F721" s="31"/>
      <c r="G721" s="67" t="s">
        <v>34</v>
      </c>
      <c r="H721" s="31">
        <v>0.5</v>
      </c>
      <c r="I721" s="31" t="str">
        <f t="array" ref="I721">IFERROR(XLOOKUP(D721,'MASTER ITEM LIST'!A:A,'MASTER ITEM LIST'!D:D), "")</f>
        <v>LITER</v>
      </c>
      <c r="J721" s="34">
        <v>680.0</v>
      </c>
      <c r="K721" s="69">
        <f t="shared" si="1"/>
        <v>340</v>
      </c>
      <c r="L721" s="70" t="s">
        <v>42</v>
      </c>
    </row>
    <row r="722" ht="22.5" customHeight="1">
      <c r="A722" s="29">
        <v>46164.0</v>
      </c>
      <c r="B722" s="31"/>
      <c r="C722" s="32" t="s">
        <v>711</v>
      </c>
      <c r="D722" s="71" t="s">
        <v>233</v>
      </c>
      <c r="E722" s="66" t="str">
        <f t="array" ref="E722">IF(D722="", "", XLOOKUP(D722, 'MASTER ITEM LIST'!A:A, 'MASTER ITEM LIST'!B:B, ""))</f>
        <v>NAX ALPHA HB SPRAY FILLER GRAY WITH HARDENER 1L</v>
      </c>
      <c r="F722" s="31"/>
      <c r="G722" s="67" t="s">
        <v>34</v>
      </c>
      <c r="H722" s="31">
        <v>0.25</v>
      </c>
      <c r="I722" s="31" t="str">
        <f t="array" ref="I722">IFERROR(XLOOKUP(D722,'MASTER ITEM LIST'!A:A,'MASTER ITEM LIST'!D:D), "")</f>
        <v>LITER</v>
      </c>
      <c r="J722" s="34">
        <v>640.0</v>
      </c>
      <c r="K722" s="69">
        <f t="shared" si="1"/>
        <v>160</v>
      </c>
      <c r="L722" s="70" t="s">
        <v>42</v>
      </c>
    </row>
    <row r="723" ht="22.5" customHeight="1">
      <c r="A723" s="29">
        <v>46164.0</v>
      </c>
      <c r="B723" s="31"/>
      <c r="C723" s="32" t="s">
        <v>711</v>
      </c>
      <c r="D723" s="23" t="s">
        <v>90</v>
      </c>
      <c r="E723" s="66" t="str">
        <f t="array" ref="E723">IF(D723="", "", XLOOKUP(D723, 'MASTER ITEM LIST'!A:A, 'MASTER ITEM LIST'!B:B, ""))</f>
        <v>NAX SOB757 HIGH GRADE URETHANE THINNER 4L</v>
      </c>
      <c r="F723" s="31"/>
      <c r="G723" s="67" t="s">
        <v>34</v>
      </c>
      <c r="H723" s="31">
        <v>0.25</v>
      </c>
      <c r="I723" s="31" t="str">
        <f t="array" ref="I723">IFERROR(XLOOKUP(D723,'MASTER ITEM LIST'!A:A,'MASTER ITEM LIST'!D:D), "")</f>
        <v>GAL</v>
      </c>
      <c r="J723" s="34">
        <v>800.0</v>
      </c>
      <c r="K723" s="69">
        <f t="shared" si="1"/>
        <v>200</v>
      </c>
      <c r="L723" s="70" t="s">
        <v>42</v>
      </c>
    </row>
    <row r="724" ht="22.5" customHeight="1">
      <c r="A724" s="29">
        <v>46164.0</v>
      </c>
      <c r="B724" s="31"/>
      <c r="C724" s="32" t="s">
        <v>711</v>
      </c>
      <c r="D724" s="23" t="s">
        <v>79</v>
      </c>
      <c r="E724" s="66" t="str">
        <f t="array" ref="E724">IF(D724="", "", XLOOKUP(D724, 'MASTER ITEM LIST'!A:A, 'MASTER ITEM LIST'!B:B, ""))</f>
        <v>CROCO MASKING TAPE 1/2 12MM (1X96)</v>
      </c>
      <c r="F724" s="31"/>
      <c r="G724" s="67" t="s">
        <v>34</v>
      </c>
      <c r="H724" s="31">
        <v>1.0</v>
      </c>
      <c r="I724" s="31" t="str">
        <f t="array" ref="I724">IFERROR(XLOOKUP(D724,'MASTER ITEM LIST'!A:A,'MASTER ITEM LIST'!D:D), "")</f>
        <v>PC/S</v>
      </c>
      <c r="J724" s="34">
        <v>25.0</v>
      </c>
      <c r="K724" s="69">
        <f t="shared" si="1"/>
        <v>25</v>
      </c>
      <c r="L724" s="70" t="s">
        <v>42</v>
      </c>
    </row>
    <row r="725" ht="22.5" customHeight="1">
      <c r="A725" s="29">
        <v>46164.0</v>
      </c>
      <c r="B725" s="31"/>
      <c r="C725" s="32" t="s">
        <v>711</v>
      </c>
      <c r="D725" s="23" t="s">
        <v>548</v>
      </c>
      <c r="E725" s="66" t="str">
        <f t="array" ref="E725">IF(D725="", "", XLOOKUP(D725, 'MASTER ITEM LIST'!A:A, 'MASTER ITEM LIST'!B:B, ""))</f>
        <v>EAGLE SANDPAPER #240</v>
      </c>
      <c r="F725" s="31"/>
      <c r="G725" s="67" t="s">
        <v>34</v>
      </c>
      <c r="H725" s="31">
        <v>1.0</v>
      </c>
      <c r="I725" s="31" t="str">
        <f t="array" ref="I725">IFERROR(XLOOKUP(D725,'MASTER ITEM LIST'!A:A,'MASTER ITEM LIST'!D:D), "")</f>
        <v>PC/S</v>
      </c>
      <c r="J725" s="34">
        <v>25.0</v>
      </c>
      <c r="K725" s="69">
        <f t="shared" si="1"/>
        <v>25</v>
      </c>
      <c r="L725" s="70" t="s">
        <v>42</v>
      </c>
    </row>
    <row r="726" ht="22.5" customHeight="1">
      <c r="A726" s="29">
        <v>46164.0</v>
      </c>
      <c r="B726" s="31"/>
      <c r="C726" s="32" t="s">
        <v>711</v>
      </c>
      <c r="D726" s="71" t="s">
        <v>72</v>
      </c>
      <c r="E726" s="66" t="str">
        <f t="array" ref="E726">IF(D726="", "", XLOOKUP(D726, 'MASTER ITEM LIST'!A:A, 'MASTER ITEM LIST'!B:B, ""))</f>
        <v>NIPPON EXTREME QDU BLACK 4L</v>
      </c>
      <c r="F726" s="31"/>
      <c r="G726" s="67" t="s">
        <v>34</v>
      </c>
      <c r="H726" s="31">
        <v>0.0625</v>
      </c>
      <c r="I726" s="31" t="str">
        <f t="array" ref="I726">IFERROR(XLOOKUP(D726,'MASTER ITEM LIST'!A:A,'MASTER ITEM LIST'!D:D), "")</f>
        <v>GAL</v>
      </c>
      <c r="J726" s="34">
        <v>3200.0</v>
      </c>
      <c r="K726" s="69">
        <f t="shared" si="1"/>
        <v>200</v>
      </c>
      <c r="L726" s="70" t="s">
        <v>42</v>
      </c>
    </row>
    <row r="727" ht="22.5" customHeight="1">
      <c r="A727" s="29">
        <v>46164.0</v>
      </c>
      <c r="B727" s="31"/>
      <c r="C727" s="32" t="s">
        <v>711</v>
      </c>
      <c r="D727" s="71" t="s">
        <v>167</v>
      </c>
      <c r="E727" s="66" t="str">
        <f t="array" ref="E727">IF(D727="", "", XLOOKUP(D727, 'MASTER ITEM LIST'!A:A, 'MASTER ITEM LIST'!B:B, ""))</f>
        <v>NAX QDU MIX 1L</v>
      </c>
      <c r="F727" s="31"/>
      <c r="G727" s="67" t="s">
        <v>34</v>
      </c>
      <c r="H727" s="31">
        <v>0.25</v>
      </c>
      <c r="I727" s="31" t="str">
        <f t="array" ref="I727">IFERROR(XLOOKUP(D727,'MASTER ITEM LIST'!A:A,'MASTER ITEM LIST'!D:D), "")</f>
        <v>LITER</v>
      </c>
      <c r="J727" s="34">
        <v>1040.0</v>
      </c>
      <c r="K727" s="69">
        <f t="shared" si="1"/>
        <v>260</v>
      </c>
      <c r="L727" s="70" t="s">
        <v>42</v>
      </c>
    </row>
    <row r="728" ht="22.5" customHeight="1">
      <c r="A728" s="29">
        <v>46165.0</v>
      </c>
      <c r="B728" s="31"/>
      <c r="C728" s="32" t="s">
        <v>711</v>
      </c>
      <c r="D728" s="71" t="s">
        <v>90</v>
      </c>
      <c r="E728" s="66" t="str">
        <f t="array" ref="E728">IF(D728="", "", XLOOKUP(D728, 'MASTER ITEM LIST'!A:A, 'MASTER ITEM LIST'!B:B, ""))</f>
        <v>NAX SOB757 HIGH GRADE URETHANE THINNER 4L</v>
      </c>
      <c r="F728" s="31"/>
      <c r="G728" s="67" t="s">
        <v>34</v>
      </c>
      <c r="H728" s="31">
        <v>1.0</v>
      </c>
      <c r="I728" s="31" t="str">
        <f t="array" ref="I728">IFERROR(XLOOKUP(D728,'MASTER ITEM LIST'!A:A,'MASTER ITEM LIST'!D:D), "")</f>
        <v>GAL</v>
      </c>
      <c r="J728" s="34">
        <v>730.0</v>
      </c>
      <c r="K728" s="69">
        <f t="shared" si="1"/>
        <v>730</v>
      </c>
      <c r="L728" s="70" t="s">
        <v>42</v>
      </c>
    </row>
    <row r="729" ht="22.5" customHeight="1">
      <c r="A729" s="29">
        <v>46165.0</v>
      </c>
      <c r="B729" s="31"/>
      <c r="C729" s="32" t="s">
        <v>711</v>
      </c>
      <c r="D729" s="71" t="s">
        <v>160</v>
      </c>
      <c r="E729" s="66" t="str">
        <f t="array" ref="E729">IF(D729="", "", XLOOKUP(D729, 'MASTER ITEM LIST'!A:A, 'MASTER ITEM LIST'!B:B, ""))</f>
        <v>NAX 141 NAX MAXIMA URETHANE FD CLEAR WITH HARDENER 1L</v>
      </c>
      <c r="F729" s="31"/>
      <c r="G729" s="67" t="s">
        <v>34</v>
      </c>
      <c r="H729" s="31">
        <v>3.0</v>
      </c>
      <c r="I729" s="31" t="str">
        <f t="array" ref="I729">IFERROR(XLOOKUP(D729,'MASTER ITEM LIST'!A:A,'MASTER ITEM LIST'!D:D), "")</f>
        <v>LITER</v>
      </c>
      <c r="J729" s="34">
        <v>570.0</v>
      </c>
      <c r="K729" s="69">
        <f t="shared" si="1"/>
        <v>1710</v>
      </c>
      <c r="L729" s="70" t="s">
        <v>42</v>
      </c>
    </row>
    <row r="730" ht="22.5" customHeight="1">
      <c r="A730" s="29">
        <v>46165.0</v>
      </c>
      <c r="B730" s="31"/>
      <c r="C730" s="32" t="s">
        <v>711</v>
      </c>
      <c r="D730" s="71" t="s">
        <v>233</v>
      </c>
      <c r="E730" s="66" t="str">
        <f t="array" ref="E730">IF(D730="", "", XLOOKUP(D730, 'MASTER ITEM LIST'!A:A, 'MASTER ITEM LIST'!B:B, ""))</f>
        <v>NAX ALPHA HB SPRAY FILLER GRAY WITH HARDENER 1L</v>
      </c>
      <c r="F730" s="31"/>
      <c r="G730" s="67" t="s">
        <v>34</v>
      </c>
      <c r="H730" s="31">
        <v>1.0</v>
      </c>
      <c r="I730" s="31" t="str">
        <f t="array" ref="I730">IFERROR(XLOOKUP(D730,'MASTER ITEM LIST'!A:A,'MASTER ITEM LIST'!D:D), "")</f>
        <v>LITER</v>
      </c>
      <c r="J730" s="34">
        <v>590.0</v>
      </c>
      <c r="K730" s="69">
        <f t="shared" si="1"/>
        <v>590</v>
      </c>
      <c r="L730" s="70" t="s">
        <v>42</v>
      </c>
    </row>
    <row r="731" ht="22.5" customHeight="1">
      <c r="A731" s="29">
        <v>46165.0</v>
      </c>
      <c r="B731" s="31"/>
      <c r="C731" s="32" t="s">
        <v>711</v>
      </c>
      <c r="D731" s="71" t="s">
        <v>220</v>
      </c>
      <c r="E731" s="66" t="str">
        <f t="array" ref="E731">IF(D731="", "", XLOOKUP(D731, 'MASTER ITEM LIST'!A:A, 'MASTER ITEM LIST'!B:B, ""))</f>
        <v>PREMILA MIXING 1L</v>
      </c>
      <c r="F731" s="31" t="s">
        <v>1617</v>
      </c>
      <c r="G731" s="67" t="s">
        <v>34</v>
      </c>
      <c r="H731" s="31">
        <v>0.25</v>
      </c>
      <c r="I731" s="31" t="str">
        <f t="array" ref="I731">IFERROR(XLOOKUP(D731,'MASTER ITEM LIST'!A:A,'MASTER ITEM LIST'!D:D), "")</f>
        <v>LITER</v>
      </c>
      <c r="J731" s="34">
        <v>2600.0</v>
      </c>
      <c r="K731" s="69">
        <f t="shared" si="1"/>
        <v>650</v>
      </c>
      <c r="L731" s="70" t="s">
        <v>42</v>
      </c>
    </row>
    <row r="732" ht="22.5" customHeight="1">
      <c r="A732" s="29">
        <v>46165.0</v>
      </c>
      <c r="B732" s="31"/>
      <c r="C732" s="32" t="s">
        <v>711</v>
      </c>
      <c r="D732" s="71" t="s">
        <v>1158</v>
      </c>
      <c r="E732" s="66" t="str">
        <f t="array" ref="E732">IF(D732="", "", XLOOKUP(D732, 'MASTER ITEM LIST'!A:A, 'MASTER ITEM LIST'!B:B, ""))</f>
        <v>NAX QDU MIX 4L</v>
      </c>
      <c r="F732" s="31"/>
      <c r="G732" s="67" t="s">
        <v>34</v>
      </c>
      <c r="H732" s="31">
        <v>0.0625</v>
      </c>
      <c r="I732" s="31" t="str">
        <f t="array" ref="I732">IFERROR(XLOOKUP(D732,'MASTER ITEM LIST'!A:A,'MASTER ITEM LIST'!D:D), "")</f>
        <v>GALON</v>
      </c>
      <c r="J732" s="34">
        <v>6080.0</v>
      </c>
      <c r="K732" s="69">
        <f t="shared" si="1"/>
        <v>380</v>
      </c>
      <c r="L732" s="70" t="s">
        <v>42</v>
      </c>
    </row>
    <row r="733" ht="22.5" customHeight="1">
      <c r="A733" s="29">
        <v>46165.0</v>
      </c>
      <c r="B733" s="31"/>
      <c r="C733" s="32" t="s">
        <v>711</v>
      </c>
      <c r="D733" s="71" t="s">
        <v>167</v>
      </c>
      <c r="E733" s="66" t="str">
        <f t="array" ref="E733">IF(D733="", "", XLOOKUP(D733, 'MASTER ITEM LIST'!A:A, 'MASTER ITEM LIST'!B:B, ""))</f>
        <v>NAX QDU MIX 1L</v>
      </c>
      <c r="F733" s="31"/>
      <c r="G733" s="67" t="s">
        <v>34</v>
      </c>
      <c r="H733" s="31">
        <v>0.5</v>
      </c>
      <c r="I733" s="31" t="str">
        <f t="array" ref="I733">IFERROR(XLOOKUP(D733,'MASTER ITEM LIST'!A:A,'MASTER ITEM LIST'!D:D), "")</f>
        <v>LITER</v>
      </c>
      <c r="J733" s="34">
        <v>4400.0</v>
      </c>
      <c r="K733" s="69">
        <f t="shared" si="1"/>
        <v>2200</v>
      </c>
      <c r="L733" s="70" t="s">
        <v>42</v>
      </c>
    </row>
    <row r="734" ht="22.5" customHeight="1">
      <c r="A734" s="29">
        <v>46167.0</v>
      </c>
      <c r="B734" s="31"/>
      <c r="C734" s="32" t="s">
        <v>711</v>
      </c>
      <c r="D734" s="71" t="s">
        <v>134</v>
      </c>
      <c r="E734" s="66" t="str">
        <f t="array" ref="E734">IF(D734="", "", XLOOKUP(D734, 'MASTER ITEM LIST'!A:A, 'MASTER ITEM LIST'!B:B, ""))</f>
        <v>QDE MIXING NP, DAVIES, BOYSEN, ALPHA CHROMA, WC 1L</v>
      </c>
      <c r="F734" s="31"/>
      <c r="G734" s="67" t="s">
        <v>34</v>
      </c>
      <c r="H734" s="31">
        <v>0.5</v>
      </c>
      <c r="I734" s="31" t="str">
        <f t="array" ref="I734">IFERROR(XLOOKUP(D734,'MASTER ITEM LIST'!A:A,'MASTER ITEM LIST'!D:D), "")</f>
        <v>LITER</v>
      </c>
      <c r="J734" s="34">
        <v>260.0</v>
      </c>
      <c r="K734" s="69">
        <f t="shared" si="1"/>
        <v>130</v>
      </c>
      <c r="L734" s="70" t="s">
        <v>42</v>
      </c>
    </row>
    <row r="735" ht="22.5" customHeight="1">
      <c r="A735" s="29">
        <v>46167.0</v>
      </c>
      <c r="B735" s="31"/>
      <c r="C735" s="32" t="s">
        <v>711</v>
      </c>
      <c r="D735" s="71" t="s">
        <v>384</v>
      </c>
      <c r="E735" s="66" t="str">
        <f t="array" ref="E735">IF(D735="", "", XLOOKUP(D735, 'MASTER ITEM LIST'!A:A, 'MASTER ITEM LIST'!B:B, ""))</f>
        <v>PAINT BRUSH 2B #1</v>
      </c>
      <c r="F735" s="31"/>
      <c r="G735" s="67" t="s">
        <v>34</v>
      </c>
      <c r="H735" s="31">
        <v>1.0</v>
      </c>
      <c r="I735" s="31" t="str">
        <f t="array" ref="I735">IFERROR(XLOOKUP(D735,'MASTER ITEM LIST'!A:A,'MASTER ITEM LIST'!D:D), "")</f>
        <v>PC/S</v>
      </c>
      <c r="J735" s="34">
        <v>25.0</v>
      </c>
      <c r="K735" s="69">
        <f t="shared" si="1"/>
        <v>25</v>
      </c>
      <c r="L735" s="70" t="s">
        <v>42</v>
      </c>
    </row>
    <row r="736" ht="22.5" customHeight="1">
      <c r="A736" s="29">
        <v>46167.0</v>
      </c>
      <c r="B736" s="31"/>
      <c r="C736" s="32" t="s">
        <v>711</v>
      </c>
      <c r="D736" s="71" t="s">
        <v>167</v>
      </c>
      <c r="E736" s="66" t="str">
        <f t="array" ref="E736">IF(D736="", "", XLOOKUP(D736, 'MASTER ITEM LIST'!A:A, 'MASTER ITEM LIST'!B:B, ""))</f>
        <v>NAX QDU MIX 1L</v>
      </c>
      <c r="F736" s="31"/>
      <c r="G736" s="67" t="s">
        <v>34</v>
      </c>
      <c r="H736" s="31">
        <v>0.25</v>
      </c>
      <c r="I736" s="31" t="str">
        <f t="array" ref="I736">IFERROR(XLOOKUP(D736,'MASTER ITEM LIST'!A:A,'MASTER ITEM LIST'!D:D), "")</f>
        <v>LITER</v>
      </c>
      <c r="J736" s="34">
        <v>1400.0</v>
      </c>
      <c r="K736" s="69">
        <f t="shared" si="1"/>
        <v>350</v>
      </c>
      <c r="L736" s="70" t="s">
        <v>42</v>
      </c>
    </row>
    <row r="737" ht="22.5" customHeight="1">
      <c r="A737" s="29">
        <v>46168.0</v>
      </c>
      <c r="B737" s="31"/>
      <c r="C737" s="32" t="s">
        <v>711</v>
      </c>
      <c r="D737" s="23" t="s">
        <v>1155</v>
      </c>
      <c r="E737" s="66" t="str">
        <f t="array" ref="E737">IF(D737="", "", XLOOKUP(D737, 'MASTER ITEM LIST'!A:A, 'MASTER ITEM LIST'!B:B, ""))</f>
        <v>LATEX NP, ALPHA CHROMA, DAVIES, BOYSEN, WC 4L</v>
      </c>
      <c r="F737" s="31"/>
      <c r="G737" s="67" t="s">
        <v>34</v>
      </c>
      <c r="H737" s="31">
        <v>2.0</v>
      </c>
      <c r="I737" s="31" t="str">
        <f t="array" ref="I737">IFERROR(XLOOKUP(D737,'MASTER ITEM LIST'!A:A,'MASTER ITEM LIST'!D:D), "")</f>
        <v>GALON</v>
      </c>
      <c r="J737" s="34">
        <v>900.0</v>
      </c>
      <c r="K737" s="69">
        <f t="shared" si="1"/>
        <v>1800</v>
      </c>
      <c r="L737" s="70" t="s">
        <v>42</v>
      </c>
    </row>
    <row r="738" ht="22.5" customHeight="1">
      <c r="A738" s="29">
        <v>46168.0</v>
      </c>
      <c r="B738" s="31"/>
      <c r="C738" s="32" t="s">
        <v>711</v>
      </c>
      <c r="D738" s="71" t="s">
        <v>537</v>
      </c>
      <c r="E738" s="66" t="str">
        <f t="array" ref="E738">IF(D738="", "", XLOOKUP(D738, 'MASTER ITEM LIST'!A:A, 'MASTER ITEM LIST'!B:B, ""))</f>
        <v>NIPPON METAL PRIMER RED OXIDE GAL</v>
      </c>
      <c r="F738" s="31"/>
      <c r="G738" s="67" t="s">
        <v>34</v>
      </c>
      <c r="H738" s="31">
        <v>1.0</v>
      </c>
      <c r="I738" s="31" t="str">
        <f t="array" ref="I738">IFERROR(XLOOKUP(D738,'MASTER ITEM LIST'!A:A,'MASTER ITEM LIST'!D:D), "")</f>
        <v>GAL</v>
      </c>
      <c r="J738" s="34">
        <v>780.0</v>
      </c>
      <c r="K738" s="69">
        <f t="shared" si="1"/>
        <v>780</v>
      </c>
      <c r="L738" s="70" t="s">
        <v>42</v>
      </c>
    </row>
    <row r="739" ht="22.5" customHeight="1">
      <c r="A739" s="29">
        <v>46168.0</v>
      </c>
      <c r="B739" s="31"/>
      <c r="C739" s="32" t="s">
        <v>711</v>
      </c>
      <c r="D739" s="71" t="s">
        <v>182</v>
      </c>
      <c r="E739" s="66" t="str">
        <f t="array" ref="E739">IF(D739="", "", XLOOKUP(D739, 'MASTER ITEM LIST'!A:A, 'MASTER ITEM LIST'!B:B, ""))</f>
        <v>UNO LACQUER THINNER 4L</v>
      </c>
      <c r="F739" s="31"/>
      <c r="G739" s="67" t="s">
        <v>34</v>
      </c>
      <c r="H739" s="31">
        <v>0.25</v>
      </c>
      <c r="I739" s="31" t="str">
        <f t="array" ref="I739">IFERROR(XLOOKUP(D739,'MASTER ITEM LIST'!A:A,'MASTER ITEM LIST'!D:D), "")</f>
        <v>GAL/S</v>
      </c>
      <c r="J739" s="34">
        <v>600.0</v>
      </c>
      <c r="K739" s="69">
        <f t="shared" si="1"/>
        <v>150</v>
      </c>
      <c r="L739" s="70" t="s">
        <v>42</v>
      </c>
    </row>
    <row r="740" ht="22.5" customHeight="1">
      <c r="A740" s="29">
        <v>46169.0</v>
      </c>
      <c r="B740" s="31"/>
      <c r="C740" s="32" t="s">
        <v>711</v>
      </c>
      <c r="D740" s="71" t="s">
        <v>167</v>
      </c>
      <c r="E740" s="66" t="str">
        <f t="array" ref="E740">IF(D740="", "", XLOOKUP(D740, 'MASTER ITEM LIST'!A:A, 'MASTER ITEM LIST'!B:B, ""))</f>
        <v>NAX QDU MIX 1L</v>
      </c>
      <c r="F740" s="31"/>
      <c r="G740" s="67" t="s">
        <v>34</v>
      </c>
      <c r="H740" s="31">
        <v>0.5</v>
      </c>
      <c r="I740" s="31" t="str">
        <f t="array" ref="I740">IFERROR(XLOOKUP(D740,'MASTER ITEM LIST'!A:A,'MASTER ITEM LIST'!D:D), "")</f>
        <v>LITER</v>
      </c>
      <c r="J740" s="34">
        <v>800.0</v>
      </c>
      <c r="K740" s="69">
        <f t="shared" si="1"/>
        <v>400</v>
      </c>
      <c r="L740" s="70" t="s">
        <v>42</v>
      </c>
    </row>
    <row r="741" ht="22.5" customHeight="1">
      <c r="A741" s="29">
        <v>46169.0</v>
      </c>
      <c r="B741" s="31"/>
      <c r="C741" s="32" t="s">
        <v>711</v>
      </c>
      <c r="D741" s="71" t="s">
        <v>1158</v>
      </c>
      <c r="E741" s="66" t="str">
        <f t="array" ref="E741">IF(D741="", "", XLOOKUP(D741, 'MASTER ITEM LIST'!A:A, 'MASTER ITEM LIST'!B:B, ""))</f>
        <v>NAX QDU MIX 4L</v>
      </c>
      <c r="F741" s="31"/>
      <c r="G741" s="67" t="s">
        <v>34</v>
      </c>
      <c r="H741" s="31">
        <v>2.0</v>
      </c>
      <c r="I741" s="31" t="str">
        <f t="array" ref="I741">IFERROR(XLOOKUP(D741,'MASTER ITEM LIST'!A:A,'MASTER ITEM LIST'!D:D), "")</f>
        <v>GALON</v>
      </c>
      <c r="J741" s="34">
        <v>1000.0</v>
      </c>
      <c r="K741" s="69">
        <f t="shared" si="1"/>
        <v>2000</v>
      </c>
      <c r="L741" s="70" t="s">
        <v>42</v>
      </c>
    </row>
    <row r="742" ht="22.5" customHeight="1">
      <c r="A742" s="29">
        <v>46169.0</v>
      </c>
      <c r="B742" s="31"/>
      <c r="C742" s="32" t="s">
        <v>711</v>
      </c>
      <c r="D742" s="71" t="s">
        <v>410</v>
      </c>
      <c r="E742" s="66" t="str">
        <f t="array" ref="E742">IF(D742="", "", XLOOKUP(D742, 'MASTER ITEM LIST'!A:A, 'MASTER ITEM LIST'!B:B, ""))</f>
        <v>NAX NAX21 URETHANE HAEDENER</v>
      </c>
      <c r="F742" s="31"/>
      <c r="G742" s="67" t="s">
        <v>34</v>
      </c>
      <c r="H742" s="31">
        <v>5.0</v>
      </c>
      <c r="I742" s="31" t="str">
        <f t="array" ref="I742">IFERROR(XLOOKUP(D742,'MASTER ITEM LIST'!A:A,'MASTER ITEM LIST'!D:D), "")</f>
        <v>CANS</v>
      </c>
      <c r="J742" s="34">
        <v>250.0</v>
      </c>
      <c r="K742" s="69">
        <f t="shared" si="1"/>
        <v>1250</v>
      </c>
      <c r="L742" s="70" t="s">
        <v>42</v>
      </c>
    </row>
    <row r="743" ht="22.5" customHeight="1">
      <c r="A743" s="29">
        <v>46169.0</v>
      </c>
      <c r="B743" s="31"/>
      <c r="C743" s="32" t="s">
        <v>711</v>
      </c>
      <c r="D743" s="71" t="s">
        <v>182</v>
      </c>
      <c r="E743" s="66" t="str">
        <f t="array" ref="E743">IF(D743="", "", XLOOKUP(D743, 'MASTER ITEM LIST'!A:A, 'MASTER ITEM LIST'!B:B, ""))</f>
        <v>UNO LACQUER THINNER 4L</v>
      </c>
      <c r="F743" s="31"/>
      <c r="G743" s="67" t="s">
        <v>34</v>
      </c>
      <c r="H743" s="31">
        <v>0.0625</v>
      </c>
      <c r="I743" s="31" t="str">
        <f t="array" ref="I743">IFERROR(XLOOKUP(D743,'MASTER ITEM LIST'!A:A,'MASTER ITEM LIST'!D:D), "")</f>
        <v>GAL/S</v>
      </c>
      <c r="J743" s="34">
        <v>640.0</v>
      </c>
      <c r="K743" s="69">
        <f t="shared" si="1"/>
        <v>40</v>
      </c>
      <c r="L743" s="70" t="s">
        <v>42</v>
      </c>
    </row>
    <row r="744" ht="22.5" customHeight="1">
      <c r="A744" s="29">
        <v>46170.0</v>
      </c>
      <c r="B744" s="31"/>
      <c r="C744" s="32" t="s">
        <v>711</v>
      </c>
      <c r="D744" s="71" t="s">
        <v>355</v>
      </c>
      <c r="E744" s="66" t="str">
        <f t="array" ref="E744">IF(D744="", "", XLOOKUP(D744, 'MASTER ITEM LIST'!A:A, 'MASTER ITEM LIST'!B:B, ""))</f>
        <v>PYLOX LAZER SILVER 42</v>
      </c>
      <c r="F744" s="31"/>
      <c r="G744" s="67" t="s">
        <v>34</v>
      </c>
      <c r="H744" s="31">
        <v>2.0</v>
      </c>
      <c r="I744" s="31" t="str">
        <f t="array" ref="I744">IFERROR(XLOOKUP(D744,'MASTER ITEM LIST'!A:A,'MASTER ITEM LIST'!D:D), "")</f>
        <v>CAN</v>
      </c>
      <c r="J744" s="34">
        <v>135.0</v>
      </c>
      <c r="K744" s="69">
        <f t="shared" si="1"/>
        <v>270</v>
      </c>
      <c r="L744" s="70" t="s">
        <v>42</v>
      </c>
    </row>
    <row r="745" ht="22.5" customHeight="1">
      <c r="A745" s="29">
        <v>46170.0</v>
      </c>
      <c r="B745" s="31"/>
      <c r="C745" s="32" t="s">
        <v>711</v>
      </c>
      <c r="D745" s="71" t="s">
        <v>358</v>
      </c>
      <c r="E745" s="66" t="str">
        <f t="array" ref="E745">IF(D745="", "", XLOOKUP(D745, 'MASTER ITEM LIST'!A:A, 'MASTER ITEM LIST'!B:B, ""))</f>
        <v>PYLOX LAZER PRIMER GRAY 145</v>
      </c>
      <c r="F745" s="31"/>
      <c r="G745" s="67" t="s">
        <v>34</v>
      </c>
      <c r="H745" s="31">
        <v>2.0</v>
      </c>
      <c r="I745" s="31" t="str">
        <f t="array" ref="I745">IFERROR(XLOOKUP(D745,'MASTER ITEM LIST'!A:A,'MASTER ITEM LIST'!D:D), "")</f>
        <v>CAN</v>
      </c>
      <c r="J745" s="34">
        <v>135.0</v>
      </c>
      <c r="K745" s="69">
        <f t="shared" si="1"/>
        <v>270</v>
      </c>
      <c r="L745" s="70" t="s">
        <v>42</v>
      </c>
    </row>
    <row r="746" ht="22.5" customHeight="1">
      <c r="A746" s="29">
        <v>46171.0</v>
      </c>
      <c r="B746" s="31"/>
      <c r="C746" s="32" t="s">
        <v>711</v>
      </c>
      <c r="D746" s="71" t="s">
        <v>220</v>
      </c>
      <c r="E746" s="66" t="str">
        <f t="array" ref="E746">IF(D746="", "", XLOOKUP(D746, 'MASTER ITEM LIST'!A:A, 'MASTER ITEM LIST'!B:B, ""))</f>
        <v>PREMILA MIXING 1L</v>
      </c>
      <c r="F746" s="31" t="s">
        <v>1618</v>
      </c>
      <c r="G746" s="67" t="s">
        <v>34</v>
      </c>
      <c r="H746" s="31">
        <v>0.25</v>
      </c>
      <c r="I746" s="31" t="str">
        <f t="array" ref="I746">IFERROR(XLOOKUP(D746,'MASTER ITEM LIST'!A:A,'MASTER ITEM LIST'!D:D), "")</f>
        <v>LITER</v>
      </c>
      <c r="J746" s="34">
        <v>1600.0</v>
      </c>
      <c r="K746" s="69">
        <f t="shared" si="1"/>
        <v>400</v>
      </c>
      <c r="L746" s="70" t="s">
        <v>42</v>
      </c>
    </row>
    <row r="747" ht="22.5" customHeight="1">
      <c r="A747" s="29">
        <v>46171.0</v>
      </c>
      <c r="B747" s="31"/>
      <c r="C747" s="32" t="s">
        <v>711</v>
      </c>
      <c r="D747" s="71" t="s">
        <v>53</v>
      </c>
      <c r="E747" s="66" t="str">
        <f t="array" ref="E747">IF(D747="", "", XLOOKUP(D747, 'MASTER ITEM LIST'!A:A, 'MASTER ITEM LIST'!B:B, ""))</f>
        <v>NAX 108 CERAMIC 2K CLEAR WITH HARDENER 1L</v>
      </c>
      <c r="F747" s="31"/>
      <c r="G747" s="67" t="s">
        <v>34</v>
      </c>
      <c r="H747" s="31">
        <v>0.5</v>
      </c>
      <c r="I747" s="31" t="str">
        <f t="array" ref="I747">IFERROR(XLOOKUP(D747,'MASTER ITEM LIST'!A:A,'MASTER ITEM LIST'!D:D), "")</f>
        <v>LITER</v>
      </c>
      <c r="J747" s="34">
        <v>680.0</v>
      </c>
      <c r="K747" s="69">
        <f t="shared" si="1"/>
        <v>340</v>
      </c>
      <c r="L747" s="70" t="s">
        <v>42</v>
      </c>
    </row>
    <row r="748" ht="22.5" customHeight="1">
      <c r="A748" s="29">
        <v>46171.0</v>
      </c>
      <c r="B748" s="31"/>
      <c r="C748" s="32" t="s">
        <v>711</v>
      </c>
      <c r="D748" s="71" t="s">
        <v>90</v>
      </c>
      <c r="E748" s="66" t="str">
        <f t="array" ref="E748">IF(D748="", "", XLOOKUP(D748, 'MASTER ITEM LIST'!A:A, 'MASTER ITEM LIST'!B:B, ""))</f>
        <v>NAX SOB757 HIGH GRADE URETHANE THINNER 4L</v>
      </c>
      <c r="F748" s="31"/>
      <c r="G748" s="67" t="s">
        <v>34</v>
      </c>
      <c r="H748" s="31">
        <v>0.25</v>
      </c>
      <c r="I748" s="31" t="str">
        <f t="array" ref="I748">IFERROR(XLOOKUP(D748,'MASTER ITEM LIST'!A:A,'MASTER ITEM LIST'!D:D), "")</f>
        <v>GAL</v>
      </c>
      <c r="J748" s="34">
        <v>800.0</v>
      </c>
      <c r="K748" s="69">
        <f t="shared" si="1"/>
        <v>200</v>
      </c>
      <c r="L748" s="70" t="s">
        <v>42</v>
      </c>
    </row>
    <row r="749" ht="22.5" customHeight="1">
      <c r="A749" s="29">
        <v>46171.0</v>
      </c>
      <c r="B749" s="31"/>
      <c r="C749" s="32" t="s">
        <v>711</v>
      </c>
      <c r="D749" s="71" t="s">
        <v>182</v>
      </c>
      <c r="E749" s="66" t="str">
        <f t="array" ref="E749">IF(D749="", "", XLOOKUP(D749, 'MASTER ITEM LIST'!A:A, 'MASTER ITEM LIST'!B:B, ""))</f>
        <v>UNO LACQUER THINNER 4L</v>
      </c>
      <c r="F749" s="31"/>
      <c r="G749" s="67" t="s">
        <v>34</v>
      </c>
      <c r="H749" s="31">
        <v>0.0625</v>
      </c>
      <c r="I749" s="31" t="str">
        <f t="array" ref="I749">IFERROR(XLOOKUP(D749,'MASTER ITEM LIST'!A:A,'MASTER ITEM LIST'!D:D), "")</f>
        <v>GAL/S</v>
      </c>
      <c r="J749" s="34">
        <v>800.0</v>
      </c>
      <c r="K749" s="69">
        <f t="shared" si="1"/>
        <v>50</v>
      </c>
      <c r="L749" s="70" t="s">
        <v>42</v>
      </c>
    </row>
    <row r="750" ht="22.5" customHeight="1">
      <c r="A750" s="29">
        <v>46171.0</v>
      </c>
      <c r="B750" s="31"/>
      <c r="C750" s="32" t="s">
        <v>711</v>
      </c>
      <c r="D750" s="71" t="s">
        <v>213</v>
      </c>
      <c r="E750" s="66" t="str">
        <f t="array" ref="E750">IF(D750="", "", XLOOKUP(D750, 'MASTER ITEM LIST'!A:A, 'MASTER ITEM LIST'!B:B, ""))</f>
        <v>NAX PREMILA NP9200 2K CLEAR WITH HARDENER 1L</v>
      </c>
      <c r="F750" s="31"/>
      <c r="G750" s="67" t="s">
        <v>34</v>
      </c>
      <c r="H750" s="31">
        <v>0.5</v>
      </c>
      <c r="I750" s="31" t="str">
        <f t="array" ref="I750">IFERROR(XLOOKUP(D750,'MASTER ITEM LIST'!A:A,'MASTER ITEM LIST'!D:D), "")</f>
        <v>LITER</v>
      </c>
      <c r="J750" s="34">
        <v>1400.0</v>
      </c>
      <c r="K750" s="69">
        <f t="shared" si="1"/>
        <v>700</v>
      </c>
      <c r="L750" s="70" t="s">
        <v>42</v>
      </c>
    </row>
    <row r="751" ht="22.5" customHeight="1">
      <c r="A751" s="29">
        <v>46171.0</v>
      </c>
      <c r="B751" s="31"/>
      <c r="C751" s="32" t="s">
        <v>711</v>
      </c>
      <c r="D751" s="71" t="s">
        <v>458</v>
      </c>
      <c r="E751" s="66" t="str">
        <f t="array" ref="E751">IF(D751="", "", XLOOKUP(D751, 'MASTER ITEM LIST'!A:A, 'MASTER ITEM LIST'!B:B, ""))</f>
        <v>PLATONE QDE YELLOW 4L</v>
      </c>
      <c r="F751" s="31"/>
      <c r="G751" s="67" t="s">
        <v>34</v>
      </c>
      <c r="H751" s="31">
        <v>1.0</v>
      </c>
      <c r="I751" s="31" t="str">
        <f t="array" ref="I751">IFERROR(XLOOKUP(D751,'MASTER ITEM LIST'!A:A,'MASTER ITEM LIST'!D:D), "")</f>
        <v>GAL</v>
      </c>
      <c r="J751" s="34">
        <v>1000.0</v>
      </c>
      <c r="K751" s="69">
        <f t="shared" si="1"/>
        <v>1000</v>
      </c>
      <c r="L751" s="70" t="s">
        <v>42</v>
      </c>
    </row>
    <row r="752" ht="22.5" customHeight="1">
      <c r="A752" s="29">
        <v>46171.0</v>
      </c>
      <c r="B752" s="31"/>
      <c r="C752" s="32" t="s">
        <v>711</v>
      </c>
      <c r="D752" s="71" t="s">
        <v>478</v>
      </c>
      <c r="E752" s="66" t="str">
        <f t="array" ref="E752">IF(D752="", "", XLOOKUP(D752, 'MASTER ITEM LIST'!A:A, 'MASTER ITEM LIST'!B:B, ""))</f>
        <v>PLATONE QDE GREEN 4L</v>
      </c>
      <c r="F752" s="31"/>
      <c r="G752" s="67" t="s">
        <v>34</v>
      </c>
      <c r="H752" s="31">
        <v>2.0</v>
      </c>
      <c r="I752" s="31" t="str">
        <f t="array" ref="I752">IFERROR(XLOOKUP(D752,'MASTER ITEM LIST'!A:A,'MASTER ITEM LIST'!D:D), "")</f>
        <v>GALON</v>
      </c>
      <c r="J752" s="34">
        <v>900.0</v>
      </c>
      <c r="K752" s="69">
        <f t="shared" si="1"/>
        <v>1800</v>
      </c>
      <c r="L752" s="70" t="s">
        <v>42</v>
      </c>
    </row>
    <row r="753" ht="22.5" customHeight="1">
      <c r="A753" s="29">
        <v>46171.0</v>
      </c>
      <c r="B753" s="31"/>
      <c r="C753" s="32" t="s">
        <v>711</v>
      </c>
      <c r="D753" s="71" t="s">
        <v>134</v>
      </c>
      <c r="E753" s="66" t="str">
        <f t="array" ref="E753">IF(D753="", "", XLOOKUP(D753, 'MASTER ITEM LIST'!A:A, 'MASTER ITEM LIST'!B:B, ""))</f>
        <v>QDE MIXING NP, DAVIES, BOYSEN, ALPHA CHROMA, WC 1L</v>
      </c>
      <c r="F753" s="31"/>
      <c r="G753" s="67" t="s">
        <v>34</v>
      </c>
      <c r="H753" s="31">
        <v>1.0</v>
      </c>
      <c r="I753" s="31" t="str">
        <f t="array" ref="I753">IFERROR(XLOOKUP(D753,'MASTER ITEM LIST'!A:A,'MASTER ITEM LIST'!D:D), "")</f>
        <v>LITER</v>
      </c>
      <c r="J753" s="34">
        <v>265.0</v>
      </c>
      <c r="K753" s="69">
        <f t="shared" si="1"/>
        <v>265</v>
      </c>
      <c r="L753" s="70" t="s">
        <v>42</v>
      </c>
    </row>
    <row r="754" ht="22.5" customHeight="1">
      <c r="A754" s="29">
        <v>46171.0</v>
      </c>
      <c r="B754" s="31"/>
      <c r="C754" s="32" t="s">
        <v>711</v>
      </c>
      <c r="D754" s="71" t="s">
        <v>1166</v>
      </c>
      <c r="E754" s="66" t="str">
        <f t="array" ref="E754">IF(D754="", "", XLOOKUP(D754, 'MASTER ITEM LIST'!A:A, 'MASTER ITEM LIST'!B:B, ""))</f>
        <v>2B PAINT BRUSH 1 1/2</v>
      </c>
      <c r="F754" s="31"/>
      <c r="G754" s="67" t="s">
        <v>34</v>
      </c>
      <c r="H754" s="31">
        <v>1.0</v>
      </c>
      <c r="I754" s="31" t="str">
        <f t="array" ref="I754">IFERROR(XLOOKUP(D754,'MASTER ITEM LIST'!A:A,'MASTER ITEM LIST'!D:D), "")</f>
        <v>PC/S</v>
      </c>
      <c r="J754" s="34">
        <v>35.0</v>
      </c>
      <c r="K754" s="69">
        <f t="shared" si="1"/>
        <v>35</v>
      </c>
      <c r="L754" s="70" t="s">
        <v>42</v>
      </c>
    </row>
    <row r="755" ht="22.5" customHeight="1">
      <c r="A755" s="29">
        <v>46172.0</v>
      </c>
      <c r="B755" s="31"/>
      <c r="C755" s="32" t="s">
        <v>711</v>
      </c>
      <c r="D755" s="71" t="s">
        <v>326</v>
      </c>
      <c r="E755" s="66" t="str">
        <f t="array" ref="E755">IF(D755="", "", XLOOKUP(D755, 'MASTER ITEM LIST'!A:A, 'MASTER ITEM LIST'!B:B, ""))</f>
        <v>EAGLE SANDPAPER #1200</v>
      </c>
      <c r="F755" s="31"/>
      <c r="G755" s="67" t="s">
        <v>34</v>
      </c>
      <c r="H755" s="31">
        <v>1.0</v>
      </c>
      <c r="I755" s="31" t="str">
        <f t="array" ref="I755">IFERROR(XLOOKUP(D755,'MASTER ITEM LIST'!A:A,'MASTER ITEM LIST'!D:D), "")</f>
        <v>PC/S</v>
      </c>
      <c r="J755" s="34">
        <v>35.0</v>
      </c>
      <c r="K755" s="69">
        <f t="shared" si="1"/>
        <v>35</v>
      </c>
      <c r="L755" s="70" t="s">
        <v>42</v>
      </c>
    </row>
    <row r="756" ht="22.5" customHeight="1">
      <c r="A756" s="29">
        <v>46172.0</v>
      </c>
      <c r="B756" s="31"/>
      <c r="C756" s="32" t="s">
        <v>711</v>
      </c>
      <c r="D756" s="71" t="s">
        <v>458</v>
      </c>
      <c r="E756" s="66" t="str">
        <f t="array" ref="E756">IF(D756="", "", XLOOKUP(D756, 'MASTER ITEM LIST'!A:A, 'MASTER ITEM LIST'!B:B, ""))</f>
        <v>PLATONE QDE YELLOW 4L</v>
      </c>
      <c r="F756" s="31"/>
      <c r="G756" s="67" t="s">
        <v>34</v>
      </c>
      <c r="H756" s="31">
        <v>1.0</v>
      </c>
      <c r="I756" s="31" t="str">
        <f t="array" ref="I756">IFERROR(XLOOKUP(D756,'MASTER ITEM LIST'!A:A,'MASTER ITEM LIST'!D:D), "")</f>
        <v>GAL</v>
      </c>
      <c r="J756" s="34">
        <v>1000.0</v>
      </c>
      <c r="K756" s="69">
        <f t="shared" si="1"/>
        <v>1000</v>
      </c>
      <c r="L756" s="70" t="s">
        <v>42</v>
      </c>
    </row>
    <row r="757" ht="22.5" customHeight="1">
      <c r="A757" s="29">
        <v>46146.0</v>
      </c>
      <c r="B757" s="31" t="s">
        <v>1619</v>
      </c>
      <c r="C757" s="32" t="s">
        <v>1210</v>
      </c>
      <c r="D757" s="71" t="s">
        <v>220</v>
      </c>
      <c r="E757" s="66" t="str">
        <f t="array" ref="E757">IF(D757="", "", XLOOKUP(D757, 'MASTER ITEM LIST'!A:A, 'MASTER ITEM LIST'!B:B, ""))</f>
        <v>PREMILA MIXING 1L</v>
      </c>
      <c r="F757" s="31" t="s">
        <v>1620</v>
      </c>
      <c r="G757" s="67" t="s">
        <v>1211</v>
      </c>
      <c r="H757" s="31">
        <v>0.2</v>
      </c>
      <c r="I757" s="31" t="str">
        <f t="array" ref="I757">IFERROR(XLOOKUP(D757,'MASTER ITEM LIST'!A:A,'MASTER ITEM LIST'!D:D), "")</f>
        <v>LITER</v>
      </c>
      <c r="J757" s="34">
        <v>2800.0</v>
      </c>
      <c r="K757" s="69">
        <f t="shared" si="1"/>
        <v>560</v>
      </c>
      <c r="L757" s="70" t="s">
        <v>1212</v>
      </c>
    </row>
    <row r="758" ht="22.5" customHeight="1">
      <c r="A758" s="29">
        <v>46146.0</v>
      </c>
      <c r="B758" s="31" t="s">
        <v>1619</v>
      </c>
      <c r="C758" s="32" t="s">
        <v>1210</v>
      </c>
      <c r="D758" s="71" t="s">
        <v>220</v>
      </c>
      <c r="E758" s="66" t="str">
        <f t="array" ref="E758">IF(D758="", "", XLOOKUP(D758, 'MASTER ITEM LIST'!A:A, 'MASTER ITEM LIST'!B:B, ""))</f>
        <v>PREMILA MIXING 1L</v>
      </c>
      <c r="F758" s="31" t="s">
        <v>1621</v>
      </c>
      <c r="G758" s="67" t="s">
        <v>1211</v>
      </c>
      <c r="H758" s="31">
        <v>0.2</v>
      </c>
      <c r="I758" s="31" t="str">
        <f t="array" ref="I758">IFERROR(XLOOKUP(D758,'MASTER ITEM LIST'!A:A,'MASTER ITEM LIST'!D:D), "")</f>
        <v>LITER</v>
      </c>
      <c r="J758" s="34">
        <v>2000.0</v>
      </c>
      <c r="K758" s="69">
        <f t="shared" si="1"/>
        <v>400</v>
      </c>
      <c r="L758" s="70" t="s">
        <v>1212</v>
      </c>
    </row>
    <row r="759" ht="22.5" customHeight="1">
      <c r="A759" s="29">
        <v>46146.0</v>
      </c>
      <c r="B759" s="31" t="s">
        <v>1619</v>
      </c>
      <c r="C759" s="32" t="s">
        <v>1210</v>
      </c>
      <c r="D759" s="71" t="s">
        <v>53</v>
      </c>
      <c r="E759" s="66" t="str">
        <f t="array" ref="E759">IF(D759="", "", XLOOKUP(D759, 'MASTER ITEM LIST'!A:A, 'MASTER ITEM LIST'!B:B, ""))</f>
        <v>NAX 108 CERAMIC 2K CLEAR WITH HARDENER 1L</v>
      </c>
      <c r="F759" s="31"/>
      <c r="G759" s="67" t="s">
        <v>1211</v>
      </c>
      <c r="H759" s="31">
        <v>0.5</v>
      </c>
      <c r="I759" s="31" t="str">
        <f t="array" ref="I759">IFERROR(XLOOKUP(D759,'MASTER ITEM LIST'!A:A,'MASTER ITEM LIST'!D:D), "")</f>
        <v>LITER</v>
      </c>
      <c r="J759" s="34">
        <v>800.0</v>
      </c>
      <c r="K759" s="69">
        <f t="shared" si="1"/>
        <v>400</v>
      </c>
      <c r="L759" s="70" t="s">
        <v>1212</v>
      </c>
    </row>
    <row r="760" ht="22.5" customHeight="1">
      <c r="A760" s="29">
        <v>46146.0</v>
      </c>
      <c r="B760" s="31" t="s">
        <v>1619</v>
      </c>
      <c r="C760" s="32" t="s">
        <v>1210</v>
      </c>
      <c r="D760" s="71" t="s">
        <v>136</v>
      </c>
      <c r="E760" s="66" t="str">
        <f t="array" ref="E760">IF(D760="", "", XLOOKUP(D760, 'MASTER ITEM LIST'!A:A, 'MASTER ITEM LIST'!B:B, ""))</f>
        <v>CROCO MASKING TAPE 3/4 18MM (1X64)</v>
      </c>
      <c r="F760" s="31"/>
      <c r="G760" s="67" t="s">
        <v>1211</v>
      </c>
      <c r="H760" s="31">
        <v>3.0</v>
      </c>
      <c r="I760" s="31" t="str">
        <f t="array" ref="I760">IFERROR(XLOOKUP(D760,'MASTER ITEM LIST'!A:A,'MASTER ITEM LIST'!D:D), "")</f>
        <v>PC/S</v>
      </c>
      <c r="J760" s="34">
        <v>35.0</v>
      </c>
      <c r="K760" s="69">
        <f t="shared" si="1"/>
        <v>105</v>
      </c>
      <c r="L760" s="70" t="s">
        <v>1212</v>
      </c>
    </row>
    <row r="761" ht="22.5" customHeight="1">
      <c r="A761" s="29">
        <v>46146.0</v>
      </c>
      <c r="B761" s="31" t="s">
        <v>1619</v>
      </c>
      <c r="C761" s="32" t="s">
        <v>1210</v>
      </c>
      <c r="D761" s="71" t="s">
        <v>63</v>
      </c>
      <c r="E761" s="66" t="str">
        <f t="array" ref="E761">IF(D761="", "", XLOOKUP(D761, 'MASTER ITEM LIST'!A:A, 'MASTER ITEM LIST'!B:B, ""))</f>
        <v>OLD NEWS</v>
      </c>
      <c r="F761" s="31"/>
      <c r="G761" s="67" t="s">
        <v>1211</v>
      </c>
      <c r="H761" s="31">
        <v>1.0</v>
      </c>
      <c r="I761" s="31" t="str">
        <f t="array" ref="I761">IFERROR(XLOOKUP(D761,'MASTER ITEM LIST'!A:A,'MASTER ITEM LIST'!D:D), "")</f>
        <v>KG</v>
      </c>
      <c r="J761" s="34">
        <v>100.0</v>
      </c>
      <c r="K761" s="69">
        <f t="shared" si="1"/>
        <v>100</v>
      </c>
      <c r="L761" s="70" t="s">
        <v>1212</v>
      </c>
    </row>
    <row r="762" ht="22.5" customHeight="1">
      <c r="A762" s="29">
        <v>46146.0</v>
      </c>
      <c r="B762" s="31" t="s">
        <v>1619</v>
      </c>
      <c r="C762" s="32" t="s">
        <v>1210</v>
      </c>
      <c r="D762" s="71" t="s">
        <v>198</v>
      </c>
      <c r="E762" s="66" t="str">
        <f t="array" ref="E762">IF(D762="", "", XLOOKUP(D762, 'MASTER ITEM LIST'!A:A, 'MASTER ITEM LIST'!B:B, ""))</f>
        <v>EAGLE SANDPAPER #2000</v>
      </c>
      <c r="F762" s="31"/>
      <c r="G762" s="67" t="s">
        <v>1211</v>
      </c>
      <c r="H762" s="31">
        <v>1.0</v>
      </c>
      <c r="I762" s="31" t="str">
        <f t="array" ref="I762">IFERROR(XLOOKUP(D762,'MASTER ITEM LIST'!A:A,'MASTER ITEM LIST'!D:D), "")</f>
        <v>PC/S</v>
      </c>
      <c r="J762" s="34">
        <v>35.0</v>
      </c>
      <c r="K762" s="69">
        <f t="shared" si="1"/>
        <v>35</v>
      </c>
      <c r="L762" s="70" t="s">
        <v>1212</v>
      </c>
    </row>
    <row r="763" ht="22.5" customHeight="1">
      <c r="A763" s="29">
        <v>46146.0</v>
      </c>
      <c r="B763" s="31" t="s">
        <v>1619</v>
      </c>
      <c r="C763" s="32" t="s">
        <v>1210</v>
      </c>
      <c r="D763" s="71" t="s">
        <v>548</v>
      </c>
      <c r="E763" s="66" t="str">
        <f t="array" ref="E763">IF(D763="", "", XLOOKUP(D763, 'MASTER ITEM LIST'!A:A, 'MASTER ITEM LIST'!B:B, ""))</f>
        <v>EAGLE SANDPAPER #240</v>
      </c>
      <c r="F763" s="31"/>
      <c r="G763" s="67" t="s">
        <v>1211</v>
      </c>
      <c r="H763" s="31">
        <v>1.0</v>
      </c>
      <c r="I763" s="31" t="str">
        <f t="array" ref="I763">IFERROR(XLOOKUP(D763,'MASTER ITEM LIST'!A:A,'MASTER ITEM LIST'!D:D), "")</f>
        <v>PC/S</v>
      </c>
      <c r="J763" s="34">
        <v>25.0</v>
      </c>
      <c r="K763" s="69">
        <f t="shared" si="1"/>
        <v>25</v>
      </c>
      <c r="L763" s="70" t="s">
        <v>1212</v>
      </c>
    </row>
    <row r="764" ht="22.5" customHeight="1">
      <c r="A764" s="29">
        <v>46146.0</v>
      </c>
      <c r="B764" s="31" t="s">
        <v>1619</v>
      </c>
      <c r="C764" s="32" t="s">
        <v>1210</v>
      </c>
      <c r="D764" s="71" t="s">
        <v>567</v>
      </c>
      <c r="E764" s="66" t="str">
        <f t="array" ref="E764">IF(D764="", "", XLOOKUP(D764, 'MASTER ITEM LIST'!A:A, 'MASTER ITEM LIST'!B:B, ""))</f>
        <v>EAGLE SANDPAPER #800</v>
      </c>
      <c r="F764" s="31"/>
      <c r="G764" s="67" t="s">
        <v>1211</v>
      </c>
      <c r="H764" s="31">
        <v>1.0</v>
      </c>
      <c r="I764" s="31" t="str">
        <f t="array" ref="I764">IFERROR(XLOOKUP(D764,'MASTER ITEM LIST'!A:A,'MASTER ITEM LIST'!D:D), "")</f>
        <v>PC/S</v>
      </c>
      <c r="J764" s="34">
        <v>25.0</v>
      </c>
      <c r="K764" s="69">
        <f t="shared" si="1"/>
        <v>25</v>
      </c>
      <c r="L764" s="70" t="s">
        <v>1212</v>
      </c>
    </row>
    <row r="765" ht="22.5" customHeight="1">
      <c r="A765" s="29">
        <v>46147.0</v>
      </c>
      <c r="B765" s="31" t="s">
        <v>1622</v>
      </c>
      <c r="C765" s="32" t="s">
        <v>1210</v>
      </c>
      <c r="D765" s="71" t="s">
        <v>220</v>
      </c>
      <c r="E765" s="66" t="str">
        <f t="array" ref="E765">IF(D765="", "", XLOOKUP(D765, 'MASTER ITEM LIST'!A:A, 'MASTER ITEM LIST'!B:B, ""))</f>
        <v>PREMILA MIXING 1L</v>
      </c>
      <c r="F765" s="31"/>
      <c r="G765" s="67" t="s">
        <v>1211</v>
      </c>
      <c r="H765" s="31">
        <v>0.2</v>
      </c>
      <c r="I765" s="31" t="str">
        <f t="array" ref="I765">IFERROR(XLOOKUP(D765,'MASTER ITEM LIST'!A:A,'MASTER ITEM LIST'!D:D), "")</f>
        <v>LITER</v>
      </c>
      <c r="J765" s="34">
        <v>2600.0</v>
      </c>
      <c r="K765" s="69">
        <f t="shared" si="1"/>
        <v>520</v>
      </c>
      <c r="L765" s="70" t="s">
        <v>1212</v>
      </c>
    </row>
    <row r="766" ht="22.5" customHeight="1">
      <c r="A766" s="29">
        <v>46147.0</v>
      </c>
      <c r="B766" s="31" t="s">
        <v>1622</v>
      </c>
      <c r="C766" s="32" t="s">
        <v>1210</v>
      </c>
      <c r="D766" s="71" t="s">
        <v>674</v>
      </c>
      <c r="E766" s="66" t="str">
        <f t="array" ref="E766">IF(D766="", "", XLOOKUP(D766, 'MASTER ITEM LIST'!A:A, 'MASTER ITEM LIST'!B:B, ""))</f>
        <v>DOMINO BODY FILTER WITH HARDENER 1L</v>
      </c>
      <c r="F766" s="31"/>
      <c r="G766" s="67" t="s">
        <v>1211</v>
      </c>
      <c r="H766" s="31">
        <v>1.0</v>
      </c>
      <c r="I766" s="31" t="str">
        <f t="array" ref="I766">IFERROR(XLOOKUP(D766,'MASTER ITEM LIST'!A:A,'MASTER ITEM LIST'!D:D), "")</f>
        <v>LITER</v>
      </c>
      <c r="J766" s="34">
        <v>250.0</v>
      </c>
      <c r="K766" s="69">
        <f t="shared" si="1"/>
        <v>250</v>
      </c>
      <c r="L766" s="70" t="s">
        <v>1212</v>
      </c>
    </row>
    <row r="767" ht="22.5" customHeight="1">
      <c r="A767" s="29">
        <v>46147.0</v>
      </c>
      <c r="B767" s="31" t="s">
        <v>1622</v>
      </c>
      <c r="C767" s="32" t="s">
        <v>1210</v>
      </c>
      <c r="D767" s="71" t="s">
        <v>136</v>
      </c>
      <c r="E767" s="66" t="str">
        <f t="array" ref="E767">IF(D767="", "", XLOOKUP(D767, 'MASTER ITEM LIST'!A:A, 'MASTER ITEM LIST'!B:B, ""))</f>
        <v>CROCO MASKING TAPE 3/4 18MM (1X64)</v>
      </c>
      <c r="F767" s="31"/>
      <c r="G767" s="67" t="s">
        <v>1211</v>
      </c>
      <c r="H767" s="31">
        <v>3.0</v>
      </c>
      <c r="I767" s="31" t="str">
        <f t="array" ref="I767">IFERROR(XLOOKUP(D767,'MASTER ITEM LIST'!A:A,'MASTER ITEM LIST'!D:D), "")</f>
        <v>PC/S</v>
      </c>
      <c r="J767" s="34">
        <v>35.0</v>
      </c>
      <c r="K767" s="69">
        <f t="shared" si="1"/>
        <v>105</v>
      </c>
      <c r="L767" s="70" t="s">
        <v>1212</v>
      </c>
    </row>
    <row r="768" ht="22.5" customHeight="1">
      <c r="A768" s="29">
        <v>46147.0</v>
      </c>
      <c r="B768" s="31" t="s">
        <v>1622</v>
      </c>
      <c r="C768" s="32" t="s">
        <v>1210</v>
      </c>
      <c r="D768" s="71" t="s">
        <v>63</v>
      </c>
      <c r="E768" s="66" t="str">
        <f t="array" ref="E768">IF(D768="", "", XLOOKUP(D768, 'MASTER ITEM LIST'!A:A, 'MASTER ITEM LIST'!B:B, ""))</f>
        <v>OLD NEWS</v>
      </c>
      <c r="F768" s="31"/>
      <c r="G768" s="67" t="s">
        <v>1211</v>
      </c>
      <c r="H768" s="31">
        <v>1.0</v>
      </c>
      <c r="I768" s="31" t="str">
        <f t="array" ref="I768">IFERROR(XLOOKUP(D768,'MASTER ITEM LIST'!A:A,'MASTER ITEM LIST'!D:D), "")</f>
        <v>KG</v>
      </c>
      <c r="J768" s="34">
        <v>100.0</v>
      </c>
      <c r="K768" s="69">
        <f t="shared" si="1"/>
        <v>100</v>
      </c>
      <c r="L768" s="70" t="s">
        <v>1212</v>
      </c>
    </row>
    <row r="769" ht="22.5" customHeight="1">
      <c r="A769" s="29">
        <v>46147.0</v>
      </c>
      <c r="B769" s="31" t="s">
        <v>1623</v>
      </c>
      <c r="C769" s="32" t="s">
        <v>1210</v>
      </c>
      <c r="D769" s="71" t="s">
        <v>220</v>
      </c>
      <c r="E769" s="66" t="str">
        <f t="array" ref="E769">IF(D769="", "", XLOOKUP(D769, 'MASTER ITEM LIST'!A:A, 'MASTER ITEM LIST'!B:B, ""))</f>
        <v>PREMILA MIXING 1L</v>
      </c>
      <c r="F769" s="31" t="s">
        <v>1624</v>
      </c>
      <c r="G769" s="67" t="s">
        <v>1211</v>
      </c>
      <c r="H769" s="31">
        <v>0.15</v>
      </c>
      <c r="I769" s="31" t="str">
        <f t="array" ref="I769">IFERROR(XLOOKUP(D769,'MASTER ITEM LIST'!A:A,'MASTER ITEM LIST'!D:D), "")</f>
        <v>LITER</v>
      </c>
      <c r="J769" s="34">
        <v>2800.0</v>
      </c>
      <c r="K769" s="69">
        <f t="shared" si="1"/>
        <v>420</v>
      </c>
      <c r="L769" s="70" t="s">
        <v>1212</v>
      </c>
    </row>
    <row r="770" ht="22.5" customHeight="1">
      <c r="A770" s="29">
        <v>46147.0</v>
      </c>
      <c r="B770" s="31" t="s">
        <v>1623</v>
      </c>
      <c r="C770" s="32" t="s">
        <v>1210</v>
      </c>
      <c r="D770" s="71" t="s">
        <v>53</v>
      </c>
      <c r="E770" s="66" t="str">
        <f t="array" ref="E770">IF(D770="", "", XLOOKUP(D770, 'MASTER ITEM LIST'!A:A, 'MASTER ITEM LIST'!B:B, ""))</f>
        <v>NAX 108 CERAMIC 2K CLEAR WITH HARDENER 1L</v>
      </c>
      <c r="F770" s="31"/>
      <c r="G770" s="67" t="s">
        <v>1211</v>
      </c>
      <c r="H770" s="31">
        <v>0.5</v>
      </c>
      <c r="I770" s="31" t="str">
        <f t="array" ref="I770">IFERROR(XLOOKUP(D770,'MASTER ITEM LIST'!A:A,'MASTER ITEM LIST'!D:D), "")</f>
        <v>LITER</v>
      </c>
      <c r="J770" s="34">
        <v>700.0</v>
      </c>
      <c r="K770" s="69">
        <f t="shared" si="1"/>
        <v>350</v>
      </c>
      <c r="L770" s="70" t="s">
        <v>1212</v>
      </c>
    </row>
    <row r="771" ht="22.5" customHeight="1">
      <c r="A771" s="29">
        <v>46147.0</v>
      </c>
      <c r="B771" s="31" t="s">
        <v>1623</v>
      </c>
      <c r="C771" s="32" t="s">
        <v>1210</v>
      </c>
      <c r="D771" s="71" t="s">
        <v>136</v>
      </c>
      <c r="E771" s="66" t="str">
        <f t="array" ref="E771">IF(D771="", "", XLOOKUP(D771, 'MASTER ITEM LIST'!A:A, 'MASTER ITEM LIST'!B:B, ""))</f>
        <v>CROCO MASKING TAPE 3/4 18MM (1X64)</v>
      </c>
      <c r="F771" s="31"/>
      <c r="G771" s="67" t="s">
        <v>1211</v>
      </c>
      <c r="H771" s="31">
        <v>3.0</v>
      </c>
      <c r="I771" s="31" t="str">
        <f t="array" ref="I771">IFERROR(XLOOKUP(D771,'MASTER ITEM LIST'!A:A,'MASTER ITEM LIST'!D:D), "")</f>
        <v>PC/S</v>
      </c>
      <c r="J771" s="34">
        <v>35.0</v>
      </c>
      <c r="K771" s="69">
        <f t="shared" si="1"/>
        <v>105</v>
      </c>
      <c r="L771" s="70" t="s">
        <v>1212</v>
      </c>
    </row>
    <row r="772" ht="22.5" customHeight="1">
      <c r="A772" s="29">
        <v>46147.0</v>
      </c>
      <c r="B772" s="31" t="s">
        <v>1625</v>
      </c>
      <c r="C772" s="32" t="s">
        <v>1210</v>
      </c>
      <c r="D772" s="71" t="s">
        <v>136</v>
      </c>
      <c r="E772" s="66" t="str">
        <f t="array" ref="E772">IF(D772="", "", XLOOKUP(D772, 'MASTER ITEM LIST'!A:A, 'MASTER ITEM LIST'!B:B, ""))</f>
        <v>CROCO MASKING TAPE 3/4 18MM (1X64)</v>
      </c>
      <c r="F772" s="31"/>
      <c r="G772" s="67" t="s">
        <v>1211</v>
      </c>
      <c r="H772" s="31">
        <v>2.0</v>
      </c>
      <c r="I772" s="31" t="str">
        <f t="array" ref="I772">IFERROR(XLOOKUP(D772,'MASTER ITEM LIST'!A:A,'MASTER ITEM LIST'!D:D), "")</f>
        <v>PC/S</v>
      </c>
      <c r="J772" s="34">
        <v>35.0</v>
      </c>
      <c r="K772" s="69">
        <f t="shared" si="1"/>
        <v>70</v>
      </c>
      <c r="L772" s="70" t="s">
        <v>1212</v>
      </c>
    </row>
    <row r="773" ht="22.5" customHeight="1">
      <c r="A773" s="29">
        <v>46148.0</v>
      </c>
      <c r="B773" s="31" t="s">
        <v>1626</v>
      </c>
      <c r="C773" s="32" t="s">
        <v>1210</v>
      </c>
      <c r="D773" s="71" t="s">
        <v>220</v>
      </c>
      <c r="E773" s="66" t="str">
        <f t="array" ref="E773">IF(D773="", "", XLOOKUP(D773, 'MASTER ITEM LIST'!A:A, 'MASTER ITEM LIST'!B:B, ""))</f>
        <v>PREMILA MIXING 1L</v>
      </c>
      <c r="F773" s="31"/>
      <c r="G773" s="67" t="s">
        <v>1211</v>
      </c>
      <c r="H773" s="31">
        <v>0.2</v>
      </c>
      <c r="I773" s="31" t="str">
        <f t="array" ref="I773">IFERROR(XLOOKUP(D773,'MASTER ITEM LIST'!A:A,'MASTER ITEM LIST'!D:D), "")</f>
        <v>LITER</v>
      </c>
      <c r="J773" s="34">
        <v>2500.0</v>
      </c>
      <c r="K773" s="69">
        <f t="shared" si="1"/>
        <v>500</v>
      </c>
      <c r="L773" s="70" t="s">
        <v>1212</v>
      </c>
    </row>
    <row r="774" ht="22.5" customHeight="1">
      <c r="A774" s="29">
        <v>46148.0</v>
      </c>
      <c r="B774" s="31" t="s">
        <v>1626</v>
      </c>
      <c r="C774" s="32" t="s">
        <v>1210</v>
      </c>
      <c r="D774" s="71" t="s">
        <v>63</v>
      </c>
      <c r="E774" s="66" t="str">
        <f t="array" ref="E774">IF(D774="", "", XLOOKUP(D774, 'MASTER ITEM LIST'!A:A, 'MASTER ITEM LIST'!B:B, ""))</f>
        <v>OLD NEWS</v>
      </c>
      <c r="F774" s="31"/>
      <c r="G774" s="67" t="s">
        <v>1211</v>
      </c>
      <c r="H774" s="31">
        <v>1.0</v>
      </c>
      <c r="I774" s="31" t="str">
        <f t="array" ref="I774">IFERROR(XLOOKUP(D774,'MASTER ITEM LIST'!A:A,'MASTER ITEM LIST'!D:D), "")</f>
        <v>KG</v>
      </c>
      <c r="J774" s="34">
        <v>100.0</v>
      </c>
      <c r="K774" s="69">
        <f t="shared" si="1"/>
        <v>100</v>
      </c>
      <c r="L774" s="70" t="s">
        <v>1212</v>
      </c>
    </row>
    <row r="775" ht="22.5" customHeight="1">
      <c r="A775" s="29">
        <v>46148.0</v>
      </c>
      <c r="B775" s="31" t="s">
        <v>1626</v>
      </c>
      <c r="C775" s="32" t="s">
        <v>1210</v>
      </c>
      <c r="D775" s="71" t="s">
        <v>53</v>
      </c>
      <c r="E775" s="66" t="str">
        <f t="array" ref="E775">IF(D775="", "", XLOOKUP(D775, 'MASTER ITEM LIST'!A:A, 'MASTER ITEM LIST'!B:B, ""))</f>
        <v>NAX 108 CERAMIC 2K CLEAR WITH HARDENER 1L</v>
      </c>
      <c r="F775" s="31"/>
      <c r="G775" s="67" t="s">
        <v>1211</v>
      </c>
      <c r="H775" s="31">
        <v>0.5</v>
      </c>
      <c r="I775" s="31" t="str">
        <f t="array" ref="I775">IFERROR(XLOOKUP(D775,'MASTER ITEM LIST'!A:A,'MASTER ITEM LIST'!D:D), "")</f>
        <v>LITER</v>
      </c>
      <c r="J775" s="34">
        <v>700.0</v>
      </c>
      <c r="K775" s="69">
        <f t="shared" si="1"/>
        <v>350</v>
      </c>
      <c r="L775" s="70" t="s">
        <v>1212</v>
      </c>
    </row>
    <row r="776" ht="22.5" customHeight="1">
      <c r="A776" s="29">
        <v>46148.0</v>
      </c>
      <c r="B776" s="31" t="s">
        <v>1626</v>
      </c>
      <c r="C776" s="32" t="s">
        <v>1210</v>
      </c>
      <c r="D776" s="71" t="s">
        <v>136</v>
      </c>
      <c r="E776" s="66" t="str">
        <f t="array" ref="E776">IF(D776="", "", XLOOKUP(D776, 'MASTER ITEM LIST'!A:A, 'MASTER ITEM LIST'!B:B, ""))</f>
        <v>CROCO MASKING TAPE 3/4 18MM (1X64)</v>
      </c>
      <c r="F776" s="31"/>
      <c r="G776" s="67" t="s">
        <v>1211</v>
      </c>
      <c r="H776" s="31">
        <v>2.0</v>
      </c>
      <c r="I776" s="31" t="str">
        <f t="array" ref="I776">IFERROR(XLOOKUP(D776,'MASTER ITEM LIST'!A:A,'MASTER ITEM LIST'!D:D), "")</f>
        <v>PC/S</v>
      </c>
      <c r="J776" s="34">
        <v>35.0</v>
      </c>
      <c r="K776" s="69">
        <f t="shared" si="1"/>
        <v>70</v>
      </c>
      <c r="L776" s="70" t="s">
        <v>1212</v>
      </c>
    </row>
    <row r="777" ht="22.5" customHeight="1">
      <c r="A777" s="29">
        <v>46150.0</v>
      </c>
      <c r="B777" s="31" t="s">
        <v>1627</v>
      </c>
      <c r="C777" s="32" t="s">
        <v>1210</v>
      </c>
      <c r="D777" s="71" t="s">
        <v>220</v>
      </c>
      <c r="E777" s="66" t="str">
        <f t="array" ref="E777">IF(D777="", "", XLOOKUP(D777, 'MASTER ITEM LIST'!A:A, 'MASTER ITEM LIST'!B:B, ""))</f>
        <v>PREMILA MIXING 1L</v>
      </c>
      <c r="F777" s="31" t="s">
        <v>1628</v>
      </c>
      <c r="G777" s="67" t="s">
        <v>1211</v>
      </c>
      <c r="H777" s="31">
        <v>0.2</v>
      </c>
      <c r="I777" s="31" t="str">
        <f t="array" ref="I777">IFERROR(XLOOKUP(D777,'MASTER ITEM LIST'!A:A,'MASTER ITEM LIST'!D:D), "")</f>
        <v>LITER</v>
      </c>
      <c r="J777" s="34">
        <v>2800.0</v>
      </c>
      <c r="K777" s="69">
        <f t="shared" si="1"/>
        <v>560</v>
      </c>
      <c r="L777" s="70" t="s">
        <v>1212</v>
      </c>
    </row>
    <row r="778" ht="22.5" customHeight="1">
      <c r="A778" s="29">
        <v>46150.0</v>
      </c>
      <c r="B778" s="31" t="s">
        <v>1627</v>
      </c>
      <c r="C778" s="32" t="s">
        <v>1210</v>
      </c>
      <c r="D778" s="71" t="s">
        <v>53</v>
      </c>
      <c r="E778" s="66" t="str">
        <f t="array" ref="E778">IF(D778="", "", XLOOKUP(D778, 'MASTER ITEM LIST'!A:A, 'MASTER ITEM LIST'!B:B, ""))</f>
        <v>NAX 108 CERAMIC 2K CLEAR WITH HARDENER 1L</v>
      </c>
      <c r="F778" s="31"/>
      <c r="G778" s="67" t="s">
        <v>1211</v>
      </c>
      <c r="H778" s="31">
        <v>0.5</v>
      </c>
      <c r="I778" s="31" t="str">
        <f t="array" ref="I778">IFERROR(XLOOKUP(D778,'MASTER ITEM LIST'!A:A,'MASTER ITEM LIST'!D:D), "")</f>
        <v>LITER</v>
      </c>
      <c r="J778" s="34">
        <v>700.0</v>
      </c>
      <c r="K778" s="69">
        <f t="shared" si="1"/>
        <v>350</v>
      </c>
      <c r="L778" s="70" t="s">
        <v>1212</v>
      </c>
    </row>
    <row r="779" ht="22.5" customHeight="1">
      <c r="A779" s="29">
        <v>46150.0</v>
      </c>
      <c r="B779" s="31" t="s">
        <v>1627</v>
      </c>
      <c r="C779" s="32" t="s">
        <v>1210</v>
      </c>
      <c r="D779" s="71" t="s">
        <v>233</v>
      </c>
      <c r="E779" s="66" t="str">
        <f t="array" ref="E779">IF(D779="", "", XLOOKUP(D779, 'MASTER ITEM LIST'!A:A, 'MASTER ITEM LIST'!B:B, ""))</f>
        <v>NAX ALPHA HB SPRAY FILLER GRAY WITH HARDENER 1L</v>
      </c>
      <c r="F779" s="31"/>
      <c r="G779" s="67" t="s">
        <v>1211</v>
      </c>
      <c r="H779" s="31">
        <v>1.0</v>
      </c>
      <c r="I779" s="31" t="str">
        <f t="array" ref="I779">IFERROR(XLOOKUP(D779,'MASTER ITEM LIST'!A:A,'MASTER ITEM LIST'!D:D), "")</f>
        <v>LITER</v>
      </c>
      <c r="J779" s="34">
        <v>600.0</v>
      </c>
      <c r="K779" s="69">
        <f t="shared" si="1"/>
        <v>600</v>
      </c>
      <c r="L779" s="70" t="s">
        <v>1212</v>
      </c>
    </row>
    <row r="780" ht="22.5" customHeight="1">
      <c r="A780" s="29">
        <v>46150.0</v>
      </c>
      <c r="B780" s="31" t="s">
        <v>1627</v>
      </c>
      <c r="C780" s="32" t="s">
        <v>1210</v>
      </c>
      <c r="D780" s="71" t="s">
        <v>136</v>
      </c>
      <c r="E780" s="66" t="str">
        <f t="array" ref="E780">IF(D780="", "", XLOOKUP(D780, 'MASTER ITEM LIST'!A:A, 'MASTER ITEM LIST'!B:B, ""))</f>
        <v>CROCO MASKING TAPE 3/4 18MM (1X64)</v>
      </c>
      <c r="F780" s="31"/>
      <c r="G780" s="67" t="s">
        <v>1211</v>
      </c>
      <c r="H780" s="31">
        <v>2.0</v>
      </c>
      <c r="I780" s="31" t="str">
        <f t="array" ref="I780">IFERROR(XLOOKUP(D780,'MASTER ITEM LIST'!A:A,'MASTER ITEM LIST'!D:D), "")</f>
        <v>PC/S</v>
      </c>
      <c r="J780" s="34">
        <v>35.0</v>
      </c>
      <c r="K780" s="69">
        <f t="shared" si="1"/>
        <v>70</v>
      </c>
      <c r="L780" s="70" t="s">
        <v>1212</v>
      </c>
    </row>
    <row r="781" ht="22.5" customHeight="1">
      <c r="A781" s="29">
        <v>46150.0</v>
      </c>
      <c r="B781" s="31" t="s">
        <v>1630</v>
      </c>
      <c r="C781" s="32" t="s">
        <v>1210</v>
      </c>
      <c r="D781" s="71" t="s">
        <v>90</v>
      </c>
      <c r="E781" s="66" t="str">
        <f t="array" ref="E781">IF(D781="", "", XLOOKUP(D781, 'MASTER ITEM LIST'!A:A, 'MASTER ITEM LIST'!B:B, ""))</f>
        <v>NAX SOB757 HIGH GRADE URETHANE THINNER 4L</v>
      </c>
      <c r="F781" s="31"/>
      <c r="G781" s="67" t="s">
        <v>1211</v>
      </c>
      <c r="H781" s="31">
        <v>0.125</v>
      </c>
      <c r="I781" s="31" t="str">
        <f t="array" ref="I781">IFERROR(XLOOKUP(D781,'MASTER ITEM LIST'!A:A,'MASTER ITEM LIST'!D:D), "")</f>
        <v>GAL</v>
      </c>
      <c r="J781" s="34">
        <v>800.0</v>
      </c>
      <c r="K781" s="69">
        <f t="shared" si="1"/>
        <v>100</v>
      </c>
      <c r="L781" s="70" t="s">
        <v>1212</v>
      </c>
    </row>
    <row r="782" ht="22.5" customHeight="1">
      <c r="A782" s="29">
        <v>46154.0</v>
      </c>
      <c r="B782" s="31" t="s">
        <v>1631</v>
      </c>
      <c r="C782" s="32" t="s">
        <v>1215</v>
      </c>
      <c r="D782" s="71" t="s">
        <v>220</v>
      </c>
      <c r="E782" s="66" t="str">
        <f t="array" ref="E782">IF(D782="", "", XLOOKUP(D782, 'MASTER ITEM LIST'!A:A, 'MASTER ITEM LIST'!B:B, ""))</f>
        <v>PREMILA MIXING 1L</v>
      </c>
      <c r="F782" s="31" t="s">
        <v>1632</v>
      </c>
      <c r="G782" s="67" t="s">
        <v>1211</v>
      </c>
      <c r="H782" s="31">
        <v>1.0</v>
      </c>
      <c r="I782" s="31" t="str">
        <f t="array" ref="I782">IFERROR(XLOOKUP(D782,'MASTER ITEM LIST'!A:A,'MASTER ITEM LIST'!D:D), "")</f>
        <v>LITER</v>
      </c>
      <c r="J782" s="34">
        <v>2600.0</v>
      </c>
      <c r="K782" s="69">
        <f t="shared" si="1"/>
        <v>2600</v>
      </c>
      <c r="L782" s="70" t="s">
        <v>1633</v>
      </c>
    </row>
    <row r="783" ht="22.5" customHeight="1">
      <c r="A783" s="29">
        <v>46154.0</v>
      </c>
      <c r="B783" s="31" t="s">
        <v>1631</v>
      </c>
      <c r="C783" s="32" t="s">
        <v>1215</v>
      </c>
      <c r="D783" s="71" t="s">
        <v>717</v>
      </c>
      <c r="E783" s="66" t="str">
        <f t="array" ref="E783">IF(D783="", "", XLOOKUP(D783, 'MASTER ITEM LIST'!A:A, 'MASTER ITEM LIST'!B:B, ""))</f>
        <v>CROCO MASKING TAPE #1</v>
      </c>
      <c r="F783" s="31"/>
      <c r="G783" s="67" t="s">
        <v>1211</v>
      </c>
      <c r="H783" s="31">
        <v>5.0</v>
      </c>
      <c r="I783" s="31" t="str">
        <f t="array" ref="I783">IFERROR(XLOOKUP(D783,'MASTER ITEM LIST'!A:A,'MASTER ITEM LIST'!D:D), "")</f>
        <v>PCS</v>
      </c>
      <c r="J783" s="34">
        <v>40.0</v>
      </c>
      <c r="K783" s="69">
        <f t="shared" si="1"/>
        <v>200</v>
      </c>
      <c r="L783" s="70" t="s">
        <v>1633</v>
      </c>
    </row>
    <row r="784" ht="22.5" customHeight="1">
      <c r="A784" s="29">
        <v>46154.0</v>
      </c>
      <c r="B784" s="31" t="s">
        <v>1634</v>
      </c>
      <c r="C784" s="32" t="s">
        <v>1215</v>
      </c>
      <c r="D784" s="71" t="s">
        <v>220</v>
      </c>
      <c r="E784" s="66" t="str">
        <f t="array" ref="E784">IF(D784="", "", XLOOKUP(D784, 'MASTER ITEM LIST'!A:A, 'MASTER ITEM LIST'!B:B, ""))</f>
        <v>PREMILA MIXING 1L</v>
      </c>
      <c r="F784" s="31" t="s">
        <v>1635</v>
      </c>
      <c r="G784" s="67" t="s">
        <v>1211</v>
      </c>
      <c r="H784" s="31">
        <v>0.5</v>
      </c>
      <c r="I784" s="31" t="str">
        <f t="array" ref="I784">IFERROR(XLOOKUP(D784,'MASTER ITEM LIST'!A:A,'MASTER ITEM LIST'!D:D), "")</f>
        <v>LITER</v>
      </c>
      <c r="J784" s="34">
        <v>3200.0</v>
      </c>
      <c r="K784" s="69">
        <f t="shared" si="1"/>
        <v>1600</v>
      </c>
      <c r="L784" s="70" t="s">
        <v>1633</v>
      </c>
    </row>
    <row r="785" ht="22.5" customHeight="1">
      <c r="A785" s="29">
        <v>46156.0</v>
      </c>
      <c r="B785" s="31" t="s">
        <v>1636</v>
      </c>
      <c r="C785" s="32" t="s">
        <v>1210</v>
      </c>
      <c r="D785" s="71" t="s">
        <v>220</v>
      </c>
      <c r="E785" s="66" t="str">
        <f t="array" ref="E785">IF(D785="", "", XLOOKUP(D785, 'MASTER ITEM LIST'!A:A, 'MASTER ITEM LIST'!B:B, ""))</f>
        <v>PREMILA MIXING 1L</v>
      </c>
      <c r="F785" s="31" t="s">
        <v>1637</v>
      </c>
      <c r="G785" s="67" t="s">
        <v>1211</v>
      </c>
      <c r="H785" s="31">
        <v>0.2</v>
      </c>
      <c r="I785" s="31" t="str">
        <f t="array" ref="I785">IFERROR(XLOOKUP(D785,'MASTER ITEM LIST'!A:A,'MASTER ITEM LIST'!D:D), "")</f>
        <v>LITER</v>
      </c>
      <c r="J785" s="34">
        <v>2900.0</v>
      </c>
      <c r="K785" s="69">
        <f t="shared" si="1"/>
        <v>580</v>
      </c>
      <c r="L785" s="70" t="s">
        <v>1212</v>
      </c>
    </row>
    <row r="786" ht="22.5" customHeight="1">
      <c r="A786" s="29">
        <v>46156.0</v>
      </c>
      <c r="B786" s="31" t="s">
        <v>1636</v>
      </c>
      <c r="C786" s="32" t="s">
        <v>1210</v>
      </c>
      <c r="D786" s="71" t="s">
        <v>53</v>
      </c>
      <c r="E786" s="66" t="str">
        <f t="array" ref="E786">IF(D786="", "", XLOOKUP(D786, 'MASTER ITEM LIST'!A:A, 'MASTER ITEM LIST'!B:B, ""))</f>
        <v>NAX 108 CERAMIC 2K CLEAR WITH HARDENER 1L</v>
      </c>
      <c r="F786" s="31"/>
      <c r="G786" s="67" t="s">
        <v>1211</v>
      </c>
      <c r="H786" s="31">
        <v>0.5</v>
      </c>
      <c r="I786" s="31" t="str">
        <f t="array" ref="I786">IFERROR(XLOOKUP(D786,'MASTER ITEM LIST'!A:A,'MASTER ITEM LIST'!D:D), "")</f>
        <v>LITER</v>
      </c>
      <c r="J786" s="34">
        <v>700.0</v>
      </c>
      <c r="K786" s="69">
        <f t="shared" si="1"/>
        <v>350</v>
      </c>
      <c r="L786" s="70" t="s">
        <v>1212</v>
      </c>
    </row>
    <row r="787" ht="22.5" customHeight="1">
      <c r="A787" s="29">
        <v>46156.0</v>
      </c>
      <c r="B787" s="31" t="s">
        <v>1636</v>
      </c>
      <c r="C787" s="32" t="s">
        <v>1210</v>
      </c>
      <c r="D787" s="71" t="s">
        <v>90</v>
      </c>
      <c r="E787" s="66" t="str">
        <f t="array" ref="E787">IF(D787="", "", XLOOKUP(D787, 'MASTER ITEM LIST'!A:A, 'MASTER ITEM LIST'!B:B, ""))</f>
        <v>NAX SOB757 HIGH GRADE URETHANE THINNER 4L</v>
      </c>
      <c r="F787" s="31"/>
      <c r="G787" s="67" t="s">
        <v>1211</v>
      </c>
      <c r="H787" s="31">
        <v>0.125</v>
      </c>
      <c r="I787" s="31" t="str">
        <f t="array" ref="I787">IFERROR(XLOOKUP(D787,'MASTER ITEM LIST'!A:A,'MASTER ITEM LIST'!D:D), "")</f>
        <v>GAL</v>
      </c>
      <c r="J787" s="34">
        <v>960.0</v>
      </c>
      <c r="K787" s="69">
        <f t="shared" si="1"/>
        <v>120</v>
      </c>
      <c r="L787" s="70" t="s">
        <v>1212</v>
      </c>
    </row>
    <row r="788" ht="22.5" customHeight="1">
      <c r="A788" s="29">
        <v>46156.0</v>
      </c>
      <c r="B788" s="31" t="s">
        <v>1636</v>
      </c>
      <c r="C788" s="32" t="s">
        <v>1210</v>
      </c>
      <c r="D788" s="71" t="s">
        <v>136</v>
      </c>
      <c r="E788" s="66" t="str">
        <f t="array" ref="E788">IF(D788="", "", XLOOKUP(D788, 'MASTER ITEM LIST'!A:A, 'MASTER ITEM LIST'!B:B, ""))</f>
        <v>CROCO MASKING TAPE 3/4 18MM (1X64)</v>
      </c>
      <c r="F788" s="31"/>
      <c r="G788" s="67" t="s">
        <v>1211</v>
      </c>
      <c r="H788" s="31">
        <v>3.0</v>
      </c>
      <c r="I788" s="31" t="str">
        <f t="array" ref="I788">IFERROR(XLOOKUP(D788,'MASTER ITEM LIST'!A:A,'MASTER ITEM LIST'!D:D), "")</f>
        <v>PC/S</v>
      </c>
      <c r="J788" s="34">
        <v>35.0</v>
      </c>
      <c r="K788" s="69">
        <f t="shared" si="1"/>
        <v>105</v>
      </c>
      <c r="L788" s="70" t="s">
        <v>1212</v>
      </c>
    </row>
    <row r="789" ht="22.5" customHeight="1">
      <c r="A789" s="29">
        <v>46157.0</v>
      </c>
      <c r="B789" s="31" t="s">
        <v>1638</v>
      </c>
      <c r="C789" s="32" t="s">
        <v>1210</v>
      </c>
      <c r="D789" s="71" t="s">
        <v>220</v>
      </c>
      <c r="E789" s="66" t="str">
        <f t="array" ref="E789">IF(D789="", "", XLOOKUP(D789, 'MASTER ITEM LIST'!A:A, 'MASTER ITEM LIST'!B:B, ""))</f>
        <v>PREMILA MIXING 1L</v>
      </c>
      <c r="F789" s="31"/>
      <c r="G789" s="67" t="s">
        <v>1211</v>
      </c>
      <c r="H789" s="31">
        <v>0.2</v>
      </c>
      <c r="I789" s="31" t="str">
        <f t="array" ref="I789">IFERROR(XLOOKUP(D789,'MASTER ITEM LIST'!A:A,'MASTER ITEM LIST'!D:D), "")</f>
        <v>LITER</v>
      </c>
      <c r="J789" s="34">
        <v>2800.0</v>
      </c>
      <c r="K789" s="69">
        <f t="shared" si="1"/>
        <v>560</v>
      </c>
      <c r="L789" s="70" t="s">
        <v>1212</v>
      </c>
    </row>
    <row r="790" ht="22.5" customHeight="1">
      <c r="A790" s="29">
        <v>46157.0</v>
      </c>
      <c r="B790" s="31" t="s">
        <v>1638</v>
      </c>
      <c r="C790" s="32" t="s">
        <v>1210</v>
      </c>
      <c r="D790" s="71" t="s">
        <v>195</v>
      </c>
      <c r="E790" s="66" t="str">
        <f t="array" ref="E790">IF(D790="", "", XLOOKUP(D790, 'MASTER ITEM LIST'!A:A, 'MASTER ITEM LIST'!B:B, ""))</f>
        <v>TIMEOUT BODY FILLER WITH HARDENER 1L</v>
      </c>
      <c r="F790" s="31"/>
      <c r="G790" s="67" t="s">
        <v>1211</v>
      </c>
      <c r="H790" s="31">
        <v>1.0</v>
      </c>
      <c r="I790" s="31" t="str">
        <f t="array" ref="I790">IFERROR(XLOOKUP(D790,'MASTER ITEM LIST'!A:A,'MASTER ITEM LIST'!D:D), "")</f>
        <v>LTR</v>
      </c>
      <c r="J790" s="34">
        <v>240.0</v>
      </c>
      <c r="K790" s="69">
        <f t="shared" si="1"/>
        <v>240</v>
      </c>
      <c r="L790" s="70" t="s">
        <v>1212</v>
      </c>
    </row>
    <row r="791" ht="22.5" customHeight="1">
      <c r="A791" s="29">
        <v>46157.0</v>
      </c>
      <c r="B791" s="31" t="s">
        <v>1638</v>
      </c>
      <c r="C791" s="32" t="s">
        <v>1210</v>
      </c>
      <c r="D791" s="71" t="s">
        <v>90</v>
      </c>
      <c r="E791" s="66" t="str">
        <f t="array" ref="E791">IF(D791="", "", XLOOKUP(D791, 'MASTER ITEM LIST'!A:A, 'MASTER ITEM LIST'!B:B, ""))</f>
        <v>NAX SOB757 HIGH GRADE URETHANE THINNER 4L</v>
      </c>
      <c r="F791" s="31"/>
      <c r="G791" s="67" t="s">
        <v>1211</v>
      </c>
      <c r="H791" s="31">
        <v>0.125</v>
      </c>
      <c r="I791" s="31" t="str">
        <f t="array" ref="I791">IFERROR(XLOOKUP(D791,'MASTER ITEM LIST'!A:A,'MASTER ITEM LIST'!D:D), "")</f>
        <v>GAL</v>
      </c>
      <c r="J791" s="34">
        <v>800.0</v>
      </c>
      <c r="K791" s="69">
        <f t="shared" si="1"/>
        <v>100</v>
      </c>
      <c r="L791" s="70" t="s">
        <v>1212</v>
      </c>
    </row>
    <row r="792" ht="22.5" customHeight="1">
      <c r="A792" s="29">
        <v>46157.0</v>
      </c>
      <c r="B792" s="31" t="s">
        <v>1638</v>
      </c>
      <c r="C792" s="32" t="s">
        <v>1210</v>
      </c>
      <c r="D792" s="71" t="s">
        <v>136</v>
      </c>
      <c r="E792" s="66" t="str">
        <f t="array" ref="E792">IF(D792="", "", XLOOKUP(D792, 'MASTER ITEM LIST'!A:A, 'MASTER ITEM LIST'!B:B, ""))</f>
        <v>CROCO MASKING TAPE 3/4 18MM (1X64)</v>
      </c>
      <c r="F792" s="31"/>
      <c r="G792" s="67" t="s">
        <v>1211</v>
      </c>
      <c r="H792" s="31">
        <v>3.0</v>
      </c>
      <c r="I792" s="31" t="str">
        <f t="array" ref="I792">IFERROR(XLOOKUP(D792,'MASTER ITEM LIST'!A:A,'MASTER ITEM LIST'!D:D), "")</f>
        <v>PC/S</v>
      </c>
      <c r="J792" s="34">
        <v>35.0</v>
      </c>
      <c r="K792" s="69">
        <f t="shared" si="1"/>
        <v>105</v>
      </c>
      <c r="L792" s="70" t="s">
        <v>1212</v>
      </c>
    </row>
    <row r="793" ht="22.5" customHeight="1">
      <c r="A793" s="29">
        <v>46157.0</v>
      </c>
      <c r="B793" s="31" t="s">
        <v>1638</v>
      </c>
      <c r="C793" s="32" t="s">
        <v>1210</v>
      </c>
      <c r="D793" s="71" t="s">
        <v>63</v>
      </c>
      <c r="E793" s="66" t="str">
        <f t="array" ref="E793">IF(D793="", "", XLOOKUP(D793, 'MASTER ITEM LIST'!A:A, 'MASTER ITEM LIST'!B:B, ""))</f>
        <v>OLD NEWS</v>
      </c>
      <c r="F793" s="31"/>
      <c r="G793" s="67" t="s">
        <v>1211</v>
      </c>
      <c r="H793" s="31">
        <v>1.0</v>
      </c>
      <c r="I793" s="31" t="str">
        <f t="array" ref="I793">IFERROR(XLOOKUP(D793,'MASTER ITEM LIST'!A:A,'MASTER ITEM LIST'!D:D), "")</f>
        <v>KG</v>
      </c>
      <c r="J793" s="34">
        <v>100.0</v>
      </c>
      <c r="K793" s="69">
        <f t="shared" si="1"/>
        <v>100</v>
      </c>
      <c r="L793" s="70" t="s">
        <v>1212</v>
      </c>
    </row>
    <row r="794" ht="22.5" customHeight="1">
      <c r="A794" s="29">
        <v>46157.0</v>
      </c>
      <c r="B794" s="31" t="s">
        <v>1638</v>
      </c>
      <c r="C794" s="32" t="s">
        <v>1210</v>
      </c>
      <c r="D794" s="71" t="s">
        <v>567</v>
      </c>
      <c r="E794" s="66" t="str">
        <f t="array" ref="E794">IF(D794="", "", XLOOKUP(D794, 'MASTER ITEM LIST'!A:A, 'MASTER ITEM LIST'!B:B, ""))</f>
        <v>EAGLE SANDPAPER #800</v>
      </c>
      <c r="F794" s="31"/>
      <c r="G794" s="67" t="s">
        <v>1211</v>
      </c>
      <c r="H794" s="31">
        <v>1.0</v>
      </c>
      <c r="I794" s="31" t="str">
        <f t="array" ref="I794">IFERROR(XLOOKUP(D794,'MASTER ITEM LIST'!A:A,'MASTER ITEM LIST'!D:D), "")</f>
        <v>PC/S</v>
      </c>
      <c r="J794" s="34">
        <v>25.0</v>
      </c>
      <c r="K794" s="69">
        <f t="shared" si="1"/>
        <v>25</v>
      </c>
      <c r="L794" s="70" t="s">
        <v>1212</v>
      </c>
    </row>
    <row r="795" ht="22.5" customHeight="1">
      <c r="A795" s="29">
        <v>46157.0</v>
      </c>
      <c r="B795" s="31" t="s">
        <v>1638</v>
      </c>
      <c r="C795" s="32" t="s">
        <v>1210</v>
      </c>
      <c r="D795" s="71" t="s">
        <v>326</v>
      </c>
      <c r="E795" s="66" t="str">
        <f t="array" ref="E795">IF(D795="", "", XLOOKUP(D795, 'MASTER ITEM LIST'!A:A, 'MASTER ITEM LIST'!B:B, ""))</f>
        <v>EAGLE SANDPAPER #1200</v>
      </c>
      <c r="F795" s="31"/>
      <c r="G795" s="67" t="s">
        <v>1211</v>
      </c>
      <c r="H795" s="31">
        <v>1.0</v>
      </c>
      <c r="I795" s="31" t="str">
        <f t="array" ref="I795">IFERROR(XLOOKUP(D795,'MASTER ITEM LIST'!A:A,'MASTER ITEM LIST'!D:D), "")</f>
        <v>PC/S</v>
      </c>
      <c r="J795" s="34">
        <v>25.0</v>
      </c>
      <c r="K795" s="69">
        <f t="shared" si="1"/>
        <v>25</v>
      </c>
      <c r="L795" s="70" t="s">
        <v>1212</v>
      </c>
    </row>
    <row r="796" ht="22.5" customHeight="1">
      <c r="A796" s="29">
        <v>46157.0</v>
      </c>
      <c r="B796" s="31" t="s">
        <v>1638</v>
      </c>
      <c r="C796" s="32" t="s">
        <v>1210</v>
      </c>
      <c r="D796" s="71" t="s">
        <v>198</v>
      </c>
      <c r="E796" s="66" t="str">
        <f t="array" ref="E796">IF(D796="", "", XLOOKUP(D796, 'MASTER ITEM LIST'!A:A, 'MASTER ITEM LIST'!B:B, ""))</f>
        <v>EAGLE SANDPAPER #2000</v>
      </c>
      <c r="F796" s="31"/>
      <c r="G796" s="67" t="s">
        <v>1211</v>
      </c>
      <c r="H796" s="31">
        <v>1.0</v>
      </c>
      <c r="I796" s="31" t="str">
        <f t="array" ref="I796">IFERROR(XLOOKUP(D796,'MASTER ITEM LIST'!A:A,'MASTER ITEM LIST'!D:D), "")</f>
        <v>PC/S</v>
      </c>
      <c r="J796" s="34">
        <v>35.0</v>
      </c>
      <c r="K796" s="69">
        <f t="shared" si="1"/>
        <v>35</v>
      </c>
      <c r="L796" s="70" t="s">
        <v>1212</v>
      </c>
    </row>
    <row r="797" ht="22.5" customHeight="1">
      <c r="A797" s="29">
        <v>46157.0</v>
      </c>
      <c r="B797" s="31" t="s">
        <v>1639</v>
      </c>
      <c r="C797" s="32" t="s">
        <v>1215</v>
      </c>
      <c r="D797" s="71" t="s">
        <v>516</v>
      </c>
      <c r="E797" s="66" t="str">
        <f t="array" ref="E797">IF(D797="", "", XLOOKUP(D797, 'MASTER ITEM LIST'!A:A, 'MASTER ITEM LIST'!B:B, ""))</f>
        <v>EAGLE SANDPAPER #1500</v>
      </c>
      <c r="F797" s="31"/>
      <c r="G797" s="67" t="s">
        <v>1211</v>
      </c>
      <c r="H797" s="31">
        <v>20.0</v>
      </c>
      <c r="I797" s="31" t="str">
        <f t="array" ref="I797">IFERROR(XLOOKUP(D797,'MASTER ITEM LIST'!A:A,'MASTER ITEM LIST'!D:D), "")</f>
        <v>PC/S</v>
      </c>
      <c r="J797" s="34">
        <v>35.0</v>
      </c>
      <c r="K797" s="69">
        <f t="shared" si="1"/>
        <v>700</v>
      </c>
      <c r="L797" s="70" t="s">
        <v>1633</v>
      </c>
    </row>
    <row r="798" ht="22.5" customHeight="1">
      <c r="A798" s="29">
        <v>46157.0</v>
      </c>
      <c r="B798" s="31" t="s">
        <v>1639</v>
      </c>
      <c r="C798" s="32" t="s">
        <v>1215</v>
      </c>
      <c r="D798" s="71" t="s">
        <v>198</v>
      </c>
      <c r="E798" s="66" t="str">
        <f t="array" ref="E798">IF(D798="", "", XLOOKUP(D798, 'MASTER ITEM LIST'!A:A, 'MASTER ITEM LIST'!B:B, ""))</f>
        <v>EAGLE SANDPAPER #2000</v>
      </c>
      <c r="F798" s="31"/>
      <c r="G798" s="67" t="s">
        <v>1211</v>
      </c>
      <c r="H798" s="31">
        <v>20.0</v>
      </c>
      <c r="I798" s="31" t="str">
        <f t="array" ref="I798">IFERROR(XLOOKUP(D798,'MASTER ITEM LIST'!A:A,'MASTER ITEM LIST'!D:D), "")</f>
        <v>PC/S</v>
      </c>
      <c r="J798" s="34">
        <v>35.0</v>
      </c>
      <c r="K798" s="69">
        <f t="shared" si="1"/>
        <v>700</v>
      </c>
      <c r="L798" s="70" t="s">
        <v>1633</v>
      </c>
    </row>
    <row r="799" ht="22.5" customHeight="1">
      <c r="A799" s="29">
        <v>46162.0</v>
      </c>
      <c r="B799" s="31" t="s">
        <v>1640</v>
      </c>
      <c r="C799" s="32" t="s">
        <v>1210</v>
      </c>
      <c r="D799" s="71" t="s">
        <v>220</v>
      </c>
      <c r="E799" s="66" t="str">
        <f t="array" ref="E799">IF(D799="", "", XLOOKUP(D799, 'MASTER ITEM LIST'!A:A, 'MASTER ITEM LIST'!B:B, ""))</f>
        <v>PREMILA MIXING 1L</v>
      </c>
      <c r="F799" s="31" t="s">
        <v>1641</v>
      </c>
      <c r="G799" s="67" t="s">
        <v>1211</v>
      </c>
      <c r="H799" s="31">
        <v>0.2</v>
      </c>
      <c r="I799" s="31" t="str">
        <f t="array" ref="I799">IFERROR(XLOOKUP(D799,'MASTER ITEM LIST'!A:A,'MASTER ITEM LIST'!D:D), "")</f>
        <v>LITER</v>
      </c>
      <c r="J799" s="34">
        <v>2800.0</v>
      </c>
      <c r="K799" s="69">
        <f t="shared" si="1"/>
        <v>560</v>
      </c>
      <c r="L799" s="70" t="s">
        <v>1212</v>
      </c>
    </row>
    <row r="800" ht="22.5" customHeight="1">
      <c r="A800" s="29">
        <v>46162.0</v>
      </c>
      <c r="B800" s="31" t="s">
        <v>1640</v>
      </c>
      <c r="C800" s="32" t="s">
        <v>1210</v>
      </c>
      <c r="D800" s="71" t="s">
        <v>53</v>
      </c>
      <c r="E800" s="66" t="str">
        <f t="array" ref="E800">IF(D800="", "", XLOOKUP(D800, 'MASTER ITEM LIST'!A:A, 'MASTER ITEM LIST'!B:B, ""))</f>
        <v>NAX 108 CERAMIC 2K CLEAR WITH HARDENER 1L</v>
      </c>
      <c r="F800" s="31"/>
      <c r="G800" s="67" t="s">
        <v>1211</v>
      </c>
      <c r="H800" s="31">
        <v>0.5</v>
      </c>
      <c r="I800" s="31" t="str">
        <f t="array" ref="I800">IFERROR(XLOOKUP(D800,'MASTER ITEM LIST'!A:A,'MASTER ITEM LIST'!D:D), "")</f>
        <v>LITER</v>
      </c>
      <c r="J800" s="34">
        <v>700.0</v>
      </c>
      <c r="K800" s="69">
        <f t="shared" si="1"/>
        <v>350</v>
      </c>
      <c r="L800" s="70" t="s">
        <v>1212</v>
      </c>
    </row>
    <row r="801" ht="22.5" customHeight="1">
      <c r="A801" s="29">
        <v>46162.0</v>
      </c>
      <c r="B801" s="31" t="s">
        <v>1640</v>
      </c>
      <c r="C801" s="32" t="s">
        <v>1210</v>
      </c>
      <c r="D801" s="71" t="s">
        <v>94</v>
      </c>
      <c r="E801" s="66" t="str">
        <f t="array" ref="E801">IF(D801="", "", XLOOKUP(D801, 'MASTER ITEM LIST'!A:A, 'MASTER ITEM LIST'!B:B, ""))</f>
        <v>NAX NAT-990 TTC BLACK 4L</v>
      </c>
      <c r="F801" s="31"/>
      <c r="G801" s="67" t="s">
        <v>1211</v>
      </c>
      <c r="H801" s="31">
        <v>0.125</v>
      </c>
      <c r="I801" s="31" t="str">
        <f t="array" ref="I801">IFERROR(XLOOKUP(D801,'MASTER ITEM LIST'!A:A,'MASTER ITEM LIST'!D:D), "")</f>
        <v>GAL</v>
      </c>
      <c r="J801" s="34">
        <v>4800.0</v>
      </c>
      <c r="K801" s="69">
        <f t="shared" si="1"/>
        <v>600</v>
      </c>
      <c r="L801" s="70" t="s">
        <v>1212</v>
      </c>
    </row>
    <row r="802" ht="22.5" customHeight="1">
      <c r="A802" s="29">
        <v>46162.0</v>
      </c>
      <c r="B802" s="31" t="s">
        <v>1640</v>
      </c>
      <c r="C802" s="32" t="s">
        <v>1210</v>
      </c>
      <c r="D802" s="71" t="s">
        <v>136</v>
      </c>
      <c r="E802" s="66" t="str">
        <f t="array" ref="E802">IF(D802="", "", XLOOKUP(D802, 'MASTER ITEM LIST'!A:A, 'MASTER ITEM LIST'!B:B, ""))</f>
        <v>CROCO MASKING TAPE 3/4 18MM (1X64)</v>
      </c>
      <c r="F802" s="31"/>
      <c r="G802" s="67" t="s">
        <v>1211</v>
      </c>
      <c r="H802" s="31">
        <v>3.0</v>
      </c>
      <c r="I802" s="31" t="str">
        <f t="array" ref="I802">IFERROR(XLOOKUP(D802,'MASTER ITEM LIST'!A:A,'MASTER ITEM LIST'!D:D), "")</f>
        <v>PC/S</v>
      </c>
      <c r="J802" s="34">
        <v>35.0</v>
      </c>
      <c r="K802" s="69">
        <f t="shared" si="1"/>
        <v>105</v>
      </c>
      <c r="L802" s="70" t="s">
        <v>1212</v>
      </c>
    </row>
    <row r="803" ht="22.5" customHeight="1">
      <c r="A803" s="29">
        <v>46162.0</v>
      </c>
      <c r="B803" s="31" t="s">
        <v>1642</v>
      </c>
      <c r="C803" s="32" t="s">
        <v>1210</v>
      </c>
      <c r="D803" s="71" t="s">
        <v>220</v>
      </c>
      <c r="E803" s="66" t="str">
        <f t="array" ref="E803">IF(D803="", "", XLOOKUP(D803, 'MASTER ITEM LIST'!A:A, 'MASTER ITEM LIST'!B:B, ""))</f>
        <v>PREMILA MIXING 1L</v>
      </c>
      <c r="F803" s="31" t="s">
        <v>1643</v>
      </c>
      <c r="G803" s="67" t="s">
        <v>1211</v>
      </c>
      <c r="H803" s="31">
        <v>0.2</v>
      </c>
      <c r="I803" s="31" t="str">
        <f t="array" ref="I803">IFERROR(XLOOKUP(D803,'MASTER ITEM LIST'!A:A,'MASTER ITEM LIST'!D:D), "")</f>
        <v>LITER</v>
      </c>
      <c r="J803" s="34">
        <v>2800.0</v>
      </c>
      <c r="K803" s="69">
        <f t="shared" si="1"/>
        <v>560</v>
      </c>
      <c r="L803" s="70" t="s">
        <v>1212</v>
      </c>
    </row>
    <row r="804" ht="22.5" customHeight="1">
      <c r="A804" s="29">
        <v>46162.0</v>
      </c>
      <c r="B804" s="31" t="s">
        <v>1642</v>
      </c>
      <c r="C804" s="32" t="s">
        <v>1210</v>
      </c>
      <c r="D804" s="71" t="s">
        <v>53</v>
      </c>
      <c r="E804" s="66" t="str">
        <f t="array" ref="E804">IF(D804="", "", XLOOKUP(D804, 'MASTER ITEM LIST'!A:A, 'MASTER ITEM LIST'!B:B, ""))</f>
        <v>NAX 108 CERAMIC 2K CLEAR WITH HARDENER 1L</v>
      </c>
      <c r="F804" s="31"/>
      <c r="G804" s="67" t="s">
        <v>1211</v>
      </c>
      <c r="H804" s="31">
        <v>0.5</v>
      </c>
      <c r="I804" s="31" t="str">
        <f t="array" ref="I804">IFERROR(XLOOKUP(D804,'MASTER ITEM LIST'!A:A,'MASTER ITEM LIST'!D:D), "")</f>
        <v>LITER</v>
      </c>
      <c r="J804" s="34">
        <v>700.0</v>
      </c>
      <c r="K804" s="69">
        <f t="shared" si="1"/>
        <v>350</v>
      </c>
      <c r="L804" s="70" t="s">
        <v>1212</v>
      </c>
    </row>
    <row r="805" ht="22.5" customHeight="1">
      <c r="A805" s="29">
        <v>46162.0</v>
      </c>
      <c r="B805" s="31" t="s">
        <v>1642</v>
      </c>
      <c r="C805" s="32" t="s">
        <v>1210</v>
      </c>
      <c r="D805" s="71" t="s">
        <v>90</v>
      </c>
      <c r="E805" s="66" t="str">
        <f t="array" ref="E805">IF(D805="", "", XLOOKUP(D805, 'MASTER ITEM LIST'!A:A, 'MASTER ITEM LIST'!B:B, ""))</f>
        <v>NAX SOB757 HIGH GRADE URETHANE THINNER 4L</v>
      </c>
      <c r="F805" s="31"/>
      <c r="G805" s="67" t="s">
        <v>1211</v>
      </c>
      <c r="H805" s="31">
        <v>0.125</v>
      </c>
      <c r="I805" s="31" t="str">
        <f t="array" ref="I805">IFERROR(XLOOKUP(D805,'MASTER ITEM LIST'!A:A,'MASTER ITEM LIST'!D:D), "")</f>
        <v>GAL</v>
      </c>
      <c r="J805" s="34">
        <v>800.0</v>
      </c>
      <c r="K805" s="69">
        <f t="shared" si="1"/>
        <v>100</v>
      </c>
      <c r="L805" s="70" t="s">
        <v>1212</v>
      </c>
    </row>
    <row r="806" ht="22.5" customHeight="1">
      <c r="A806" s="29">
        <v>46162.0</v>
      </c>
      <c r="B806" s="31" t="s">
        <v>1642</v>
      </c>
      <c r="C806" s="32" t="s">
        <v>1210</v>
      </c>
      <c r="D806" s="71" t="s">
        <v>63</v>
      </c>
      <c r="E806" s="66" t="str">
        <f t="array" ref="E806">IF(D806="", "", XLOOKUP(D806, 'MASTER ITEM LIST'!A:A, 'MASTER ITEM LIST'!B:B, ""))</f>
        <v>OLD NEWS</v>
      </c>
      <c r="F806" s="31"/>
      <c r="G806" s="67" t="s">
        <v>1211</v>
      </c>
      <c r="H806" s="31">
        <v>1.0</v>
      </c>
      <c r="I806" s="31" t="str">
        <f t="array" ref="I806">IFERROR(XLOOKUP(D806,'MASTER ITEM LIST'!A:A,'MASTER ITEM LIST'!D:D), "")</f>
        <v>KG</v>
      </c>
      <c r="J806" s="34">
        <v>100.0</v>
      </c>
      <c r="K806" s="69">
        <f t="shared" si="1"/>
        <v>100</v>
      </c>
      <c r="L806" s="70" t="s">
        <v>1212</v>
      </c>
    </row>
    <row r="807" ht="22.5" customHeight="1">
      <c r="A807" s="29">
        <v>46162.0</v>
      </c>
      <c r="B807" s="31" t="s">
        <v>1642</v>
      </c>
      <c r="C807" s="32" t="s">
        <v>1210</v>
      </c>
      <c r="D807" s="71" t="s">
        <v>136</v>
      </c>
      <c r="E807" s="66" t="str">
        <f t="array" ref="E807">IF(D807="", "", XLOOKUP(D807, 'MASTER ITEM LIST'!A:A, 'MASTER ITEM LIST'!B:B, ""))</f>
        <v>CROCO MASKING TAPE 3/4 18MM (1X64)</v>
      </c>
      <c r="F807" s="31"/>
      <c r="G807" s="67" t="s">
        <v>1211</v>
      </c>
      <c r="H807" s="31">
        <v>3.0</v>
      </c>
      <c r="I807" s="31" t="str">
        <f t="array" ref="I807">IFERROR(XLOOKUP(D807,'MASTER ITEM LIST'!A:A,'MASTER ITEM LIST'!D:D), "")</f>
        <v>PC/S</v>
      </c>
      <c r="J807" s="34">
        <v>35.0</v>
      </c>
      <c r="K807" s="69">
        <f t="shared" si="1"/>
        <v>105</v>
      </c>
      <c r="L807" s="70" t="s">
        <v>1212</v>
      </c>
    </row>
    <row r="808" ht="22.5" customHeight="1">
      <c r="A808" s="29">
        <v>46167.0</v>
      </c>
      <c r="B808" s="31" t="s">
        <v>1644</v>
      </c>
      <c r="C808" s="32" t="s">
        <v>1210</v>
      </c>
      <c r="D808" s="71" t="s">
        <v>220</v>
      </c>
      <c r="E808" s="66" t="str">
        <f t="array" ref="E808">IF(D808="", "", XLOOKUP(D808, 'MASTER ITEM LIST'!A:A, 'MASTER ITEM LIST'!B:B, ""))</f>
        <v>PREMILA MIXING 1L</v>
      </c>
      <c r="F808" s="31" t="s">
        <v>1645</v>
      </c>
      <c r="G808" s="67" t="s">
        <v>1211</v>
      </c>
      <c r="H808" s="31">
        <v>0.2</v>
      </c>
      <c r="I808" s="31" t="str">
        <f t="array" ref="I808">IFERROR(XLOOKUP(D808,'MASTER ITEM LIST'!A:A,'MASTER ITEM LIST'!D:D), "")</f>
        <v>LITER</v>
      </c>
      <c r="J808" s="34">
        <v>2700.0</v>
      </c>
      <c r="K808" s="69">
        <f t="shared" si="1"/>
        <v>540</v>
      </c>
      <c r="L808" s="70" t="s">
        <v>1212</v>
      </c>
    </row>
    <row r="809" ht="22.5" customHeight="1">
      <c r="A809" s="29">
        <v>46167.0</v>
      </c>
      <c r="B809" s="31" t="s">
        <v>1644</v>
      </c>
      <c r="C809" s="32" t="s">
        <v>1210</v>
      </c>
      <c r="D809" s="71" t="s">
        <v>53</v>
      </c>
      <c r="E809" s="66" t="str">
        <f t="array" ref="E809">IF(D809="", "", XLOOKUP(D809, 'MASTER ITEM LIST'!A:A, 'MASTER ITEM LIST'!B:B, ""))</f>
        <v>NAX 108 CERAMIC 2K CLEAR WITH HARDENER 1L</v>
      </c>
      <c r="F809" s="31"/>
      <c r="G809" s="67" t="s">
        <v>1211</v>
      </c>
      <c r="H809" s="31">
        <v>0.5</v>
      </c>
      <c r="I809" s="31" t="str">
        <f t="array" ref="I809">IFERROR(XLOOKUP(D809,'MASTER ITEM LIST'!A:A,'MASTER ITEM LIST'!D:D), "")</f>
        <v>LITER</v>
      </c>
      <c r="J809" s="34">
        <v>700.0</v>
      </c>
      <c r="K809" s="69">
        <f t="shared" si="1"/>
        <v>350</v>
      </c>
      <c r="L809" s="70" t="s">
        <v>1212</v>
      </c>
    </row>
    <row r="810" ht="22.5" customHeight="1">
      <c r="A810" s="29">
        <v>46167.0</v>
      </c>
      <c r="B810" s="31" t="s">
        <v>1644</v>
      </c>
      <c r="C810" s="32" t="s">
        <v>1210</v>
      </c>
      <c r="D810" s="71" t="s">
        <v>136</v>
      </c>
      <c r="E810" s="66" t="str">
        <f t="array" ref="E810">IF(D810="", "", XLOOKUP(D810, 'MASTER ITEM LIST'!A:A, 'MASTER ITEM LIST'!B:B, ""))</f>
        <v>CROCO MASKING TAPE 3/4 18MM (1X64)</v>
      </c>
      <c r="F810" s="31"/>
      <c r="G810" s="67" t="s">
        <v>1211</v>
      </c>
      <c r="H810" s="31">
        <v>2.0</v>
      </c>
      <c r="I810" s="31" t="str">
        <f t="array" ref="I810">IFERROR(XLOOKUP(D810,'MASTER ITEM LIST'!A:A,'MASTER ITEM LIST'!D:D), "")</f>
        <v>PC/S</v>
      </c>
      <c r="J810" s="34">
        <v>35.0</v>
      </c>
      <c r="K810" s="69">
        <f t="shared" si="1"/>
        <v>70</v>
      </c>
      <c r="L810" s="70" t="s">
        <v>1212</v>
      </c>
    </row>
    <row r="811" ht="22.5" customHeight="1">
      <c r="A811" s="29">
        <v>46167.0</v>
      </c>
      <c r="B811" s="31" t="s">
        <v>1646</v>
      </c>
      <c r="C811" s="32" t="s">
        <v>1215</v>
      </c>
      <c r="D811" s="71" t="s">
        <v>220</v>
      </c>
      <c r="E811" s="66" t="str">
        <f t="array" ref="E811">IF(D811="", "", XLOOKUP(D811, 'MASTER ITEM LIST'!A:A, 'MASTER ITEM LIST'!B:B, ""))</f>
        <v>PREMILA MIXING 1L</v>
      </c>
      <c r="F811" s="31" t="s">
        <v>1647</v>
      </c>
      <c r="G811" s="67" t="s">
        <v>1211</v>
      </c>
      <c r="H811" s="31">
        <v>0.5</v>
      </c>
      <c r="I811" s="31" t="str">
        <f t="array" ref="I811">IFERROR(XLOOKUP(D811,'MASTER ITEM LIST'!A:A,'MASTER ITEM LIST'!D:D), "")</f>
        <v>LITER</v>
      </c>
      <c r="J811" s="34">
        <v>2000.0</v>
      </c>
      <c r="K811" s="69">
        <f t="shared" si="1"/>
        <v>1000</v>
      </c>
      <c r="L811" s="70" t="s">
        <v>1633</v>
      </c>
    </row>
    <row r="812" ht="22.5" customHeight="1">
      <c r="A812" s="29">
        <v>46167.0</v>
      </c>
      <c r="B812" s="31" t="s">
        <v>1646</v>
      </c>
      <c r="C812" s="32" t="s">
        <v>1215</v>
      </c>
      <c r="D812" s="71" t="s">
        <v>220</v>
      </c>
      <c r="E812" s="66" t="str">
        <f t="array" ref="E812">IF(D812="", "", XLOOKUP(D812, 'MASTER ITEM LIST'!A:A, 'MASTER ITEM LIST'!B:B, ""))</f>
        <v>PREMILA MIXING 1L</v>
      </c>
      <c r="F812" s="31" t="s">
        <v>1648</v>
      </c>
      <c r="G812" s="67" t="s">
        <v>1211</v>
      </c>
      <c r="H812" s="31">
        <v>0.5</v>
      </c>
      <c r="I812" s="31" t="str">
        <f t="array" ref="I812">IFERROR(XLOOKUP(D812,'MASTER ITEM LIST'!A:A,'MASTER ITEM LIST'!D:D), "")</f>
        <v>LITER</v>
      </c>
      <c r="J812" s="34">
        <v>2700.0</v>
      </c>
      <c r="K812" s="69">
        <f t="shared" si="1"/>
        <v>1350</v>
      </c>
      <c r="L812" s="70" t="s">
        <v>1633</v>
      </c>
    </row>
    <row r="813" ht="22.5" customHeight="1">
      <c r="A813" s="29">
        <v>46167.0</v>
      </c>
      <c r="B813" s="31" t="s">
        <v>1646</v>
      </c>
      <c r="C813" s="32" t="s">
        <v>1215</v>
      </c>
      <c r="D813" s="71" t="s">
        <v>220</v>
      </c>
      <c r="E813" s="66" t="str">
        <f t="array" ref="E813">IF(D813="", "", XLOOKUP(D813, 'MASTER ITEM LIST'!A:A, 'MASTER ITEM LIST'!B:B, ""))</f>
        <v>PREMILA MIXING 1L</v>
      </c>
      <c r="F813" s="31" t="s">
        <v>1649</v>
      </c>
      <c r="G813" s="67" t="s">
        <v>1211</v>
      </c>
      <c r="H813" s="31">
        <v>0.5</v>
      </c>
      <c r="I813" s="31" t="str">
        <f t="array" ref="I813">IFERROR(XLOOKUP(D813,'MASTER ITEM LIST'!A:A,'MASTER ITEM LIST'!D:D), "")</f>
        <v>LITER</v>
      </c>
      <c r="J813" s="34">
        <v>2700.0</v>
      </c>
      <c r="K813" s="69">
        <f t="shared" si="1"/>
        <v>1350</v>
      </c>
      <c r="L813" s="70" t="s">
        <v>1633</v>
      </c>
    </row>
    <row r="814" ht="22.5" customHeight="1">
      <c r="A814" s="29">
        <v>46167.0</v>
      </c>
      <c r="B814" s="31" t="s">
        <v>1646</v>
      </c>
      <c r="C814" s="32" t="s">
        <v>1215</v>
      </c>
      <c r="D814" s="71" t="s">
        <v>220</v>
      </c>
      <c r="E814" s="66" t="str">
        <f t="array" ref="E814">IF(D814="", "", XLOOKUP(D814, 'MASTER ITEM LIST'!A:A, 'MASTER ITEM LIST'!B:B, ""))</f>
        <v>PREMILA MIXING 1L</v>
      </c>
      <c r="F814" s="31" t="s">
        <v>1650</v>
      </c>
      <c r="G814" s="67" t="s">
        <v>1211</v>
      </c>
      <c r="H814" s="31">
        <v>0.5</v>
      </c>
      <c r="I814" s="31" t="str">
        <f t="array" ref="I814">IFERROR(XLOOKUP(D814,'MASTER ITEM LIST'!A:A,'MASTER ITEM LIST'!D:D), "")</f>
        <v>LITER</v>
      </c>
      <c r="J814" s="34">
        <v>2600.0</v>
      </c>
      <c r="K814" s="69">
        <f t="shared" si="1"/>
        <v>1300</v>
      </c>
      <c r="L814" s="70" t="s">
        <v>1633</v>
      </c>
    </row>
    <row r="815" ht="22.5" customHeight="1">
      <c r="A815" s="29">
        <v>46169.0</v>
      </c>
      <c r="B815" s="31" t="s">
        <v>1651</v>
      </c>
      <c r="C815" s="32" t="s">
        <v>1215</v>
      </c>
      <c r="D815" s="71" t="s">
        <v>220</v>
      </c>
      <c r="E815" s="66" t="str">
        <f t="array" ref="E815">IF(D815="", "", XLOOKUP(D815, 'MASTER ITEM LIST'!A:A, 'MASTER ITEM LIST'!B:B, ""))</f>
        <v>PREMILA MIXING 1L</v>
      </c>
      <c r="F815" s="31" t="s">
        <v>1375</v>
      </c>
      <c r="G815" s="67" t="s">
        <v>1211</v>
      </c>
      <c r="H815" s="31">
        <v>0.5</v>
      </c>
      <c r="I815" s="31" t="str">
        <f t="array" ref="I815">IFERROR(XLOOKUP(D815,'MASTER ITEM LIST'!A:A,'MASTER ITEM LIST'!D:D), "")</f>
        <v>LITER</v>
      </c>
      <c r="J815" s="34">
        <v>2700.0</v>
      </c>
      <c r="K815" s="69">
        <f t="shared" si="1"/>
        <v>1350</v>
      </c>
      <c r="L815" s="70" t="s">
        <v>1633</v>
      </c>
    </row>
    <row r="816" ht="22.5" customHeight="1">
      <c r="A816" s="29">
        <v>46171.0</v>
      </c>
      <c r="B816" s="31" t="s">
        <v>1652</v>
      </c>
      <c r="C816" s="32" t="s">
        <v>1215</v>
      </c>
      <c r="D816" s="71" t="s">
        <v>220</v>
      </c>
      <c r="E816" s="66" t="str">
        <f t="array" ref="E816">IF(D816="", "", XLOOKUP(D816, 'MASTER ITEM LIST'!A:A, 'MASTER ITEM LIST'!B:B, ""))</f>
        <v>PREMILA MIXING 1L</v>
      </c>
      <c r="F816" s="31" t="s">
        <v>1653</v>
      </c>
      <c r="G816" s="67" t="s">
        <v>1211</v>
      </c>
      <c r="H816" s="31">
        <v>0.5</v>
      </c>
      <c r="I816" s="31" t="str">
        <f t="array" ref="I816">IFERROR(XLOOKUP(D816,'MASTER ITEM LIST'!A:A,'MASTER ITEM LIST'!D:D), "")</f>
        <v>LITER</v>
      </c>
      <c r="J816" s="34">
        <v>2700.0</v>
      </c>
      <c r="K816" s="69">
        <f t="shared" si="1"/>
        <v>1350</v>
      </c>
      <c r="L816" s="70" t="s">
        <v>1633</v>
      </c>
    </row>
    <row r="817" ht="22.5" customHeight="1">
      <c r="A817" s="29">
        <v>46171.0</v>
      </c>
      <c r="B817" s="31" t="s">
        <v>1654</v>
      </c>
      <c r="C817" s="32" t="s">
        <v>1210</v>
      </c>
      <c r="D817" s="71" t="s">
        <v>220</v>
      </c>
      <c r="E817" s="66" t="str">
        <f t="array" ref="E817">IF(D817="", "", XLOOKUP(D817, 'MASTER ITEM LIST'!A:A, 'MASTER ITEM LIST'!B:B, ""))</f>
        <v>PREMILA MIXING 1L</v>
      </c>
      <c r="F817" s="31" t="s">
        <v>1655</v>
      </c>
      <c r="G817" s="67" t="s">
        <v>1211</v>
      </c>
      <c r="H817" s="31">
        <v>0.5</v>
      </c>
      <c r="I817" s="31" t="str">
        <f t="array" ref="I817">IFERROR(XLOOKUP(D817,'MASTER ITEM LIST'!A:A,'MASTER ITEM LIST'!D:D), "")</f>
        <v>LITER</v>
      </c>
      <c r="J817" s="34">
        <v>2700.0</v>
      </c>
      <c r="K817" s="69">
        <f t="shared" si="1"/>
        <v>1350</v>
      </c>
      <c r="L817" s="70" t="s">
        <v>1212</v>
      </c>
    </row>
    <row r="818" ht="22.5" customHeight="1">
      <c r="A818" s="29">
        <v>46171.0</v>
      </c>
      <c r="B818" s="31" t="s">
        <v>1654</v>
      </c>
      <c r="C818" s="32" t="s">
        <v>1210</v>
      </c>
      <c r="D818" s="71" t="s">
        <v>53</v>
      </c>
      <c r="E818" s="66" t="str">
        <f t="array" ref="E818">IF(D818="", "", XLOOKUP(D818, 'MASTER ITEM LIST'!A:A, 'MASTER ITEM LIST'!B:B, ""))</f>
        <v>NAX 108 CERAMIC 2K CLEAR WITH HARDENER 1L</v>
      </c>
      <c r="F818" s="31"/>
      <c r="G818" s="67" t="s">
        <v>1211</v>
      </c>
      <c r="H818" s="31">
        <v>1.5</v>
      </c>
      <c r="I818" s="31" t="str">
        <f t="array" ref="I818">IFERROR(XLOOKUP(D818,'MASTER ITEM LIST'!A:A,'MASTER ITEM LIST'!D:D), "")</f>
        <v>LITER</v>
      </c>
      <c r="J818" s="34">
        <v>700.0</v>
      </c>
      <c r="K818" s="69">
        <f t="shared" si="1"/>
        <v>1050</v>
      </c>
      <c r="L818" s="70" t="s">
        <v>1212</v>
      </c>
    </row>
    <row r="819" ht="22.5" customHeight="1">
      <c r="A819" s="29">
        <v>46171.0</v>
      </c>
      <c r="B819" s="31" t="s">
        <v>1654</v>
      </c>
      <c r="C819" s="32" t="s">
        <v>1210</v>
      </c>
      <c r="D819" s="71" t="s">
        <v>90</v>
      </c>
      <c r="E819" s="66" t="str">
        <f t="array" ref="E819">IF(D819="", "", XLOOKUP(D819, 'MASTER ITEM LIST'!A:A, 'MASTER ITEM LIST'!B:B, ""))</f>
        <v>NAX SOB757 HIGH GRADE URETHANE THINNER 4L</v>
      </c>
      <c r="F819" s="31"/>
      <c r="G819" s="67" t="s">
        <v>1211</v>
      </c>
      <c r="H819" s="31">
        <v>0.5</v>
      </c>
      <c r="I819" s="31" t="str">
        <f t="array" ref="I819">IFERROR(XLOOKUP(D819,'MASTER ITEM LIST'!A:A,'MASTER ITEM LIST'!D:D), "")</f>
        <v>GAL</v>
      </c>
      <c r="J819" s="34">
        <v>800.0</v>
      </c>
      <c r="K819" s="69">
        <f t="shared" si="1"/>
        <v>400</v>
      </c>
      <c r="L819" s="70" t="s">
        <v>1212</v>
      </c>
    </row>
    <row r="820" ht="22.5" customHeight="1">
      <c r="A820" s="29">
        <v>46171.0</v>
      </c>
      <c r="B820" s="31" t="s">
        <v>1654</v>
      </c>
      <c r="C820" s="32" t="s">
        <v>1210</v>
      </c>
      <c r="D820" s="71" t="s">
        <v>136</v>
      </c>
      <c r="E820" s="66" t="str">
        <f t="array" ref="E820">IF(D820="", "", XLOOKUP(D820, 'MASTER ITEM LIST'!A:A, 'MASTER ITEM LIST'!B:B, ""))</f>
        <v>CROCO MASKING TAPE 3/4 18MM (1X64)</v>
      </c>
      <c r="F820" s="31"/>
      <c r="G820" s="67" t="s">
        <v>1211</v>
      </c>
      <c r="H820" s="31">
        <v>4.0</v>
      </c>
      <c r="I820" s="31" t="str">
        <f t="array" ref="I820">IFERROR(XLOOKUP(D820,'MASTER ITEM LIST'!A:A,'MASTER ITEM LIST'!D:D), "")</f>
        <v>PC/S</v>
      </c>
      <c r="J820" s="34">
        <v>35.0</v>
      </c>
      <c r="K820" s="69">
        <f t="shared" si="1"/>
        <v>140</v>
      </c>
      <c r="L820" s="70" t="s">
        <v>1212</v>
      </c>
    </row>
    <row r="821" ht="22.5" customHeight="1">
      <c r="A821" s="29">
        <v>46171.0</v>
      </c>
      <c r="B821" s="31" t="s">
        <v>1654</v>
      </c>
      <c r="C821" s="32" t="s">
        <v>1210</v>
      </c>
      <c r="D821" s="71" t="s">
        <v>63</v>
      </c>
      <c r="E821" s="66" t="str">
        <f t="array" ref="E821">IF(D821="", "", XLOOKUP(D821, 'MASTER ITEM LIST'!A:A, 'MASTER ITEM LIST'!B:B, ""))</f>
        <v>OLD NEWS</v>
      </c>
      <c r="F821" s="31"/>
      <c r="G821" s="67" t="s">
        <v>1211</v>
      </c>
      <c r="H821" s="31">
        <v>1.0</v>
      </c>
      <c r="I821" s="31" t="str">
        <f t="array" ref="I821">IFERROR(XLOOKUP(D821,'MASTER ITEM LIST'!A:A,'MASTER ITEM LIST'!D:D), "")</f>
        <v>KG</v>
      </c>
      <c r="J821" s="34">
        <v>100.0</v>
      </c>
      <c r="K821" s="69">
        <f t="shared" si="1"/>
        <v>100</v>
      </c>
      <c r="L821" s="70" t="s">
        <v>1212</v>
      </c>
    </row>
    <row r="822" ht="22.5" customHeight="1">
      <c r="A822" s="29">
        <v>46171.0</v>
      </c>
      <c r="B822" s="31" t="s">
        <v>1656</v>
      </c>
      <c r="C822" s="32" t="s">
        <v>1210</v>
      </c>
      <c r="D822" s="71" t="s">
        <v>94</v>
      </c>
      <c r="E822" s="66" t="str">
        <f t="array" ref="E822">IF(D822="", "", XLOOKUP(D822, 'MASTER ITEM LIST'!A:A, 'MASTER ITEM LIST'!B:B, ""))</f>
        <v>NAX NAT-990 TTC BLACK 4L</v>
      </c>
      <c r="F822" s="31"/>
      <c r="G822" s="67" t="s">
        <v>1211</v>
      </c>
      <c r="H822" s="31">
        <v>0.0625</v>
      </c>
      <c r="I822" s="31" t="str">
        <f t="array" ref="I822">IFERROR(XLOOKUP(D822,'MASTER ITEM LIST'!A:A,'MASTER ITEM LIST'!D:D), "")</f>
        <v>GAL</v>
      </c>
      <c r="J822" s="34">
        <v>4480.0</v>
      </c>
      <c r="K822" s="69">
        <f t="shared" si="1"/>
        <v>280</v>
      </c>
      <c r="L822" s="70" t="s">
        <v>1212</v>
      </c>
    </row>
    <row r="823" ht="22.5" customHeight="1">
      <c r="A823" s="29">
        <v>46171.0</v>
      </c>
      <c r="B823" s="31" t="s">
        <v>1656</v>
      </c>
      <c r="C823" s="32" t="s">
        <v>1210</v>
      </c>
      <c r="D823" s="71" t="s">
        <v>90</v>
      </c>
      <c r="E823" s="66" t="str">
        <f t="array" ref="E823">IF(D823="", "", XLOOKUP(D823, 'MASTER ITEM LIST'!A:A, 'MASTER ITEM LIST'!B:B, ""))</f>
        <v>NAX SOB757 HIGH GRADE URETHANE THINNER 4L</v>
      </c>
      <c r="F823" s="31"/>
      <c r="G823" s="67" t="s">
        <v>1211</v>
      </c>
      <c r="H823" s="31">
        <v>0.25</v>
      </c>
      <c r="I823" s="31" t="str">
        <f t="array" ref="I823">IFERROR(XLOOKUP(D823,'MASTER ITEM LIST'!A:A,'MASTER ITEM LIST'!D:D), "")</f>
        <v>GAL</v>
      </c>
      <c r="J823" s="34">
        <v>800.0</v>
      </c>
      <c r="K823" s="69">
        <f t="shared" si="1"/>
        <v>200</v>
      </c>
      <c r="L823" s="70" t="s">
        <v>1212</v>
      </c>
    </row>
    <row r="824" ht="22.5" customHeight="1">
      <c r="A824" s="29">
        <v>46171.0</v>
      </c>
      <c r="B824" s="31" t="s">
        <v>1656</v>
      </c>
      <c r="C824" s="32" t="s">
        <v>1210</v>
      </c>
      <c r="D824" s="71" t="s">
        <v>53</v>
      </c>
      <c r="E824" s="66" t="str">
        <f t="array" ref="E824">IF(D824="", "", XLOOKUP(D824, 'MASTER ITEM LIST'!A:A, 'MASTER ITEM LIST'!B:B, ""))</f>
        <v>NAX 108 CERAMIC 2K CLEAR WITH HARDENER 1L</v>
      </c>
      <c r="F824" s="31"/>
      <c r="G824" s="67" t="s">
        <v>1211</v>
      </c>
      <c r="H824" s="31">
        <v>0.5</v>
      </c>
      <c r="I824" s="31" t="str">
        <f t="array" ref="I824">IFERROR(XLOOKUP(D824,'MASTER ITEM LIST'!A:A,'MASTER ITEM LIST'!D:D), "")</f>
        <v>LITER</v>
      </c>
      <c r="J824" s="34">
        <v>700.0</v>
      </c>
      <c r="K824" s="69">
        <f t="shared" si="1"/>
        <v>350</v>
      </c>
      <c r="L824" s="70" t="s">
        <v>1212</v>
      </c>
    </row>
    <row r="825" ht="22.5" customHeight="1">
      <c r="A825" s="29">
        <v>46171.0</v>
      </c>
      <c r="B825" s="31" t="s">
        <v>1656</v>
      </c>
      <c r="C825" s="32" t="s">
        <v>1210</v>
      </c>
      <c r="D825" s="71" t="s">
        <v>117</v>
      </c>
      <c r="E825" s="66" t="str">
        <f t="array" ref="E825">IF(D825="", "", XLOOKUP(D825, 'MASTER ITEM LIST'!A:A, 'MASTER ITEM LIST'!B:B, ""))</f>
        <v>EAGLE SANDPAPER #120</v>
      </c>
      <c r="F825" s="31"/>
      <c r="G825" s="67" t="s">
        <v>1211</v>
      </c>
      <c r="H825" s="31">
        <v>2.0</v>
      </c>
      <c r="I825" s="31" t="str">
        <f t="array" ref="I825">IFERROR(XLOOKUP(D825,'MASTER ITEM LIST'!A:A,'MASTER ITEM LIST'!D:D), "")</f>
        <v>PC/S</v>
      </c>
      <c r="J825" s="34">
        <v>25.0</v>
      </c>
      <c r="K825" s="69">
        <f t="shared" si="1"/>
        <v>50</v>
      </c>
      <c r="L825" s="70" t="s">
        <v>1212</v>
      </c>
    </row>
    <row r="826" ht="22.5" customHeight="1">
      <c r="A826" s="29">
        <v>46171.0</v>
      </c>
      <c r="B826" s="31" t="s">
        <v>1656</v>
      </c>
      <c r="C826" s="32" t="s">
        <v>1210</v>
      </c>
      <c r="D826" s="71" t="s">
        <v>548</v>
      </c>
      <c r="E826" s="66" t="str">
        <f t="array" ref="E826">IF(D826="", "", XLOOKUP(D826, 'MASTER ITEM LIST'!A:A, 'MASTER ITEM LIST'!B:B, ""))</f>
        <v>EAGLE SANDPAPER #240</v>
      </c>
      <c r="F826" s="31"/>
      <c r="G826" s="67" t="s">
        <v>1211</v>
      </c>
      <c r="H826" s="31">
        <v>2.0</v>
      </c>
      <c r="I826" s="31" t="str">
        <f t="array" ref="I826">IFERROR(XLOOKUP(D826,'MASTER ITEM LIST'!A:A,'MASTER ITEM LIST'!D:D), "")</f>
        <v>PC/S</v>
      </c>
      <c r="J826" s="34">
        <v>25.0</v>
      </c>
      <c r="K826" s="69">
        <f t="shared" si="1"/>
        <v>50</v>
      </c>
      <c r="L826" s="70" t="s">
        <v>1212</v>
      </c>
    </row>
    <row r="827" ht="22.5" customHeight="1">
      <c r="A827" s="29">
        <v>46171.0</v>
      </c>
      <c r="B827" s="31" t="s">
        <v>1656</v>
      </c>
      <c r="C827" s="32" t="s">
        <v>1210</v>
      </c>
      <c r="D827" s="71" t="s">
        <v>426</v>
      </c>
      <c r="E827" s="66" t="str">
        <f t="array" ref="E827">IF(D827="", "", XLOOKUP(D827, 'MASTER ITEM LIST'!A:A, 'MASTER ITEM LIST'!B:B, ""))</f>
        <v>EAGLE SAND PAPER #320</v>
      </c>
      <c r="F827" s="31"/>
      <c r="G827" s="67" t="s">
        <v>1211</v>
      </c>
      <c r="H827" s="31">
        <v>2.0</v>
      </c>
      <c r="I827" s="31" t="str">
        <f t="array" ref="I827">IFERROR(XLOOKUP(D827,'MASTER ITEM LIST'!A:A,'MASTER ITEM LIST'!D:D), "")</f>
        <v>PCS</v>
      </c>
      <c r="J827" s="34">
        <v>25.0</v>
      </c>
      <c r="K827" s="69">
        <f t="shared" si="1"/>
        <v>50</v>
      </c>
      <c r="L827" s="70" t="s">
        <v>1212</v>
      </c>
    </row>
    <row r="828" ht="22.5" customHeight="1">
      <c r="A828" s="29">
        <v>46171.0</v>
      </c>
      <c r="B828" s="31" t="s">
        <v>1656</v>
      </c>
      <c r="C828" s="32" t="s">
        <v>1210</v>
      </c>
      <c r="D828" s="71" t="s">
        <v>63</v>
      </c>
      <c r="E828" s="66" t="str">
        <f t="array" ref="E828">IF(D828="", "", XLOOKUP(D828, 'MASTER ITEM LIST'!A:A, 'MASTER ITEM LIST'!B:B, ""))</f>
        <v>OLD NEWS</v>
      </c>
      <c r="F828" s="31"/>
      <c r="G828" s="67" t="s">
        <v>1211</v>
      </c>
      <c r="H828" s="31">
        <v>1.0</v>
      </c>
      <c r="I828" s="31" t="str">
        <f t="array" ref="I828">IFERROR(XLOOKUP(D828,'MASTER ITEM LIST'!A:A,'MASTER ITEM LIST'!D:D), "")</f>
        <v>KG</v>
      </c>
      <c r="J828" s="34">
        <v>100.0</v>
      </c>
      <c r="K828" s="69">
        <f t="shared" si="1"/>
        <v>100</v>
      </c>
      <c r="L828" s="70" t="s">
        <v>1212</v>
      </c>
    </row>
    <row r="829" ht="22.5" customHeight="1">
      <c r="A829" s="29">
        <v>46184.0</v>
      </c>
      <c r="B829" s="31" t="s">
        <v>1657</v>
      </c>
      <c r="C829" s="32" t="s">
        <v>93</v>
      </c>
      <c r="D829" s="71" t="s">
        <v>117</v>
      </c>
      <c r="E829" s="66" t="str">
        <f t="array" ref="E829">IF(D829="", "", XLOOKUP(D829, 'MASTER ITEM LIST'!A:A, 'MASTER ITEM LIST'!B:B, ""))</f>
        <v>EAGLE SANDPAPER #120</v>
      </c>
      <c r="F829" s="31"/>
      <c r="G829" s="67" t="s">
        <v>34</v>
      </c>
      <c r="H829" s="31">
        <v>5.0</v>
      </c>
      <c r="I829" s="31" t="str">
        <f t="array" ref="I829">IFERROR(XLOOKUP(D829,'MASTER ITEM LIST'!A:A,'MASTER ITEM LIST'!D:D), "")</f>
        <v>PC/S</v>
      </c>
      <c r="J829" s="34">
        <v>25.0</v>
      </c>
      <c r="K829" s="69">
        <f t="shared" si="1"/>
        <v>125</v>
      </c>
      <c r="L829" s="70" t="s">
        <v>42</v>
      </c>
    </row>
    <row r="830" ht="22.5" customHeight="1">
      <c r="A830" s="29">
        <v>46184.0</v>
      </c>
      <c r="B830" s="31" t="s">
        <v>1657</v>
      </c>
      <c r="C830" s="32" t="s">
        <v>93</v>
      </c>
      <c r="D830" s="71" t="s">
        <v>548</v>
      </c>
      <c r="E830" s="66" t="str">
        <f t="array" ref="E830">IF(D830="", "", XLOOKUP(D830, 'MASTER ITEM LIST'!A:A, 'MASTER ITEM LIST'!B:B, ""))</f>
        <v>EAGLE SANDPAPER #240</v>
      </c>
      <c r="F830" s="31"/>
      <c r="G830" s="67" t="s">
        <v>34</v>
      </c>
      <c r="H830" s="31">
        <v>5.0</v>
      </c>
      <c r="I830" s="31" t="str">
        <f t="array" ref="I830">IFERROR(XLOOKUP(D830,'MASTER ITEM LIST'!A:A,'MASTER ITEM LIST'!D:D), "")</f>
        <v>PC/S</v>
      </c>
      <c r="J830" s="34">
        <v>25.0</v>
      </c>
      <c r="K830" s="69">
        <f t="shared" si="1"/>
        <v>125</v>
      </c>
      <c r="L830" s="70" t="s">
        <v>42</v>
      </c>
    </row>
    <row r="831" ht="22.5" customHeight="1">
      <c r="A831" s="29">
        <v>46184.0</v>
      </c>
      <c r="B831" s="31" t="s">
        <v>1657</v>
      </c>
      <c r="C831" s="32" t="s">
        <v>93</v>
      </c>
      <c r="D831" s="71" t="s">
        <v>432</v>
      </c>
      <c r="E831" s="66" t="str">
        <f t="array" ref="E831">IF(D831="", "", XLOOKUP(D831, 'MASTER ITEM LIST'!A:A, 'MASTER ITEM LIST'!B:B, ""))</f>
        <v>EAGLE SANDPAPER #600</v>
      </c>
      <c r="F831" s="31"/>
      <c r="G831" s="67" t="s">
        <v>34</v>
      </c>
      <c r="H831" s="31">
        <v>5.0</v>
      </c>
      <c r="I831" s="31" t="str">
        <f t="array" ref="I831">IFERROR(XLOOKUP(D831,'MASTER ITEM LIST'!A:A,'MASTER ITEM LIST'!D:D), "")</f>
        <v>PCS</v>
      </c>
      <c r="J831" s="34">
        <v>25.0</v>
      </c>
      <c r="K831" s="69">
        <f t="shared" si="1"/>
        <v>125</v>
      </c>
      <c r="L831" s="70" t="s">
        <v>42</v>
      </c>
    </row>
    <row r="832" ht="22.5" customHeight="1">
      <c r="A832" s="29">
        <v>46184.0</v>
      </c>
      <c r="B832" s="31" t="s">
        <v>1657</v>
      </c>
      <c r="C832" s="32" t="s">
        <v>93</v>
      </c>
      <c r="D832" s="71" t="s">
        <v>942</v>
      </c>
      <c r="E832" s="66" t="str">
        <f t="array" ref="E832">IF(D832="", "", XLOOKUP(D832, 'MASTER ITEM LIST'!A:A, 'MASTER ITEM LIST'!B:B, ""))</f>
        <v>EAGLE SANDPAPER #1000</v>
      </c>
      <c r="F832" s="31"/>
      <c r="G832" s="67" t="s">
        <v>34</v>
      </c>
      <c r="H832" s="31">
        <v>5.0</v>
      </c>
      <c r="I832" s="31" t="str">
        <f t="array" ref="I832">IFERROR(XLOOKUP(D832,'MASTER ITEM LIST'!A:A,'MASTER ITEM LIST'!D:D), "")</f>
        <v>PC/S</v>
      </c>
      <c r="J832" s="34">
        <v>25.0</v>
      </c>
      <c r="K832" s="69">
        <f t="shared" si="1"/>
        <v>125</v>
      </c>
      <c r="L832" s="70" t="s">
        <v>42</v>
      </c>
    </row>
    <row r="833" ht="22.5" customHeight="1">
      <c r="A833" s="29">
        <v>46184.0</v>
      </c>
      <c r="B833" s="31" t="s">
        <v>1657</v>
      </c>
      <c r="C833" s="32" t="s">
        <v>93</v>
      </c>
      <c r="D833" s="71" t="s">
        <v>326</v>
      </c>
      <c r="E833" s="66" t="str">
        <f t="array" ref="E833">IF(D833="", "", XLOOKUP(D833, 'MASTER ITEM LIST'!A:A, 'MASTER ITEM LIST'!B:B, ""))</f>
        <v>EAGLE SANDPAPER #1200</v>
      </c>
      <c r="F833" s="31"/>
      <c r="G833" s="67" t="s">
        <v>34</v>
      </c>
      <c r="H833" s="31">
        <v>5.0</v>
      </c>
      <c r="I833" s="31" t="str">
        <f t="array" ref="I833">IFERROR(XLOOKUP(D833,'MASTER ITEM LIST'!A:A,'MASTER ITEM LIST'!D:D), "")</f>
        <v>PC/S</v>
      </c>
      <c r="J833" s="34">
        <v>25.0</v>
      </c>
      <c r="K833" s="69">
        <f t="shared" si="1"/>
        <v>125</v>
      </c>
      <c r="L833" s="70" t="s">
        <v>42</v>
      </c>
    </row>
    <row r="834" ht="22.5" customHeight="1">
      <c r="A834" s="29">
        <v>46184.0</v>
      </c>
      <c r="B834" s="31" t="s">
        <v>1659</v>
      </c>
      <c r="C834" s="32" t="s">
        <v>1508</v>
      </c>
      <c r="D834" s="71" t="s">
        <v>167</v>
      </c>
      <c r="E834" s="66" t="str">
        <f t="array" ref="E834">IF(D834="", "", XLOOKUP(D834, 'MASTER ITEM LIST'!A:A, 'MASTER ITEM LIST'!B:B, ""))</f>
        <v>NAX QDU MIX 1L</v>
      </c>
      <c r="F834" s="31"/>
      <c r="G834" s="67" t="s">
        <v>34</v>
      </c>
      <c r="H834" s="31">
        <v>1.0</v>
      </c>
      <c r="I834" s="31" t="str">
        <f t="array" ref="I834">IFERROR(XLOOKUP(D834,'MASTER ITEM LIST'!A:A,'MASTER ITEM LIST'!D:D), "")</f>
        <v>LITER</v>
      </c>
      <c r="J834" s="34">
        <v>700.0</v>
      </c>
      <c r="K834" s="69">
        <f t="shared" si="1"/>
        <v>700</v>
      </c>
      <c r="L834" s="70" t="s">
        <v>42</v>
      </c>
    </row>
    <row r="835" ht="22.5" customHeight="1">
      <c r="A835" s="29">
        <v>46184.0</v>
      </c>
      <c r="B835" s="31" t="s">
        <v>1659</v>
      </c>
      <c r="C835" s="32" t="s">
        <v>1508</v>
      </c>
      <c r="D835" s="71" t="s">
        <v>90</v>
      </c>
      <c r="E835" s="66" t="str">
        <f t="array" ref="E835">IF(D835="", "", XLOOKUP(D835, 'MASTER ITEM LIST'!A:A, 'MASTER ITEM LIST'!B:B, ""))</f>
        <v>NAX SOB757 HIGH GRADE URETHANE THINNER 4L</v>
      </c>
      <c r="F835" s="31"/>
      <c r="G835" s="67" t="s">
        <v>34</v>
      </c>
      <c r="H835" s="31">
        <v>0.25</v>
      </c>
      <c r="I835" s="31" t="str">
        <f t="array" ref="I835">IFERROR(XLOOKUP(D835,'MASTER ITEM LIST'!A:A,'MASTER ITEM LIST'!D:D), "")</f>
        <v>GAL</v>
      </c>
      <c r="J835" s="34">
        <v>800.0</v>
      </c>
      <c r="K835" s="69">
        <f t="shared" si="1"/>
        <v>200</v>
      </c>
      <c r="L835" s="70" t="s">
        <v>42</v>
      </c>
    </row>
    <row r="836" ht="22.5" customHeight="1">
      <c r="A836" s="29">
        <v>46184.0</v>
      </c>
      <c r="B836" s="31" t="s">
        <v>1659</v>
      </c>
      <c r="C836" s="32" t="s">
        <v>1508</v>
      </c>
      <c r="D836" s="71" t="s">
        <v>233</v>
      </c>
      <c r="E836" s="66" t="str">
        <f t="array" ref="E836">IF(D836="", "", XLOOKUP(D836, 'MASTER ITEM LIST'!A:A, 'MASTER ITEM LIST'!B:B, ""))</f>
        <v>NAX ALPHA HB SPRAY FILLER GRAY WITH HARDENER 1L</v>
      </c>
      <c r="F836" s="31"/>
      <c r="G836" s="67" t="s">
        <v>34</v>
      </c>
      <c r="H836" s="31">
        <v>1.0</v>
      </c>
      <c r="I836" s="31" t="str">
        <f t="array" ref="I836">IFERROR(XLOOKUP(D836,'MASTER ITEM LIST'!A:A,'MASTER ITEM LIST'!D:D), "")</f>
        <v>LITER</v>
      </c>
      <c r="J836" s="34">
        <v>600.0</v>
      </c>
      <c r="K836" s="69">
        <f t="shared" si="1"/>
        <v>600</v>
      </c>
      <c r="L836" s="70" t="s">
        <v>42</v>
      </c>
    </row>
    <row r="837" ht="22.5" customHeight="1">
      <c r="A837" s="29">
        <v>46185.0</v>
      </c>
      <c r="B837" s="31" t="s">
        <v>1660</v>
      </c>
      <c r="C837" s="32" t="s">
        <v>93</v>
      </c>
      <c r="D837" s="71" t="s">
        <v>53</v>
      </c>
      <c r="E837" s="66" t="str">
        <f t="array" ref="E837">IF(D837="", "", XLOOKUP(D837, 'MASTER ITEM LIST'!A:A, 'MASTER ITEM LIST'!B:B, ""))</f>
        <v>NAX 108 CERAMIC 2K CLEAR WITH HARDENER 1L</v>
      </c>
      <c r="F837" s="31"/>
      <c r="G837" s="67" t="s">
        <v>34</v>
      </c>
      <c r="H837" s="31">
        <v>2.0</v>
      </c>
      <c r="I837" s="31" t="str">
        <f t="array" ref="I837">IFERROR(XLOOKUP(D837,'MASTER ITEM LIST'!A:A,'MASTER ITEM LIST'!D:D), "")</f>
        <v>LITER</v>
      </c>
      <c r="J837" s="34">
        <v>680.0</v>
      </c>
      <c r="K837" s="69">
        <f t="shared" si="1"/>
        <v>1360</v>
      </c>
      <c r="L837" s="70" t="s">
        <v>42</v>
      </c>
    </row>
    <row r="838" ht="22.5" customHeight="1">
      <c r="A838" s="29">
        <v>46185.0</v>
      </c>
      <c r="B838" s="31" t="s">
        <v>1660</v>
      </c>
      <c r="C838" s="32" t="s">
        <v>93</v>
      </c>
      <c r="D838" s="71" t="s">
        <v>90</v>
      </c>
      <c r="E838" s="66" t="str">
        <f t="array" ref="E838">IF(D838="", "", XLOOKUP(D838, 'MASTER ITEM LIST'!A:A, 'MASTER ITEM LIST'!B:B, ""))</f>
        <v>NAX SOB757 HIGH GRADE URETHANE THINNER 4L</v>
      </c>
      <c r="F838" s="31"/>
      <c r="G838" s="67" t="s">
        <v>34</v>
      </c>
      <c r="H838" s="31">
        <v>1.0</v>
      </c>
      <c r="I838" s="31" t="str">
        <f t="array" ref="I838">IFERROR(XLOOKUP(D838,'MASTER ITEM LIST'!A:A,'MASTER ITEM LIST'!D:D), "")</f>
        <v>GAL</v>
      </c>
      <c r="J838" s="34">
        <v>750.0</v>
      </c>
      <c r="K838" s="69">
        <f t="shared" si="1"/>
        <v>750</v>
      </c>
      <c r="L838" s="70" t="s">
        <v>42</v>
      </c>
    </row>
    <row r="839" ht="22.5" customHeight="1">
      <c r="A839" s="29">
        <v>46185.0</v>
      </c>
      <c r="B839" s="31" t="s">
        <v>1660</v>
      </c>
      <c r="C839" s="32" t="s">
        <v>93</v>
      </c>
      <c r="D839" s="71" t="s">
        <v>167</v>
      </c>
      <c r="E839" s="66" t="str">
        <f t="array" ref="E839">IF(D839="", "", XLOOKUP(D839, 'MASTER ITEM LIST'!A:A, 'MASTER ITEM LIST'!B:B, ""))</f>
        <v>NAX QDU MIX 1L</v>
      </c>
      <c r="F839" s="31"/>
      <c r="G839" s="67" t="s">
        <v>34</v>
      </c>
      <c r="H839" s="31">
        <v>0.25</v>
      </c>
      <c r="I839" s="31" t="str">
        <f t="array" ref="I839">IFERROR(XLOOKUP(D839,'MASTER ITEM LIST'!A:A,'MASTER ITEM LIST'!D:D), "")</f>
        <v>LITER</v>
      </c>
      <c r="J839" s="34">
        <v>1000.0</v>
      </c>
      <c r="K839" s="69">
        <f t="shared" si="1"/>
        <v>250</v>
      </c>
      <c r="L839" s="70" t="s">
        <v>42</v>
      </c>
    </row>
    <row r="840" ht="22.5" customHeight="1">
      <c r="A840" s="29">
        <v>46185.0</v>
      </c>
      <c r="B840" s="31" t="s">
        <v>1660</v>
      </c>
      <c r="C840" s="32" t="s">
        <v>93</v>
      </c>
      <c r="D840" s="71" t="s">
        <v>167</v>
      </c>
      <c r="E840" s="66" t="str">
        <f t="array" ref="E840">IF(D840="", "", XLOOKUP(D840, 'MASTER ITEM LIST'!A:A, 'MASTER ITEM LIST'!B:B, ""))</f>
        <v>NAX QDU MIX 1L</v>
      </c>
      <c r="F840" s="31"/>
      <c r="G840" s="67" t="s">
        <v>34</v>
      </c>
      <c r="H840" s="31">
        <v>0.5</v>
      </c>
      <c r="I840" s="31" t="str">
        <f t="array" ref="I840">IFERROR(XLOOKUP(D840,'MASTER ITEM LIST'!A:A,'MASTER ITEM LIST'!D:D), "")</f>
        <v>LITER</v>
      </c>
      <c r="J840" s="34">
        <v>1200.0</v>
      </c>
      <c r="K840" s="69">
        <f t="shared" si="1"/>
        <v>600</v>
      </c>
      <c r="L840" s="70" t="s">
        <v>42</v>
      </c>
    </row>
    <row r="841" ht="22.5" customHeight="1">
      <c r="A841" s="29">
        <v>46185.0</v>
      </c>
      <c r="B841" s="31" t="s">
        <v>1660</v>
      </c>
      <c r="C841" s="32" t="s">
        <v>93</v>
      </c>
      <c r="D841" s="71" t="s">
        <v>220</v>
      </c>
      <c r="E841" s="66" t="str">
        <f t="array" ref="E841">IF(D841="", "", XLOOKUP(D841, 'MASTER ITEM LIST'!A:A, 'MASTER ITEM LIST'!B:B, ""))</f>
        <v>PREMILA MIXING 1L</v>
      </c>
      <c r="F841" s="31" t="s">
        <v>1662</v>
      </c>
      <c r="G841" s="67" t="s">
        <v>34</v>
      </c>
      <c r="H841" s="31">
        <v>0.5</v>
      </c>
      <c r="I841" s="31" t="str">
        <f t="array" ref="I841">IFERROR(XLOOKUP(D841,'MASTER ITEM LIST'!A:A,'MASTER ITEM LIST'!D:D), "")</f>
        <v>LITER</v>
      </c>
      <c r="J841" s="34">
        <v>2000.0</v>
      </c>
      <c r="K841" s="69">
        <f t="shared" si="1"/>
        <v>1000</v>
      </c>
      <c r="L841" s="70" t="s">
        <v>42</v>
      </c>
    </row>
    <row r="842" ht="22.5" customHeight="1">
      <c r="A842" s="29">
        <v>46186.0</v>
      </c>
      <c r="B842" s="31" t="s">
        <v>1663</v>
      </c>
      <c r="C842" s="32" t="s">
        <v>93</v>
      </c>
      <c r="D842" s="71" t="s">
        <v>1181</v>
      </c>
      <c r="E842" s="66" t="str">
        <f t="array" ref="E842">IF(D842="", "", XLOOKUP(D842, 'MASTER ITEM LIST'!A:A, 'MASTER ITEM LIST'!B:B, ""))</f>
        <v>POLYGLOSS-ZINCROMATE PRIMER GREEN-1L</v>
      </c>
      <c r="F842" s="31"/>
      <c r="G842" s="67" t="s">
        <v>34</v>
      </c>
      <c r="H842" s="31">
        <v>1.0</v>
      </c>
      <c r="I842" s="31" t="str">
        <f t="array" ref="I842">IFERROR(XLOOKUP(D842,'MASTER ITEM LIST'!A:A,'MASTER ITEM LIST'!D:D), "")</f>
        <v>LITER</v>
      </c>
      <c r="J842" s="34">
        <v>600.0</v>
      </c>
      <c r="K842" s="69">
        <f t="shared" si="1"/>
        <v>600</v>
      </c>
      <c r="L842" s="70" t="s">
        <v>42</v>
      </c>
    </row>
    <row r="843" ht="22.5" customHeight="1">
      <c r="A843" s="29">
        <v>46186.0</v>
      </c>
      <c r="B843" s="31" t="s">
        <v>1664</v>
      </c>
      <c r="C843" s="32" t="s">
        <v>93</v>
      </c>
      <c r="D843" s="71" t="s">
        <v>560</v>
      </c>
      <c r="E843" s="66" t="str">
        <f t="array" ref="E843">IF(D843="", "", XLOOKUP(D843, 'MASTER ITEM LIST'!A:A, 'MASTER ITEM LIST'!B:B, ""))</f>
        <v>NIPPON EXTREME QDU YELLOW 4L</v>
      </c>
      <c r="F843" s="31"/>
      <c r="G843" s="67" t="s">
        <v>1376</v>
      </c>
      <c r="H843" s="31">
        <v>0.0625</v>
      </c>
      <c r="I843" s="31" t="str">
        <f t="array" ref="I843">IFERROR(XLOOKUP(D843,'MASTER ITEM LIST'!A:A,'MASTER ITEM LIST'!D:D), "")</f>
        <v>GAL</v>
      </c>
      <c r="J843" s="34">
        <v>3200.0</v>
      </c>
      <c r="K843" s="69">
        <f t="shared" si="1"/>
        <v>200</v>
      </c>
      <c r="L843" s="70" t="s">
        <v>42</v>
      </c>
    </row>
    <row r="844" ht="22.5" customHeight="1">
      <c r="A844" s="29">
        <v>46188.0</v>
      </c>
      <c r="B844" s="31" t="s">
        <v>1665</v>
      </c>
      <c r="C844" s="32" t="s">
        <v>93</v>
      </c>
      <c r="D844" s="71" t="s">
        <v>90</v>
      </c>
      <c r="E844" s="66" t="str">
        <f t="array" ref="E844">IF(D844="", "", XLOOKUP(D844, 'MASTER ITEM LIST'!A:A, 'MASTER ITEM LIST'!B:B, ""))</f>
        <v>NAX SOB757 HIGH GRADE URETHANE THINNER 4L</v>
      </c>
      <c r="F844" s="31"/>
      <c r="G844" s="67" t="s">
        <v>34</v>
      </c>
      <c r="H844" s="31">
        <v>1.0</v>
      </c>
      <c r="I844" s="31" t="str">
        <f t="array" ref="I844">IFERROR(XLOOKUP(D844,'MASTER ITEM LIST'!A:A,'MASTER ITEM LIST'!D:D), "")</f>
        <v>GAL</v>
      </c>
      <c r="J844" s="34">
        <v>750.0</v>
      </c>
      <c r="K844" s="69">
        <f t="shared" si="1"/>
        <v>750</v>
      </c>
      <c r="L844" s="70" t="s">
        <v>42</v>
      </c>
    </row>
    <row r="845" ht="22.5" customHeight="1">
      <c r="A845" s="29">
        <v>46188.0</v>
      </c>
      <c r="B845" s="31" t="s">
        <v>1666</v>
      </c>
      <c r="C845" s="32" t="s">
        <v>1521</v>
      </c>
      <c r="D845" s="71" t="s">
        <v>90</v>
      </c>
      <c r="E845" s="66" t="str">
        <f t="array" ref="E845">IF(D845="", "", XLOOKUP(D845, 'MASTER ITEM LIST'!A:A, 'MASTER ITEM LIST'!B:B, ""))</f>
        <v>NAX SOB757 HIGH GRADE URETHANE THINNER 4L</v>
      </c>
      <c r="F845" s="31"/>
      <c r="G845" s="67" t="s">
        <v>34</v>
      </c>
      <c r="H845" s="31">
        <v>10.0</v>
      </c>
      <c r="I845" s="31" t="str">
        <f t="array" ref="I845">IFERROR(XLOOKUP(D845,'MASTER ITEM LIST'!A:A,'MASTER ITEM LIST'!D:D), "")</f>
        <v>GAL</v>
      </c>
      <c r="J845" s="34">
        <v>730.0</v>
      </c>
      <c r="K845" s="69">
        <f t="shared" si="1"/>
        <v>7300</v>
      </c>
      <c r="L845" s="70" t="s">
        <v>42</v>
      </c>
    </row>
    <row r="846" ht="22.5" customHeight="1">
      <c r="A846" s="29">
        <v>46188.0</v>
      </c>
      <c r="B846" s="31" t="s">
        <v>1666</v>
      </c>
      <c r="C846" s="32" t="s">
        <v>1521</v>
      </c>
      <c r="D846" s="71" t="s">
        <v>246</v>
      </c>
      <c r="E846" s="66" t="str">
        <f t="array" ref="E846">IF(D846="", "", XLOOKUP(D846, 'MASTER ITEM LIST'!A:A, 'MASTER ITEM LIST'!B:B, ""))</f>
        <v>DOMINO BODY FILTER WITH HARDENER 4L</v>
      </c>
      <c r="F846" s="31"/>
      <c r="G846" s="67" t="s">
        <v>34</v>
      </c>
      <c r="H846" s="31">
        <v>4.0</v>
      </c>
      <c r="I846" s="31" t="str">
        <f t="array" ref="I846">IFERROR(XLOOKUP(D846,'MASTER ITEM LIST'!A:A,'MASTER ITEM LIST'!D:D), "")</f>
        <v>GAL</v>
      </c>
      <c r="J846" s="34">
        <v>600.0</v>
      </c>
      <c r="K846" s="69">
        <f t="shared" si="1"/>
        <v>2400</v>
      </c>
      <c r="L846" s="70" t="s">
        <v>42</v>
      </c>
    </row>
    <row r="847" ht="22.5" customHeight="1">
      <c r="A847" s="29">
        <v>46188.0</v>
      </c>
      <c r="B847" s="31" t="s">
        <v>1666</v>
      </c>
      <c r="C847" s="32" t="s">
        <v>1521</v>
      </c>
      <c r="D847" s="71" t="s">
        <v>574</v>
      </c>
      <c r="E847" s="66" t="str">
        <f t="array" ref="E847">IF(D847="", "", XLOOKUP(D847, 'MASTER ITEM LIST'!A:A, 'MASTER ITEM LIST'!B:B, ""))</f>
        <v>NIPPON EXTREME QDU ORANGE 4L</v>
      </c>
      <c r="F847" s="31"/>
      <c r="G847" s="67" t="s">
        <v>34</v>
      </c>
      <c r="H847" s="31">
        <v>3.0</v>
      </c>
      <c r="I847" s="31" t="str">
        <f t="array" ref="I847">IFERROR(XLOOKUP(D847,'MASTER ITEM LIST'!A:A,'MASTER ITEM LIST'!D:D), "")</f>
        <v>GAL</v>
      </c>
      <c r="J847" s="34">
        <v>2800.0</v>
      </c>
      <c r="K847" s="69">
        <f t="shared" si="1"/>
        <v>8400</v>
      </c>
      <c r="L847" s="70" t="s">
        <v>42</v>
      </c>
    </row>
    <row r="848" ht="22.5" customHeight="1">
      <c r="A848" s="29">
        <v>46189.0</v>
      </c>
      <c r="B848" s="31" t="s">
        <v>1669</v>
      </c>
      <c r="C848" s="32" t="s">
        <v>281</v>
      </c>
      <c r="D848" s="71" t="s">
        <v>156</v>
      </c>
      <c r="E848" s="66" t="str">
        <f t="array" ref="E848">IF(D848="", "", XLOOKUP(D848, 'MASTER ITEM LIST'!A:A, 'MASTER ITEM LIST'!B:B, ""))</f>
        <v>WASTE COTTON POD</v>
      </c>
      <c r="F848" s="31"/>
      <c r="G848" s="67" t="s">
        <v>34</v>
      </c>
      <c r="H848" s="31">
        <v>1.0</v>
      </c>
      <c r="I848" s="31" t="str">
        <f t="array" ref="I848">IFERROR(XLOOKUP(D848,'MASTER ITEM LIST'!A:A,'MASTER ITEM LIST'!D:D), "")</f>
        <v>KL</v>
      </c>
      <c r="J848" s="34">
        <v>100.0</v>
      </c>
      <c r="K848" s="69">
        <f t="shared" si="1"/>
        <v>100</v>
      </c>
      <c r="L848" s="70" t="s">
        <v>42</v>
      </c>
    </row>
    <row r="849" ht="22.5" customHeight="1">
      <c r="A849" s="29">
        <v>46189.0</v>
      </c>
      <c r="B849" s="31" t="s">
        <v>1670</v>
      </c>
      <c r="C849" s="32" t="s">
        <v>93</v>
      </c>
      <c r="D849" s="71" t="s">
        <v>53</v>
      </c>
      <c r="E849" s="66" t="str">
        <f t="array" ref="E849">IF(D849="", "", XLOOKUP(D849, 'MASTER ITEM LIST'!A:A, 'MASTER ITEM LIST'!B:B, ""))</f>
        <v>NAX 108 CERAMIC 2K CLEAR WITH HARDENER 1L</v>
      </c>
      <c r="F849" s="31"/>
      <c r="G849" s="67" t="s">
        <v>34</v>
      </c>
      <c r="H849" s="31">
        <v>2.0</v>
      </c>
      <c r="I849" s="31" t="str">
        <f t="array" ref="I849">IFERROR(XLOOKUP(D849,'MASTER ITEM LIST'!A:A,'MASTER ITEM LIST'!D:D), "")</f>
        <v>LITER</v>
      </c>
      <c r="J849" s="34">
        <v>680.0</v>
      </c>
      <c r="K849" s="69">
        <f t="shared" si="1"/>
        <v>1360</v>
      </c>
      <c r="L849" s="70" t="s">
        <v>42</v>
      </c>
    </row>
    <row r="850" ht="22.5" customHeight="1">
      <c r="A850" s="29">
        <v>46189.0</v>
      </c>
      <c r="B850" s="31" t="s">
        <v>1670</v>
      </c>
      <c r="C850" s="32" t="s">
        <v>93</v>
      </c>
      <c r="D850" s="71" t="s">
        <v>167</v>
      </c>
      <c r="E850" s="66" t="str">
        <f t="array" ref="E850">IF(D850="", "", XLOOKUP(D850, 'MASTER ITEM LIST'!A:A, 'MASTER ITEM LIST'!B:B, ""))</f>
        <v>NAX QDU MIX 1L</v>
      </c>
      <c r="F850" s="31"/>
      <c r="G850" s="67" t="s">
        <v>34</v>
      </c>
      <c r="H850" s="31">
        <v>1.0</v>
      </c>
      <c r="I850" s="31" t="str">
        <f t="array" ref="I850">IFERROR(XLOOKUP(D850,'MASTER ITEM LIST'!A:A,'MASTER ITEM LIST'!D:D), "")</f>
        <v>LITER</v>
      </c>
      <c r="J850" s="34">
        <v>1100.0</v>
      </c>
      <c r="K850" s="69">
        <f t="shared" si="1"/>
        <v>1100</v>
      </c>
      <c r="L850" s="70" t="s">
        <v>42</v>
      </c>
    </row>
    <row r="851" ht="22.5" customHeight="1">
      <c r="A851" s="29">
        <v>46189.0</v>
      </c>
      <c r="B851" s="31" t="s">
        <v>1671</v>
      </c>
      <c r="C851" s="32" t="s">
        <v>1523</v>
      </c>
      <c r="D851" s="71" t="s">
        <v>81</v>
      </c>
      <c r="E851" s="66" t="str">
        <f t="array" ref="E851">IF(D851="", "", XLOOKUP(D851, 'MASTER ITEM LIST'!A:A, 'MASTER ITEM LIST'!B:B, ""))</f>
        <v>NIPPON SEALERMAX 5170 4L</v>
      </c>
      <c r="F851" s="31"/>
      <c r="G851" s="67" t="s">
        <v>34</v>
      </c>
      <c r="H851" s="31">
        <v>0.375</v>
      </c>
      <c r="I851" s="31" t="str">
        <f t="array" ref="I851">IFERROR(XLOOKUP(D851,'MASTER ITEM LIST'!A:A,'MASTER ITEM LIST'!D:D), "")</f>
        <v>GAL/S</v>
      </c>
      <c r="J851" s="34">
        <v>1334.0</v>
      </c>
      <c r="K851" s="69">
        <f t="shared" si="1"/>
        <v>500.25</v>
      </c>
      <c r="L851" s="70" t="s">
        <v>42</v>
      </c>
    </row>
    <row r="852" ht="22.5" customHeight="1">
      <c r="A852" s="29">
        <v>46189.0</v>
      </c>
      <c r="B852" s="31" t="s">
        <v>1672</v>
      </c>
      <c r="C852" s="32" t="s">
        <v>93</v>
      </c>
      <c r="D852" s="71" t="s">
        <v>79</v>
      </c>
      <c r="E852" s="66" t="str">
        <f t="array" ref="E852">IF(D852="", "", XLOOKUP(D852, 'MASTER ITEM LIST'!A:A, 'MASTER ITEM LIST'!B:B, ""))</f>
        <v>CROCO MASKING TAPE 1/2 12MM (1X96)</v>
      </c>
      <c r="F852" s="31"/>
      <c r="G852" s="67" t="s">
        <v>34</v>
      </c>
      <c r="H852" s="31">
        <v>20.0</v>
      </c>
      <c r="I852" s="31" t="str">
        <f t="array" ref="I852">IFERROR(XLOOKUP(D852,'MASTER ITEM LIST'!A:A,'MASTER ITEM LIST'!D:D), "")</f>
        <v>PC/S</v>
      </c>
      <c r="J852" s="34">
        <v>25.0</v>
      </c>
      <c r="K852" s="69">
        <f t="shared" si="1"/>
        <v>500</v>
      </c>
      <c r="L852" s="70" t="s">
        <v>42</v>
      </c>
    </row>
    <row r="853" ht="22.5" customHeight="1">
      <c r="A853" s="29">
        <v>46190.0</v>
      </c>
      <c r="B853" s="31" t="s">
        <v>1257</v>
      </c>
      <c r="C853" s="32" t="s">
        <v>1258</v>
      </c>
      <c r="D853" s="71" t="s">
        <v>838</v>
      </c>
      <c r="E853" s="66" t="str">
        <f t="array" ref="E853">IF(D853="", "", XLOOKUP(D853, 'MASTER ITEM LIST'!A:A, 'MASTER ITEM LIST'!B:B, ""))</f>
        <v>NAX EXTREME EPOXY ENAMEL BLACK WITH HARDENER 4L</v>
      </c>
      <c r="F853" s="31"/>
      <c r="G853" s="67" t="s">
        <v>34</v>
      </c>
      <c r="H853" s="31">
        <v>0.5</v>
      </c>
      <c r="I853" s="31" t="str">
        <f t="array" ref="I853">IFERROR(XLOOKUP(D853,'MASTER ITEM LIST'!A:A,'MASTER ITEM LIST'!D:D), "")</f>
        <v>GAL</v>
      </c>
      <c r="J853" s="34">
        <v>1600.0</v>
      </c>
      <c r="K853" s="69">
        <f t="shared" si="1"/>
        <v>800</v>
      </c>
      <c r="L853" s="70" t="s">
        <v>42</v>
      </c>
    </row>
    <row r="854" ht="22.5" customHeight="1">
      <c r="A854" s="29">
        <v>46190.0</v>
      </c>
      <c r="B854" s="31" t="s">
        <v>1257</v>
      </c>
      <c r="C854" s="32" t="s">
        <v>1258</v>
      </c>
      <c r="D854" s="71" t="s">
        <v>835</v>
      </c>
      <c r="E854" s="66" t="str">
        <f t="array" ref="E854">IF(D854="", "", XLOOKUP(D854, 'MASTER ITEM LIST'!A:A, 'MASTER ITEM LIST'!B:B, ""))</f>
        <v>NAX EXTREME EPOXY ENAMEL WHITE WITH HARDENER 4L</v>
      </c>
      <c r="F854" s="31"/>
      <c r="G854" s="67" t="s">
        <v>34</v>
      </c>
      <c r="H854" s="31">
        <v>0.5</v>
      </c>
      <c r="I854" s="31" t="str">
        <f t="array" ref="I854">IFERROR(XLOOKUP(D854,'MASTER ITEM LIST'!A:A,'MASTER ITEM LIST'!D:D), "")</f>
        <v>GAL</v>
      </c>
      <c r="J854" s="34">
        <v>1200.0</v>
      </c>
      <c r="K854" s="69">
        <f t="shared" si="1"/>
        <v>600</v>
      </c>
      <c r="L854" s="70" t="s">
        <v>42</v>
      </c>
    </row>
    <row r="855" ht="22.5" customHeight="1">
      <c r="A855" s="29">
        <v>46191.0</v>
      </c>
      <c r="B855" s="31" t="s">
        <v>1302</v>
      </c>
      <c r="C855" s="32" t="s">
        <v>281</v>
      </c>
      <c r="D855" s="71" t="s">
        <v>548</v>
      </c>
      <c r="E855" s="66" t="str">
        <f t="array" ref="E855">IF(D855="", "", XLOOKUP(D855, 'MASTER ITEM LIST'!A:A, 'MASTER ITEM LIST'!B:B, ""))</f>
        <v>EAGLE SANDPAPER #240</v>
      </c>
      <c r="F855" s="31"/>
      <c r="G855" s="67" t="s">
        <v>34</v>
      </c>
      <c r="H855" s="31">
        <v>10.0</v>
      </c>
      <c r="I855" s="31" t="str">
        <f t="array" ref="I855">IFERROR(XLOOKUP(D855,'MASTER ITEM LIST'!A:A,'MASTER ITEM LIST'!D:D), "")</f>
        <v>PC/S</v>
      </c>
      <c r="J855" s="34">
        <v>25.0</v>
      </c>
      <c r="K855" s="69">
        <f t="shared" si="1"/>
        <v>250</v>
      </c>
      <c r="L855" s="70" t="s">
        <v>42</v>
      </c>
    </row>
    <row r="856" ht="22.5" customHeight="1">
      <c r="A856" s="29">
        <v>46191.0</v>
      </c>
      <c r="B856" s="31" t="s">
        <v>1302</v>
      </c>
      <c r="C856" s="32" t="s">
        <v>281</v>
      </c>
      <c r="D856" s="71" t="s">
        <v>63</v>
      </c>
      <c r="E856" s="66" t="str">
        <f t="array" ref="E856">IF(D856="", "", XLOOKUP(D856, 'MASTER ITEM LIST'!A:A, 'MASTER ITEM LIST'!B:B, ""))</f>
        <v>OLD NEWS</v>
      </c>
      <c r="F856" s="31"/>
      <c r="G856" s="67" t="s">
        <v>34</v>
      </c>
      <c r="H856" s="31">
        <v>1.0</v>
      </c>
      <c r="I856" s="31" t="str">
        <f t="array" ref="I856">IFERROR(XLOOKUP(D856,'MASTER ITEM LIST'!A:A,'MASTER ITEM LIST'!D:D), "")</f>
        <v>KG</v>
      </c>
      <c r="J856" s="34">
        <v>100.0</v>
      </c>
      <c r="K856" s="69">
        <f t="shared" si="1"/>
        <v>100</v>
      </c>
      <c r="L856" s="70" t="s">
        <v>42</v>
      </c>
    </row>
    <row r="857" ht="22.5" customHeight="1">
      <c r="A857" s="29">
        <v>46191.0</v>
      </c>
      <c r="B857" s="31" t="s">
        <v>1303</v>
      </c>
      <c r="C857" s="32" t="s">
        <v>1304</v>
      </c>
      <c r="D857" s="71" t="s">
        <v>246</v>
      </c>
      <c r="E857" s="66" t="str">
        <f t="array" ref="E857">IF(D857="", "", XLOOKUP(D857, 'MASTER ITEM LIST'!A:A, 'MASTER ITEM LIST'!B:B, ""))</f>
        <v>DOMINO BODY FILTER WITH HARDENER 4L</v>
      </c>
      <c r="F857" s="31"/>
      <c r="G857" s="67" t="s">
        <v>34</v>
      </c>
      <c r="H857" s="31">
        <v>1.0</v>
      </c>
      <c r="I857" s="31" t="str">
        <f t="array" ref="I857">IFERROR(XLOOKUP(D857,'MASTER ITEM LIST'!A:A,'MASTER ITEM LIST'!D:D), "")</f>
        <v>GAL</v>
      </c>
      <c r="J857" s="34">
        <v>615.0</v>
      </c>
      <c r="K857" s="69">
        <f t="shared" si="1"/>
        <v>615</v>
      </c>
      <c r="L857" s="70" t="s">
        <v>42</v>
      </c>
    </row>
    <row r="858" ht="22.5" customHeight="1">
      <c r="A858" s="29">
        <v>46193.0</v>
      </c>
      <c r="B858" s="31"/>
      <c r="C858" s="32" t="s">
        <v>711</v>
      </c>
      <c r="D858" s="71" t="s">
        <v>117</v>
      </c>
      <c r="E858" s="66" t="str">
        <f t="array" ref="E858">IF(D858="", "", XLOOKUP(D858, 'MASTER ITEM LIST'!A:A, 'MASTER ITEM LIST'!B:B, ""))</f>
        <v>EAGLE SANDPAPER #120</v>
      </c>
      <c r="F858" s="31"/>
      <c r="G858" s="67" t="s">
        <v>34</v>
      </c>
      <c r="H858" s="31">
        <v>10.0</v>
      </c>
      <c r="I858" s="31" t="str">
        <f t="array" ref="I858">IFERROR(XLOOKUP(D858,'MASTER ITEM LIST'!A:A,'MASTER ITEM LIST'!D:D), "")</f>
        <v>PC/S</v>
      </c>
      <c r="J858" s="34">
        <v>25.0</v>
      </c>
      <c r="K858" s="69">
        <f t="shared" si="1"/>
        <v>250</v>
      </c>
      <c r="L858" s="70" t="s">
        <v>42</v>
      </c>
    </row>
    <row r="859" ht="22.5" customHeight="1">
      <c r="A859" s="29">
        <v>46193.0</v>
      </c>
      <c r="B859" s="31" t="s">
        <v>1673</v>
      </c>
      <c r="C859" s="32" t="s">
        <v>1525</v>
      </c>
      <c r="D859" s="71" t="s">
        <v>674</v>
      </c>
      <c r="E859" s="66" t="str">
        <f t="array" ref="E859">IF(D859="", "", XLOOKUP(D859, 'MASTER ITEM LIST'!A:A, 'MASTER ITEM LIST'!B:B, ""))</f>
        <v>DOMINO BODY FILTER WITH HARDENER 1L</v>
      </c>
      <c r="F859" s="31"/>
      <c r="G859" s="67" t="s">
        <v>34</v>
      </c>
      <c r="H859" s="31">
        <v>1.0</v>
      </c>
      <c r="I859" s="31" t="str">
        <f t="array" ref="I859">IFERROR(XLOOKUP(D859,'MASTER ITEM LIST'!A:A,'MASTER ITEM LIST'!D:D), "")</f>
        <v>LITER</v>
      </c>
      <c r="J859" s="34">
        <v>215.0</v>
      </c>
      <c r="K859" s="69">
        <f t="shared" si="1"/>
        <v>215</v>
      </c>
      <c r="L859" s="70" t="s">
        <v>42</v>
      </c>
    </row>
    <row r="860" ht="22.5" customHeight="1">
      <c r="A860" s="29">
        <v>46193.0</v>
      </c>
      <c r="B860" s="31"/>
      <c r="C860" s="32" t="s">
        <v>711</v>
      </c>
      <c r="D860" s="71" t="s">
        <v>53</v>
      </c>
      <c r="E860" s="66" t="str">
        <f t="array" ref="E860">IF(D860="", "", XLOOKUP(D860, 'MASTER ITEM LIST'!A:A, 'MASTER ITEM LIST'!B:B, ""))</f>
        <v>NAX 108 CERAMIC 2K CLEAR WITH HARDENER 1L</v>
      </c>
      <c r="F860" s="31"/>
      <c r="G860" s="67" t="s">
        <v>34</v>
      </c>
      <c r="H860" s="31">
        <v>1.0</v>
      </c>
      <c r="I860" s="31" t="str">
        <f t="array" ref="I860">IFERROR(XLOOKUP(D860,'MASTER ITEM LIST'!A:A,'MASTER ITEM LIST'!D:D), "")</f>
        <v>LITER</v>
      </c>
      <c r="J860" s="34">
        <v>680.0</v>
      </c>
      <c r="K860" s="69">
        <f t="shared" si="1"/>
        <v>680</v>
      </c>
      <c r="L860" s="70" t="s">
        <v>42</v>
      </c>
    </row>
    <row r="861" ht="22.5" customHeight="1">
      <c r="A861" s="29">
        <v>46027.0</v>
      </c>
      <c r="B861" s="31" t="s">
        <v>1676</v>
      </c>
      <c r="C861" s="32" t="s">
        <v>1240</v>
      </c>
      <c r="D861" s="71" t="s">
        <v>931</v>
      </c>
      <c r="E861" s="66" t="str">
        <f t="array" ref="E861">IF(D861="", "", XLOOKUP(D861, 'MASTER ITEM LIST'!A:A, 'MASTER ITEM LIST'!B:B, ""))</f>
        <v>EAGLE SANDPAPER #60</v>
      </c>
      <c r="F861" s="31"/>
      <c r="G861" s="67" t="s">
        <v>34</v>
      </c>
      <c r="H861" s="31">
        <v>5.0</v>
      </c>
      <c r="I861" s="31" t="str">
        <f t="array" ref="I861">IFERROR(XLOOKUP(D861,'MASTER ITEM LIST'!A:A,'MASTER ITEM LIST'!D:D), "")</f>
        <v>PC/S</v>
      </c>
      <c r="J861" s="34">
        <v>40.0</v>
      </c>
      <c r="K861" s="69">
        <f t="shared" si="1"/>
        <v>200</v>
      </c>
      <c r="L861" s="70" t="s">
        <v>42</v>
      </c>
    </row>
    <row r="862" ht="22.5" customHeight="1">
      <c r="A862" s="29">
        <v>46027.0</v>
      </c>
      <c r="B862" s="31" t="s">
        <v>1676</v>
      </c>
      <c r="C862" s="32" t="s">
        <v>1240</v>
      </c>
      <c r="D862" s="71" t="s">
        <v>117</v>
      </c>
      <c r="E862" s="66" t="str">
        <f t="array" ref="E862">IF(D862="", "", XLOOKUP(D862, 'MASTER ITEM LIST'!A:A, 'MASTER ITEM LIST'!B:B, ""))</f>
        <v>EAGLE SANDPAPER #120</v>
      </c>
      <c r="F862" s="31"/>
      <c r="G862" s="67" t="s">
        <v>34</v>
      </c>
      <c r="H862" s="31">
        <v>5.0</v>
      </c>
      <c r="I862" s="31" t="str">
        <f t="array" ref="I862">IFERROR(XLOOKUP(D862,'MASTER ITEM LIST'!A:A,'MASTER ITEM LIST'!D:D), "")</f>
        <v>PC/S</v>
      </c>
      <c r="J862" s="34">
        <v>25.0</v>
      </c>
      <c r="K862" s="69">
        <f t="shared" si="1"/>
        <v>125</v>
      </c>
      <c r="L862" s="70" t="s">
        <v>42</v>
      </c>
    </row>
    <row r="863" ht="22.5" customHeight="1">
      <c r="A863" s="29">
        <v>46027.0</v>
      </c>
      <c r="B863" s="31" t="s">
        <v>1676</v>
      </c>
      <c r="C863" s="32" t="s">
        <v>1240</v>
      </c>
      <c r="D863" s="71" t="s">
        <v>548</v>
      </c>
      <c r="E863" s="66" t="str">
        <f t="array" ref="E863">IF(D863="", "", XLOOKUP(D863, 'MASTER ITEM LIST'!A:A, 'MASTER ITEM LIST'!B:B, ""))</f>
        <v>EAGLE SANDPAPER #240</v>
      </c>
      <c r="F863" s="31"/>
      <c r="G863" s="67" t="s">
        <v>34</v>
      </c>
      <c r="H863" s="31">
        <v>5.0</v>
      </c>
      <c r="I863" s="31" t="str">
        <f t="array" ref="I863">IFERROR(XLOOKUP(D863,'MASTER ITEM LIST'!A:A,'MASTER ITEM LIST'!D:D), "")</f>
        <v>PC/S</v>
      </c>
      <c r="J863" s="34">
        <v>25.0</v>
      </c>
      <c r="K863" s="69">
        <f t="shared" si="1"/>
        <v>125</v>
      </c>
      <c r="L863" s="70" t="s">
        <v>42</v>
      </c>
    </row>
    <row r="864" ht="22.5" customHeight="1">
      <c r="A864" s="29">
        <v>46027.0</v>
      </c>
      <c r="B864" s="31" t="s">
        <v>1676</v>
      </c>
      <c r="C864" s="32" t="s">
        <v>1240</v>
      </c>
      <c r="D864" s="71" t="s">
        <v>432</v>
      </c>
      <c r="E864" s="66" t="str">
        <f t="array" ref="E864">IF(D864="", "", XLOOKUP(D864, 'MASTER ITEM LIST'!A:A, 'MASTER ITEM LIST'!B:B, ""))</f>
        <v>EAGLE SANDPAPER #600</v>
      </c>
      <c r="F864" s="31"/>
      <c r="G864" s="67" t="s">
        <v>34</v>
      </c>
      <c r="H864" s="31">
        <v>5.0</v>
      </c>
      <c r="I864" s="31" t="str">
        <f t="array" ref="I864">IFERROR(XLOOKUP(D864,'MASTER ITEM LIST'!A:A,'MASTER ITEM LIST'!D:D), "")</f>
        <v>PCS</v>
      </c>
      <c r="J864" s="34">
        <v>25.0</v>
      </c>
      <c r="K864" s="69">
        <f t="shared" si="1"/>
        <v>125</v>
      </c>
      <c r="L864" s="70" t="s">
        <v>42</v>
      </c>
    </row>
    <row r="865" ht="22.5" customHeight="1">
      <c r="A865" s="29">
        <v>46027.0</v>
      </c>
      <c r="B865" s="31" t="s">
        <v>1676</v>
      </c>
      <c r="C865" s="32" t="s">
        <v>1240</v>
      </c>
      <c r="D865" s="71" t="s">
        <v>942</v>
      </c>
      <c r="E865" s="66" t="str">
        <f t="array" ref="E865">IF(D865="", "", XLOOKUP(D865, 'MASTER ITEM LIST'!A:A, 'MASTER ITEM LIST'!B:B, ""))</f>
        <v>EAGLE SANDPAPER #1000</v>
      </c>
      <c r="F865" s="31"/>
      <c r="G865" s="67" t="s">
        <v>34</v>
      </c>
      <c r="H865" s="31">
        <v>5.0</v>
      </c>
      <c r="I865" s="31" t="str">
        <f t="array" ref="I865">IFERROR(XLOOKUP(D865,'MASTER ITEM LIST'!A:A,'MASTER ITEM LIST'!D:D), "")</f>
        <v>PC/S</v>
      </c>
      <c r="J865" s="34">
        <v>25.0</v>
      </c>
      <c r="K865" s="69">
        <f t="shared" si="1"/>
        <v>125</v>
      </c>
      <c r="L865" s="70" t="s">
        <v>42</v>
      </c>
    </row>
    <row r="866" ht="22.5" customHeight="1">
      <c r="A866" s="29">
        <v>46027.0</v>
      </c>
      <c r="B866" s="31" t="s">
        <v>1676</v>
      </c>
      <c r="C866" s="32" t="s">
        <v>1240</v>
      </c>
      <c r="D866" s="71" t="s">
        <v>326</v>
      </c>
      <c r="E866" s="66" t="str">
        <f t="array" ref="E866">IF(D866="", "", XLOOKUP(D866, 'MASTER ITEM LIST'!A:A, 'MASTER ITEM LIST'!B:B, ""))</f>
        <v>EAGLE SANDPAPER #1200</v>
      </c>
      <c r="F866" s="31"/>
      <c r="G866" s="67" t="s">
        <v>34</v>
      </c>
      <c r="H866" s="31">
        <v>5.0</v>
      </c>
      <c r="I866" s="31" t="str">
        <f t="array" ref="I866">IFERROR(XLOOKUP(D866,'MASTER ITEM LIST'!A:A,'MASTER ITEM LIST'!D:D), "")</f>
        <v>PC/S</v>
      </c>
      <c r="J866" s="34">
        <v>25.0</v>
      </c>
      <c r="K866" s="69">
        <f t="shared" si="1"/>
        <v>125</v>
      </c>
      <c r="L866" s="70" t="s">
        <v>42</v>
      </c>
    </row>
    <row r="867" ht="22.5" customHeight="1">
      <c r="A867" s="29">
        <v>46027.0</v>
      </c>
      <c r="B867" s="31" t="s">
        <v>1676</v>
      </c>
      <c r="C867" s="32" t="s">
        <v>1240</v>
      </c>
      <c r="D867" s="71" t="s">
        <v>516</v>
      </c>
      <c r="E867" s="66" t="str">
        <f t="array" ref="E867">IF(D867="", "", XLOOKUP(D867, 'MASTER ITEM LIST'!A:A, 'MASTER ITEM LIST'!B:B, ""))</f>
        <v>EAGLE SANDPAPER #1500</v>
      </c>
      <c r="F867" s="31"/>
      <c r="G867" s="67" t="s">
        <v>34</v>
      </c>
      <c r="H867" s="31">
        <v>5.0</v>
      </c>
      <c r="I867" s="31" t="str">
        <f t="array" ref="I867">IFERROR(XLOOKUP(D867,'MASTER ITEM LIST'!A:A,'MASTER ITEM LIST'!D:D), "")</f>
        <v>PC/S</v>
      </c>
      <c r="J867" s="34">
        <v>35.0</v>
      </c>
      <c r="K867" s="69">
        <f t="shared" si="1"/>
        <v>175</v>
      </c>
      <c r="L867" s="70" t="s">
        <v>42</v>
      </c>
    </row>
    <row r="868" ht="22.5" customHeight="1">
      <c r="A868" s="29">
        <v>46144.0</v>
      </c>
      <c r="B868" s="31" t="s">
        <v>1678</v>
      </c>
      <c r="C868" s="32" t="s">
        <v>1240</v>
      </c>
      <c r="D868" s="71" t="s">
        <v>213</v>
      </c>
      <c r="E868" s="66" t="str">
        <f t="array" ref="E868">IF(D868="", "", XLOOKUP(D868, 'MASTER ITEM LIST'!A:A, 'MASTER ITEM LIST'!B:B, ""))</f>
        <v>NAX PREMILA NP9200 2K CLEAR WITH HARDENER 1L</v>
      </c>
      <c r="F868" s="31"/>
      <c r="G868" s="67" t="s">
        <v>34</v>
      </c>
      <c r="H868" s="31">
        <v>2.0</v>
      </c>
      <c r="I868" s="31" t="str">
        <f t="array" ref="I868">IFERROR(XLOOKUP(D868,'MASTER ITEM LIST'!A:A,'MASTER ITEM LIST'!D:D), "")</f>
        <v>LITER</v>
      </c>
      <c r="J868" s="34">
        <v>1350.0</v>
      </c>
      <c r="K868" s="69">
        <f t="shared" si="1"/>
        <v>2700</v>
      </c>
      <c r="L868" s="70" t="s">
        <v>42</v>
      </c>
    </row>
    <row r="869" ht="22.5" customHeight="1">
      <c r="A869" s="29">
        <v>46146.0</v>
      </c>
      <c r="B869" s="31" t="s">
        <v>1679</v>
      </c>
      <c r="C869" s="32" t="s">
        <v>1240</v>
      </c>
      <c r="D869" s="71" t="s">
        <v>213</v>
      </c>
      <c r="E869" s="66" t="str">
        <f t="array" ref="E869">IF(D869="", "", XLOOKUP(D869, 'MASTER ITEM LIST'!A:A, 'MASTER ITEM LIST'!B:B, ""))</f>
        <v>NAX PREMILA NP9200 2K CLEAR WITH HARDENER 1L</v>
      </c>
      <c r="F869" s="31"/>
      <c r="G869" s="67" t="s">
        <v>34</v>
      </c>
      <c r="H869" s="31">
        <v>1.0</v>
      </c>
      <c r="I869" s="31" t="str">
        <f t="array" ref="I869">IFERROR(XLOOKUP(D869,'MASTER ITEM LIST'!A:A,'MASTER ITEM LIST'!D:D), "")</f>
        <v>LITER</v>
      </c>
      <c r="J869" s="34">
        <v>1350.0</v>
      </c>
      <c r="K869" s="69">
        <f t="shared" si="1"/>
        <v>1350</v>
      </c>
      <c r="L869" s="70" t="s">
        <v>42</v>
      </c>
    </row>
    <row r="870" ht="22.5" customHeight="1">
      <c r="A870" s="29">
        <v>46147.0</v>
      </c>
      <c r="B870" s="31" t="s">
        <v>1680</v>
      </c>
      <c r="C870" s="32" t="s">
        <v>1240</v>
      </c>
      <c r="D870" s="71" t="s">
        <v>220</v>
      </c>
      <c r="E870" s="66" t="str">
        <f t="array" ref="E870">IF(D870="", "", XLOOKUP(D870, 'MASTER ITEM LIST'!A:A, 'MASTER ITEM LIST'!B:B, ""))</f>
        <v>PREMILA MIXING 1L</v>
      </c>
      <c r="F870" s="31" t="s">
        <v>1681</v>
      </c>
      <c r="G870" s="67" t="s">
        <v>34</v>
      </c>
      <c r="H870" s="31">
        <v>0.5</v>
      </c>
      <c r="I870" s="31" t="str">
        <f t="array" ref="I870">IFERROR(XLOOKUP(D870,'MASTER ITEM LIST'!A:A,'MASTER ITEM LIST'!D:D), "")</f>
        <v>LITER</v>
      </c>
      <c r="J870" s="34">
        <v>2000.0</v>
      </c>
      <c r="K870" s="69">
        <f t="shared" si="1"/>
        <v>1000</v>
      </c>
      <c r="L870" s="70" t="s">
        <v>42</v>
      </c>
    </row>
    <row r="871" ht="22.5" customHeight="1">
      <c r="A871" s="29">
        <v>46147.0</v>
      </c>
      <c r="B871" s="31" t="s">
        <v>1680</v>
      </c>
      <c r="C871" s="32" t="s">
        <v>1240</v>
      </c>
      <c r="D871" s="71" t="s">
        <v>213</v>
      </c>
      <c r="E871" s="66" t="str">
        <f t="array" ref="E871">IF(D871="", "", XLOOKUP(D871, 'MASTER ITEM LIST'!A:A, 'MASTER ITEM LIST'!B:B, ""))</f>
        <v>NAX PREMILA NP9200 2K CLEAR WITH HARDENER 1L</v>
      </c>
      <c r="F871" s="31"/>
      <c r="G871" s="67" t="s">
        <v>34</v>
      </c>
      <c r="H871" s="31">
        <v>1.0</v>
      </c>
      <c r="I871" s="31" t="str">
        <f t="array" ref="I871">IFERROR(XLOOKUP(D871,'MASTER ITEM LIST'!A:A,'MASTER ITEM LIST'!D:D), "")</f>
        <v>LITER</v>
      </c>
      <c r="J871" s="34">
        <v>1350.0</v>
      </c>
      <c r="K871" s="69">
        <f t="shared" si="1"/>
        <v>1350</v>
      </c>
      <c r="L871" s="70" t="s">
        <v>42</v>
      </c>
    </row>
    <row r="872" ht="22.5" customHeight="1">
      <c r="A872" s="29">
        <v>46147.0</v>
      </c>
      <c r="B872" s="31" t="s">
        <v>1680</v>
      </c>
      <c r="C872" s="32" t="s">
        <v>1240</v>
      </c>
      <c r="D872" s="71" t="s">
        <v>931</v>
      </c>
      <c r="E872" s="66" t="str">
        <f t="array" ref="E872">IF(D872="", "", XLOOKUP(D872, 'MASTER ITEM LIST'!A:A, 'MASTER ITEM LIST'!B:B, ""))</f>
        <v>EAGLE SANDPAPER #60</v>
      </c>
      <c r="F872" s="31"/>
      <c r="G872" s="67" t="s">
        <v>34</v>
      </c>
      <c r="H872" s="31">
        <v>5.0</v>
      </c>
      <c r="I872" s="31" t="str">
        <f t="array" ref="I872">IFERROR(XLOOKUP(D872,'MASTER ITEM LIST'!A:A,'MASTER ITEM LIST'!D:D), "")</f>
        <v>PC/S</v>
      </c>
      <c r="J872" s="34">
        <v>40.0</v>
      </c>
      <c r="K872" s="69">
        <f t="shared" si="1"/>
        <v>200</v>
      </c>
      <c r="L872" s="70" t="s">
        <v>42</v>
      </c>
    </row>
    <row r="873" ht="22.5" customHeight="1">
      <c r="A873" s="29">
        <v>46147.0</v>
      </c>
      <c r="B873" s="31" t="s">
        <v>1680</v>
      </c>
      <c r="C873" s="32" t="s">
        <v>1240</v>
      </c>
      <c r="D873" s="71" t="s">
        <v>117</v>
      </c>
      <c r="E873" s="66" t="str">
        <f t="array" ref="E873">IF(D873="", "", XLOOKUP(D873, 'MASTER ITEM LIST'!A:A, 'MASTER ITEM LIST'!B:B, ""))</f>
        <v>EAGLE SANDPAPER #120</v>
      </c>
      <c r="F873" s="31"/>
      <c r="G873" s="67" t="s">
        <v>34</v>
      </c>
      <c r="H873" s="31">
        <v>5.0</v>
      </c>
      <c r="I873" s="31" t="str">
        <f t="array" ref="I873">IFERROR(XLOOKUP(D873,'MASTER ITEM LIST'!A:A,'MASTER ITEM LIST'!D:D), "")</f>
        <v>PC/S</v>
      </c>
      <c r="J873" s="34">
        <v>25.0</v>
      </c>
      <c r="K873" s="69">
        <f t="shared" si="1"/>
        <v>125</v>
      </c>
      <c r="L873" s="70" t="s">
        <v>42</v>
      </c>
    </row>
    <row r="874" ht="22.5" customHeight="1">
      <c r="A874" s="29">
        <v>46147.0</v>
      </c>
      <c r="B874" s="31" t="s">
        <v>1680</v>
      </c>
      <c r="C874" s="32" t="s">
        <v>1240</v>
      </c>
      <c r="D874" s="71" t="s">
        <v>548</v>
      </c>
      <c r="E874" s="66" t="str">
        <f t="array" ref="E874">IF(D874="", "", XLOOKUP(D874, 'MASTER ITEM LIST'!A:A, 'MASTER ITEM LIST'!B:B, ""))</f>
        <v>EAGLE SANDPAPER #240</v>
      </c>
      <c r="F874" s="31"/>
      <c r="G874" s="67" t="s">
        <v>34</v>
      </c>
      <c r="H874" s="31">
        <v>5.0</v>
      </c>
      <c r="I874" s="31" t="str">
        <f t="array" ref="I874">IFERROR(XLOOKUP(D874,'MASTER ITEM LIST'!A:A,'MASTER ITEM LIST'!D:D), "")</f>
        <v>PC/S</v>
      </c>
      <c r="J874" s="34">
        <v>25.0</v>
      </c>
      <c r="K874" s="69">
        <f t="shared" si="1"/>
        <v>125</v>
      </c>
      <c r="L874" s="70" t="s">
        <v>42</v>
      </c>
    </row>
    <row r="875" ht="22.5" customHeight="1">
      <c r="A875" s="29">
        <v>46147.0</v>
      </c>
      <c r="B875" s="31" t="s">
        <v>1680</v>
      </c>
      <c r="C875" s="32" t="s">
        <v>1240</v>
      </c>
      <c r="D875" s="71" t="s">
        <v>326</v>
      </c>
      <c r="E875" s="66" t="str">
        <f t="array" ref="E875">IF(D875="", "", XLOOKUP(D875, 'MASTER ITEM LIST'!A:A, 'MASTER ITEM LIST'!B:B, ""))</f>
        <v>EAGLE SANDPAPER #1200</v>
      </c>
      <c r="F875" s="31"/>
      <c r="G875" s="67" t="s">
        <v>34</v>
      </c>
      <c r="H875" s="31">
        <v>5.0</v>
      </c>
      <c r="I875" s="31" t="str">
        <f t="array" ref="I875">IFERROR(XLOOKUP(D875,'MASTER ITEM LIST'!A:A,'MASTER ITEM LIST'!D:D), "")</f>
        <v>PC/S</v>
      </c>
      <c r="J875" s="34">
        <v>25.0</v>
      </c>
      <c r="K875" s="69">
        <f t="shared" si="1"/>
        <v>125</v>
      </c>
      <c r="L875" s="70" t="s">
        <v>42</v>
      </c>
    </row>
    <row r="876" ht="22.5" customHeight="1">
      <c r="A876" s="29">
        <v>46147.0</v>
      </c>
      <c r="B876" s="31" t="s">
        <v>1680</v>
      </c>
      <c r="C876" s="32" t="s">
        <v>1240</v>
      </c>
      <c r="D876" s="71" t="s">
        <v>554</v>
      </c>
      <c r="E876" s="66" t="str">
        <f t="array" ref="E876">IF(D876="", "", XLOOKUP(D876, 'MASTER ITEM LIST'!A:A, 'MASTER ITEM LIST'!B:B, ""))</f>
        <v>EAGLE SANDPAPER #400</v>
      </c>
      <c r="F876" s="31"/>
      <c r="G876" s="67" t="s">
        <v>34</v>
      </c>
      <c r="H876" s="31">
        <v>5.0</v>
      </c>
      <c r="I876" s="31" t="str">
        <f t="array" ref="I876">IFERROR(XLOOKUP(D876,'MASTER ITEM LIST'!A:A,'MASTER ITEM LIST'!D:D), "")</f>
        <v>PC/S</v>
      </c>
      <c r="J876" s="34">
        <v>25.0</v>
      </c>
      <c r="K876" s="69">
        <f t="shared" si="1"/>
        <v>125</v>
      </c>
      <c r="L876" s="70" t="s">
        <v>42</v>
      </c>
    </row>
    <row r="877" ht="22.5" customHeight="1">
      <c r="A877" s="29">
        <v>46147.0</v>
      </c>
      <c r="B877" s="31" t="s">
        <v>1680</v>
      </c>
      <c r="C877" s="32" t="s">
        <v>1240</v>
      </c>
      <c r="D877" s="71" t="s">
        <v>516</v>
      </c>
      <c r="E877" s="66" t="str">
        <f t="array" ref="E877">IF(D877="", "", XLOOKUP(D877, 'MASTER ITEM LIST'!A:A, 'MASTER ITEM LIST'!B:B, ""))</f>
        <v>EAGLE SANDPAPER #1500</v>
      </c>
      <c r="F877" s="31"/>
      <c r="G877" s="67" t="s">
        <v>34</v>
      </c>
      <c r="H877" s="31">
        <v>5.0</v>
      </c>
      <c r="I877" s="31" t="str">
        <f t="array" ref="I877">IFERROR(XLOOKUP(D877,'MASTER ITEM LIST'!A:A,'MASTER ITEM LIST'!D:D), "")</f>
        <v>PC/S</v>
      </c>
      <c r="J877" s="34">
        <v>35.0</v>
      </c>
      <c r="K877" s="69">
        <f t="shared" si="1"/>
        <v>175</v>
      </c>
      <c r="L877" s="70" t="s">
        <v>42</v>
      </c>
    </row>
    <row r="878" ht="22.5" customHeight="1">
      <c r="A878" s="29">
        <v>46147.0</v>
      </c>
      <c r="B878" s="31" t="s">
        <v>1680</v>
      </c>
      <c r="C878" s="32" t="s">
        <v>1240</v>
      </c>
      <c r="D878" s="71" t="s">
        <v>198</v>
      </c>
      <c r="E878" s="66" t="str">
        <f t="array" ref="E878">IF(D878="", "", XLOOKUP(D878, 'MASTER ITEM LIST'!A:A, 'MASTER ITEM LIST'!B:B, ""))</f>
        <v>EAGLE SANDPAPER #2000</v>
      </c>
      <c r="F878" s="31"/>
      <c r="G878" s="67" t="s">
        <v>34</v>
      </c>
      <c r="H878" s="31">
        <v>5.0</v>
      </c>
      <c r="I878" s="31" t="str">
        <f t="array" ref="I878">IFERROR(XLOOKUP(D878,'MASTER ITEM LIST'!A:A,'MASTER ITEM LIST'!D:D), "")</f>
        <v>PC/S</v>
      </c>
      <c r="J878" s="34">
        <v>35.0</v>
      </c>
      <c r="K878" s="69">
        <f t="shared" si="1"/>
        <v>175</v>
      </c>
      <c r="L878" s="70" t="s">
        <v>42</v>
      </c>
    </row>
    <row r="879" ht="22.5" customHeight="1">
      <c r="A879" s="29">
        <v>46149.0</v>
      </c>
      <c r="B879" s="31" t="s">
        <v>1682</v>
      </c>
      <c r="C879" s="32" t="s">
        <v>1240</v>
      </c>
      <c r="D879" s="71" t="s">
        <v>220</v>
      </c>
      <c r="E879" s="66" t="str">
        <f t="array" ref="E879">IF(D879="", "", XLOOKUP(D879, 'MASTER ITEM LIST'!A:A, 'MASTER ITEM LIST'!B:B, ""))</f>
        <v>PREMILA MIXING 1L</v>
      </c>
      <c r="F879" s="31" t="s">
        <v>1683</v>
      </c>
      <c r="G879" s="67" t="s">
        <v>1376</v>
      </c>
      <c r="H879" s="31">
        <v>0.25</v>
      </c>
      <c r="I879" s="31" t="str">
        <f t="array" ref="I879">IFERROR(XLOOKUP(D879,'MASTER ITEM LIST'!A:A,'MASTER ITEM LIST'!D:D), "")</f>
        <v>LITER</v>
      </c>
      <c r="J879" s="34">
        <v>2600.0</v>
      </c>
      <c r="K879" s="69">
        <f t="shared" si="1"/>
        <v>650</v>
      </c>
      <c r="L879" s="70" t="s">
        <v>42</v>
      </c>
    </row>
    <row r="880" ht="22.5" customHeight="1">
      <c r="A880" s="29">
        <v>46149.0</v>
      </c>
      <c r="B880" s="31" t="s">
        <v>1682</v>
      </c>
      <c r="C880" s="32" t="s">
        <v>1240</v>
      </c>
      <c r="D880" s="71" t="s">
        <v>220</v>
      </c>
      <c r="E880" s="66" t="str">
        <f t="array" ref="E880">IF(D880="", "", XLOOKUP(D880, 'MASTER ITEM LIST'!A:A, 'MASTER ITEM LIST'!B:B, ""))</f>
        <v>PREMILA MIXING 1L</v>
      </c>
      <c r="F880" s="31" t="s">
        <v>1684</v>
      </c>
      <c r="G880" s="67" t="s">
        <v>1376</v>
      </c>
      <c r="H880" s="31">
        <v>0.25</v>
      </c>
      <c r="I880" s="31" t="str">
        <f t="array" ref="I880">IFERROR(XLOOKUP(D880,'MASTER ITEM LIST'!A:A,'MASTER ITEM LIST'!D:D), "")</f>
        <v>LITER</v>
      </c>
      <c r="J880" s="34">
        <v>2720.0</v>
      </c>
      <c r="K880" s="69">
        <f t="shared" si="1"/>
        <v>680</v>
      </c>
      <c r="L880" s="70" t="s">
        <v>42</v>
      </c>
    </row>
    <row r="881" ht="22.5" customHeight="1">
      <c r="A881" s="29">
        <v>46149.0</v>
      </c>
      <c r="B881" s="31" t="s">
        <v>1682</v>
      </c>
      <c r="C881" s="32" t="s">
        <v>1240</v>
      </c>
      <c r="D881" s="71" t="s">
        <v>220</v>
      </c>
      <c r="E881" s="66" t="str">
        <f t="array" ref="E881">IF(D881="", "", XLOOKUP(D881, 'MASTER ITEM LIST'!A:A, 'MASTER ITEM LIST'!B:B, ""))</f>
        <v>PREMILA MIXING 1L</v>
      </c>
      <c r="F881" s="31" t="s">
        <v>1685</v>
      </c>
      <c r="G881" s="67" t="s">
        <v>1376</v>
      </c>
      <c r="H881" s="31">
        <v>1.0</v>
      </c>
      <c r="I881" s="31" t="str">
        <f t="array" ref="I881">IFERROR(XLOOKUP(D881,'MASTER ITEM LIST'!A:A,'MASTER ITEM LIST'!D:D), "")</f>
        <v>LITER</v>
      </c>
      <c r="J881" s="34">
        <v>2900.0</v>
      </c>
      <c r="K881" s="69">
        <f t="shared" si="1"/>
        <v>2900</v>
      </c>
      <c r="L881" s="70" t="s">
        <v>42</v>
      </c>
    </row>
    <row r="882" ht="22.5" customHeight="1">
      <c r="A882" s="29">
        <v>46149.0</v>
      </c>
      <c r="B882" s="31" t="s">
        <v>1682</v>
      </c>
      <c r="C882" s="32" t="s">
        <v>1240</v>
      </c>
      <c r="D882" s="71" t="s">
        <v>703</v>
      </c>
      <c r="E882" s="66" t="str">
        <f t="array" ref="E882">IF(D882="", "", XLOOKUP(D882, 'MASTER ITEM LIST'!A:A, 'MASTER ITEM LIST'!B:B, ""))</f>
        <v>NAX SOD145 SOLVENT NAPTHA/DEGREASER 4L</v>
      </c>
      <c r="F882" s="31"/>
      <c r="G882" s="67" t="s">
        <v>1376</v>
      </c>
      <c r="H882" s="31">
        <v>1.0</v>
      </c>
      <c r="I882" s="31" t="str">
        <f t="array" ref="I882">IFERROR(XLOOKUP(D882,'MASTER ITEM LIST'!A:A,'MASTER ITEM LIST'!D:D), "")</f>
        <v>GAL</v>
      </c>
      <c r="J882" s="34">
        <v>1000.0</v>
      </c>
      <c r="K882" s="69">
        <f t="shared" si="1"/>
        <v>1000</v>
      </c>
      <c r="L882" s="70" t="s">
        <v>42</v>
      </c>
    </row>
    <row r="883" ht="22.5" customHeight="1">
      <c r="A883" s="29">
        <v>46149.0</v>
      </c>
      <c r="B883" s="31" t="s">
        <v>1682</v>
      </c>
      <c r="C883" s="32" t="s">
        <v>1240</v>
      </c>
      <c r="D883" s="71" t="s">
        <v>233</v>
      </c>
      <c r="E883" s="66" t="str">
        <f t="array" ref="E883">IF(D883="", "", XLOOKUP(D883, 'MASTER ITEM LIST'!A:A, 'MASTER ITEM LIST'!B:B, ""))</f>
        <v>NAX ALPHA HB SPRAY FILLER GRAY WITH HARDENER 1L</v>
      </c>
      <c r="F883" s="31"/>
      <c r="G883" s="67" t="s">
        <v>1376</v>
      </c>
      <c r="H883" s="31">
        <v>1.0</v>
      </c>
      <c r="I883" s="31" t="str">
        <f t="array" ref="I883">IFERROR(XLOOKUP(D883,'MASTER ITEM LIST'!A:A,'MASTER ITEM LIST'!D:D), "")</f>
        <v>LITER</v>
      </c>
      <c r="J883" s="34">
        <v>600.0</v>
      </c>
      <c r="K883" s="69">
        <f t="shared" si="1"/>
        <v>600</v>
      </c>
      <c r="L883" s="70" t="s">
        <v>42</v>
      </c>
    </row>
    <row r="884" ht="22.5" customHeight="1">
      <c r="A884" s="29">
        <v>46153.0</v>
      </c>
      <c r="B884" s="31" t="s">
        <v>1686</v>
      </c>
      <c r="C884" s="32" t="s">
        <v>1240</v>
      </c>
      <c r="D884" s="71" t="s">
        <v>213</v>
      </c>
      <c r="E884" s="66" t="str">
        <f t="array" ref="E884">IF(D884="", "", XLOOKUP(D884, 'MASTER ITEM LIST'!A:A, 'MASTER ITEM LIST'!B:B, ""))</f>
        <v>NAX PREMILA NP9200 2K CLEAR WITH HARDENER 1L</v>
      </c>
      <c r="F884" s="31"/>
      <c r="G884" s="67" t="s">
        <v>34</v>
      </c>
      <c r="H884" s="31">
        <v>2.0</v>
      </c>
      <c r="I884" s="31" t="str">
        <f t="array" ref="I884">IFERROR(XLOOKUP(D884,'MASTER ITEM LIST'!A:A,'MASTER ITEM LIST'!D:D), "")</f>
        <v>LITER</v>
      </c>
      <c r="J884" s="34">
        <v>1350.0</v>
      </c>
      <c r="K884" s="69">
        <f t="shared" si="1"/>
        <v>2700</v>
      </c>
      <c r="L884" s="70" t="s">
        <v>42</v>
      </c>
    </row>
    <row r="885" ht="22.5" customHeight="1">
      <c r="A885" s="29">
        <v>46153.0</v>
      </c>
      <c r="B885" s="31" t="s">
        <v>1686</v>
      </c>
      <c r="C885" s="32" t="s">
        <v>1240</v>
      </c>
      <c r="D885" s="71" t="s">
        <v>136</v>
      </c>
      <c r="E885" s="66" t="str">
        <f t="array" ref="E885">IF(D885="", "", XLOOKUP(D885, 'MASTER ITEM LIST'!A:A, 'MASTER ITEM LIST'!B:B, ""))</f>
        <v>CROCO MASKING TAPE 3/4 18MM (1X64)</v>
      </c>
      <c r="F885" s="31"/>
      <c r="G885" s="67" t="s">
        <v>34</v>
      </c>
      <c r="H885" s="31">
        <v>10.0</v>
      </c>
      <c r="I885" s="31" t="str">
        <f t="array" ref="I885">IFERROR(XLOOKUP(D885,'MASTER ITEM LIST'!A:A,'MASTER ITEM LIST'!D:D), "")</f>
        <v>PC/S</v>
      </c>
      <c r="J885" s="34">
        <v>35.0</v>
      </c>
      <c r="K885" s="69">
        <f t="shared" si="1"/>
        <v>350</v>
      </c>
      <c r="L885" s="70" t="s">
        <v>42</v>
      </c>
    </row>
    <row r="886" ht="22.5" customHeight="1">
      <c r="A886" s="29">
        <v>46153.0</v>
      </c>
      <c r="B886" s="31" t="s">
        <v>1686</v>
      </c>
      <c r="C886" s="32" t="s">
        <v>1240</v>
      </c>
      <c r="D886" s="71" t="s">
        <v>63</v>
      </c>
      <c r="E886" s="66" t="str">
        <f t="array" ref="E886">IF(D886="", "", XLOOKUP(D886, 'MASTER ITEM LIST'!A:A, 'MASTER ITEM LIST'!B:B, ""))</f>
        <v>OLD NEWS</v>
      </c>
      <c r="F886" s="31"/>
      <c r="G886" s="67" t="s">
        <v>34</v>
      </c>
      <c r="H886" s="31">
        <v>2.0</v>
      </c>
      <c r="I886" s="31" t="str">
        <f t="array" ref="I886">IFERROR(XLOOKUP(D886,'MASTER ITEM LIST'!A:A,'MASTER ITEM LIST'!D:D), "")</f>
        <v>KG</v>
      </c>
      <c r="J886" s="34">
        <v>100.0</v>
      </c>
      <c r="K886" s="69">
        <f t="shared" si="1"/>
        <v>200</v>
      </c>
      <c r="L886" s="70" t="s">
        <v>42</v>
      </c>
    </row>
    <row r="887" ht="22.5" customHeight="1">
      <c r="A887" s="29">
        <v>46153.0</v>
      </c>
      <c r="B887" s="31" t="s">
        <v>1686</v>
      </c>
      <c r="C887" s="32" t="s">
        <v>1240</v>
      </c>
      <c r="D887" s="71" t="s">
        <v>90</v>
      </c>
      <c r="E887" s="66" t="str">
        <f t="array" ref="E887">IF(D887="", "", XLOOKUP(D887, 'MASTER ITEM LIST'!A:A, 'MASTER ITEM LIST'!B:B, ""))</f>
        <v>NAX SOB757 HIGH GRADE URETHANE THINNER 4L</v>
      </c>
      <c r="F887" s="31"/>
      <c r="G887" s="67" t="s">
        <v>34</v>
      </c>
      <c r="H887" s="31">
        <v>1.0</v>
      </c>
      <c r="I887" s="31" t="str">
        <f t="array" ref="I887">IFERROR(XLOOKUP(D887,'MASTER ITEM LIST'!A:A,'MASTER ITEM LIST'!D:D), "")</f>
        <v>GAL</v>
      </c>
      <c r="J887" s="34">
        <v>750.0</v>
      </c>
      <c r="K887" s="69">
        <f t="shared" si="1"/>
        <v>750</v>
      </c>
      <c r="L887" s="70" t="s">
        <v>42</v>
      </c>
    </row>
    <row r="888" ht="22.5" customHeight="1">
      <c r="A888" s="29">
        <v>46153.0</v>
      </c>
      <c r="B888" s="31" t="s">
        <v>1686</v>
      </c>
      <c r="C888" s="32" t="s">
        <v>1240</v>
      </c>
      <c r="D888" s="71" t="s">
        <v>155</v>
      </c>
      <c r="E888" s="66" t="str">
        <f t="array" ref="E888">IF(D888="", "", XLOOKUP(D888, 'MASTER ITEM LIST'!A:A, 'MASTER ITEM LIST'!B:B, ""))</f>
        <v>TIMEOUT BODY FILLER WITH HARDENER 4L</v>
      </c>
      <c r="F888" s="31"/>
      <c r="G888" s="67" t="s">
        <v>34</v>
      </c>
      <c r="H888" s="31">
        <v>1.0</v>
      </c>
      <c r="I888" s="31" t="str">
        <f t="array" ref="I888">IFERROR(XLOOKUP(D888,'MASTER ITEM LIST'!A:A,'MASTER ITEM LIST'!D:D), "")</f>
        <v>GAL</v>
      </c>
      <c r="J888" s="34">
        <v>710.0</v>
      </c>
      <c r="K888" s="69">
        <f t="shared" si="1"/>
        <v>710</v>
      </c>
      <c r="L888" s="70" t="s">
        <v>42</v>
      </c>
    </row>
    <row r="889" ht="22.5" customHeight="1">
      <c r="A889" s="29">
        <v>46153.0</v>
      </c>
      <c r="B889" s="31" t="s">
        <v>1686</v>
      </c>
      <c r="C889" s="32" t="s">
        <v>1240</v>
      </c>
      <c r="D889" s="71" t="s">
        <v>432</v>
      </c>
      <c r="E889" s="66" t="str">
        <f t="array" ref="E889">IF(D889="", "", XLOOKUP(D889, 'MASTER ITEM LIST'!A:A, 'MASTER ITEM LIST'!B:B, ""))</f>
        <v>EAGLE SANDPAPER #600</v>
      </c>
      <c r="F889" s="31"/>
      <c r="G889" s="67" t="s">
        <v>34</v>
      </c>
      <c r="H889" s="31">
        <v>5.0</v>
      </c>
      <c r="I889" s="31" t="str">
        <f t="array" ref="I889">IFERROR(XLOOKUP(D889,'MASTER ITEM LIST'!A:A,'MASTER ITEM LIST'!D:D), "")</f>
        <v>PCS</v>
      </c>
      <c r="J889" s="34">
        <v>25.0</v>
      </c>
      <c r="K889" s="69">
        <f t="shared" si="1"/>
        <v>125</v>
      </c>
      <c r="L889" s="70" t="s">
        <v>42</v>
      </c>
    </row>
    <row r="890" ht="22.5" customHeight="1">
      <c r="A890" s="29">
        <v>46153.0</v>
      </c>
      <c r="B890" s="31" t="s">
        <v>1686</v>
      </c>
      <c r="C890" s="32" t="s">
        <v>1240</v>
      </c>
      <c r="D890" s="71" t="s">
        <v>326</v>
      </c>
      <c r="E890" s="66" t="str">
        <f t="array" ref="E890">IF(D890="", "", XLOOKUP(D890, 'MASTER ITEM LIST'!A:A, 'MASTER ITEM LIST'!B:B, ""))</f>
        <v>EAGLE SANDPAPER #1200</v>
      </c>
      <c r="F890" s="31"/>
      <c r="G890" s="67" t="s">
        <v>34</v>
      </c>
      <c r="H890" s="31">
        <v>3.0</v>
      </c>
      <c r="I890" s="31" t="str">
        <f t="array" ref="I890">IFERROR(XLOOKUP(D890,'MASTER ITEM LIST'!A:A,'MASTER ITEM LIST'!D:D), "")</f>
        <v>PC/S</v>
      </c>
      <c r="J890" s="34">
        <v>25.0</v>
      </c>
      <c r="K890" s="69">
        <f t="shared" si="1"/>
        <v>75</v>
      </c>
      <c r="L890" s="70" t="s">
        <v>42</v>
      </c>
    </row>
    <row r="891" ht="22.5" customHeight="1">
      <c r="A891" s="29">
        <v>46153.0</v>
      </c>
      <c r="B891" s="31" t="s">
        <v>1686</v>
      </c>
      <c r="C891" s="32" t="s">
        <v>1240</v>
      </c>
      <c r="D891" s="71" t="s">
        <v>198</v>
      </c>
      <c r="E891" s="66" t="str">
        <f t="array" ref="E891">IF(D891="", "", XLOOKUP(D891, 'MASTER ITEM LIST'!A:A, 'MASTER ITEM LIST'!B:B, ""))</f>
        <v>EAGLE SANDPAPER #2000</v>
      </c>
      <c r="F891" s="31"/>
      <c r="G891" s="67" t="s">
        <v>34</v>
      </c>
      <c r="H891" s="31">
        <v>3.0</v>
      </c>
      <c r="I891" s="31" t="str">
        <f t="array" ref="I891">IFERROR(XLOOKUP(D891,'MASTER ITEM LIST'!A:A,'MASTER ITEM LIST'!D:D), "")</f>
        <v>PC/S</v>
      </c>
      <c r="J891" s="34">
        <v>35.0</v>
      </c>
      <c r="K891" s="69">
        <f t="shared" si="1"/>
        <v>105</v>
      </c>
      <c r="L891" s="70" t="s">
        <v>42</v>
      </c>
    </row>
    <row r="892" ht="22.5" customHeight="1">
      <c r="A892" s="29">
        <v>46154.0</v>
      </c>
      <c r="B892" s="31" t="s">
        <v>1687</v>
      </c>
      <c r="C892" s="32" t="s">
        <v>1240</v>
      </c>
      <c r="D892" s="71" t="s">
        <v>53</v>
      </c>
      <c r="E892" s="66" t="str">
        <f t="array" ref="E892">IF(D892="", "", XLOOKUP(D892, 'MASTER ITEM LIST'!A:A, 'MASTER ITEM LIST'!B:B, ""))</f>
        <v>NAX 108 CERAMIC 2K CLEAR WITH HARDENER 1L</v>
      </c>
      <c r="F892" s="31"/>
      <c r="G892" s="67" t="s">
        <v>1376</v>
      </c>
      <c r="H892" s="31">
        <v>3.0</v>
      </c>
      <c r="I892" s="31" t="str">
        <f t="array" ref="I892">IFERROR(XLOOKUP(D892,'MASTER ITEM LIST'!A:A,'MASTER ITEM LIST'!D:D), "")</f>
        <v>LITER</v>
      </c>
      <c r="J892" s="34">
        <v>680.0</v>
      </c>
      <c r="K892" s="69">
        <f t="shared" si="1"/>
        <v>2040</v>
      </c>
      <c r="L892" s="70" t="s">
        <v>42</v>
      </c>
    </row>
    <row r="893" ht="22.5" customHeight="1">
      <c r="A893" s="29">
        <v>46154.0</v>
      </c>
      <c r="B893" s="31" t="s">
        <v>1687</v>
      </c>
      <c r="C893" s="32" t="s">
        <v>1240</v>
      </c>
      <c r="D893" s="71" t="s">
        <v>233</v>
      </c>
      <c r="E893" s="66" t="str">
        <f t="array" ref="E893">IF(D893="", "", XLOOKUP(D893, 'MASTER ITEM LIST'!A:A, 'MASTER ITEM LIST'!B:B, ""))</f>
        <v>NAX ALPHA HB SPRAY FILLER GRAY WITH HARDENER 1L</v>
      </c>
      <c r="F893" s="31"/>
      <c r="G893" s="67" t="s">
        <v>1376</v>
      </c>
      <c r="H893" s="31">
        <v>1.0</v>
      </c>
      <c r="I893" s="31" t="str">
        <f t="array" ref="I893">IFERROR(XLOOKUP(D893,'MASTER ITEM LIST'!A:A,'MASTER ITEM LIST'!D:D), "")</f>
        <v>LITER</v>
      </c>
      <c r="J893" s="34">
        <v>600.0</v>
      </c>
      <c r="K893" s="69">
        <f t="shared" si="1"/>
        <v>600</v>
      </c>
      <c r="L893" s="70" t="s">
        <v>42</v>
      </c>
    </row>
    <row r="894" ht="22.5" customHeight="1">
      <c r="A894" s="29">
        <v>46154.0</v>
      </c>
      <c r="B894" s="31" t="s">
        <v>1687</v>
      </c>
      <c r="C894" s="32" t="s">
        <v>1240</v>
      </c>
      <c r="D894" s="71" t="s">
        <v>213</v>
      </c>
      <c r="E894" s="66" t="str">
        <f t="array" ref="E894">IF(D894="", "", XLOOKUP(D894, 'MASTER ITEM LIST'!A:A, 'MASTER ITEM LIST'!B:B, ""))</f>
        <v>NAX PREMILA NP9200 2K CLEAR WITH HARDENER 1L</v>
      </c>
      <c r="F894" s="31"/>
      <c r="G894" s="67" t="s">
        <v>1376</v>
      </c>
      <c r="H894" s="31">
        <v>2.0</v>
      </c>
      <c r="I894" s="31" t="str">
        <f t="array" ref="I894">IFERROR(XLOOKUP(D894,'MASTER ITEM LIST'!A:A,'MASTER ITEM LIST'!D:D), "")</f>
        <v>LITER</v>
      </c>
      <c r="J894" s="34">
        <v>1350.0</v>
      </c>
      <c r="K894" s="69">
        <f t="shared" si="1"/>
        <v>2700</v>
      </c>
      <c r="L894" s="70" t="s">
        <v>42</v>
      </c>
    </row>
    <row r="895" ht="22.5" customHeight="1">
      <c r="A895" s="29">
        <v>46154.0</v>
      </c>
      <c r="B895" s="31" t="s">
        <v>1687</v>
      </c>
      <c r="C895" s="32" t="s">
        <v>1240</v>
      </c>
      <c r="D895" s="71" t="s">
        <v>117</v>
      </c>
      <c r="E895" s="66" t="str">
        <f t="array" ref="E895">IF(D895="", "", XLOOKUP(D895, 'MASTER ITEM LIST'!A:A, 'MASTER ITEM LIST'!B:B, ""))</f>
        <v>EAGLE SANDPAPER #120</v>
      </c>
      <c r="F895" s="31"/>
      <c r="G895" s="67" t="s">
        <v>1376</v>
      </c>
      <c r="H895" s="31">
        <v>5.0</v>
      </c>
      <c r="I895" s="31" t="str">
        <f t="array" ref="I895">IFERROR(XLOOKUP(D895,'MASTER ITEM LIST'!A:A,'MASTER ITEM LIST'!D:D), "")</f>
        <v>PC/S</v>
      </c>
      <c r="J895" s="34">
        <v>25.0</v>
      </c>
      <c r="K895" s="69">
        <f t="shared" si="1"/>
        <v>125</v>
      </c>
      <c r="L895" s="70" t="s">
        <v>42</v>
      </c>
    </row>
    <row r="896" ht="22.5" customHeight="1">
      <c r="A896" s="29">
        <v>46157.0</v>
      </c>
      <c r="B896" s="31" t="s">
        <v>1688</v>
      </c>
      <c r="C896" s="32" t="s">
        <v>1240</v>
      </c>
      <c r="D896" s="71" t="s">
        <v>117</v>
      </c>
      <c r="E896" s="66" t="str">
        <f t="array" ref="E896">IF(D896="", "", XLOOKUP(D896, 'MASTER ITEM LIST'!A:A, 'MASTER ITEM LIST'!B:B, ""))</f>
        <v>EAGLE SANDPAPER #120</v>
      </c>
      <c r="F896" s="31"/>
      <c r="G896" s="67" t="s">
        <v>34</v>
      </c>
      <c r="H896" s="31">
        <v>5.0</v>
      </c>
      <c r="I896" s="31" t="str">
        <f t="array" ref="I896">IFERROR(XLOOKUP(D896,'MASTER ITEM LIST'!A:A,'MASTER ITEM LIST'!D:D), "")</f>
        <v>PC/S</v>
      </c>
      <c r="J896" s="34">
        <v>25.0</v>
      </c>
      <c r="K896" s="69">
        <f t="shared" si="1"/>
        <v>125</v>
      </c>
      <c r="L896" s="70" t="s">
        <v>42</v>
      </c>
    </row>
    <row r="897" ht="22.5" customHeight="1">
      <c r="A897" s="29">
        <v>46157.0</v>
      </c>
      <c r="B897" s="31" t="s">
        <v>1688</v>
      </c>
      <c r="C897" s="32" t="s">
        <v>1240</v>
      </c>
      <c r="D897" s="71" t="s">
        <v>548</v>
      </c>
      <c r="E897" s="66" t="str">
        <f t="array" ref="E897">IF(D897="", "", XLOOKUP(D897, 'MASTER ITEM LIST'!A:A, 'MASTER ITEM LIST'!B:B, ""))</f>
        <v>EAGLE SANDPAPER #240</v>
      </c>
      <c r="F897" s="31"/>
      <c r="G897" s="67" t="s">
        <v>34</v>
      </c>
      <c r="H897" s="31">
        <v>5.0</v>
      </c>
      <c r="I897" s="31" t="str">
        <f t="array" ref="I897">IFERROR(XLOOKUP(D897,'MASTER ITEM LIST'!A:A,'MASTER ITEM LIST'!D:D), "")</f>
        <v>PC/S</v>
      </c>
      <c r="J897" s="34">
        <v>25.0</v>
      </c>
      <c r="K897" s="69">
        <f t="shared" si="1"/>
        <v>125</v>
      </c>
      <c r="L897" s="70" t="s">
        <v>42</v>
      </c>
    </row>
    <row r="898" ht="22.5" customHeight="1">
      <c r="A898" s="29">
        <v>46157.0</v>
      </c>
      <c r="B898" s="31" t="s">
        <v>1688</v>
      </c>
      <c r="C898" s="32" t="s">
        <v>1240</v>
      </c>
      <c r="D898" s="71" t="s">
        <v>931</v>
      </c>
      <c r="E898" s="66" t="str">
        <f t="array" ref="E898">IF(D898="", "", XLOOKUP(D898, 'MASTER ITEM LIST'!A:A, 'MASTER ITEM LIST'!B:B, ""))</f>
        <v>EAGLE SANDPAPER #60</v>
      </c>
      <c r="F898" s="31"/>
      <c r="G898" s="67" t="s">
        <v>34</v>
      </c>
      <c r="H898" s="31">
        <v>5.0</v>
      </c>
      <c r="I898" s="31" t="str">
        <f t="array" ref="I898">IFERROR(XLOOKUP(D898,'MASTER ITEM LIST'!A:A,'MASTER ITEM LIST'!D:D), "")</f>
        <v>PC/S</v>
      </c>
      <c r="J898" s="34">
        <v>40.0</v>
      </c>
      <c r="K898" s="69">
        <f t="shared" si="1"/>
        <v>200</v>
      </c>
      <c r="L898" s="70" t="s">
        <v>42</v>
      </c>
    </row>
    <row r="899" ht="22.5" customHeight="1">
      <c r="A899" s="29">
        <v>46157.0</v>
      </c>
      <c r="B899" s="31" t="s">
        <v>1688</v>
      </c>
      <c r="C899" s="32" t="s">
        <v>1240</v>
      </c>
      <c r="D899" s="71" t="s">
        <v>942</v>
      </c>
      <c r="E899" s="66" t="str">
        <f t="array" ref="E899">IF(D899="", "", XLOOKUP(D899, 'MASTER ITEM LIST'!A:A, 'MASTER ITEM LIST'!B:B, ""))</f>
        <v>EAGLE SANDPAPER #1000</v>
      </c>
      <c r="F899" s="31"/>
      <c r="G899" s="67" t="s">
        <v>34</v>
      </c>
      <c r="H899" s="31">
        <v>5.0</v>
      </c>
      <c r="I899" s="31" t="str">
        <f t="array" ref="I899">IFERROR(XLOOKUP(D899,'MASTER ITEM LIST'!A:A,'MASTER ITEM LIST'!D:D), "")</f>
        <v>PC/S</v>
      </c>
      <c r="J899" s="34">
        <v>25.0</v>
      </c>
      <c r="K899" s="69">
        <f t="shared" si="1"/>
        <v>125</v>
      </c>
      <c r="L899" s="70" t="s">
        <v>42</v>
      </c>
    </row>
    <row r="900" ht="22.5" customHeight="1">
      <c r="A900" s="29">
        <v>46157.0</v>
      </c>
      <c r="B900" s="31" t="s">
        <v>1688</v>
      </c>
      <c r="C900" s="32" t="s">
        <v>1240</v>
      </c>
      <c r="D900" s="71" t="s">
        <v>326</v>
      </c>
      <c r="E900" s="66" t="str">
        <f t="array" ref="E900">IF(D900="", "", XLOOKUP(D900, 'MASTER ITEM LIST'!A:A, 'MASTER ITEM LIST'!B:B, ""))</f>
        <v>EAGLE SANDPAPER #1200</v>
      </c>
      <c r="F900" s="31"/>
      <c r="G900" s="67" t="s">
        <v>34</v>
      </c>
      <c r="H900" s="31">
        <v>5.0</v>
      </c>
      <c r="I900" s="31" t="str">
        <f t="array" ref="I900">IFERROR(XLOOKUP(D900,'MASTER ITEM LIST'!A:A,'MASTER ITEM LIST'!D:D), "")</f>
        <v>PC/S</v>
      </c>
      <c r="J900" s="34">
        <v>25.0</v>
      </c>
      <c r="K900" s="69">
        <f t="shared" si="1"/>
        <v>125</v>
      </c>
      <c r="L900" s="70" t="s">
        <v>42</v>
      </c>
    </row>
    <row r="901" ht="22.5" customHeight="1">
      <c r="A901" s="29">
        <v>46157.0</v>
      </c>
      <c r="B901" s="31" t="s">
        <v>1688</v>
      </c>
      <c r="C901" s="32" t="s">
        <v>1240</v>
      </c>
      <c r="D901" s="71" t="s">
        <v>516</v>
      </c>
      <c r="E901" s="66" t="str">
        <f t="array" ref="E901">IF(D901="", "", XLOOKUP(D901, 'MASTER ITEM LIST'!A:A, 'MASTER ITEM LIST'!B:B, ""))</f>
        <v>EAGLE SANDPAPER #1500</v>
      </c>
      <c r="F901" s="31"/>
      <c r="G901" s="67" t="s">
        <v>34</v>
      </c>
      <c r="H901" s="31">
        <v>5.0</v>
      </c>
      <c r="I901" s="31" t="str">
        <f t="array" ref="I901">IFERROR(XLOOKUP(D901,'MASTER ITEM LIST'!A:A,'MASTER ITEM LIST'!D:D), "")</f>
        <v>PC/S</v>
      </c>
      <c r="J901" s="34">
        <v>25.0</v>
      </c>
      <c r="K901" s="69">
        <f t="shared" si="1"/>
        <v>125</v>
      </c>
      <c r="L901" s="70" t="s">
        <v>42</v>
      </c>
    </row>
    <row r="902" ht="22.5" customHeight="1">
      <c r="A902" s="29">
        <v>46157.0</v>
      </c>
      <c r="B902" s="31" t="s">
        <v>1688</v>
      </c>
      <c r="C902" s="32" t="s">
        <v>1240</v>
      </c>
      <c r="D902" s="71" t="s">
        <v>246</v>
      </c>
      <c r="E902" s="66" t="str">
        <f t="array" ref="E902">IF(D902="", "", XLOOKUP(D902, 'MASTER ITEM LIST'!A:A, 'MASTER ITEM LIST'!B:B, ""))</f>
        <v>DOMINO BODY FILTER WITH HARDENER 4L</v>
      </c>
      <c r="F902" s="31"/>
      <c r="G902" s="67" t="s">
        <v>34</v>
      </c>
      <c r="H902" s="31">
        <v>1.0</v>
      </c>
      <c r="I902" s="31" t="str">
        <f t="array" ref="I902">IFERROR(XLOOKUP(D902,'MASTER ITEM LIST'!A:A,'MASTER ITEM LIST'!D:D), "")</f>
        <v>GAL</v>
      </c>
      <c r="J902" s="34">
        <v>750.0</v>
      </c>
      <c r="K902" s="69">
        <f t="shared" si="1"/>
        <v>750</v>
      </c>
      <c r="L902" s="70" t="s">
        <v>42</v>
      </c>
    </row>
    <row r="903" ht="22.5" customHeight="1">
      <c r="A903" s="29">
        <v>46157.0</v>
      </c>
      <c r="B903" s="31" t="s">
        <v>1688</v>
      </c>
      <c r="C903" s="32" t="s">
        <v>1240</v>
      </c>
      <c r="D903" s="71" t="s">
        <v>703</v>
      </c>
      <c r="E903" s="66" t="str">
        <f t="array" ref="E903">IF(D903="", "", XLOOKUP(D903, 'MASTER ITEM LIST'!A:A, 'MASTER ITEM LIST'!B:B, ""))</f>
        <v>NAX SOD145 SOLVENT NAPTHA/DEGREASER 4L</v>
      </c>
      <c r="F903" s="31"/>
      <c r="G903" s="67" t="s">
        <v>34</v>
      </c>
      <c r="H903" s="31">
        <v>1.0</v>
      </c>
      <c r="I903" s="31" t="str">
        <f t="array" ref="I903">IFERROR(XLOOKUP(D903,'MASTER ITEM LIST'!A:A,'MASTER ITEM LIST'!D:D), "")</f>
        <v>GAL</v>
      </c>
      <c r="J903" s="34">
        <v>1000.0</v>
      </c>
      <c r="K903" s="69">
        <f t="shared" si="1"/>
        <v>1000</v>
      </c>
      <c r="L903" s="70" t="s">
        <v>42</v>
      </c>
    </row>
    <row r="904" ht="22.5" customHeight="1">
      <c r="A904" s="29">
        <v>46157.0</v>
      </c>
      <c r="B904" s="31" t="s">
        <v>1688</v>
      </c>
      <c r="C904" s="32" t="s">
        <v>1240</v>
      </c>
      <c r="D904" s="71" t="s">
        <v>167</v>
      </c>
      <c r="E904" s="66" t="str">
        <f t="array" ref="E904">IF(D904="", "", XLOOKUP(D904, 'MASTER ITEM LIST'!A:A, 'MASTER ITEM LIST'!B:B, ""))</f>
        <v>NAX QDU MIX 1L</v>
      </c>
      <c r="F904" s="31"/>
      <c r="G904" s="67" t="s">
        <v>34</v>
      </c>
      <c r="H904" s="31">
        <v>1.0</v>
      </c>
      <c r="I904" s="31" t="str">
        <f t="array" ref="I904">IFERROR(XLOOKUP(D904,'MASTER ITEM LIST'!A:A,'MASTER ITEM LIST'!D:D), "")</f>
        <v>LITER</v>
      </c>
      <c r="J904" s="34">
        <v>1600.0</v>
      </c>
      <c r="K904" s="69">
        <f t="shared" si="1"/>
        <v>1600</v>
      </c>
      <c r="L904" s="70" t="s">
        <v>42</v>
      </c>
    </row>
    <row r="905" ht="22.5" customHeight="1">
      <c r="A905" s="29">
        <v>46157.0</v>
      </c>
      <c r="B905" s="31" t="s">
        <v>1688</v>
      </c>
      <c r="C905" s="32" t="s">
        <v>1240</v>
      </c>
      <c r="D905" s="71" t="s">
        <v>220</v>
      </c>
      <c r="E905" s="66" t="str">
        <f t="array" ref="E905">IF(D905="", "", XLOOKUP(D905, 'MASTER ITEM LIST'!A:A, 'MASTER ITEM LIST'!B:B, ""))</f>
        <v>PREMILA MIXING 1L</v>
      </c>
      <c r="F905" s="31" t="s">
        <v>1689</v>
      </c>
      <c r="G905" s="67" t="s">
        <v>34</v>
      </c>
      <c r="H905" s="31">
        <v>0.25</v>
      </c>
      <c r="I905" s="31" t="str">
        <f t="array" ref="I905">IFERROR(XLOOKUP(D905,'MASTER ITEM LIST'!A:A,'MASTER ITEM LIST'!D:D), "")</f>
        <v>LITER</v>
      </c>
      <c r="J905" s="34">
        <v>2000.0</v>
      </c>
      <c r="K905" s="69">
        <f t="shared" si="1"/>
        <v>500</v>
      </c>
      <c r="L905" s="70" t="s">
        <v>42</v>
      </c>
    </row>
    <row r="906" ht="22.5" customHeight="1">
      <c r="A906" s="29">
        <v>46162.0</v>
      </c>
      <c r="B906" s="31" t="s">
        <v>1690</v>
      </c>
      <c r="C906" s="32" t="s">
        <v>1240</v>
      </c>
      <c r="D906" s="71" t="s">
        <v>213</v>
      </c>
      <c r="E906" s="66" t="str">
        <f t="array" ref="E906">IF(D906="", "", XLOOKUP(D906, 'MASTER ITEM LIST'!A:A, 'MASTER ITEM LIST'!B:B, ""))</f>
        <v>NAX PREMILA NP9200 2K CLEAR WITH HARDENER 1L</v>
      </c>
      <c r="F906" s="31"/>
      <c r="G906" s="67" t="s">
        <v>34</v>
      </c>
      <c r="H906" s="31">
        <v>1.0</v>
      </c>
      <c r="I906" s="31" t="str">
        <f t="array" ref="I906">IFERROR(XLOOKUP(D906,'MASTER ITEM LIST'!A:A,'MASTER ITEM LIST'!D:D), "")</f>
        <v>LITER</v>
      </c>
      <c r="J906" s="34">
        <v>1380.0</v>
      </c>
      <c r="K906" s="69">
        <f t="shared" si="1"/>
        <v>1380</v>
      </c>
      <c r="L906" s="70" t="s">
        <v>42</v>
      </c>
    </row>
    <row r="907" ht="22.5" customHeight="1">
      <c r="A907" s="29">
        <v>46162.0</v>
      </c>
      <c r="B907" s="31" t="s">
        <v>1690</v>
      </c>
      <c r="C907" s="32" t="s">
        <v>1240</v>
      </c>
      <c r="D907" s="71" t="s">
        <v>90</v>
      </c>
      <c r="E907" s="66" t="str">
        <f t="array" ref="E907">IF(D907="", "", XLOOKUP(D907, 'MASTER ITEM LIST'!A:A, 'MASTER ITEM LIST'!B:B, ""))</f>
        <v>NAX SOB757 HIGH GRADE URETHANE THINNER 4L</v>
      </c>
      <c r="F907" s="31"/>
      <c r="G907" s="67" t="s">
        <v>34</v>
      </c>
      <c r="H907" s="31">
        <v>1.0</v>
      </c>
      <c r="I907" s="31" t="str">
        <f t="array" ref="I907">IFERROR(XLOOKUP(D907,'MASTER ITEM LIST'!A:A,'MASTER ITEM LIST'!D:D), "")</f>
        <v>GAL</v>
      </c>
      <c r="J907" s="34">
        <v>750.0</v>
      </c>
      <c r="K907" s="69">
        <f t="shared" si="1"/>
        <v>750</v>
      </c>
      <c r="L907" s="70" t="s">
        <v>42</v>
      </c>
    </row>
    <row r="908" ht="22.5" customHeight="1">
      <c r="A908" s="29">
        <v>46162.0</v>
      </c>
      <c r="B908" s="31" t="s">
        <v>1690</v>
      </c>
      <c r="C908" s="32" t="s">
        <v>1240</v>
      </c>
      <c r="D908" s="71" t="s">
        <v>516</v>
      </c>
      <c r="E908" s="66" t="str">
        <f t="array" ref="E908">IF(D908="", "", XLOOKUP(D908, 'MASTER ITEM LIST'!A:A, 'MASTER ITEM LIST'!B:B, ""))</f>
        <v>EAGLE SANDPAPER #1500</v>
      </c>
      <c r="F908" s="31"/>
      <c r="G908" s="67" t="s">
        <v>34</v>
      </c>
      <c r="H908" s="31">
        <v>5.0</v>
      </c>
      <c r="I908" s="31" t="str">
        <f t="array" ref="I908">IFERROR(XLOOKUP(D908,'MASTER ITEM LIST'!A:A,'MASTER ITEM LIST'!D:D), "")</f>
        <v>PC/S</v>
      </c>
      <c r="J908" s="34">
        <v>35.0</v>
      </c>
      <c r="K908" s="69">
        <f t="shared" si="1"/>
        <v>175</v>
      </c>
      <c r="L908" s="70" t="s">
        <v>42</v>
      </c>
    </row>
    <row r="909" ht="22.5" customHeight="1">
      <c r="A909" s="29">
        <v>46162.0</v>
      </c>
      <c r="B909" s="31" t="s">
        <v>1690</v>
      </c>
      <c r="C909" s="32" t="s">
        <v>1240</v>
      </c>
      <c r="D909" s="71" t="s">
        <v>198</v>
      </c>
      <c r="E909" s="66" t="str">
        <f t="array" ref="E909">IF(D909="", "", XLOOKUP(D909, 'MASTER ITEM LIST'!A:A, 'MASTER ITEM LIST'!B:B, ""))</f>
        <v>EAGLE SANDPAPER #2000</v>
      </c>
      <c r="F909" s="31"/>
      <c r="G909" s="67" t="s">
        <v>34</v>
      </c>
      <c r="H909" s="31">
        <v>5.0</v>
      </c>
      <c r="I909" s="31" t="str">
        <f t="array" ref="I909">IFERROR(XLOOKUP(D909,'MASTER ITEM LIST'!A:A,'MASTER ITEM LIST'!D:D), "")</f>
        <v>PC/S</v>
      </c>
      <c r="J909" s="34">
        <v>35.0</v>
      </c>
      <c r="K909" s="69">
        <f t="shared" si="1"/>
        <v>175</v>
      </c>
      <c r="L909" s="70" t="s">
        <v>42</v>
      </c>
    </row>
    <row r="910" ht="22.5" customHeight="1">
      <c r="A910" s="29">
        <v>46162.0</v>
      </c>
      <c r="B910" s="31" t="s">
        <v>1690</v>
      </c>
      <c r="C910" s="32" t="s">
        <v>1240</v>
      </c>
      <c r="D910" s="71" t="s">
        <v>326</v>
      </c>
      <c r="E910" s="66" t="str">
        <f t="array" ref="E910">IF(D910="", "", XLOOKUP(D910, 'MASTER ITEM LIST'!A:A, 'MASTER ITEM LIST'!B:B, ""))</f>
        <v>EAGLE SANDPAPER #1200</v>
      </c>
      <c r="F910" s="31"/>
      <c r="G910" s="67" t="s">
        <v>34</v>
      </c>
      <c r="H910" s="31">
        <v>5.0</v>
      </c>
      <c r="I910" s="31" t="str">
        <f t="array" ref="I910">IFERROR(XLOOKUP(D910,'MASTER ITEM LIST'!A:A,'MASTER ITEM LIST'!D:D), "")</f>
        <v>PC/S</v>
      </c>
      <c r="J910" s="34">
        <v>25.0</v>
      </c>
      <c r="K910" s="69">
        <f t="shared" si="1"/>
        <v>125</v>
      </c>
      <c r="L910" s="70" t="s">
        <v>42</v>
      </c>
    </row>
    <row r="911" ht="22.5" customHeight="1">
      <c r="A911" s="29">
        <v>46162.0</v>
      </c>
      <c r="B911" s="31" t="s">
        <v>1690</v>
      </c>
      <c r="C911" s="32" t="s">
        <v>1240</v>
      </c>
      <c r="D911" s="71" t="s">
        <v>942</v>
      </c>
      <c r="E911" s="66" t="str">
        <f t="array" ref="E911">IF(D911="", "", XLOOKUP(D911, 'MASTER ITEM LIST'!A:A, 'MASTER ITEM LIST'!B:B, ""))</f>
        <v>EAGLE SANDPAPER #1000</v>
      </c>
      <c r="F911" s="31"/>
      <c r="G911" s="67" t="s">
        <v>34</v>
      </c>
      <c r="H911" s="31">
        <v>5.0</v>
      </c>
      <c r="I911" s="31" t="str">
        <f t="array" ref="I911">IFERROR(XLOOKUP(D911,'MASTER ITEM LIST'!A:A,'MASTER ITEM LIST'!D:D), "")</f>
        <v>PC/S</v>
      </c>
      <c r="J911" s="34">
        <v>25.0</v>
      </c>
      <c r="K911" s="69">
        <f t="shared" si="1"/>
        <v>125</v>
      </c>
      <c r="L911" s="70" t="s">
        <v>42</v>
      </c>
    </row>
    <row r="912" ht="22.5" customHeight="1">
      <c r="A912" s="29">
        <v>46162.0</v>
      </c>
      <c r="B912" s="31" t="s">
        <v>1690</v>
      </c>
      <c r="C912" s="32" t="s">
        <v>1240</v>
      </c>
      <c r="D912" s="71" t="s">
        <v>432</v>
      </c>
      <c r="E912" s="66" t="str">
        <f t="array" ref="E912">IF(D912="", "", XLOOKUP(D912, 'MASTER ITEM LIST'!A:A, 'MASTER ITEM LIST'!B:B, ""))</f>
        <v>EAGLE SANDPAPER #600</v>
      </c>
      <c r="F912" s="31"/>
      <c r="G912" s="67" t="s">
        <v>34</v>
      </c>
      <c r="H912" s="31">
        <v>2.0</v>
      </c>
      <c r="I912" s="31" t="str">
        <f t="array" ref="I912">IFERROR(XLOOKUP(D912,'MASTER ITEM LIST'!A:A,'MASTER ITEM LIST'!D:D), "")</f>
        <v>PCS</v>
      </c>
      <c r="J912" s="34">
        <v>25.0</v>
      </c>
      <c r="K912" s="69">
        <f t="shared" si="1"/>
        <v>50</v>
      </c>
      <c r="L912" s="70" t="s">
        <v>42</v>
      </c>
    </row>
    <row r="913" ht="22.5" customHeight="1">
      <c r="A913" s="29">
        <v>46162.0</v>
      </c>
      <c r="B913" s="31" t="s">
        <v>1690</v>
      </c>
      <c r="C913" s="32" t="s">
        <v>1240</v>
      </c>
      <c r="D913" s="71" t="s">
        <v>117</v>
      </c>
      <c r="E913" s="66" t="str">
        <f t="array" ref="E913">IF(D913="", "", XLOOKUP(D913, 'MASTER ITEM LIST'!A:A, 'MASTER ITEM LIST'!B:B, ""))</f>
        <v>EAGLE SANDPAPER #120</v>
      </c>
      <c r="F913" s="31"/>
      <c r="G913" s="67" t="s">
        <v>34</v>
      </c>
      <c r="H913" s="31">
        <v>2.0</v>
      </c>
      <c r="I913" s="31" t="str">
        <f t="array" ref="I913">IFERROR(XLOOKUP(D913,'MASTER ITEM LIST'!A:A,'MASTER ITEM LIST'!D:D), "")</f>
        <v>PC/S</v>
      </c>
      <c r="J913" s="34">
        <v>25.0</v>
      </c>
      <c r="K913" s="69">
        <f t="shared" si="1"/>
        <v>50</v>
      </c>
      <c r="L913" s="70" t="s">
        <v>42</v>
      </c>
    </row>
    <row r="914" ht="22.5" customHeight="1">
      <c r="A914" s="29">
        <v>46162.0</v>
      </c>
      <c r="B914" s="31" t="s">
        <v>1690</v>
      </c>
      <c r="C914" s="32" t="s">
        <v>1240</v>
      </c>
      <c r="D914" s="71" t="s">
        <v>554</v>
      </c>
      <c r="E914" s="66" t="str">
        <f t="array" ref="E914">IF(D914="", "", XLOOKUP(D914, 'MASTER ITEM LIST'!A:A, 'MASTER ITEM LIST'!B:B, ""))</f>
        <v>EAGLE SANDPAPER #400</v>
      </c>
      <c r="F914" s="31"/>
      <c r="G914" s="67" t="s">
        <v>34</v>
      </c>
      <c r="H914" s="31">
        <v>2.0</v>
      </c>
      <c r="I914" s="31" t="str">
        <f t="array" ref="I914">IFERROR(XLOOKUP(D914,'MASTER ITEM LIST'!A:A,'MASTER ITEM LIST'!D:D), "")</f>
        <v>PC/S</v>
      </c>
      <c r="J914" s="34">
        <v>25.0</v>
      </c>
      <c r="K914" s="69">
        <f t="shared" si="1"/>
        <v>50</v>
      </c>
      <c r="L914" s="70" t="s">
        <v>42</v>
      </c>
    </row>
    <row r="915" ht="22.5" customHeight="1">
      <c r="A915" s="29">
        <v>46162.0</v>
      </c>
      <c r="B915" s="31" t="s">
        <v>1690</v>
      </c>
      <c r="C915" s="32" t="s">
        <v>1240</v>
      </c>
      <c r="D915" s="71" t="s">
        <v>63</v>
      </c>
      <c r="E915" s="66" t="str">
        <f t="array" ref="E915">IF(D915="", "", XLOOKUP(D915, 'MASTER ITEM LIST'!A:A, 'MASTER ITEM LIST'!B:B, ""))</f>
        <v>OLD NEWS</v>
      </c>
      <c r="F915" s="31"/>
      <c r="G915" s="67" t="s">
        <v>34</v>
      </c>
      <c r="H915" s="31">
        <v>2.0</v>
      </c>
      <c r="I915" s="31" t="str">
        <f t="array" ref="I915">IFERROR(XLOOKUP(D915,'MASTER ITEM LIST'!A:A,'MASTER ITEM LIST'!D:D), "")</f>
        <v>KG</v>
      </c>
      <c r="J915" s="34">
        <v>100.0</v>
      </c>
      <c r="K915" s="69">
        <f t="shared" si="1"/>
        <v>200</v>
      </c>
      <c r="L915" s="70" t="s">
        <v>42</v>
      </c>
    </row>
    <row r="916" ht="22.5" customHeight="1">
      <c r="A916" s="29">
        <v>46162.0</v>
      </c>
      <c r="B916" s="31" t="s">
        <v>1690</v>
      </c>
      <c r="C916" s="32" t="s">
        <v>1240</v>
      </c>
      <c r="D916" s="71" t="s">
        <v>136</v>
      </c>
      <c r="E916" s="66" t="str">
        <f t="array" ref="E916">IF(D916="", "", XLOOKUP(D916, 'MASTER ITEM LIST'!A:A, 'MASTER ITEM LIST'!B:B, ""))</f>
        <v>CROCO MASKING TAPE 3/4 18MM (1X64)</v>
      </c>
      <c r="F916" s="31"/>
      <c r="G916" s="67" t="s">
        <v>34</v>
      </c>
      <c r="H916" s="31">
        <v>10.0</v>
      </c>
      <c r="I916" s="31" t="str">
        <f t="array" ref="I916">IFERROR(XLOOKUP(D916,'MASTER ITEM LIST'!A:A,'MASTER ITEM LIST'!D:D), "")</f>
        <v>PC/S</v>
      </c>
      <c r="J916" s="34">
        <v>35.0</v>
      </c>
      <c r="K916" s="69">
        <f t="shared" si="1"/>
        <v>350</v>
      </c>
      <c r="L916" s="70" t="s">
        <v>42</v>
      </c>
    </row>
    <row r="917" ht="22.5" customHeight="1">
      <c r="A917" s="29">
        <v>46164.0</v>
      </c>
      <c r="B917" s="31" t="s">
        <v>1691</v>
      </c>
      <c r="C917" s="32" t="s">
        <v>1240</v>
      </c>
      <c r="D917" s="71" t="s">
        <v>90</v>
      </c>
      <c r="E917" s="66" t="str">
        <f t="array" ref="E917">IF(D917="", "", XLOOKUP(D917, 'MASTER ITEM LIST'!A:A, 'MASTER ITEM LIST'!B:B, ""))</f>
        <v>NAX SOB757 HIGH GRADE URETHANE THINNER 4L</v>
      </c>
      <c r="F917" s="31"/>
      <c r="G917" s="67" t="s">
        <v>34</v>
      </c>
      <c r="H917" s="31">
        <v>1.0</v>
      </c>
      <c r="I917" s="31" t="str">
        <f t="array" ref="I917">IFERROR(XLOOKUP(D917,'MASTER ITEM LIST'!A:A,'MASTER ITEM LIST'!D:D), "")</f>
        <v>GAL</v>
      </c>
      <c r="J917" s="34">
        <v>750.0</v>
      </c>
      <c r="K917" s="69">
        <f t="shared" si="1"/>
        <v>750</v>
      </c>
      <c r="L917" s="70" t="s">
        <v>42</v>
      </c>
    </row>
    <row r="918" ht="22.5" customHeight="1">
      <c r="A918" s="29">
        <v>46164.0</v>
      </c>
      <c r="B918" s="31" t="s">
        <v>1691</v>
      </c>
      <c r="C918" s="32" t="s">
        <v>1240</v>
      </c>
      <c r="D918" s="71" t="s">
        <v>220</v>
      </c>
      <c r="E918" s="66" t="str">
        <f t="array" ref="E918">IF(D918="", "", XLOOKUP(D918, 'MASTER ITEM LIST'!A:A, 'MASTER ITEM LIST'!B:B, ""))</f>
        <v>PREMILA MIXING 1L</v>
      </c>
      <c r="F918" s="31" t="s">
        <v>1692</v>
      </c>
      <c r="G918" s="67" t="s">
        <v>34</v>
      </c>
      <c r="H918" s="31">
        <v>0.5</v>
      </c>
      <c r="I918" s="31" t="str">
        <f t="array" ref="I918">IFERROR(XLOOKUP(D918,'MASTER ITEM LIST'!A:A,'MASTER ITEM LIST'!D:D), "")</f>
        <v>LITER</v>
      </c>
      <c r="J918" s="34">
        <v>2700.0</v>
      </c>
      <c r="K918" s="69">
        <f t="shared" si="1"/>
        <v>1350</v>
      </c>
      <c r="L918" s="70" t="s">
        <v>42</v>
      </c>
    </row>
    <row r="919" ht="22.5" customHeight="1">
      <c r="A919" s="29">
        <v>46170.0</v>
      </c>
      <c r="B919" s="31" t="s">
        <v>1693</v>
      </c>
      <c r="C919" s="32" t="s">
        <v>1240</v>
      </c>
      <c r="D919" s="71" t="s">
        <v>703</v>
      </c>
      <c r="E919" s="66" t="str">
        <f t="array" ref="E919">IF(D919="", "", XLOOKUP(D919, 'MASTER ITEM LIST'!A:A, 'MASTER ITEM LIST'!B:B, ""))</f>
        <v>NAX SOD145 SOLVENT NAPTHA/DEGREASER 4L</v>
      </c>
      <c r="F919" s="31"/>
      <c r="G919" s="67" t="s">
        <v>1376</v>
      </c>
      <c r="H919" s="31">
        <v>1.0</v>
      </c>
      <c r="I919" s="31" t="str">
        <f t="array" ref="I919">IFERROR(XLOOKUP(D919,'MASTER ITEM LIST'!A:A,'MASTER ITEM LIST'!D:D), "")</f>
        <v>GAL</v>
      </c>
      <c r="J919" s="34">
        <v>1000.0</v>
      </c>
      <c r="K919" s="69">
        <f t="shared" si="1"/>
        <v>1000</v>
      </c>
      <c r="L919" s="70" t="s">
        <v>42</v>
      </c>
    </row>
    <row r="920" ht="22.5" customHeight="1">
      <c r="A920" s="29">
        <v>46170.0</v>
      </c>
      <c r="B920" s="31" t="s">
        <v>1693</v>
      </c>
      <c r="C920" s="32" t="s">
        <v>1240</v>
      </c>
      <c r="D920" s="71" t="s">
        <v>90</v>
      </c>
      <c r="E920" s="66" t="str">
        <f t="array" ref="E920">IF(D920="", "", XLOOKUP(D920, 'MASTER ITEM LIST'!A:A, 'MASTER ITEM LIST'!B:B, ""))</f>
        <v>NAX SOB757 HIGH GRADE URETHANE THINNER 4L</v>
      </c>
      <c r="F920" s="31"/>
      <c r="G920" s="67" t="s">
        <v>1376</v>
      </c>
      <c r="H920" s="31">
        <v>1.0</v>
      </c>
      <c r="I920" s="31" t="str">
        <f t="array" ref="I920">IFERROR(XLOOKUP(D920,'MASTER ITEM LIST'!A:A,'MASTER ITEM LIST'!D:D), "")</f>
        <v>GAL</v>
      </c>
      <c r="J920" s="34">
        <v>750.0</v>
      </c>
      <c r="K920" s="69">
        <f t="shared" si="1"/>
        <v>750</v>
      </c>
      <c r="L920" s="70" t="s">
        <v>42</v>
      </c>
    </row>
    <row r="921" ht="22.5" customHeight="1">
      <c r="A921" s="29">
        <v>46170.0</v>
      </c>
      <c r="B921" s="31" t="s">
        <v>1693</v>
      </c>
      <c r="C921" s="32" t="s">
        <v>1240</v>
      </c>
      <c r="D921" s="71" t="s">
        <v>415</v>
      </c>
      <c r="E921" s="66" t="str">
        <f t="array" ref="E921">IF(D921="", "", XLOOKUP(D921, 'MASTER ITEM LIST'!A:A, 'MASTER ITEM LIST'!B:B, ""))</f>
        <v>NAX PREMILA NP9700 HS 2K CLEAR WITH HARDENER 1L</v>
      </c>
      <c r="F921" s="31"/>
      <c r="G921" s="67" t="s">
        <v>1376</v>
      </c>
      <c r="H921" s="31">
        <v>1.0</v>
      </c>
      <c r="I921" s="31" t="str">
        <f t="array" ref="I921">IFERROR(XLOOKUP(D921,'MASTER ITEM LIST'!A:A,'MASTER ITEM LIST'!D:D), "")</f>
        <v>LITER</v>
      </c>
      <c r="J921" s="34">
        <v>1600.0</v>
      </c>
      <c r="K921" s="69">
        <f t="shared" si="1"/>
        <v>1600</v>
      </c>
      <c r="L921" s="70" t="s">
        <v>42</v>
      </c>
    </row>
    <row r="922" ht="22.5" customHeight="1">
      <c r="A922" s="29">
        <v>46175.0</v>
      </c>
      <c r="B922" s="31" t="s">
        <v>1694</v>
      </c>
      <c r="C922" s="32" t="s">
        <v>1240</v>
      </c>
      <c r="D922" s="71" t="s">
        <v>90</v>
      </c>
      <c r="E922" s="66" t="str">
        <f t="array" ref="E922">IF(D922="", "", XLOOKUP(D922, 'MASTER ITEM LIST'!A:A, 'MASTER ITEM LIST'!B:B, ""))</f>
        <v>NAX SOB757 HIGH GRADE URETHANE THINNER 4L</v>
      </c>
      <c r="F922" s="31"/>
      <c r="G922" s="67" t="s">
        <v>1376</v>
      </c>
      <c r="H922" s="31">
        <v>1.0</v>
      </c>
      <c r="I922" s="31" t="str">
        <f t="array" ref="I922">IFERROR(XLOOKUP(D922,'MASTER ITEM LIST'!A:A,'MASTER ITEM LIST'!D:D), "")</f>
        <v>GAL</v>
      </c>
      <c r="J922" s="34">
        <v>750.0</v>
      </c>
      <c r="K922" s="69">
        <f t="shared" si="1"/>
        <v>750</v>
      </c>
      <c r="L922" s="70" t="s">
        <v>42</v>
      </c>
    </row>
    <row r="923" ht="22.5" customHeight="1">
      <c r="A923" s="29">
        <v>46175.0</v>
      </c>
      <c r="B923" s="31" t="s">
        <v>1694</v>
      </c>
      <c r="C923" s="32" t="s">
        <v>1240</v>
      </c>
      <c r="D923" s="71" t="s">
        <v>415</v>
      </c>
      <c r="E923" s="66" t="str">
        <f t="array" ref="E923">IF(D923="", "", XLOOKUP(D923, 'MASTER ITEM LIST'!A:A, 'MASTER ITEM LIST'!B:B, ""))</f>
        <v>NAX PREMILA NP9700 HS 2K CLEAR WITH HARDENER 1L</v>
      </c>
      <c r="F923" s="31"/>
      <c r="G923" s="67" t="s">
        <v>1376</v>
      </c>
      <c r="H923" s="31">
        <v>1.0</v>
      </c>
      <c r="I923" s="31" t="str">
        <f t="array" ref="I923">IFERROR(XLOOKUP(D923,'MASTER ITEM LIST'!A:A,'MASTER ITEM LIST'!D:D), "")</f>
        <v>LITER</v>
      </c>
      <c r="J923" s="34">
        <v>1600.0</v>
      </c>
      <c r="K923" s="69">
        <f t="shared" si="1"/>
        <v>1600</v>
      </c>
      <c r="L923" s="70" t="s">
        <v>42</v>
      </c>
    </row>
    <row r="924" ht="22.5" customHeight="1">
      <c r="A924" s="29">
        <v>46175.0</v>
      </c>
      <c r="B924" s="31" t="s">
        <v>1694</v>
      </c>
      <c r="C924" s="32" t="s">
        <v>1240</v>
      </c>
      <c r="D924" s="71" t="s">
        <v>167</v>
      </c>
      <c r="E924" s="66" t="str">
        <f t="array" ref="E924">IF(D924="", "", XLOOKUP(D924, 'MASTER ITEM LIST'!A:A, 'MASTER ITEM LIST'!B:B, ""))</f>
        <v>NAX QDU MIX 1L</v>
      </c>
      <c r="F924" s="31"/>
      <c r="G924" s="67" t="s">
        <v>1376</v>
      </c>
      <c r="H924" s="31">
        <v>1.0</v>
      </c>
      <c r="I924" s="31" t="str">
        <f t="array" ref="I924">IFERROR(XLOOKUP(D924,'MASTER ITEM LIST'!A:A,'MASTER ITEM LIST'!D:D), "")</f>
        <v>LITER</v>
      </c>
      <c r="J924" s="34">
        <v>1600.0</v>
      </c>
      <c r="K924" s="69">
        <f t="shared" si="1"/>
        <v>1600</v>
      </c>
      <c r="L924" s="70" t="s">
        <v>42</v>
      </c>
    </row>
    <row r="925" ht="22.5" customHeight="1">
      <c r="A925" s="29">
        <v>46195.0</v>
      </c>
      <c r="B925" s="31"/>
      <c r="C925" s="32" t="s">
        <v>711</v>
      </c>
      <c r="D925" s="71" t="s">
        <v>1019</v>
      </c>
      <c r="E925" s="66" t="str">
        <f t="array" ref="E925">IF(D925="", "", XLOOKUP(D925, 'MASTER ITEM LIST'!A:A, 'MASTER ITEM LIST'!B:B, ""))</f>
        <v>GI PAINT REMOVER BOTTLE</v>
      </c>
      <c r="F925" s="31"/>
      <c r="G925" s="67" t="s">
        <v>34</v>
      </c>
      <c r="H925" s="31">
        <v>1.0</v>
      </c>
      <c r="I925" s="31" t="str">
        <f t="array" ref="I925">IFERROR(XLOOKUP(D925,'MASTER ITEM LIST'!A:A,'MASTER ITEM LIST'!D:D), "")</f>
        <v>BOT</v>
      </c>
      <c r="J925" s="34">
        <v>100.0</v>
      </c>
      <c r="K925" s="69">
        <f t="shared" si="1"/>
        <v>100</v>
      </c>
      <c r="L925" s="70" t="s">
        <v>42</v>
      </c>
    </row>
    <row r="926" ht="22.5" customHeight="1">
      <c r="A926" s="29">
        <v>46195.0</v>
      </c>
      <c r="B926" s="31"/>
      <c r="C926" s="32" t="s">
        <v>711</v>
      </c>
      <c r="D926" s="71" t="s">
        <v>452</v>
      </c>
      <c r="E926" s="66" t="str">
        <f t="array" ref="E926">IF(D926="", "", XLOOKUP(D926, 'MASTER ITEM LIST'!A:A, 'MASTER ITEM LIST'!B:B, ""))</f>
        <v>NIPPON DOU CLASSIC SG 715 WHITE 5L</v>
      </c>
      <c r="F926" s="31"/>
      <c r="G926" s="67" t="s">
        <v>34</v>
      </c>
      <c r="H926" s="31">
        <v>1.0</v>
      </c>
      <c r="I926" s="31" t="str">
        <f t="array" ref="I926">IFERROR(XLOOKUP(D926,'MASTER ITEM LIST'!A:A,'MASTER ITEM LIST'!D:D), "")</f>
        <v>GAL</v>
      </c>
      <c r="J926" s="34">
        <v>1100.0</v>
      </c>
      <c r="K926" s="69">
        <f t="shared" si="1"/>
        <v>1100</v>
      </c>
      <c r="L926" s="70" t="s">
        <v>42</v>
      </c>
    </row>
    <row r="927" ht="22.5" customHeight="1">
      <c r="A927" s="29">
        <v>46175.0</v>
      </c>
      <c r="B927" s="31" t="s">
        <v>1695</v>
      </c>
      <c r="C927" s="32" t="s">
        <v>1240</v>
      </c>
      <c r="D927" s="71" t="s">
        <v>90</v>
      </c>
      <c r="E927" s="66" t="str">
        <f t="array" ref="E927">IF(D927="", "", XLOOKUP(D927, 'MASTER ITEM LIST'!A:A, 'MASTER ITEM LIST'!B:B, ""))</f>
        <v>NAX SOB757 HIGH GRADE URETHANE THINNER 4L</v>
      </c>
      <c r="F927" s="31"/>
      <c r="G927" s="67" t="s">
        <v>34</v>
      </c>
      <c r="H927" s="31">
        <v>1.0</v>
      </c>
      <c r="I927" s="31" t="str">
        <f t="array" ref="I927">IFERROR(XLOOKUP(D927,'MASTER ITEM LIST'!A:A,'MASTER ITEM LIST'!D:D), "")</f>
        <v>GAL</v>
      </c>
      <c r="J927" s="34">
        <v>750.0</v>
      </c>
      <c r="K927" s="69">
        <f t="shared" si="1"/>
        <v>750</v>
      </c>
      <c r="L927" s="70" t="s">
        <v>42</v>
      </c>
    </row>
    <row r="928" ht="22.5" customHeight="1">
      <c r="A928" s="29">
        <v>46175.0</v>
      </c>
      <c r="B928" s="31" t="s">
        <v>1695</v>
      </c>
      <c r="C928" s="32" t="s">
        <v>1240</v>
      </c>
      <c r="D928" s="71" t="s">
        <v>415</v>
      </c>
      <c r="E928" s="66" t="str">
        <f t="array" ref="E928">IF(D928="", "", XLOOKUP(D928, 'MASTER ITEM LIST'!A:A, 'MASTER ITEM LIST'!B:B, ""))</f>
        <v>NAX PREMILA NP9700 HS 2K CLEAR WITH HARDENER 1L</v>
      </c>
      <c r="F928" s="31"/>
      <c r="G928" s="67" t="s">
        <v>34</v>
      </c>
      <c r="H928" s="31">
        <v>1.0</v>
      </c>
      <c r="I928" s="31" t="str">
        <f t="array" ref="I928">IFERROR(XLOOKUP(D928,'MASTER ITEM LIST'!A:A,'MASTER ITEM LIST'!D:D), "")</f>
        <v>LITER</v>
      </c>
      <c r="J928" s="34">
        <v>1600.0</v>
      </c>
      <c r="K928" s="69">
        <f t="shared" si="1"/>
        <v>1600</v>
      </c>
      <c r="L928" s="70" t="s">
        <v>42</v>
      </c>
    </row>
    <row r="929" ht="22.5" customHeight="1">
      <c r="A929" s="29">
        <v>46175.0</v>
      </c>
      <c r="B929" s="31" t="s">
        <v>1695</v>
      </c>
      <c r="C929" s="32" t="s">
        <v>1240</v>
      </c>
      <c r="D929" s="71" t="s">
        <v>198</v>
      </c>
      <c r="E929" s="66" t="str">
        <f t="array" ref="E929">IF(D929="", "", XLOOKUP(D929, 'MASTER ITEM LIST'!A:A, 'MASTER ITEM LIST'!B:B, ""))</f>
        <v>EAGLE SANDPAPER #2000</v>
      </c>
      <c r="F929" s="31"/>
      <c r="G929" s="67" t="s">
        <v>34</v>
      </c>
      <c r="H929" s="31">
        <v>3.0</v>
      </c>
      <c r="I929" s="31" t="str">
        <f t="array" ref="I929">IFERROR(XLOOKUP(D929,'MASTER ITEM LIST'!A:A,'MASTER ITEM LIST'!D:D), "")</f>
        <v>PC/S</v>
      </c>
      <c r="J929" s="34">
        <v>35.0</v>
      </c>
      <c r="K929" s="69">
        <f t="shared" si="1"/>
        <v>105</v>
      </c>
      <c r="L929" s="70" t="s">
        <v>42</v>
      </c>
    </row>
    <row r="930" ht="22.5" customHeight="1">
      <c r="A930" s="29">
        <v>46175.0</v>
      </c>
      <c r="B930" s="31" t="s">
        <v>1695</v>
      </c>
      <c r="C930" s="32" t="s">
        <v>1240</v>
      </c>
      <c r="D930" s="71" t="s">
        <v>516</v>
      </c>
      <c r="E930" s="66" t="str">
        <f t="array" ref="E930">IF(D930="", "", XLOOKUP(D930, 'MASTER ITEM LIST'!A:A, 'MASTER ITEM LIST'!B:B, ""))</f>
        <v>EAGLE SANDPAPER #1500</v>
      </c>
      <c r="F930" s="31"/>
      <c r="G930" s="67" t="s">
        <v>34</v>
      </c>
      <c r="H930" s="31">
        <v>5.0</v>
      </c>
      <c r="I930" s="31" t="str">
        <f t="array" ref="I930">IFERROR(XLOOKUP(D930,'MASTER ITEM LIST'!A:A,'MASTER ITEM LIST'!D:D), "")</f>
        <v>PC/S</v>
      </c>
      <c r="J930" s="34">
        <v>35.0</v>
      </c>
      <c r="K930" s="69">
        <f t="shared" si="1"/>
        <v>175</v>
      </c>
      <c r="L930" s="70" t="s">
        <v>42</v>
      </c>
    </row>
    <row r="931" ht="22.5" customHeight="1">
      <c r="A931" s="29">
        <v>46175.0</v>
      </c>
      <c r="B931" s="31" t="s">
        <v>1695</v>
      </c>
      <c r="C931" s="32" t="s">
        <v>1240</v>
      </c>
      <c r="D931" s="71" t="s">
        <v>432</v>
      </c>
      <c r="E931" s="66" t="str">
        <f t="array" ref="E931">IF(D931="", "", XLOOKUP(D931, 'MASTER ITEM LIST'!A:A, 'MASTER ITEM LIST'!B:B, ""))</f>
        <v>EAGLE SANDPAPER #600</v>
      </c>
      <c r="F931" s="31"/>
      <c r="G931" s="67" t="s">
        <v>34</v>
      </c>
      <c r="H931" s="31">
        <v>5.0</v>
      </c>
      <c r="I931" s="31" t="str">
        <f t="array" ref="I931">IFERROR(XLOOKUP(D931,'MASTER ITEM LIST'!A:A,'MASTER ITEM LIST'!D:D), "")</f>
        <v>PCS</v>
      </c>
      <c r="J931" s="34">
        <v>25.0</v>
      </c>
      <c r="K931" s="69">
        <f t="shared" si="1"/>
        <v>125</v>
      </c>
      <c r="L931" s="70" t="s">
        <v>42</v>
      </c>
    </row>
    <row r="932" ht="22.5" customHeight="1">
      <c r="A932" s="29">
        <v>46175.0</v>
      </c>
      <c r="B932" s="31" t="s">
        <v>1695</v>
      </c>
      <c r="C932" s="32" t="s">
        <v>1240</v>
      </c>
      <c r="D932" s="71" t="s">
        <v>942</v>
      </c>
      <c r="E932" s="66" t="str">
        <f t="array" ref="E932">IF(D932="", "", XLOOKUP(D932, 'MASTER ITEM LIST'!A:A, 'MASTER ITEM LIST'!B:B, ""))</f>
        <v>EAGLE SANDPAPER #1000</v>
      </c>
      <c r="F932" s="31"/>
      <c r="G932" s="67" t="s">
        <v>34</v>
      </c>
      <c r="H932" s="31">
        <v>3.0</v>
      </c>
      <c r="I932" s="31" t="str">
        <f t="array" ref="I932">IFERROR(XLOOKUP(D932,'MASTER ITEM LIST'!A:A,'MASTER ITEM LIST'!D:D), "")</f>
        <v>PC/S</v>
      </c>
      <c r="J932" s="34">
        <v>25.0</v>
      </c>
      <c r="K932" s="69">
        <f t="shared" si="1"/>
        <v>75</v>
      </c>
      <c r="L932" s="70" t="s">
        <v>42</v>
      </c>
    </row>
    <row r="933" ht="22.5" customHeight="1">
      <c r="A933" s="29">
        <v>46175.0</v>
      </c>
      <c r="B933" s="31" t="s">
        <v>1695</v>
      </c>
      <c r="C933" s="32" t="s">
        <v>1240</v>
      </c>
      <c r="D933" s="71" t="s">
        <v>548</v>
      </c>
      <c r="E933" s="66" t="str">
        <f t="array" ref="E933">IF(D933="", "", XLOOKUP(D933, 'MASTER ITEM LIST'!A:A, 'MASTER ITEM LIST'!B:B, ""))</f>
        <v>EAGLE SANDPAPER #240</v>
      </c>
      <c r="F933" s="31"/>
      <c r="G933" s="67" t="s">
        <v>34</v>
      </c>
      <c r="H933" s="31">
        <v>3.0</v>
      </c>
      <c r="I933" s="31" t="str">
        <f t="array" ref="I933">IFERROR(XLOOKUP(D933,'MASTER ITEM LIST'!A:A,'MASTER ITEM LIST'!D:D), "")</f>
        <v>PC/S</v>
      </c>
      <c r="J933" s="34">
        <v>25.0</v>
      </c>
      <c r="K933" s="69">
        <f t="shared" si="1"/>
        <v>75</v>
      </c>
      <c r="L933" s="70" t="s">
        <v>42</v>
      </c>
    </row>
    <row r="934" ht="22.5" customHeight="1">
      <c r="A934" s="29">
        <v>46175.0</v>
      </c>
      <c r="B934" s="31" t="s">
        <v>1695</v>
      </c>
      <c r="C934" s="32" t="s">
        <v>1240</v>
      </c>
      <c r="D934" s="71" t="s">
        <v>233</v>
      </c>
      <c r="E934" s="66" t="str">
        <f t="array" ref="E934">IF(D934="", "", XLOOKUP(D934, 'MASTER ITEM LIST'!A:A, 'MASTER ITEM LIST'!B:B, ""))</f>
        <v>NAX ALPHA HB SPRAY FILLER GRAY WITH HARDENER 1L</v>
      </c>
      <c r="F934" s="31"/>
      <c r="G934" s="67" t="s">
        <v>34</v>
      </c>
      <c r="H934" s="31">
        <v>1.0</v>
      </c>
      <c r="I934" s="31" t="str">
        <f t="array" ref="I934">IFERROR(XLOOKUP(D934,'MASTER ITEM LIST'!A:A,'MASTER ITEM LIST'!D:D), "")</f>
        <v>LITER</v>
      </c>
      <c r="J934" s="34">
        <v>600.0</v>
      </c>
      <c r="K934" s="69">
        <f t="shared" si="1"/>
        <v>600</v>
      </c>
      <c r="L934" s="70" t="s">
        <v>42</v>
      </c>
    </row>
    <row r="935" ht="22.5" customHeight="1">
      <c r="A935" s="29">
        <v>46175.0</v>
      </c>
      <c r="B935" s="31" t="s">
        <v>1695</v>
      </c>
      <c r="C935" s="32" t="s">
        <v>1240</v>
      </c>
      <c r="D935" s="71" t="s">
        <v>136</v>
      </c>
      <c r="E935" s="66" t="str">
        <f t="array" ref="E935">IF(D935="", "", XLOOKUP(D935, 'MASTER ITEM LIST'!A:A, 'MASTER ITEM LIST'!B:B, ""))</f>
        <v>CROCO MASKING TAPE 3/4 18MM (1X64)</v>
      </c>
      <c r="F935" s="31"/>
      <c r="G935" s="67" t="s">
        <v>34</v>
      </c>
      <c r="H935" s="31">
        <v>5.0</v>
      </c>
      <c r="I935" s="31" t="str">
        <f t="array" ref="I935">IFERROR(XLOOKUP(D935,'MASTER ITEM LIST'!A:A,'MASTER ITEM LIST'!D:D), "")</f>
        <v>PC/S</v>
      </c>
      <c r="J935" s="34">
        <v>35.0</v>
      </c>
      <c r="K935" s="69">
        <f t="shared" si="1"/>
        <v>175</v>
      </c>
      <c r="L935" s="70" t="s">
        <v>42</v>
      </c>
    </row>
    <row r="936" ht="22.5" customHeight="1">
      <c r="A936" s="29">
        <v>46177.0</v>
      </c>
      <c r="B936" s="31" t="s">
        <v>1696</v>
      </c>
      <c r="C936" s="32" t="s">
        <v>1240</v>
      </c>
      <c r="D936" s="71" t="s">
        <v>415</v>
      </c>
      <c r="E936" s="66" t="str">
        <f t="array" ref="E936">IF(D936="", "", XLOOKUP(D936, 'MASTER ITEM LIST'!A:A, 'MASTER ITEM LIST'!B:B, ""))</f>
        <v>NAX PREMILA NP9700 HS 2K CLEAR WITH HARDENER 1L</v>
      </c>
      <c r="F936" s="31"/>
      <c r="G936" s="67" t="s">
        <v>1376</v>
      </c>
      <c r="H936" s="31">
        <v>1.0</v>
      </c>
      <c r="I936" s="31" t="str">
        <f t="array" ref="I936">IFERROR(XLOOKUP(D936,'MASTER ITEM LIST'!A:A,'MASTER ITEM LIST'!D:D), "")</f>
        <v>LITER</v>
      </c>
      <c r="J936" s="34">
        <v>1600.0</v>
      </c>
      <c r="K936" s="69">
        <f t="shared" si="1"/>
        <v>1600</v>
      </c>
      <c r="L936" s="70" t="s">
        <v>42</v>
      </c>
    </row>
    <row r="937" ht="22.5" customHeight="1">
      <c r="A937" s="29">
        <v>46177.0</v>
      </c>
      <c r="B937" s="31" t="s">
        <v>1696</v>
      </c>
      <c r="C937" s="32" t="s">
        <v>1240</v>
      </c>
      <c r="D937" s="71" t="s">
        <v>432</v>
      </c>
      <c r="E937" s="66" t="str">
        <f t="array" ref="E937">IF(D937="", "", XLOOKUP(D937, 'MASTER ITEM LIST'!A:A, 'MASTER ITEM LIST'!B:B, ""))</f>
        <v>EAGLE SANDPAPER #600</v>
      </c>
      <c r="F937" s="31"/>
      <c r="G937" s="67" t="s">
        <v>1376</v>
      </c>
      <c r="H937" s="31">
        <v>5.0</v>
      </c>
      <c r="I937" s="31" t="str">
        <f t="array" ref="I937">IFERROR(XLOOKUP(D937,'MASTER ITEM LIST'!A:A,'MASTER ITEM LIST'!D:D), "")</f>
        <v>PCS</v>
      </c>
      <c r="J937" s="34">
        <v>25.0</v>
      </c>
      <c r="K937" s="69">
        <f t="shared" si="1"/>
        <v>125</v>
      </c>
      <c r="L937" s="70" t="s">
        <v>42</v>
      </c>
    </row>
    <row r="938" ht="22.5" customHeight="1">
      <c r="A938" s="29">
        <v>46177.0</v>
      </c>
      <c r="B938" s="31" t="s">
        <v>1696</v>
      </c>
      <c r="C938" s="32" t="s">
        <v>1240</v>
      </c>
      <c r="D938" s="71" t="s">
        <v>942</v>
      </c>
      <c r="E938" s="66" t="str">
        <f t="array" ref="E938">IF(D938="", "", XLOOKUP(D938, 'MASTER ITEM LIST'!A:A, 'MASTER ITEM LIST'!B:B, ""))</f>
        <v>EAGLE SANDPAPER #1000</v>
      </c>
      <c r="F938" s="31"/>
      <c r="G938" s="67" t="s">
        <v>1376</v>
      </c>
      <c r="H938" s="31">
        <v>5.0</v>
      </c>
      <c r="I938" s="31" t="str">
        <f t="array" ref="I938">IFERROR(XLOOKUP(D938,'MASTER ITEM LIST'!A:A,'MASTER ITEM LIST'!D:D), "")</f>
        <v>PC/S</v>
      </c>
      <c r="J938" s="34">
        <v>25.0</v>
      </c>
      <c r="K938" s="69">
        <f t="shared" si="1"/>
        <v>125</v>
      </c>
      <c r="L938" s="70" t="s">
        <v>42</v>
      </c>
    </row>
    <row r="939" ht="22.5" customHeight="1">
      <c r="A939" s="29">
        <v>46177.0</v>
      </c>
      <c r="B939" s="31" t="s">
        <v>1696</v>
      </c>
      <c r="C939" s="32" t="s">
        <v>1240</v>
      </c>
      <c r="D939" s="71" t="s">
        <v>516</v>
      </c>
      <c r="E939" s="66" t="str">
        <f t="array" ref="E939">IF(D939="", "", XLOOKUP(D939, 'MASTER ITEM LIST'!A:A, 'MASTER ITEM LIST'!B:B, ""))</f>
        <v>EAGLE SANDPAPER #1500</v>
      </c>
      <c r="F939" s="31"/>
      <c r="G939" s="67" t="s">
        <v>1376</v>
      </c>
      <c r="H939" s="31">
        <v>5.0</v>
      </c>
      <c r="I939" s="31" t="str">
        <f t="array" ref="I939">IFERROR(XLOOKUP(D939,'MASTER ITEM LIST'!A:A,'MASTER ITEM LIST'!D:D), "")</f>
        <v>PC/S</v>
      </c>
      <c r="J939" s="34">
        <v>35.0</v>
      </c>
      <c r="K939" s="69">
        <f t="shared" si="1"/>
        <v>175</v>
      </c>
      <c r="L939" s="70" t="s">
        <v>42</v>
      </c>
    </row>
    <row r="940" ht="22.5" customHeight="1">
      <c r="A940" s="29">
        <v>46177.0</v>
      </c>
      <c r="B940" s="31" t="s">
        <v>1696</v>
      </c>
      <c r="C940" s="32" t="s">
        <v>1240</v>
      </c>
      <c r="D940" s="71" t="s">
        <v>931</v>
      </c>
      <c r="E940" s="66" t="str">
        <f t="array" ref="E940">IF(D940="", "", XLOOKUP(D940, 'MASTER ITEM LIST'!A:A, 'MASTER ITEM LIST'!B:B, ""))</f>
        <v>EAGLE SANDPAPER #60</v>
      </c>
      <c r="F940" s="31"/>
      <c r="G940" s="67" t="s">
        <v>1376</v>
      </c>
      <c r="H940" s="31">
        <v>5.0</v>
      </c>
      <c r="I940" s="31" t="str">
        <f t="array" ref="I940">IFERROR(XLOOKUP(D940,'MASTER ITEM LIST'!A:A,'MASTER ITEM LIST'!D:D), "")</f>
        <v>PC/S</v>
      </c>
      <c r="J940" s="34">
        <v>40.0</v>
      </c>
      <c r="K940" s="69">
        <f t="shared" si="1"/>
        <v>200</v>
      </c>
      <c r="L940" s="70" t="s">
        <v>42</v>
      </c>
    </row>
    <row r="941" ht="22.5" customHeight="1">
      <c r="A941" s="29">
        <v>46177.0</v>
      </c>
      <c r="B941" s="31" t="s">
        <v>1696</v>
      </c>
      <c r="C941" s="32" t="s">
        <v>1240</v>
      </c>
      <c r="D941" s="71" t="s">
        <v>117</v>
      </c>
      <c r="E941" s="66" t="str">
        <f t="array" ref="E941">IF(D941="", "", XLOOKUP(D941, 'MASTER ITEM LIST'!A:A, 'MASTER ITEM LIST'!B:B, ""))</f>
        <v>EAGLE SANDPAPER #120</v>
      </c>
      <c r="F941" s="31"/>
      <c r="G941" s="67" t="s">
        <v>1376</v>
      </c>
      <c r="H941" s="31">
        <v>5.0</v>
      </c>
      <c r="I941" s="31" t="str">
        <f t="array" ref="I941">IFERROR(XLOOKUP(D941,'MASTER ITEM LIST'!A:A,'MASTER ITEM LIST'!D:D), "")</f>
        <v>PC/S</v>
      </c>
      <c r="J941" s="34">
        <v>25.0</v>
      </c>
      <c r="K941" s="69">
        <f t="shared" si="1"/>
        <v>125</v>
      </c>
      <c r="L941" s="70" t="s">
        <v>42</v>
      </c>
    </row>
    <row r="942" ht="22.5" customHeight="1">
      <c r="A942" s="29">
        <v>46177.0</v>
      </c>
      <c r="B942" s="31" t="s">
        <v>1696</v>
      </c>
      <c r="C942" s="32" t="s">
        <v>1240</v>
      </c>
      <c r="D942" s="71" t="s">
        <v>548</v>
      </c>
      <c r="E942" s="66" t="str">
        <f t="array" ref="E942">IF(D942="", "", XLOOKUP(D942, 'MASTER ITEM LIST'!A:A, 'MASTER ITEM LIST'!B:B, ""))</f>
        <v>EAGLE SANDPAPER #240</v>
      </c>
      <c r="F942" s="31"/>
      <c r="G942" s="67" t="s">
        <v>1376</v>
      </c>
      <c r="H942" s="31">
        <v>5.0</v>
      </c>
      <c r="I942" s="31" t="str">
        <f t="array" ref="I942">IFERROR(XLOOKUP(D942,'MASTER ITEM LIST'!A:A,'MASTER ITEM LIST'!D:D), "")</f>
        <v>PC/S</v>
      </c>
      <c r="J942" s="34">
        <v>25.0</v>
      </c>
      <c r="K942" s="69">
        <f t="shared" si="1"/>
        <v>125</v>
      </c>
      <c r="L942" s="70" t="s">
        <v>42</v>
      </c>
    </row>
    <row r="943" ht="22.5" customHeight="1">
      <c r="A943" s="29">
        <v>46177.0</v>
      </c>
      <c r="B943" s="31" t="s">
        <v>1696</v>
      </c>
      <c r="C943" s="32" t="s">
        <v>1240</v>
      </c>
      <c r="D943" s="71" t="s">
        <v>220</v>
      </c>
      <c r="E943" s="66" t="str">
        <f t="array" ref="E943">IF(D943="", "", XLOOKUP(D943, 'MASTER ITEM LIST'!A:A, 'MASTER ITEM LIST'!B:B, ""))</f>
        <v>PREMILA MIXING 1L</v>
      </c>
      <c r="F943" s="31" t="s">
        <v>1681</v>
      </c>
      <c r="G943" s="67" t="s">
        <v>1376</v>
      </c>
      <c r="H943" s="31">
        <v>0.5</v>
      </c>
      <c r="I943" s="31" t="str">
        <f t="array" ref="I943">IFERROR(XLOOKUP(D943,'MASTER ITEM LIST'!A:A,'MASTER ITEM LIST'!D:D), "")</f>
        <v>LITER</v>
      </c>
      <c r="J943" s="34">
        <v>2000.0</v>
      </c>
      <c r="K943" s="69">
        <f t="shared" si="1"/>
        <v>1000</v>
      </c>
      <c r="L943" s="70" t="s">
        <v>42</v>
      </c>
    </row>
    <row r="944" ht="22.5" customHeight="1">
      <c r="A944" s="29">
        <v>46177.0</v>
      </c>
      <c r="B944" s="31" t="s">
        <v>1696</v>
      </c>
      <c r="C944" s="32" t="s">
        <v>1240</v>
      </c>
      <c r="D944" s="71" t="s">
        <v>220</v>
      </c>
      <c r="E944" s="66" t="str">
        <f t="array" ref="E944">IF(D944="", "", XLOOKUP(D944, 'MASTER ITEM LIST'!A:A, 'MASTER ITEM LIST'!B:B, ""))</f>
        <v>PREMILA MIXING 1L</v>
      </c>
      <c r="F944" s="31" t="s">
        <v>1697</v>
      </c>
      <c r="G944" s="67" t="s">
        <v>1376</v>
      </c>
      <c r="H944" s="31">
        <v>0.5</v>
      </c>
      <c r="I944" s="31" t="str">
        <f t="array" ref="I944">IFERROR(XLOOKUP(D944,'MASTER ITEM LIST'!A:A,'MASTER ITEM LIST'!D:D), "")</f>
        <v>LITER</v>
      </c>
      <c r="J944" s="34">
        <v>2700.0</v>
      </c>
      <c r="K944" s="69">
        <f t="shared" si="1"/>
        <v>1350</v>
      </c>
      <c r="L944" s="70" t="s">
        <v>42</v>
      </c>
    </row>
    <row r="945" ht="22.5" customHeight="1">
      <c r="A945" s="29">
        <v>46181.0</v>
      </c>
      <c r="B945" s="31" t="s">
        <v>1698</v>
      </c>
      <c r="C945" s="32" t="s">
        <v>1240</v>
      </c>
      <c r="D945" s="71" t="s">
        <v>90</v>
      </c>
      <c r="E945" s="66" t="str">
        <f t="array" ref="E945">IF(D945="", "", XLOOKUP(D945, 'MASTER ITEM LIST'!A:A, 'MASTER ITEM LIST'!B:B, ""))</f>
        <v>NAX SOB757 HIGH GRADE URETHANE THINNER 4L</v>
      </c>
      <c r="F945" s="31"/>
      <c r="G945" s="67" t="s">
        <v>34</v>
      </c>
      <c r="H945" s="31">
        <v>1.0</v>
      </c>
      <c r="I945" s="31" t="str">
        <f t="array" ref="I945">IFERROR(XLOOKUP(D945,'MASTER ITEM LIST'!A:A,'MASTER ITEM LIST'!D:D), "")</f>
        <v>GAL</v>
      </c>
      <c r="J945" s="34">
        <v>750.0</v>
      </c>
      <c r="K945" s="69">
        <f t="shared" si="1"/>
        <v>750</v>
      </c>
      <c r="L945" s="70" t="s">
        <v>42</v>
      </c>
    </row>
    <row r="946" ht="22.5" customHeight="1">
      <c r="A946" s="29">
        <v>46179.0</v>
      </c>
      <c r="B946" s="31" t="s">
        <v>1699</v>
      </c>
      <c r="C946" s="32" t="s">
        <v>1240</v>
      </c>
      <c r="D946" s="71" t="s">
        <v>90</v>
      </c>
      <c r="E946" s="66" t="str">
        <f t="array" ref="E946">IF(D946="", "", XLOOKUP(D946, 'MASTER ITEM LIST'!A:A, 'MASTER ITEM LIST'!B:B, ""))</f>
        <v>NAX SOB757 HIGH GRADE URETHANE THINNER 4L</v>
      </c>
      <c r="F946" s="31"/>
      <c r="G946" s="67" t="s">
        <v>1376</v>
      </c>
      <c r="H946" s="31">
        <v>1.0</v>
      </c>
      <c r="I946" s="31" t="str">
        <f t="array" ref="I946">IFERROR(XLOOKUP(D946,'MASTER ITEM LIST'!A:A,'MASTER ITEM LIST'!D:D), "")</f>
        <v>GAL</v>
      </c>
      <c r="J946" s="34">
        <v>750.0</v>
      </c>
      <c r="K946" s="69">
        <f t="shared" si="1"/>
        <v>750</v>
      </c>
      <c r="L946" s="70" t="s">
        <v>42</v>
      </c>
    </row>
    <row r="947" ht="22.5" customHeight="1">
      <c r="A947" s="29">
        <v>46179.0</v>
      </c>
      <c r="B947" s="31" t="s">
        <v>1699</v>
      </c>
      <c r="C947" s="32" t="s">
        <v>1240</v>
      </c>
      <c r="D947" s="71" t="s">
        <v>415</v>
      </c>
      <c r="E947" s="66" t="str">
        <f t="array" ref="E947">IF(D947="", "", XLOOKUP(D947, 'MASTER ITEM LIST'!A:A, 'MASTER ITEM LIST'!B:B, ""))</f>
        <v>NAX PREMILA NP9700 HS 2K CLEAR WITH HARDENER 1L</v>
      </c>
      <c r="F947" s="31"/>
      <c r="G947" s="67" t="s">
        <v>1376</v>
      </c>
      <c r="H947" s="31">
        <v>1.0</v>
      </c>
      <c r="I947" s="31" t="str">
        <f t="array" ref="I947">IFERROR(XLOOKUP(D947,'MASTER ITEM LIST'!A:A,'MASTER ITEM LIST'!D:D), "")</f>
        <v>LITER</v>
      </c>
      <c r="J947" s="34">
        <v>1600.0</v>
      </c>
      <c r="K947" s="69">
        <f t="shared" si="1"/>
        <v>1600</v>
      </c>
      <c r="L947" s="70" t="s">
        <v>42</v>
      </c>
    </row>
    <row r="948" ht="22.5" customHeight="1">
      <c r="A948" s="29">
        <v>46185.0</v>
      </c>
      <c r="B948" s="31" t="s">
        <v>1700</v>
      </c>
      <c r="C948" s="32" t="s">
        <v>1240</v>
      </c>
      <c r="D948" s="71" t="s">
        <v>53</v>
      </c>
      <c r="E948" s="66" t="str">
        <f t="array" ref="E948">IF(D948="", "", XLOOKUP(D948, 'MASTER ITEM LIST'!A:A, 'MASTER ITEM LIST'!B:B, ""))</f>
        <v>NAX 108 CERAMIC 2K CLEAR WITH HARDENER 1L</v>
      </c>
      <c r="F948" s="31"/>
      <c r="G948" s="67" t="s">
        <v>34</v>
      </c>
      <c r="H948" s="31">
        <v>3.0</v>
      </c>
      <c r="I948" s="31" t="str">
        <f t="array" ref="I948">IFERROR(XLOOKUP(D948,'MASTER ITEM LIST'!A:A,'MASTER ITEM LIST'!D:D), "")</f>
        <v>LITER</v>
      </c>
      <c r="J948" s="34">
        <v>710.0</v>
      </c>
      <c r="K948" s="69">
        <f t="shared" si="1"/>
        <v>2130</v>
      </c>
      <c r="L948" s="70" t="s">
        <v>42</v>
      </c>
    </row>
    <row r="949" ht="22.5" customHeight="1">
      <c r="A949" s="29">
        <v>46185.0</v>
      </c>
      <c r="B949" s="31" t="s">
        <v>1700</v>
      </c>
      <c r="C949" s="32" t="s">
        <v>1240</v>
      </c>
      <c r="D949" s="71" t="s">
        <v>63</v>
      </c>
      <c r="E949" s="66" t="str">
        <f t="array" ref="E949">IF(D949="", "", XLOOKUP(D949, 'MASTER ITEM LIST'!A:A, 'MASTER ITEM LIST'!B:B, ""))</f>
        <v>OLD NEWS</v>
      </c>
      <c r="F949" s="31"/>
      <c r="G949" s="67" t="s">
        <v>34</v>
      </c>
      <c r="H949" s="31">
        <v>1.0</v>
      </c>
      <c r="I949" s="31" t="str">
        <f t="array" ref="I949">IFERROR(XLOOKUP(D949,'MASTER ITEM LIST'!A:A,'MASTER ITEM LIST'!D:D), "")</f>
        <v>KG</v>
      </c>
      <c r="J949" s="34">
        <v>100.0</v>
      </c>
      <c r="K949" s="69">
        <f t="shared" si="1"/>
        <v>100</v>
      </c>
      <c r="L949" s="70" t="s">
        <v>42</v>
      </c>
    </row>
    <row r="950" ht="22.5" customHeight="1">
      <c r="A950" s="29">
        <v>46185.0</v>
      </c>
      <c r="B950" s="31" t="s">
        <v>1700</v>
      </c>
      <c r="C950" s="32" t="s">
        <v>1240</v>
      </c>
      <c r="D950" s="71" t="s">
        <v>220</v>
      </c>
      <c r="E950" s="66" t="str">
        <f t="array" ref="E950">IF(D950="", "", XLOOKUP(D950, 'MASTER ITEM LIST'!A:A, 'MASTER ITEM LIST'!B:B, ""))</f>
        <v>PREMILA MIXING 1L</v>
      </c>
      <c r="F950" s="31" t="s">
        <v>1701</v>
      </c>
      <c r="G950" s="67" t="s">
        <v>34</v>
      </c>
      <c r="H950" s="31">
        <v>0.5</v>
      </c>
      <c r="I950" s="31" t="str">
        <f t="array" ref="I950">IFERROR(XLOOKUP(D950,'MASTER ITEM LIST'!A:A,'MASTER ITEM LIST'!D:D), "")</f>
        <v>LITER</v>
      </c>
      <c r="J950" s="34">
        <v>2500.0</v>
      </c>
      <c r="K950" s="69">
        <f t="shared" si="1"/>
        <v>1250</v>
      </c>
      <c r="L950" s="70" t="s">
        <v>42</v>
      </c>
    </row>
    <row r="951" ht="22.5" customHeight="1">
      <c r="A951" s="29">
        <v>46185.0</v>
      </c>
      <c r="B951" s="31" t="s">
        <v>1700</v>
      </c>
      <c r="C951" s="32" t="s">
        <v>1240</v>
      </c>
      <c r="D951" s="71" t="s">
        <v>220</v>
      </c>
      <c r="E951" s="66" t="str">
        <f t="array" ref="E951">IF(D951="", "", XLOOKUP(D951, 'MASTER ITEM LIST'!A:A, 'MASTER ITEM LIST'!B:B, ""))</f>
        <v>PREMILA MIXING 1L</v>
      </c>
      <c r="F951" s="31" t="s">
        <v>1702</v>
      </c>
      <c r="G951" s="67" t="s">
        <v>34</v>
      </c>
      <c r="H951" s="31">
        <v>2.5</v>
      </c>
      <c r="I951" s="31" t="str">
        <f t="array" ref="I951">IFERROR(XLOOKUP(D951,'MASTER ITEM LIST'!A:A,'MASTER ITEM LIST'!D:D), "")</f>
        <v>LITER</v>
      </c>
      <c r="J951" s="34">
        <v>2500.0</v>
      </c>
      <c r="K951" s="69">
        <f t="shared" si="1"/>
        <v>6250</v>
      </c>
      <c r="L951" s="70" t="s">
        <v>42</v>
      </c>
    </row>
    <row r="952" ht="22.5" customHeight="1">
      <c r="A952" s="29">
        <v>46185.0</v>
      </c>
      <c r="B952" s="31" t="s">
        <v>1700</v>
      </c>
      <c r="C952" s="32" t="s">
        <v>1240</v>
      </c>
      <c r="D952" s="71" t="s">
        <v>516</v>
      </c>
      <c r="E952" s="66" t="str">
        <f t="array" ref="E952">IF(D952="", "", XLOOKUP(D952, 'MASTER ITEM LIST'!A:A, 'MASTER ITEM LIST'!B:B, ""))</f>
        <v>EAGLE SANDPAPER #1500</v>
      </c>
      <c r="F952" s="31"/>
      <c r="G952" s="67" t="s">
        <v>34</v>
      </c>
      <c r="H952" s="31">
        <v>5.0</v>
      </c>
      <c r="I952" s="31" t="str">
        <f t="array" ref="I952">IFERROR(XLOOKUP(D952,'MASTER ITEM LIST'!A:A,'MASTER ITEM LIST'!D:D), "")</f>
        <v>PC/S</v>
      </c>
      <c r="J952" s="34">
        <v>35.0</v>
      </c>
      <c r="K952" s="69">
        <f t="shared" si="1"/>
        <v>175</v>
      </c>
      <c r="L952" s="70" t="s">
        <v>42</v>
      </c>
    </row>
    <row r="953" ht="22.5" customHeight="1">
      <c r="A953" s="29">
        <v>46185.0</v>
      </c>
      <c r="B953" s="31" t="s">
        <v>1700</v>
      </c>
      <c r="C953" s="32" t="s">
        <v>1240</v>
      </c>
      <c r="D953" s="71" t="s">
        <v>548</v>
      </c>
      <c r="E953" s="66" t="str">
        <f t="array" ref="E953">IF(D953="", "", XLOOKUP(D953, 'MASTER ITEM LIST'!A:A, 'MASTER ITEM LIST'!B:B, ""))</f>
        <v>EAGLE SANDPAPER #240</v>
      </c>
      <c r="F953" s="31"/>
      <c r="G953" s="67" t="s">
        <v>34</v>
      </c>
      <c r="H953" s="31">
        <v>5.0</v>
      </c>
      <c r="I953" s="31" t="str">
        <f t="array" ref="I953">IFERROR(XLOOKUP(D953,'MASTER ITEM LIST'!A:A,'MASTER ITEM LIST'!D:D), "")</f>
        <v>PC/S</v>
      </c>
      <c r="J953" s="34">
        <v>25.0</v>
      </c>
      <c r="K953" s="69">
        <f t="shared" si="1"/>
        <v>125</v>
      </c>
      <c r="L953" s="70" t="s">
        <v>42</v>
      </c>
    </row>
    <row r="954" ht="22.5" customHeight="1">
      <c r="A954" s="29">
        <v>46185.0</v>
      </c>
      <c r="B954" s="31" t="s">
        <v>1700</v>
      </c>
      <c r="C954" s="32" t="s">
        <v>1240</v>
      </c>
      <c r="D954" s="71" t="s">
        <v>326</v>
      </c>
      <c r="E954" s="66" t="str">
        <f t="array" ref="E954">IF(D954="", "", XLOOKUP(D954, 'MASTER ITEM LIST'!A:A, 'MASTER ITEM LIST'!B:B, ""))</f>
        <v>EAGLE SANDPAPER #1200</v>
      </c>
      <c r="F954" s="31"/>
      <c r="G954" s="67" t="s">
        <v>34</v>
      </c>
      <c r="H954" s="31">
        <v>5.0</v>
      </c>
      <c r="I954" s="31" t="str">
        <f t="array" ref="I954">IFERROR(XLOOKUP(D954,'MASTER ITEM LIST'!A:A,'MASTER ITEM LIST'!D:D), "")</f>
        <v>PC/S</v>
      </c>
      <c r="J954" s="34">
        <v>25.0</v>
      </c>
      <c r="K954" s="69">
        <f t="shared" si="1"/>
        <v>125</v>
      </c>
      <c r="L954" s="70" t="s">
        <v>42</v>
      </c>
    </row>
    <row r="955" ht="22.5" customHeight="1">
      <c r="A955" s="29">
        <v>46185.0</v>
      </c>
      <c r="B955" s="31" t="s">
        <v>1700</v>
      </c>
      <c r="C955" s="32" t="s">
        <v>1240</v>
      </c>
      <c r="D955" s="71" t="s">
        <v>942</v>
      </c>
      <c r="E955" s="66" t="str">
        <f t="array" ref="E955">IF(D955="", "", XLOOKUP(D955, 'MASTER ITEM LIST'!A:A, 'MASTER ITEM LIST'!B:B, ""))</f>
        <v>EAGLE SANDPAPER #1000</v>
      </c>
      <c r="F955" s="31"/>
      <c r="G955" s="67" t="s">
        <v>34</v>
      </c>
      <c r="H955" s="31">
        <v>5.0</v>
      </c>
      <c r="I955" s="31" t="str">
        <f t="array" ref="I955">IFERROR(XLOOKUP(D955,'MASTER ITEM LIST'!A:A,'MASTER ITEM LIST'!D:D), "")</f>
        <v>PC/S</v>
      </c>
      <c r="J955" s="34">
        <v>25.0</v>
      </c>
      <c r="K955" s="69">
        <f t="shared" si="1"/>
        <v>125</v>
      </c>
      <c r="L955" s="70" t="s">
        <v>42</v>
      </c>
    </row>
    <row r="956" ht="22.5" customHeight="1">
      <c r="A956" s="29">
        <v>46185.0</v>
      </c>
      <c r="B956" s="31" t="s">
        <v>1700</v>
      </c>
      <c r="C956" s="32" t="s">
        <v>1240</v>
      </c>
      <c r="D956" s="71" t="s">
        <v>432</v>
      </c>
      <c r="E956" s="66" t="str">
        <f t="array" ref="E956">IF(D956="", "", XLOOKUP(D956, 'MASTER ITEM LIST'!A:A, 'MASTER ITEM LIST'!B:B, ""))</f>
        <v>EAGLE SANDPAPER #600</v>
      </c>
      <c r="F956" s="31"/>
      <c r="G956" s="67" t="s">
        <v>34</v>
      </c>
      <c r="H956" s="31">
        <v>5.0</v>
      </c>
      <c r="I956" s="31" t="str">
        <f t="array" ref="I956">IFERROR(XLOOKUP(D956,'MASTER ITEM LIST'!A:A,'MASTER ITEM LIST'!D:D), "")</f>
        <v>PCS</v>
      </c>
      <c r="J956" s="34">
        <v>25.0</v>
      </c>
      <c r="K956" s="69">
        <f t="shared" si="1"/>
        <v>125</v>
      </c>
      <c r="L956" s="70" t="s">
        <v>42</v>
      </c>
    </row>
    <row r="957" ht="22.5" customHeight="1">
      <c r="A957" s="29">
        <v>46185.0</v>
      </c>
      <c r="B957" s="31" t="s">
        <v>1700</v>
      </c>
      <c r="C957" s="32" t="s">
        <v>1240</v>
      </c>
      <c r="D957" s="71" t="s">
        <v>117</v>
      </c>
      <c r="E957" s="66" t="str">
        <f t="array" ref="E957">IF(D957="", "", XLOOKUP(D957, 'MASTER ITEM LIST'!A:A, 'MASTER ITEM LIST'!B:B, ""))</f>
        <v>EAGLE SANDPAPER #120</v>
      </c>
      <c r="F957" s="31"/>
      <c r="G957" s="67" t="s">
        <v>34</v>
      </c>
      <c r="H957" s="31">
        <v>5.0</v>
      </c>
      <c r="I957" s="31" t="str">
        <f t="array" ref="I957">IFERROR(XLOOKUP(D957,'MASTER ITEM LIST'!A:A,'MASTER ITEM LIST'!D:D), "")</f>
        <v>PC/S</v>
      </c>
      <c r="J957" s="34">
        <v>25.0</v>
      </c>
      <c r="K957" s="69">
        <f t="shared" si="1"/>
        <v>125</v>
      </c>
      <c r="L957" s="70" t="s">
        <v>42</v>
      </c>
    </row>
    <row r="958" ht="22.5" customHeight="1">
      <c r="A958" s="29">
        <v>46195.0</v>
      </c>
      <c r="B958" s="31" t="s">
        <v>1703</v>
      </c>
      <c r="C958" s="32" t="s">
        <v>1210</v>
      </c>
      <c r="D958" s="71" t="s">
        <v>220</v>
      </c>
      <c r="E958" s="66" t="str">
        <f t="array" ref="E958">IF(D958="", "", XLOOKUP(D958, 'MASTER ITEM LIST'!A:A, 'MASTER ITEM LIST'!B:B, ""))</f>
        <v>PREMILA MIXING 1L</v>
      </c>
      <c r="F958" s="31" t="s">
        <v>1685</v>
      </c>
      <c r="G958" s="67" t="s">
        <v>1211</v>
      </c>
      <c r="H958" s="31">
        <v>0.75</v>
      </c>
      <c r="I958" s="31" t="str">
        <f t="array" ref="I958">IFERROR(XLOOKUP(D958,'MASTER ITEM LIST'!A:A,'MASTER ITEM LIST'!D:D), "")</f>
        <v>LITER</v>
      </c>
      <c r="J958" s="34">
        <v>2934.0</v>
      </c>
      <c r="K958" s="69">
        <f t="shared" si="1"/>
        <v>2200.5</v>
      </c>
      <c r="L958" s="70" t="s">
        <v>1212</v>
      </c>
    </row>
    <row r="959" ht="22.5" customHeight="1">
      <c r="A959" s="29">
        <v>46195.0</v>
      </c>
      <c r="B959" s="31" t="s">
        <v>1703</v>
      </c>
      <c r="C959" s="32" t="s">
        <v>1210</v>
      </c>
      <c r="D959" s="71" t="s">
        <v>53</v>
      </c>
      <c r="E959" s="66" t="str">
        <f t="array" ref="E959">IF(D959="", "", XLOOKUP(D959, 'MASTER ITEM LIST'!A:A, 'MASTER ITEM LIST'!B:B, ""))</f>
        <v>NAX 108 CERAMIC 2K CLEAR WITH HARDENER 1L</v>
      </c>
      <c r="F959" s="31"/>
      <c r="G959" s="67" t="s">
        <v>1211</v>
      </c>
      <c r="H959" s="31">
        <v>1.0</v>
      </c>
      <c r="I959" s="31" t="str">
        <f t="array" ref="I959">IFERROR(XLOOKUP(D959,'MASTER ITEM LIST'!A:A,'MASTER ITEM LIST'!D:D), "")</f>
        <v>LITER</v>
      </c>
      <c r="J959" s="34">
        <v>710.0</v>
      </c>
      <c r="K959" s="69">
        <f t="shared" si="1"/>
        <v>710</v>
      </c>
      <c r="L959" s="70" t="s">
        <v>1212</v>
      </c>
    </row>
    <row r="960" ht="22.5" customHeight="1">
      <c r="A960" s="29">
        <v>46195.0</v>
      </c>
      <c r="B960" s="31" t="s">
        <v>1703</v>
      </c>
      <c r="C960" s="32" t="s">
        <v>1210</v>
      </c>
      <c r="D960" s="71" t="s">
        <v>136</v>
      </c>
      <c r="E960" s="66" t="str">
        <f t="array" ref="E960">IF(D960="", "", XLOOKUP(D960, 'MASTER ITEM LIST'!A:A, 'MASTER ITEM LIST'!B:B, ""))</f>
        <v>CROCO MASKING TAPE 3/4 18MM (1X64)</v>
      </c>
      <c r="F960" s="31"/>
      <c r="G960" s="67" t="s">
        <v>1211</v>
      </c>
      <c r="H960" s="31">
        <v>5.0</v>
      </c>
      <c r="I960" s="31" t="str">
        <f t="array" ref="I960">IFERROR(XLOOKUP(D960,'MASTER ITEM LIST'!A:A,'MASTER ITEM LIST'!D:D), "")</f>
        <v>PC/S</v>
      </c>
      <c r="J960" s="34">
        <v>35.0</v>
      </c>
      <c r="K960" s="69">
        <f t="shared" si="1"/>
        <v>175</v>
      </c>
      <c r="L960" s="70" t="s">
        <v>1212</v>
      </c>
    </row>
    <row r="961" ht="22.5" customHeight="1">
      <c r="A961" s="29">
        <v>46195.0</v>
      </c>
      <c r="B961" s="31" t="s">
        <v>1703</v>
      </c>
      <c r="C961" s="32" t="s">
        <v>1210</v>
      </c>
      <c r="D961" s="71" t="s">
        <v>63</v>
      </c>
      <c r="E961" s="66" t="str">
        <f t="array" ref="E961">IF(D961="", "", XLOOKUP(D961, 'MASTER ITEM LIST'!A:A, 'MASTER ITEM LIST'!B:B, ""))</f>
        <v>OLD NEWS</v>
      </c>
      <c r="F961" s="31"/>
      <c r="G961" s="67" t="s">
        <v>1211</v>
      </c>
      <c r="H961" s="31">
        <v>1.0</v>
      </c>
      <c r="I961" s="31" t="str">
        <f t="array" ref="I961">IFERROR(XLOOKUP(D961,'MASTER ITEM LIST'!A:A,'MASTER ITEM LIST'!D:D), "")</f>
        <v>KG</v>
      </c>
      <c r="J961" s="34">
        <v>100.0</v>
      </c>
      <c r="K961" s="69">
        <f t="shared" si="1"/>
        <v>100</v>
      </c>
      <c r="L961" s="70" t="s">
        <v>1212</v>
      </c>
    </row>
    <row r="962" ht="22.5" customHeight="1">
      <c r="A962" s="29">
        <v>46195.0</v>
      </c>
      <c r="B962" s="31" t="s">
        <v>1703</v>
      </c>
      <c r="C962" s="32" t="s">
        <v>1210</v>
      </c>
      <c r="D962" s="71" t="s">
        <v>198</v>
      </c>
      <c r="E962" s="66" t="str">
        <f t="array" ref="E962">IF(D962="", "", XLOOKUP(D962, 'MASTER ITEM LIST'!A:A, 'MASTER ITEM LIST'!B:B, ""))</f>
        <v>EAGLE SANDPAPER #2000</v>
      </c>
      <c r="F962" s="31"/>
      <c r="G962" s="67" t="s">
        <v>1211</v>
      </c>
      <c r="H962" s="31">
        <v>2.0</v>
      </c>
      <c r="I962" s="31" t="str">
        <f t="array" ref="I962">IFERROR(XLOOKUP(D962,'MASTER ITEM LIST'!A:A,'MASTER ITEM LIST'!D:D), "")</f>
        <v>PC/S</v>
      </c>
      <c r="J962" s="34">
        <v>25.0</v>
      </c>
      <c r="K962" s="69">
        <f t="shared" si="1"/>
        <v>50</v>
      </c>
      <c r="L962" s="70" t="s">
        <v>1212</v>
      </c>
    </row>
    <row r="963" ht="22.5" customHeight="1">
      <c r="A963" s="29">
        <v>46195.0</v>
      </c>
      <c r="B963" s="31" t="s">
        <v>1703</v>
      </c>
      <c r="C963" s="32" t="s">
        <v>1210</v>
      </c>
      <c r="D963" s="71" t="s">
        <v>326</v>
      </c>
      <c r="E963" s="66" t="str">
        <f t="array" ref="E963">IF(D963="", "", XLOOKUP(D963, 'MASTER ITEM LIST'!A:A, 'MASTER ITEM LIST'!B:B, ""))</f>
        <v>EAGLE SANDPAPER #1200</v>
      </c>
      <c r="F963" s="31"/>
      <c r="G963" s="67" t="s">
        <v>1211</v>
      </c>
      <c r="H963" s="31">
        <v>2.0</v>
      </c>
      <c r="I963" s="31" t="str">
        <f t="array" ref="I963">IFERROR(XLOOKUP(D963,'MASTER ITEM LIST'!A:A,'MASTER ITEM LIST'!D:D), "")</f>
        <v>PC/S</v>
      </c>
      <c r="J963" s="34">
        <v>35.0</v>
      </c>
      <c r="K963" s="69">
        <f t="shared" si="1"/>
        <v>70</v>
      </c>
      <c r="L963" s="70" t="s">
        <v>1212</v>
      </c>
    </row>
    <row r="964" ht="22.5" customHeight="1">
      <c r="A964" s="29">
        <v>46195.0</v>
      </c>
      <c r="B964" s="31" t="s">
        <v>1703</v>
      </c>
      <c r="C964" s="32" t="s">
        <v>1210</v>
      </c>
      <c r="D964" s="71" t="s">
        <v>567</v>
      </c>
      <c r="E964" s="66" t="str">
        <f t="array" ref="E964">IF(D964="", "", XLOOKUP(D964, 'MASTER ITEM LIST'!A:A, 'MASTER ITEM LIST'!B:B, ""))</f>
        <v>EAGLE SANDPAPER #800</v>
      </c>
      <c r="F964" s="31"/>
      <c r="G964" s="67" t="s">
        <v>1211</v>
      </c>
      <c r="H964" s="31">
        <v>2.0</v>
      </c>
      <c r="I964" s="31" t="str">
        <f t="array" ref="I964">IFERROR(XLOOKUP(D964,'MASTER ITEM LIST'!A:A,'MASTER ITEM LIST'!D:D), "")</f>
        <v>PC/S</v>
      </c>
      <c r="J964" s="34">
        <v>25.0</v>
      </c>
      <c r="K964" s="69">
        <f t="shared" si="1"/>
        <v>50</v>
      </c>
      <c r="L964" s="70" t="s">
        <v>1212</v>
      </c>
    </row>
    <row r="965" ht="22.5" customHeight="1">
      <c r="A965" s="29">
        <v>46195.0</v>
      </c>
      <c r="B965" s="31"/>
      <c r="C965" s="32" t="s">
        <v>711</v>
      </c>
      <c r="D965" s="71" t="s">
        <v>674</v>
      </c>
      <c r="E965" s="66" t="str">
        <f t="array" ref="E965">IF(D965="", "", XLOOKUP(D965, 'MASTER ITEM LIST'!A:A, 'MASTER ITEM LIST'!B:B, ""))</f>
        <v>DOMINO BODY FILTER WITH HARDENER 1L</v>
      </c>
      <c r="F965" s="31"/>
      <c r="G965" s="67" t="s">
        <v>34</v>
      </c>
      <c r="H965" s="31">
        <v>1.0</v>
      </c>
      <c r="I965" s="31" t="str">
        <f t="array" ref="I965">IFERROR(XLOOKUP(D965,'MASTER ITEM LIST'!A:A,'MASTER ITEM LIST'!D:D), "")</f>
        <v>LITER</v>
      </c>
      <c r="J965" s="34">
        <v>215.0</v>
      </c>
      <c r="K965" s="69">
        <f t="shared" si="1"/>
        <v>215</v>
      </c>
      <c r="L965" s="70" t="s">
        <v>42</v>
      </c>
    </row>
    <row r="966" ht="22.5" customHeight="1">
      <c r="A966" s="29">
        <v>46195.0</v>
      </c>
      <c r="B966" s="31"/>
      <c r="C966" s="32" t="s">
        <v>711</v>
      </c>
      <c r="D966" s="71" t="s">
        <v>63</v>
      </c>
      <c r="E966" s="66" t="str">
        <f t="array" ref="E966">IF(D966="", "", XLOOKUP(D966, 'MASTER ITEM LIST'!A:A, 'MASTER ITEM LIST'!B:B, ""))</f>
        <v>OLD NEWS</v>
      </c>
      <c r="F966" s="31"/>
      <c r="G966" s="67" t="s">
        <v>34</v>
      </c>
      <c r="H966" s="31">
        <v>0.5</v>
      </c>
      <c r="I966" s="31" t="str">
        <f t="array" ref="I966">IFERROR(XLOOKUP(D966,'MASTER ITEM LIST'!A:A,'MASTER ITEM LIST'!D:D), "")</f>
        <v>KG</v>
      </c>
      <c r="J966" s="34">
        <v>100.0</v>
      </c>
      <c r="K966" s="69">
        <f t="shared" si="1"/>
        <v>50</v>
      </c>
      <c r="L966" s="70" t="s">
        <v>42</v>
      </c>
    </row>
    <row r="967" ht="22.5" customHeight="1">
      <c r="A967" s="29">
        <v>46189.0</v>
      </c>
      <c r="B967" s="31" t="s">
        <v>1704</v>
      </c>
      <c r="C967" s="32" t="s">
        <v>1240</v>
      </c>
      <c r="D967" s="71" t="s">
        <v>90</v>
      </c>
      <c r="E967" s="66" t="str">
        <f t="array" ref="E967">IF(D967="", "", XLOOKUP(D967, 'MASTER ITEM LIST'!A:A, 'MASTER ITEM LIST'!B:B, ""))</f>
        <v>NAX SOB757 HIGH GRADE URETHANE THINNER 4L</v>
      </c>
      <c r="F967" s="31"/>
      <c r="G967" s="67" t="s">
        <v>1376</v>
      </c>
      <c r="H967" s="31">
        <v>1.0</v>
      </c>
      <c r="I967" s="31" t="str">
        <f t="array" ref="I967">IFERROR(XLOOKUP(D967,'MASTER ITEM LIST'!A:A,'MASTER ITEM LIST'!D:D), "")</f>
        <v>GAL</v>
      </c>
      <c r="J967" s="34">
        <v>750.0</v>
      </c>
      <c r="K967" s="69">
        <f t="shared" si="1"/>
        <v>750</v>
      </c>
      <c r="L967" s="70" t="s">
        <v>42</v>
      </c>
    </row>
    <row r="968" ht="22.5" customHeight="1">
      <c r="A968" s="29">
        <v>46189.0</v>
      </c>
      <c r="B968" s="31" t="s">
        <v>1704</v>
      </c>
      <c r="C968" s="32" t="s">
        <v>1240</v>
      </c>
      <c r="D968" s="71" t="s">
        <v>167</v>
      </c>
      <c r="E968" s="66" t="str">
        <f t="array" ref="E968">IF(D968="", "", XLOOKUP(D968, 'MASTER ITEM LIST'!A:A, 'MASTER ITEM LIST'!B:B, ""))</f>
        <v>NAX QDU MIX 1L</v>
      </c>
      <c r="F968" s="31"/>
      <c r="G968" s="67" t="s">
        <v>1376</v>
      </c>
      <c r="H968" s="31">
        <v>0.5</v>
      </c>
      <c r="I968" s="31" t="str">
        <f t="array" ref="I968">IFERROR(XLOOKUP(D968,'MASTER ITEM LIST'!A:A,'MASTER ITEM LIST'!D:D), "")</f>
        <v>LITER</v>
      </c>
      <c r="J968" s="34">
        <v>1400.0</v>
      </c>
      <c r="K968" s="69">
        <f t="shared" si="1"/>
        <v>700</v>
      </c>
      <c r="L968" s="70" t="s">
        <v>42</v>
      </c>
    </row>
    <row r="969" ht="22.5" customHeight="1">
      <c r="A969" s="29">
        <v>46189.0</v>
      </c>
      <c r="B969" s="31" t="s">
        <v>1704</v>
      </c>
      <c r="C969" s="32" t="s">
        <v>1240</v>
      </c>
      <c r="D969" s="71" t="s">
        <v>167</v>
      </c>
      <c r="E969" s="66" t="str">
        <f t="array" ref="E969">IF(D969="", "", XLOOKUP(D969, 'MASTER ITEM LIST'!A:A, 'MASTER ITEM LIST'!B:B, ""))</f>
        <v>NAX QDU MIX 1L</v>
      </c>
      <c r="F969" s="31"/>
      <c r="G969" s="67" t="s">
        <v>1376</v>
      </c>
      <c r="H969" s="31">
        <v>0.5</v>
      </c>
      <c r="I969" s="31" t="str">
        <f t="array" ref="I969">IFERROR(XLOOKUP(D969,'MASTER ITEM LIST'!A:A,'MASTER ITEM LIST'!D:D), "")</f>
        <v>LITER</v>
      </c>
      <c r="J969" s="34">
        <v>1200.0</v>
      </c>
      <c r="K969" s="69">
        <f t="shared" si="1"/>
        <v>600</v>
      </c>
      <c r="L969" s="70" t="s">
        <v>42</v>
      </c>
    </row>
    <row r="970" ht="22.5" customHeight="1">
      <c r="A970" s="29">
        <v>46189.0</v>
      </c>
      <c r="B970" s="31" t="s">
        <v>1704</v>
      </c>
      <c r="C970" s="32" t="s">
        <v>1240</v>
      </c>
      <c r="D970" s="71" t="s">
        <v>931</v>
      </c>
      <c r="E970" s="66" t="str">
        <f t="array" ref="E970">IF(D970="", "", XLOOKUP(D970, 'MASTER ITEM LIST'!A:A, 'MASTER ITEM LIST'!B:B, ""))</f>
        <v>EAGLE SANDPAPER #60</v>
      </c>
      <c r="F970" s="31"/>
      <c r="G970" s="67" t="s">
        <v>1376</v>
      </c>
      <c r="H970" s="31">
        <v>5.0</v>
      </c>
      <c r="I970" s="31" t="str">
        <f t="array" ref="I970">IFERROR(XLOOKUP(D970,'MASTER ITEM LIST'!A:A,'MASTER ITEM LIST'!D:D), "")</f>
        <v>PC/S</v>
      </c>
      <c r="J970" s="34">
        <v>40.0</v>
      </c>
      <c r="K970" s="69">
        <f t="shared" si="1"/>
        <v>200</v>
      </c>
      <c r="L970" s="70" t="s">
        <v>42</v>
      </c>
    </row>
    <row r="971" ht="22.5" customHeight="1">
      <c r="A971" s="29">
        <v>46189.0</v>
      </c>
      <c r="B971" s="31" t="s">
        <v>1704</v>
      </c>
      <c r="C971" s="32" t="s">
        <v>1240</v>
      </c>
      <c r="D971" s="71" t="s">
        <v>117</v>
      </c>
      <c r="E971" s="66" t="str">
        <f t="array" ref="E971">IF(D971="", "", XLOOKUP(D971, 'MASTER ITEM LIST'!A:A, 'MASTER ITEM LIST'!B:B, ""))</f>
        <v>EAGLE SANDPAPER #120</v>
      </c>
      <c r="F971" s="31"/>
      <c r="G971" s="67" t="s">
        <v>1376</v>
      </c>
      <c r="H971" s="31">
        <v>5.0</v>
      </c>
      <c r="I971" s="31" t="str">
        <f t="array" ref="I971">IFERROR(XLOOKUP(D971,'MASTER ITEM LIST'!A:A,'MASTER ITEM LIST'!D:D), "")</f>
        <v>PC/S</v>
      </c>
      <c r="J971" s="34">
        <v>25.0</v>
      </c>
      <c r="K971" s="69">
        <f t="shared" si="1"/>
        <v>125</v>
      </c>
      <c r="L971" s="70" t="s">
        <v>42</v>
      </c>
    </row>
    <row r="972" ht="22.5" customHeight="1">
      <c r="A972" s="29">
        <v>46189.0</v>
      </c>
      <c r="B972" s="31" t="s">
        <v>1704</v>
      </c>
      <c r="C972" s="32" t="s">
        <v>1240</v>
      </c>
      <c r="D972" s="71" t="s">
        <v>548</v>
      </c>
      <c r="E972" s="66" t="str">
        <f t="array" ref="E972">IF(D972="", "", XLOOKUP(D972, 'MASTER ITEM LIST'!A:A, 'MASTER ITEM LIST'!B:B, ""))</f>
        <v>EAGLE SANDPAPER #240</v>
      </c>
      <c r="F972" s="31"/>
      <c r="G972" s="67" t="s">
        <v>1376</v>
      </c>
      <c r="H972" s="31">
        <v>3.0</v>
      </c>
      <c r="I972" s="31" t="str">
        <f t="array" ref="I972">IFERROR(XLOOKUP(D972,'MASTER ITEM LIST'!A:A,'MASTER ITEM LIST'!D:D), "")</f>
        <v>PC/S</v>
      </c>
      <c r="J972" s="34">
        <v>25.0</v>
      </c>
      <c r="K972" s="69">
        <f t="shared" si="1"/>
        <v>75</v>
      </c>
      <c r="L972" s="70" t="s">
        <v>42</v>
      </c>
    </row>
    <row r="973" ht="22.5" customHeight="1">
      <c r="A973" s="29">
        <v>46189.0</v>
      </c>
      <c r="B973" s="31" t="s">
        <v>1704</v>
      </c>
      <c r="C973" s="32" t="s">
        <v>1240</v>
      </c>
      <c r="D973" s="71" t="s">
        <v>432</v>
      </c>
      <c r="E973" s="66" t="str">
        <f t="array" ref="E973">IF(D973="", "", XLOOKUP(D973, 'MASTER ITEM LIST'!A:A, 'MASTER ITEM LIST'!B:B, ""))</f>
        <v>EAGLE SANDPAPER #600</v>
      </c>
      <c r="F973" s="31"/>
      <c r="G973" s="67" t="s">
        <v>1376</v>
      </c>
      <c r="H973" s="31">
        <v>3.0</v>
      </c>
      <c r="I973" s="31" t="str">
        <f t="array" ref="I973">IFERROR(XLOOKUP(D973,'MASTER ITEM LIST'!A:A,'MASTER ITEM LIST'!D:D), "")</f>
        <v>PCS</v>
      </c>
      <c r="J973" s="34">
        <v>25.0</v>
      </c>
      <c r="K973" s="69">
        <f t="shared" si="1"/>
        <v>75</v>
      </c>
      <c r="L973" s="70" t="s">
        <v>42</v>
      </c>
    </row>
    <row r="974" ht="22.5" customHeight="1">
      <c r="A974" s="29">
        <v>46189.0</v>
      </c>
      <c r="B974" s="31" t="s">
        <v>1704</v>
      </c>
      <c r="C974" s="32" t="s">
        <v>1240</v>
      </c>
      <c r="D974" s="71" t="s">
        <v>326</v>
      </c>
      <c r="E974" s="66" t="str">
        <f t="array" ref="E974">IF(D974="", "", XLOOKUP(D974, 'MASTER ITEM LIST'!A:A, 'MASTER ITEM LIST'!B:B, ""))</f>
        <v>EAGLE SANDPAPER #1200</v>
      </c>
      <c r="F974" s="31"/>
      <c r="G974" s="67" t="s">
        <v>1376</v>
      </c>
      <c r="H974" s="31">
        <v>5.0</v>
      </c>
      <c r="I974" s="31" t="str">
        <f t="array" ref="I974">IFERROR(XLOOKUP(D974,'MASTER ITEM LIST'!A:A,'MASTER ITEM LIST'!D:D), "")</f>
        <v>PC/S</v>
      </c>
      <c r="J974" s="34">
        <v>25.0</v>
      </c>
      <c r="K974" s="69">
        <f t="shared" si="1"/>
        <v>125</v>
      </c>
      <c r="L974" s="70" t="s">
        <v>42</v>
      </c>
    </row>
    <row r="975" ht="22.5" customHeight="1">
      <c r="A975" s="29">
        <v>46189.0</v>
      </c>
      <c r="B975" s="31" t="s">
        <v>1704</v>
      </c>
      <c r="C975" s="32" t="s">
        <v>1240</v>
      </c>
      <c r="D975" s="71" t="s">
        <v>942</v>
      </c>
      <c r="E975" s="66" t="str">
        <f t="array" ref="E975">IF(D975="", "", XLOOKUP(D975, 'MASTER ITEM LIST'!A:A, 'MASTER ITEM LIST'!B:B, ""))</f>
        <v>EAGLE SANDPAPER #1000</v>
      </c>
      <c r="F975" s="31"/>
      <c r="G975" s="67" t="s">
        <v>1376</v>
      </c>
      <c r="H975" s="31">
        <v>5.0</v>
      </c>
      <c r="I975" s="31" t="str">
        <f t="array" ref="I975">IFERROR(XLOOKUP(D975,'MASTER ITEM LIST'!A:A,'MASTER ITEM LIST'!D:D), "")</f>
        <v>PC/S</v>
      </c>
      <c r="J975" s="34">
        <v>25.0</v>
      </c>
      <c r="K975" s="69">
        <f t="shared" si="1"/>
        <v>125</v>
      </c>
      <c r="L975" s="70" t="s">
        <v>42</v>
      </c>
    </row>
    <row r="976" ht="22.5" customHeight="1">
      <c r="A976" s="29">
        <v>46189.0</v>
      </c>
      <c r="B976" s="31" t="s">
        <v>1704</v>
      </c>
      <c r="C976" s="32" t="s">
        <v>1240</v>
      </c>
      <c r="D976" s="71" t="s">
        <v>198</v>
      </c>
      <c r="E976" s="66" t="str">
        <f t="array" ref="E976">IF(D976="", "", XLOOKUP(D976, 'MASTER ITEM LIST'!A:A, 'MASTER ITEM LIST'!B:B, ""))</f>
        <v>EAGLE SANDPAPER #2000</v>
      </c>
      <c r="F976" s="31"/>
      <c r="G976" s="67" t="s">
        <v>1376</v>
      </c>
      <c r="H976" s="31">
        <v>5.0</v>
      </c>
      <c r="I976" s="31" t="str">
        <f t="array" ref="I976">IFERROR(XLOOKUP(D976,'MASTER ITEM LIST'!A:A,'MASTER ITEM LIST'!D:D), "")</f>
        <v>PC/S</v>
      </c>
      <c r="J976" s="34">
        <v>35.0</v>
      </c>
      <c r="K976" s="69">
        <f t="shared" si="1"/>
        <v>175</v>
      </c>
      <c r="L976" s="70" t="s">
        <v>42</v>
      </c>
    </row>
    <row r="977" ht="22.5" customHeight="1">
      <c r="A977" s="29">
        <v>46189.0</v>
      </c>
      <c r="B977" s="31" t="s">
        <v>1705</v>
      </c>
      <c r="C977" s="32" t="s">
        <v>1240</v>
      </c>
      <c r="D977" s="71" t="s">
        <v>516</v>
      </c>
      <c r="E977" s="66" t="str">
        <f t="array" ref="E977">IF(D977="", "", XLOOKUP(D977, 'MASTER ITEM LIST'!A:A, 'MASTER ITEM LIST'!B:B, ""))</f>
        <v>EAGLE SANDPAPER #1500</v>
      </c>
      <c r="F977" s="31"/>
      <c r="G977" s="67" t="s">
        <v>1376</v>
      </c>
      <c r="H977" s="31">
        <v>5.0</v>
      </c>
      <c r="I977" s="31" t="str">
        <f t="array" ref="I977">IFERROR(XLOOKUP(D977,'MASTER ITEM LIST'!A:A,'MASTER ITEM LIST'!D:D), "")</f>
        <v>PC/S</v>
      </c>
      <c r="J977" s="34">
        <v>35.0</v>
      </c>
      <c r="K977" s="69">
        <f t="shared" si="1"/>
        <v>175</v>
      </c>
      <c r="L977" s="70" t="s">
        <v>42</v>
      </c>
    </row>
    <row r="978" ht="22.5" customHeight="1">
      <c r="A978" s="29">
        <v>46189.0</v>
      </c>
      <c r="B978" s="31" t="s">
        <v>1705</v>
      </c>
      <c r="C978" s="32" t="s">
        <v>1240</v>
      </c>
      <c r="D978" s="71" t="s">
        <v>233</v>
      </c>
      <c r="E978" s="66" t="str">
        <f t="array" ref="E978">IF(D978="", "", XLOOKUP(D978, 'MASTER ITEM LIST'!A:A, 'MASTER ITEM LIST'!B:B, ""))</f>
        <v>NAX ALPHA HB SPRAY FILLER GRAY WITH HARDENER 1L</v>
      </c>
      <c r="F978" s="31"/>
      <c r="G978" s="67" t="s">
        <v>1376</v>
      </c>
      <c r="H978" s="31">
        <v>1.0</v>
      </c>
      <c r="I978" s="31" t="str">
        <f t="array" ref="I978">IFERROR(XLOOKUP(D978,'MASTER ITEM LIST'!A:A,'MASTER ITEM LIST'!D:D), "")</f>
        <v>LITER</v>
      </c>
      <c r="J978" s="34">
        <v>600.0</v>
      </c>
      <c r="K978" s="69">
        <f t="shared" si="1"/>
        <v>600</v>
      </c>
      <c r="L978" s="70" t="s">
        <v>42</v>
      </c>
    </row>
    <row r="979" ht="22.5" customHeight="1">
      <c r="A979" s="29">
        <v>46189.0</v>
      </c>
      <c r="B979" s="31" t="s">
        <v>1705</v>
      </c>
      <c r="C979" s="32" t="s">
        <v>1240</v>
      </c>
      <c r="D979" s="71" t="s">
        <v>63</v>
      </c>
      <c r="E979" s="66" t="str">
        <f t="array" ref="E979">IF(D979="", "", XLOOKUP(D979, 'MASTER ITEM LIST'!A:A, 'MASTER ITEM LIST'!B:B, ""))</f>
        <v>OLD NEWS</v>
      </c>
      <c r="F979" s="31"/>
      <c r="G979" s="67" t="s">
        <v>1376</v>
      </c>
      <c r="H979" s="31">
        <v>1.0</v>
      </c>
      <c r="I979" s="31" t="str">
        <f t="array" ref="I979">IFERROR(XLOOKUP(D979,'MASTER ITEM LIST'!A:A,'MASTER ITEM LIST'!D:D), "")</f>
        <v>KG</v>
      </c>
      <c r="J979" s="34">
        <v>100.0</v>
      </c>
      <c r="K979" s="69">
        <f t="shared" si="1"/>
        <v>100</v>
      </c>
      <c r="L979" s="70" t="s">
        <v>42</v>
      </c>
    </row>
    <row r="980" ht="22.5" customHeight="1">
      <c r="A980" s="29">
        <v>46189.0</v>
      </c>
      <c r="B980" s="31" t="s">
        <v>1705</v>
      </c>
      <c r="C980" s="32" t="s">
        <v>1240</v>
      </c>
      <c r="D980" s="71" t="s">
        <v>155</v>
      </c>
      <c r="E980" s="66" t="str">
        <f t="array" ref="E980">IF(D980="", "", XLOOKUP(D980, 'MASTER ITEM LIST'!A:A, 'MASTER ITEM LIST'!B:B, ""))</f>
        <v>TIMEOUT BODY FILLER WITH HARDENER 4L</v>
      </c>
      <c r="F980" s="31"/>
      <c r="G980" s="67" t="s">
        <v>1376</v>
      </c>
      <c r="H980" s="31">
        <v>1.0</v>
      </c>
      <c r="I980" s="31" t="str">
        <f t="array" ref="I980">IFERROR(XLOOKUP(D980,'MASTER ITEM LIST'!A:A,'MASTER ITEM LIST'!D:D), "")</f>
        <v>GAL</v>
      </c>
      <c r="J980" s="34">
        <v>740.0</v>
      </c>
      <c r="K980" s="69">
        <f t="shared" si="1"/>
        <v>740</v>
      </c>
      <c r="L980" s="70" t="s">
        <v>42</v>
      </c>
    </row>
    <row r="981" ht="22.5" customHeight="1">
      <c r="A981" s="29">
        <v>46189.0</v>
      </c>
      <c r="B981" s="31" t="s">
        <v>1705</v>
      </c>
      <c r="C981" s="32" t="s">
        <v>1240</v>
      </c>
      <c r="D981" s="71" t="s">
        <v>703</v>
      </c>
      <c r="E981" s="66" t="str">
        <f t="array" ref="E981">IF(D981="", "", XLOOKUP(D981, 'MASTER ITEM LIST'!A:A, 'MASTER ITEM LIST'!B:B, ""))</f>
        <v>NAX SOD145 SOLVENT NAPTHA/DEGREASER 4L</v>
      </c>
      <c r="F981" s="31"/>
      <c r="G981" s="67" t="s">
        <v>1376</v>
      </c>
      <c r="H981" s="31">
        <v>1.0</v>
      </c>
      <c r="I981" s="31" t="str">
        <f t="array" ref="I981">IFERROR(XLOOKUP(D981,'MASTER ITEM LIST'!A:A,'MASTER ITEM LIST'!D:D), "")</f>
        <v>GAL</v>
      </c>
      <c r="J981" s="34">
        <v>1000.0</v>
      </c>
      <c r="K981" s="69">
        <f t="shared" si="1"/>
        <v>1000</v>
      </c>
      <c r="L981" s="70" t="s">
        <v>42</v>
      </c>
    </row>
    <row r="982" ht="22.5" customHeight="1">
      <c r="A982" s="29">
        <v>46189.0</v>
      </c>
      <c r="B982" s="31" t="s">
        <v>1705</v>
      </c>
      <c r="C982" s="32" t="s">
        <v>1240</v>
      </c>
      <c r="D982" s="71" t="s">
        <v>136</v>
      </c>
      <c r="E982" s="66" t="str">
        <f t="array" ref="E982">IF(D982="", "", XLOOKUP(D982, 'MASTER ITEM LIST'!A:A, 'MASTER ITEM LIST'!B:B, ""))</f>
        <v>CROCO MASKING TAPE 3/4 18MM (1X64)</v>
      </c>
      <c r="F982" s="31"/>
      <c r="G982" s="67" t="s">
        <v>1376</v>
      </c>
      <c r="H982" s="31">
        <v>5.0</v>
      </c>
      <c r="I982" s="31" t="str">
        <f t="array" ref="I982">IFERROR(XLOOKUP(D982,'MASTER ITEM LIST'!A:A,'MASTER ITEM LIST'!D:D), "")</f>
        <v>PC/S</v>
      </c>
      <c r="J982" s="34">
        <v>35.0</v>
      </c>
      <c r="K982" s="69">
        <f t="shared" si="1"/>
        <v>175</v>
      </c>
      <c r="L982" s="70" t="s">
        <v>42</v>
      </c>
    </row>
    <row r="983" ht="22.5" customHeight="1">
      <c r="A983" s="29">
        <v>46189.0</v>
      </c>
      <c r="B983" s="31" t="s">
        <v>1706</v>
      </c>
      <c r="C983" s="32" t="s">
        <v>1240</v>
      </c>
      <c r="D983" s="71" t="s">
        <v>220</v>
      </c>
      <c r="E983" s="66" t="str">
        <f t="array" ref="E983">IF(D983="", "", XLOOKUP(D983, 'MASTER ITEM LIST'!A:A, 'MASTER ITEM LIST'!B:B, ""))</f>
        <v>PREMILA MIXING 1L</v>
      </c>
      <c r="F983" s="31"/>
      <c r="G983" s="67" t="s">
        <v>34</v>
      </c>
      <c r="H983" s="31">
        <v>0.5</v>
      </c>
      <c r="I983" s="31" t="str">
        <f t="array" ref="I983">IFERROR(XLOOKUP(D983,'MASTER ITEM LIST'!A:A,'MASTER ITEM LIST'!D:D), "")</f>
        <v>LITER</v>
      </c>
      <c r="J983" s="34">
        <v>2700.0</v>
      </c>
      <c r="K983" s="69">
        <f t="shared" si="1"/>
        <v>1350</v>
      </c>
      <c r="L983" s="70" t="s">
        <v>42</v>
      </c>
    </row>
    <row r="984" ht="22.5" customHeight="1">
      <c r="A984" s="29">
        <v>46190.0</v>
      </c>
      <c r="B984" s="31" t="s">
        <v>1707</v>
      </c>
      <c r="C984" s="32" t="s">
        <v>1240</v>
      </c>
      <c r="D984" s="71" t="s">
        <v>63</v>
      </c>
      <c r="E984" s="66" t="str">
        <f t="array" ref="E984">IF(D984="", "", XLOOKUP(D984, 'MASTER ITEM LIST'!A:A, 'MASTER ITEM LIST'!B:B, ""))</f>
        <v>OLD NEWS</v>
      </c>
      <c r="F984" s="31"/>
      <c r="G984" s="67" t="s">
        <v>34</v>
      </c>
      <c r="H984" s="31">
        <v>1.0</v>
      </c>
      <c r="I984" s="31" t="str">
        <f t="array" ref="I984">IFERROR(XLOOKUP(D984,'MASTER ITEM LIST'!A:A,'MASTER ITEM LIST'!D:D), "")</f>
        <v>KG</v>
      </c>
      <c r="J984" s="34">
        <v>100.0</v>
      </c>
      <c r="K984" s="69">
        <f t="shared" si="1"/>
        <v>100</v>
      </c>
      <c r="L984" s="70" t="s">
        <v>42</v>
      </c>
    </row>
    <row r="985" ht="22.5" customHeight="1">
      <c r="A985" s="29">
        <v>46190.0</v>
      </c>
      <c r="B985" s="31" t="s">
        <v>1707</v>
      </c>
      <c r="C985" s="32" t="s">
        <v>1240</v>
      </c>
      <c r="D985" s="71" t="s">
        <v>136</v>
      </c>
      <c r="E985" s="66" t="str">
        <f t="array" ref="E985">IF(D985="", "", XLOOKUP(D985, 'MASTER ITEM LIST'!A:A, 'MASTER ITEM LIST'!B:B, ""))</f>
        <v>CROCO MASKING TAPE 3/4 18MM (1X64)</v>
      </c>
      <c r="F985" s="31"/>
      <c r="G985" s="67" t="s">
        <v>34</v>
      </c>
      <c r="H985" s="31">
        <v>3.0</v>
      </c>
      <c r="I985" s="31" t="str">
        <f t="array" ref="I985">IFERROR(XLOOKUP(D985,'MASTER ITEM LIST'!A:A,'MASTER ITEM LIST'!D:D), "")</f>
        <v>PC/S</v>
      </c>
      <c r="J985" s="34">
        <v>35.0</v>
      </c>
      <c r="K985" s="69">
        <f t="shared" si="1"/>
        <v>105</v>
      </c>
      <c r="L985" s="70" t="s">
        <v>42</v>
      </c>
    </row>
    <row r="986" ht="22.5" customHeight="1">
      <c r="A986" s="29">
        <v>46195.0</v>
      </c>
      <c r="B986" s="31" t="s">
        <v>1708</v>
      </c>
      <c r="C986" s="32" t="s">
        <v>1343</v>
      </c>
      <c r="D986" s="71" t="s">
        <v>520</v>
      </c>
      <c r="E986" s="66" t="str">
        <f t="array" ref="E986">IF(D986="", "", XLOOKUP(D986, 'MASTER ITEM LIST'!A:A, 'MASTER ITEM LIST'!B:B, ""))</f>
        <v>NIPPON ULTRA 8100T FD 2K CLEAR W/HARDENER 1L</v>
      </c>
      <c r="F986" s="31"/>
      <c r="G986" s="67" t="s">
        <v>34</v>
      </c>
      <c r="H986" s="31">
        <v>2.0</v>
      </c>
      <c r="I986" s="31" t="str">
        <f t="array" ref="I986">IFERROR(XLOOKUP(D986,'MASTER ITEM LIST'!A:A,'MASTER ITEM LIST'!D:D), "")</f>
        <v>LITER</v>
      </c>
      <c r="J986" s="34">
        <v>1900.0</v>
      </c>
      <c r="K986" s="69">
        <f t="shared" si="1"/>
        <v>3800</v>
      </c>
      <c r="L986" s="70" t="s">
        <v>42</v>
      </c>
    </row>
    <row r="987" ht="22.5" customHeight="1">
      <c r="A987" s="29">
        <v>46195.0</v>
      </c>
      <c r="B987" s="31" t="s">
        <v>1708</v>
      </c>
      <c r="C987" s="32" t="s">
        <v>1343</v>
      </c>
      <c r="D987" s="71" t="s">
        <v>233</v>
      </c>
      <c r="E987" s="66" t="str">
        <f t="array" ref="E987">IF(D987="", "", XLOOKUP(D987, 'MASTER ITEM LIST'!A:A, 'MASTER ITEM LIST'!B:B, ""))</f>
        <v>NAX ALPHA HB SPRAY FILLER GRAY WITH HARDENER 1L</v>
      </c>
      <c r="F987" s="31"/>
      <c r="G987" s="67" t="s">
        <v>34</v>
      </c>
      <c r="H987" s="31">
        <v>0.25</v>
      </c>
      <c r="I987" s="31" t="str">
        <f t="array" ref="I987">IFERROR(XLOOKUP(D987,'MASTER ITEM LIST'!A:A,'MASTER ITEM LIST'!D:D), "")</f>
        <v>LITER</v>
      </c>
      <c r="J987" s="34">
        <v>640.0</v>
      </c>
      <c r="K987" s="69">
        <f t="shared" si="1"/>
        <v>160</v>
      </c>
      <c r="L987" s="70" t="s">
        <v>42</v>
      </c>
    </row>
    <row r="988" ht="22.5" customHeight="1">
      <c r="A988" s="29">
        <v>46195.0</v>
      </c>
      <c r="B988" s="31" t="s">
        <v>1708</v>
      </c>
      <c r="C988" s="32" t="s">
        <v>1343</v>
      </c>
      <c r="D988" s="71" t="s">
        <v>167</v>
      </c>
      <c r="E988" s="66" t="str">
        <f t="array" ref="E988">IF(D988="", "", XLOOKUP(D988, 'MASTER ITEM LIST'!A:A, 'MASTER ITEM LIST'!B:B, ""))</f>
        <v>NAX QDU MIX 1L</v>
      </c>
      <c r="F988" s="31"/>
      <c r="G988" s="67" t="s">
        <v>34</v>
      </c>
      <c r="H988" s="31">
        <v>1.0</v>
      </c>
      <c r="I988" s="31" t="str">
        <f t="array" ref="I988">IFERROR(XLOOKUP(D988,'MASTER ITEM LIST'!A:A,'MASTER ITEM LIST'!D:D), "")</f>
        <v>LITER</v>
      </c>
      <c r="J988" s="34">
        <v>1700.0</v>
      </c>
      <c r="K988" s="69">
        <f t="shared" si="1"/>
        <v>1700</v>
      </c>
      <c r="L988" s="70" t="s">
        <v>42</v>
      </c>
    </row>
    <row r="989" ht="22.5" customHeight="1">
      <c r="A989" s="29">
        <v>46174.0</v>
      </c>
      <c r="B989" s="31"/>
      <c r="C989" s="32" t="s">
        <v>711</v>
      </c>
      <c r="D989" s="71" t="s">
        <v>53</v>
      </c>
      <c r="E989" s="66" t="str">
        <f t="array" ref="E989">IF(D989="", "", XLOOKUP(D989, 'MASTER ITEM LIST'!A:A, 'MASTER ITEM LIST'!B:B, ""))</f>
        <v>NAX 108 CERAMIC 2K CLEAR WITH HARDENER 1L</v>
      </c>
      <c r="F989" s="31"/>
      <c r="G989" s="67" t="s">
        <v>34</v>
      </c>
      <c r="H989" s="31">
        <v>1.0</v>
      </c>
      <c r="I989" s="31" t="str">
        <f t="array" ref="I989">IFERROR(XLOOKUP(D989,'MASTER ITEM LIST'!A:A,'MASTER ITEM LIST'!D:D), "")</f>
        <v>LITER</v>
      </c>
      <c r="J989" s="34">
        <v>650.0</v>
      </c>
      <c r="K989" s="69">
        <f t="shared" si="1"/>
        <v>650</v>
      </c>
      <c r="L989" s="70" t="s">
        <v>42</v>
      </c>
    </row>
    <row r="990" ht="22.5" customHeight="1">
      <c r="A990" s="29">
        <v>46174.0</v>
      </c>
      <c r="B990" s="31"/>
      <c r="C990" s="32" t="s">
        <v>711</v>
      </c>
      <c r="D990" s="71" t="s">
        <v>90</v>
      </c>
      <c r="E990" s="66" t="str">
        <f t="array" ref="E990">IF(D990="", "", XLOOKUP(D990, 'MASTER ITEM LIST'!A:A, 'MASTER ITEM LIST'!B:B, ""))</f>
        <v>NAX SOB757 HIGH GRADE URETHANE THINNER 4L</v>
      </c>
      <c r="F990" s="31"/>
      <c r="G990" s="67" t="s">
        <v>34</v>
      </c>
      <c r="H990" s="31">
        <v>0.5</v>
      </c>
      <c r="I990" s="31" t="str">
        <f t="array" ref="I990">IFERROR(XLOOKUP(D990,'MASTER ITEM LIST'!A:A,'MASTER ITEM LIST'!D:D), "")</f>
        <v>GAL</v>
      </c>
      <c r="J990" s="34">
        <v>800.0</v>
      </c>
      <c r="K990" s="69">
        <f t="shared" si="1"/>
        <v>400</v>
      </c>
      <c r="L990" s="70" t="s">
        <v>42</v>
      </c>
    </row>
    <row r="991" ht="22.5" customHeight="1">
      <c r="A991" s="29">
        <v>46174.0</v>
      </c>
      <c r="B991" s="31"/>
      <c r="C991" s="32" t="s">
        <v>711</v>
      </c>
      <c r="D991" s="71" t="s">
        <v>167</v>
      </c>
      <c r="E991" s="66" t="str">
        <f t="array" ref="E991">IF(D991="", "", XLOOKUP(D991, 'MASTER ITEM LIST'!A:A, 'MASTER ITEM LIST'!B:B, ""))</f>
        <v>NAX QDU MIX 1L</v>
      </c>
      <c r="F991" s="31"/>
      <c r="G991" s="67" t="s">
        <v>34</v>
      </c>
      <c r="H991" s="31">
        <v>0.125</v>
      </c>
      <c r="I991" s="31" t="str">
        <f t="array" ref="I991">IFERROR(XLOOKUP(D991,'MASTER ITEM LIST'!A:A,'MASTER ITEM LIST'!D:D), "")</f>
        <v>LITER</v>
      </c>
      <c r="J991" s="34">
        <v>1600.0</v>
      </c>
      <c r="K991" s="69">
        <f t="shared" si="1"/>
        <v>200</v>
      </c>
      <c r="L991" s="70" t="s">
        <v>42</v>
      </c>
    </row>
    <row r="992" ht="22.5" customHeight="1">
      <c r="A992" s="29">
        <v>46174.0</v>
      </c>
      <c r="B992" s="31"/>
      <c r="C992" s="32" t="s">
        <v>711</v>
      </c>
      <c r="D992" s="71" t="s">
        <v>167</v>
      </c>
      <c r="E992" s="66" t="str">
        <f t="array" ref="E992">IF(D992="", "", XLOOKUP(D992, 'MASTER ITEM LIST'!A:A, 'MASTER ITEM LIST'!B:B, ""))</f>
        <v>NAX QDU MIX 1L</v>
      </c>
      <c r="F992" s="31"/>
      <c r="G992" s="67" t="s">
        <v>34</v>
      </c>
      <c r="H992" s="31">
        <v>0.125</v>
      </c>
      <c r="I992" s="31" t="str">
        <f t="array" ref="I992">IFERROR(XLOOKUP(D992,'MASTER ITEM LIST'!A:A,'MASTER ITEM LIST'!D:D), "")</f>
        <v>LITER</v>
      </c>
      <c r="J992" s="34">
        <v>1600.0</v>
      </c>
      <c r="K992" s="69">
        <f t="shared" si="1"/>
        <v>200</v>
      </c>
      <c r="L992" s="70" t="s">
        <v>42</v>
      </c>
    </row>
    <row r="993" ht="22.5" customHeight="1">
      <c r="A993" s="29">
        <v>46174.0</v>
      </c>
      <c r="B993" s="31"/>
      <c r="C993" s="32" t="s">
        <v>711</v>
      </c>
      <c r="D993" s="71" t="s">
        <v>64</v>
      </c>
      <c r="E993" s="66" t="str">
        <f t="array" ref="E993">IF(D993="", "", XLOOKUP(D993, 'MASTER ITEM LIST'!A:A, 'MASTER ITEM LIST'!B:B, ""))</f>
        <v>POLYGLOSS PU FLAT BLACK 4L</v>
      </c>
      <c r="F993" s="31"/>
      <c r="G993" s="67" t="s">
        <v>34</v>
      </c>
      <c r="H993" s="31">
        <v>0.03125</v>
      </c>
      <c r="I993" s="31" t="str">
        <f t="array" ref="I993">IFERROR(XLOOKUP(D993,'MASTER ITEM LIST'!A:A,'MASTER ITEM LIST'!D:D), "")</f>
        <v>GALON</v>
      </c>
      <c r="J993" s="34">
        <v>3200.0</v>
      </c>
      <c r="K993" s="69">
        <f t="shared" si="1"/>
        <v>100</v>
      </c>
      <c r="L993" s="70" t="s">
        <v>42</v>
      </c>
    </row>
    <row r="994" ht="22.5" customHeight="1">
      <c r="A994" s="29">
        <v>46174.0</v>
      </c>
      <c r="B994" s="31"/>
      <c r="C994" s="32" t="s">
        <v>711</v>
      </c>
      <c r="D994" s="71" t="s">
        <v>957</v>
      </c>
      <c r="E994" s="66" t="str">
        <f t="array" ref="E994">IF(D994="", "", XLOOKUP(D994, 'MASTER ITEM LIST'!A:A, 'MASTER ITEM LIST'!B:B, ""))</f>
        <v>NAX 301 NAX QDU FLAT CLEAR WITH HARDENER 1L</v>
      </c>
      <c r="F994" s="31"/>
      <c r="G994" s="67" t="s">
        <v>34</v>
      </c>
      <c r="H994" s="31">
        <v>0.125</v>
      </c>
      <c r="I994" s="31" t="str">
        <f t="array" ref="I994">IFERROR(XLOOKUP(D994,'MASTER ITEM LIST'!A:A,'MASTER ITEM LIST'!D:D), "")</f>
        <v>LITER</v>
      </c>
      <c r="J994" s="34">
        <v>800.0</v>
      </c>
      <c r="K994" s="69">
        <f t="shared" si="1"/>
        <v>100</v>
      </c>
      <c r="L994" s="70" t="s">
        <v>42</v>
      </c>
    </row>
    <row r="995" ht="22.5" customHeight="1">
      <c r="A995" s="29">
        <v>46174.0</v>
      </c>
      <c r="B995" s="31"/>
      <c r="C995" s="32" t="s">
        <v>711</v>
      </c>
      <c r="D995" s="71" t="s">
        <v>45</v>
      </c>
      <c r="E995" s="66" t="str">
        <f t="array" ref="E995">IF(D995="", "", XLOOKUP(D995, 'MASTER ITEM LIST'!A:A, 'MASTER ITEM LIST'!B:B, ""))</f>
        <v>POLYGLOSS PU JET BLACK 4L</v>
      </c>
      <c r="F995" s="31"/>
      <c r="G995" s="67" t="s">
        <v>34</v>
      </c>
      <c r="H995" s="31">
        <v>0.03125</v>
      </c>
      <c r="I995" s="31" t="str">
        <f t="array" ref="I995">IFERROR(XLOOKUP(D995,'MASTER ITEM LIST'!A:A,'MASTER ITEM LIST'!D:D), "")</f>
        <v>GALON</v>
      </c>
      <c r="J995" s="34">
        <v>5760.0</v>
      </c>
      <c r="K995" s="69">
        <f t="shared" si="1"/>
        <v>180</v>
      </c>
      <c r="L995" s="70" t="s">
        <v>42</v>
      </c>
    </row>
    <row r="996" ht="22.5" customHeight="1">
      <c r="A996" s="29">
        <v>46174.0</v>
      </c>
      <c r="B996" s="31"/>
      <c r="C996" s="32" t="s">
        <v>711</v>
      </c>
      <c r="D996" s="71" t="s">
        <v>567</v>
      </c>
      <c r="E996" s="66" t="str">
        <f t="array" ref="E996">IF(D996="", "", XLOOKUP(D996, 'MASTER ITEM LIST'!A:A, 'MASTER ITEM LIST'!B:B, ""))</f>
        <v>EAGLE SANDPAPER #800</v>
      </c>
      <c r="F996" s="31"/>
      <c r="G996" s="67" t="s">
        <v>34</v>
      </c>
      <c r="H996" s="31">
        <v>1.0</v>
      </c>
      <c r="I996" s="31" t="str">
        <f t="array" ref="I996">IFERROR(XLOOKUP(D996,'MASTER ITEM LIST'!A:A,'MASTER ITEM LIST'!D:D), "")</f>
        <v>PC/S</v>
      </c>
      <c r="J996" s="34">
        <v>25.0</v>
      </c>
      <c r="K996" s="69">
        <f t="shared" si="1"/>
        <v>25</v>
      </c>
      <c r="L996" s="70" t="s">
        <v>42</v>
      </c>
    </row>
    <row r="997" ht="22.5" customHeight="1">
      <c r="A997" s="29">
        <v>46174.0</v>
      </c>
      <c r="B997" s="31"/>
      <c r="C997" s="32" t="s">
        <v>711</v>
      </c>
      <c r="D997" s="71" t="s">
        <v>220</v>
      </c>
      <c r="E997" s="66" t="str">
        <f t="array" ref="E997">IF(D997="", "", XLOOKUP(D997, 'MASTER ITEM LIST'!A:A, 'MASTER ITEM LIST'!B:B, ""))</f>
        <v>PREMILA MIXING 1L</v>
      </c>
      <c r="F997" s="31" t="s">
        <v>1709</v>
      </c>
      <c r="G997" s="67" t="s">
        <v>34</v>
      </c>
      <c r="H997" s="31">
        <v>0.5</v>
      </c>
      <c r="I997" s="31" t="str">
        <f t="array" ref="I997">IFERROR(XLOOKUP(D997,'MASTER ITEM LIST'!A:A,'MASTER ITEM LIST'!D:D), "")</f>
        <v>LITER</v>
      </c>
      <c r="J997" s="34">
        <v>2600.0</v>
      </c>
      <c r="K997" s="69">
        <f t="shared" si="1"/>
        <v>1300</v>
      </c>
      <c r="L997" s="70" t="s">
        <v>42</v>
      </c>
    </row>
    <row r="998" ht="22.5" customHeight="1">
      <c r="A998" s="29">
        <v>46174.0</v>
      </c>
      <c r="B998" s="31"/>
      <c r="C998" s="32" t="s">
        <v>711</v>
      </c>
      <c r="D998" s="71" t="s">
        <v>432</v>
      </c>
      <c r="E998" s="66" t="str">
        <f t="array" ref="E998">IF(D998="", "", XLOOKUP(D998, 'MASTER ITEM LIST'!A:A, 'MASTER ITEM LIST'!B:B, ""))</f>
        <v>EAGLE SANDPAPER #600</v>
      </c>
      <c r="F998" s="31"/>
      <c r="G998" s="67" t="s">
        <v>34</v>
      </c>
      <c r="H998" s="31">
        <v>2.0</v>
      </c>
      <c r="I998" s="31" t="str">
        <f t="array" ref="I998">IFERROR(XLOOKUP(D998,'MASTER ITEM LIST'!A:A,'MASTER ITEM LIST'!D:D), "")</f>
        <v>PCS</v>
      </c>
      <c r="J998" s="34">
        <v>25.0</v>
      </c>
      <c r="K998" s="69">
        <f t="shared" si="1"/>
        <v>50</v>
      </c>
      <c r="L998" s="70" t="s">
        <v>42</v>
      </c>
    </row>
    <row r="999" ht="22.5" customHeight="1">
      <c r="A999" s="29">
        <v>46174.0</v>
      </c>
      <c r="B999" s="31"/>
      <c r="C999" s="32" t="s">
        <v>711</v>
      </c>
      <c r="D999" s="71" t="s">
        <v>136</v>
      </c>
      <c r="E999" s="66" t="str">
        <f t="array" ref="E999">IF(D999="", "", XLOOKUP(D999, 'MASTER ITEM LIST'!A:A, 'MASTER ITEM LIST'!B:B, ""))</f>
        <v>CROCO MASKING TAPE 3/4 18MM (1X64)</v>
      </c>
      <c r="F999" s="31"/>
      <c r="G999" s="67" t="s">
        <v>34</v>
      </c>
      <c r="H999" s="31">
        <v>2.0</v>
      </c>
      <c r="I999" s="31" t="str">
        <f t="array" ref="I999">IFERROR(XLOOKUP(D999,'MASTER ITEM LIST'!A:A,'MASTER ITEM LIST'!D:D), "")</f>
        <v>PC/S</v>
      </c>
      <c r="J999" s="34">
        <v>35.0</v>
      </c>
      <c r="K999" s="69">
        <f t="shared" si="1"/>
        <v>70</v>
      </c>
      <c r="L999" s="70" t="s">
        <v>42</v>
      </c>
    </row>
    <row r="1000" ht="22.5" customHeight="1">
      <c r="A1000" s="29">
        <v>46174.0</v>
      </c>
      <c r="B1000" s="31"/>
      <c r="C1000" s="32" t="s">
        <v>711</v>
      </c>
      <c r="D1000" s="71" t="s">
        <v>177</v>
      </c>
      <c r="E1000" s="66" t="str">
        <f t="array" ref="E1000">IF(D1000="", "", XLOOKUP(D1000, 'MASTER ITEM LIST'!A:A, 'MASTER ITEM LIST'!B:B, ""))</f>
        <v>UNO LACQUER THINNER BOT</v>
      </c>
      <c r="F1000" s="31"/>
      <c r="G1000" s="67" t="s">
        <v>34</v>
      </c>
      <c r="H1000" s="31">
        <v>1.0</v>
      </c>
      <c r="I1000" s="31" t="str">
        <f t="array" ref="I1000">IFERROR(XLOOKUP(D1000,'MASTER ITEM LIST'!A:A,'MASTER ITEM LIST'!D:D), "")</f>
        <v>BOT</v>
      </c>
      <c r="J1000" s="34">
        <v>75.0</v>
      </c>
      <c r="K1000" s="69">
        <f t="shared" si="1"/>
        <v>75</v>
      </c>
      <c r="L1000" s="70" t="s">
        <v>42</v>
      </c>
    </row>
    <row r="1001" ht="22.5" customHeight="1">
      <c r="A1001" s="29">
        <v>46174.0</v>
      </c>
      <c r="B1001" s="31"/>
      <c r="C1001" s="32" t="s">
        <v>711</v>
      </c>
      <c r="D1001" s="71" t="s">
        <v>649</v>
      </c>
      <c r="E1001" s="66" t="str">
        <f t="array" ref="E1001">IF(D1001="", "", XLOOKUP(D1001, 'MASTER ITEM LIST'!A:A, 'MASTER ITEM LIST'!B:B, ""))</f>
        <v>NIPPON DOU CLASSIC FLAT WHITE 701 1L</v>
      </c>
      <c r="F1001" s="31"/>
      <c r="G1001" s="67" t="s">
        <v>34</v>
      </c>
      <c r="H1001" s="31">
        <v>1.0</v>
      </c>
      <c r="I1001" s="31" t="str">
        <f t="array" ref="I1001">IFERROR(XLOOKUP(D1001,'MASTER ITEM LIST'!A:A,'MASTER ITEM LIST'!D:D), "")</f>
        <v>LITER</v>
      </c>
      <c r="J1001" s="34">
        <v>230.0</v>
      </c>
      <c r="K1001" s="69">
        <f t="shared" si="1"/>
        <v>230</v>
      </c>
      <c r="L1001" s="70" t="s">
        <v>42</v>
      </c>
    </row>
    <row r="1002" ht="22.5" customHeight="1">
      <c r="A1002" s="29">
        <v>46174.0</v>
      </c>
      <c r="B1002" s="31"/>
      <c r="C1002" s="32" t="s">
        <v>711</v>
      </c>
      <c r="D1002" s="71" t="s">
        <v>458</v>
      </c>
      <c r="E1002" s="66" t="str">
        <f t="array" ref="E1002">IF(D1002="", "", XLOOKUP(D1002, 'MASTER ITEM LIST'!A:A, 'MASTER ITEM LIST'!B:B, ""))</f>
        <v>PLATONE QDE YELLOW 4L</v>
      </c>
      <c r="F1002" s="31"/>
      <c r="G1002" s="67" t="s">
        <v>34</v>
      </c>
      <c r="H1002" s="31">
        <v>1.0</v>
      </c>
      <c r="I1002" s="31" t="str">
        <f t="array" ref="I1002">IFERROR(XLOOKUP(D1002,'MASTER ITEM LIST'!A:A,'MASTER ITEM LIST'!D:D), "")</f>
        <v>GAL</v>
      </c>
      <c r="J1002" s="34">
        <v>1000.0</v>
      </c>
      <c r="K1002" s="69">
        <f t="shared" si="1"/>
        <v>1000</v>
      </c>
      <c r="L1002" s="70" t="s">
        <v>42</v>
      </c>
    </row>
    <row r="1003" ht="22.5" customHeight="1">
      <c r="A1003" s="29">
        <v>46174.0</v>
      </c>
      <c r="B1003" s="31"/>
      <c r="C1003" s="32" t="s">
        <v>711</v>
      </c>
      <c r="D1003" s="71" t="s">
        <v>246</v>
      </c>
      <c r="E1003" s="66" t="str">
        <f t="array" ref="E1003">IF(D1003="", "", XLOOKUP(D1003, 'MASTER ITEM LIST'!A:A, 'MASTER ITEM LIST'!B:B, ""))</f>
        <v>DOMINO BODY FILTER WITH HARDENER 4L</v>
      </c>
      <c r="F1003" s="31"/>
      <c r="G1003" s="67" t="s">
        <v>34</v>
      </c>
      <c r="H1003" s="31">
        <v>1.0</v>
      </c>
      <c r="I1003" s="31" t="str">
        <f t="array" ref="I1003">IFERROR(XLOOKUP(D1003,'MASTER ITEM LIST'!A:A,'MASTER ITEM LIST'!D:D), "")</f>
        <v>GAL</v>
      </c>
      <c r="J1003" s="34">
        <v>615.0</v>
      </c>
      <c r="K1003" s="69">
        <f t="shared" si="1"/>
        <v>615</v>
      </c>
      <c r="L1003" s="70" t="s">
        <v>42</v>
      </c>
    </row>
    <row r="1004" ht="22.5" customHeight="1">
      <c r="A1004" s="29">
        <v>46174.0</v>
      </c>
      <c r="B1004" s="31"/>
      <c r="C1004" s="32" t="s">
        <v>711</v>
      </c>
      <c r="D1004" s="71" t="s">
        <v>64</v>
      </c>
      <c r="E1004" s="66" t="str">
        <f t="array" ref="E1004">IF(D1004="", "", XLOOKUP(D1004, 'MASTER ITEM LIST'!A:A, 'MASTER ITEM LIST'!B:B, ""))</f>
        <v>POLYGLOSS PU FLAT BLACK 4L</v>
      </c>
      <c r="F1004" s="31"/>
      <c r="G1004" s="67" t="s">
        <v>34</v>
      </c>
      <c r="H1004" s="31">
        <v>1.0</v>
      </c>
      <c r="I1004" s="31" t="str">
        <f t="array" ref="I1004">IFERROR(XLOOKUP(D1004,'MASTER ITEM LIST'!A:A,'MASTER ITEM LIST'!D:D), "")</f>
        <v>GALON</v>
      </c>
      <c r="J1004" s="34">
        <v>2650.0</v>
      </c>
      <c r="K1004" s="69">
        <f t="shared" si="1"/>
        <v>2650</v>
      </c>
      <c r="L1004" s="70" t="s">
        <v>42</v>
      </c>
    </row>
    <row r="1005" ht="22.5" customHeight="1">
      <c r="A1005" s="29">
        <v>46174.0</v>
      </c>
      <c r="B1005" s="31"/>
      <c r="C1005" s="32" t="s">
        <v>711</v>
      </c>
      <c r="D1005" s="71" t="s">
        <v>136</v>
      </c>
      <c r="E1005" s="66" t="str">
        <f t="array" ref="E1005">IF(D1005="", "", XLOOKUP(D1005, 'MASTER ITEM LIST'!A:A, 'MASTER ITEM LIST'!B:B, ""))</f>
        <v>CROCO MASKING TAPE 3/4 18MM (1X64)</v>
      </c>
      <c r="F1005" s="31"/>
      <c r="G1005" s="67" t="s">
        <v>34</v>
      </c>
      <c r="H1005" s="31">
        <v>12.0</v>
      </c>
      <c r="I1005" s="31" t="str">
        <f t="array" ref="I1005">IFERROR(XLOOKUP(D1005,'MASTER ITEM LIST'!A:A,'MASTER ITEM LIST'!D:D), "")</f>
        <v>PC/S</v>
      </c>
      <c r="J1005" s="34">
        <v>420.0</v>
      </c>
      <c r="K1005" s="69">
        <f t="shared" si="1"/>
        <v>5040</v>
      </c>
      <c r="L1005" s="70" t="s">
        <v>42</v>
      </c>
    </row>
    <row r="1006" ht="22.5" customHeight="1">
      <c r="A1006" s="29">
        <v>46174.0</v>
      </c>
      <c r="B1006" s="31"/>
      <c r="C1006" s="32" t="s">
        <v>711</v>
      </c>
      <c r="D1006" s="71" t="s">
        <v>563</v>
      </c>
      <c r="E1006" s="66" t="str">
        <f t="array" ref="E1006">IF(D1006="", "", XLOOKUP(D1006, 'MASTER ITEM LIST'!A:A, 'MASTER ITEM LIST'!B:B, ""))</f>
        <v>NIPPON EXTREME QDU WHITE 4L</v>
      </c>
      <c r="F1006" s="31"/>
      <c r="G1006" s="67" t="s">
        <v>34</v>
      </c>
      <c r="H1006" s="31">
        <v>0.5</v>
      </c>
      <c r="I1006" s="31" t="str">
        <f t="array" ref="I1006">IFERROR(XLOOKUP(D1006,'MASTER ITEM LIST'!A:A,'MASTER ITEM LIST'!D:D), "")</f>
        <v>GAL</v>
      </c>
      <c r="J1006" s="34">
        <v>700.0</v>
      </c>
      <c r="K1006" s="69">
        <f t="shared" si="1"/>
        <v>350</v>
      </c>
      <c r="L1006" s="70" t="s">
        <v>42</v>
      </c>
    </row>
    <row r="1007" ht="22.5" customHeight="1">
      <c r="A1007" s="29">
        <v>46174.0</v>
      </c>
      <c r="B1007" s="31"/>
      <c r="C1007" s="32" t="s">
        <v>711</v>
      </c>
      <c r="D1007" s="71" t="s">
        <v>63</v>
      </c>
      <c r="E1007" s="66" t="str">
        <f t="array" ref="E1007">IF(D1007="", "", XLOOKUP(D1007, 'MASTER ITEM LIST'!A:A, 'MASTER ITEM LIST'!B:B, ""))</f>
        <v>OLD NEWS</v>
      </c>
      <c r="F1007" s="31"/>
      <c r="G1007" s="67" t="s">
        <v>34</v>
      </c>
      <c r="H1007" s="31">
        <v>1.0</v>
      </c>
      <c r="I1007" s="31" t="str">
        <f t="array" ref="I1007">IFERROR(XLOOKUP(D1007,'MASTER ITEM LIST'!A:A,'MASTER ITEM LIST'!D:D), "")</f>
        <v>KG</v>
      </c>
      <c r="J1007" s="34">
        <v>100.0</v>
      </c>
      <c r="K1007" s="69">
        <f t="shared" si="1"/>
        <v>100</v>
      </c>
      <c r="L1007" s="70" t="s">
        <v>42</v>
      </c>
    </row>
    <row r="1008" ht="22.5" customHeight="1">
      <c r="A1008" s="29">
        <v>46174.0</v>
      </c>
      <c r="B1008" s="31"/>
      <c r="C1008" s="32" t="s">
        <v>711</v>
      </c>
      <c r="D1008" s="71" t="s">
        <v>90</v>
      </c>
      <c r="E1008" s="66" t="str">
        <f t="array" ref="E1008">IF(D1008="", "", XLOOKUP(D1008, 'MASTER ITEM LIST'!A:A, 'MASTER ITEM LIST'!B:B, ""))</f>
        <v>NAX SOB757 HIGH GRADE URETHANE THINNER 4L</v>
      </c>
      <c r="F1008" s="31"/>
      <c r="G1008" s="67" t="s">
        <v>34</v>
      </c>
      <c r="H1008" s="31">
        <v>0.0625</v>
      </c>
      <c r="I1008" s="31" t="str">
        <f t="array" ref="I1008">IFERROR(XLOOKUP(D1008,'MASTER ITEM LIST'!A:A,'MASTER ITEM LIST'!D:D), "")</f>
        <v>GAL</v>
      </c>
      <c r="J1008" s="34">
        <v>960.0</v>
      </c>
      <c r="K1008" s="69">
        <f t="shared" si="1"/>
        <v>60</v>
      </c>
      <c r="L1008" s="70" t="s">
        <v>42</v>
      </c>
    </row>
    <row r="1009" ht="22.5" customHeight="1">
      <c r="A1009" s="29">
        <v>46195.0</v>
      </c>
      <c r="B1009" s="31"/>
      <c r="C1009" s="32" t="s">
        <v>711</v>
      </c>
      <c r="D1009" s="71" t="s">
        <v>247</v>
      </c>
      <c r="E1009" s="66" t="str">
        <f t="array" ref="E1009">IF(D1009="", "", XLOOKUP(D1009, 'MASTER ITEM LIST'!A:A, 'MASTER ITEM LIST'!B:B, ""))</f>
        <v>ROBFILTER PAINT STRAINER 125M</v>
      </c>
      <c r="F1009" s="31"/>
      <c r="G1009" s="67" t="s">
        <v>34</v>
      </c>
      <c r="H1009" s="31">
        <v>2.0</v>
      </c>
      <c r="I1009" s="31" t="str">
        <f t="array" ref="I1009">IFERROR(XLOOKUP(D1009,'MASTER ITEM LIST'!A:A,'MASTER ITEM LIST'!D:D), "")</f>
        <v>PC/S</v>
      </c>
      <c r="J1009" s="34">
        <v>25.0</v>
      </c>
      <c r="K1009" s="69">
        <f t="shared" si="1"/>
        <v>50</v>
      </c>
      <c r="L1009" s="70" t="s">
        <v>42</v>
      </c>
    </row>
    <row r="1010" ht="22.5" customHeight="1">
      <c r="A1010" s="29">
        <v>46175.0</v>
      </c>
      <c r="B1010" s="31"/>
      <c r="C1010" s="32" t="s">
        <v>711</v>
      </c>
      <c r="D1010" s="71" t="s">
        <v>426</v>
      </c>
      <c r="E1010" s="66" t="str">
        <f t="array" ref="E1010">IF(D1010="", "", XLOOKUP(D1010, 'MASTER ITEM LIST'!A:A, 'MASTER ITEM LIST'!B:B, ""))</f>
        <v>EAGLE SAND PAPER #320</v>
      </c>
      <c r="F1010" s="31"/>
      <c r="G1010" s="67" t="s">
        <v>34</v>
      </c>
      <c r="H1010" s="31">
        <v>2.0</v>
      </c>
      <c r="I1010" s="31" t="str">
        <f t="array" ref="I1010">IFERROR(XLOOKUP(D1010,'MASTER ITEM LIST'!A:A,'MASTER ITEM LIST'!D:D), "")</f>
        <v>PCS</v>
      </c>
      <c r="J1010" s="34">
        <v>25.0</v>
      </c>
      <c r="K1010" s="69">
        <f t="shared" si="1"/>
        <v>50</v>
      </c>
      <c r="L1010" s="70" t="s">
        <v>42</v>
      </c>
    </row>
    <row r="1011" ht="22.5" customHeight="1">
      <c r="A1011" s="29">
        <v>46175.0</v>
      </c>
      <c r="B1011" s="31"/>
      <c r="C1011" s="32" t="s">
        <v>711</v>
      </c>
      <c r="D1011" s="71" t="s">
        <v>220</v>
      </c>
      <c r="E1011" s="66" t="str">
        <f t="array" ref="E1011">IF(D1011="", "", XLOOKUP(D1011, 'MASTER ITEM LIST'!A:A, 'MASTER ITEM LIST'!B:B, ""))</f>
        <v>PREMILA MIXING 1L</v>
      </c>
      <c r="F1011" s="31" t="s">
        <v>1681</v>
      </c>
      <c r="G1011" s="67" t="s">
        <v>34</v>
      </c>
      <c r="H1011" s="31">
        <v>0.25</v>
      </c>
      <c r="I1011" s="31" t="str">
        <f t="array" ref="I1011">IFERROR(XLOOKUP(D1011,'MASTER ITEM LIST'!A:A,'MASTER ITEM LIST'!D:D), "")</f>
        <v>LITER</v>
      </c>
      <c r="J1011" s="34">
        <v>2720.0</v>
      </c>
      <c r="K1011" s="69">
        <f t="shared" si="1"/>
        <v>680</v>
      </c>
      <c r="L1011" s="70" t="s">
        <v>42</v>
      </c>
    </row>
    <row r="1012" ht="22.5" customHeight="1">
      <c r="A1012" s="29">
        <v>46175.0</v>
      </c>
      <c r="B1012" s="31"/>
      <c r="C1012" s="32" t="s">
        <v>711</v>
      </c>
      <c r="D1012" s="71" t="s">
        <v>90</v>
      </c>
      <c r="E1012" s="66" t="str">
        <f t="array" ref="E1012">IF(D1012="", "", XLOOKUP(D1012, 'MASTER ITEM LIST'!A:A, 'MASTER ITEM LIST'!B:B, ""))</f>
        <v>NAX SOB757 HIGH GRADE URETHANE THINNER 4L</v>
      </c>
      <c r="F1012" s="31"/>
      <c r="G1012" s="67" t="s">
        <v>34</v>
      </c>
      <c r="H1012" s="31">
        <v>1.125</v>
      </c>
      <c r="I1012" s="31" t="str">
        <f t="array" ref="I1012">IFERROR(XLOOKUP(D1012,'MASTER ITEM LIST'!A:A,'MASTER ITEM LIST'!D:D), "")</f>
        <v>GAL</v>
      </c>
      <c r="J1012" s="34">
        <v>783.0</v>
      </c>
      <c r="K1012" s="69">
        <f t="shared" si="1"/>
        <v>880.875</v>
      </c>
      <c r="L1012" s="70" t="s">
        <v>42</v>
      </c>
    </row>
    <row r="1013" ht="22.5" customHeight="1">
      <c r="A1013" s="29">
        <v>46175.0</v>
      </c>
      <c r="B1013" s="31"/>
      <c r="C1013" s="32" t="s">
        <v>711</v>
      </c>
      <c r="D1013" s="71" t="s">
        <v>554</v>
      </c>
      <c r="E1013" s="66" t="str">
        <f t="array" ref="E1013">IF(D1013="", "", XLOOKUP(D1013, 'MASTER ITEM LIST'!A:A, 'MASTER ITEM LIST'!B:B, ""))</f>
        <v>EAGLE SANDPAPER #400</v>
      </c>
      <c r="F1013" s="31"/>
      <c r="G1013" s="67" t="s">
        <v>34</v>
      </c>
      <c r="H1013" s="31">
        <v>5.0</v>
      </c>
      <c r="I1013" s="31" t="str">
        <f t="array" ref="I1013">IFERROR(XLOOKUP(D1013,'MASTER ITEM LIST'!A:A,'MASTER ITEM LIST'!D:D), "")</f>
        <v>PC/S</v>
      </c>
      <c r="J1013" s="34">
        <v>35.0</v>
      </c>
      <c r="K1013" s="69">
        <f t="shared" si="1"/>
        <v>175</v>
      </c>
      <c r="L1013" s="70" t="s">
        <v>42</v>
      </c>
    </row>
    <row r="1014" ht="22.5" customHeight="1">
      <c r="A1014" s="29">
        <v>46175.0</v>
      </c>
      <c r="B1014" s="31"/>
      <c r="C1014" s="32" t="s">
        <v>711</v>
      </c>
      <c r="D1014" s="71" t="s">
        <v>326</v>
      </c>
      <c r="E1014" s="66" t="str">
        <f t="array" ref="E1014">IF(D1014="", "", XLOOKUP(D1014, 'MASTER ITEM LIST'!A:A, 'MASTER ITEM LIST'!B:B, ""))</f>
        <v>EAGLE SANDPAPER #1200</v>
      </c>
      <c r="F1014" s="31"/>
      <c r="G1014" s="67" t="s">
        <v>34</v>
      </c>
      <c r="H1014" s="31">
        <v>3.0</v>
      </c>
      <c r="I1014" s="31" t="str">
        <f t="array" ref="I1014">IFERROR(XLOOKUP(D1014,'MASTER ITEM LIST'!A:A,'MASTER ITEM LIST'!D:D), "")</f>
        <v>PC/S</v>
      </c>
      <c r="J1014" s="34">
        <v>25.0</v>
      </c>
      <c r="K1014" s="69">
        <f t="shared" si="1"/>
        <v>75</v>
      </c>
      <c r="L1014" s="70" t="s">
        <v>42</v>
      </c>
    </row>
    <row r="1015" ht="22.5" customHeight="1">
      <c r="A1015" s="29">
        <v>46175.0</v>
      </c>
      <c r="B1015" s="31"/>
      <c r="C1015" s="32" t="s">
        <v>711</v>
      </c>
      <c r="D1015" s="71" t="s">
        <v>63</v>
      </c>
      <c r="E1015" s="66" t="str">
        <f t="array" ref="E1015">IF(D1015="", "", XLOOKUP(D1015, 'MASTER ITEM LIST'!A:A, 'MASTER ITEM LIST'!B:B, ""))</f>
        <v>OLD NEWS</v>
      </c>
      <c r="F1015" s="31"/>
      <c r="G1015" s="67" t="s">
        <v>34</v>
      </c>
      <c r="H1015" s="31">
        <v>1.0</v>
      </c>
      <c r="I1015" s="31" t="str">
        <f t="array" ref="I1015">IFERROR(XLOOKUP(D1015,'MASTER ITEM LIST'!A:A,'MASTER ITEM LIST'!D:D), "")</f>
        <v>KG</v>
      </c>
      <c r="J1015" s="34">
        <v>100.0</v>
      </c>
      <c r="K1015" s="69">
        <f t="shared" si="1"/>
        <v>100</v>
      </c>
      <c r="L1015" s="70" t="s">
        <v>42</v>
      </c>
    </row>
    <row r="1016" ht="22.5" customHeight="1">
      <c r="A1016" s="29">
        <v>46175.0</v>
      </c>
      <c r="B1016" s="31"/>
      <c r="C1016" s="32" t="s">
        <v>711</v>
      </c>
      <c r="D1016" s="71" t="s">
        <v>136</v>
      </c>
      <c r="E1016" s="66" t="str">
        <f t="array" ref="E1016">IF(D1016="", "", XLOOKUP(D1016, 'MASTER ITEM LIST'!A:A, 'MASTER ITEM LIST'!B:B, ""))</f>
        <v>CROCO MASKING TAPE 3/4 18MM (1X64)</v>
      </c>
      <c r="F1016" s="31"/>
      <c r="G1016" s="67" t="s">
        <v>34</v>
      </c>
      <c r="H1016" s="31">
        <v>1.0</v>
      </c>
      <c r="I1016" s="31" t="str">
        <f t="array" ref="I1016">IFERROR(XLOOKUP(D1016,'MASTER ITEM LIST'!A:A,'MASTER ITEM LIST'!D:D), "")</f>
        <v>PC/S</v>
      </c>
      <c r="J1016" s="34">
        <v>25.0</v>
      </c>
      <c r="K1016" s="69">
        <f t="shared" si="1"/>
        <v>25</v>
      </c>
      <c r="L1016" s="70" t="s">
        <v>42</v>
      </c>
    </row>
    <row r="1017" ht="22.5" customHeight="1">
      <c r="A1017" s="29">
        <v>46176.0</v>
      </c>
      <c r="B1017" s="31"/>
      <c r="C1017" s="32" t="s">
        <v>711</v>
      </c>
      <c r="D1017" s="71" t="s">
        <v>90</v>
      </c>
      <c r="E1017" s="66" t="str">
        <f t="array" ref="E1017">IF(D1017="", "", XLOOKUP(D1017, 'MASTER ITEM LIST'!A:A, 'MASTER ITEM LIST'!B:B, ""))</f>
        <v>NAX SOB757 HIGH GRADE URETHANE THINNER 4L</v>
      </c>
      <c r="F1017" s="31"/>
      <c r="G1017" s="67" t="s">
        <v>34</v>
      </c>
      <c r="H1017" s="31">
        <v>1.0</v>
      </c>
      <c r="I1017" s="31" t="str">
        <f t="array" ref="I1017">IFERROR(XLOOKUP(D1017,'MASTER ITEM LIST'!A:A,'MASTER ITEM LIST'!D:D), "")</f>
        <v>GAL</v>
      </c>
      <c r="J1017" s="34">
        <v>750.0</v>
      </c>
      <c r="K1017" s="69">
        <f t="shared" si="1"/>
        <v>750</v>
      </c>
      <c r="L1017" s="70" t="s">
        <v>42</v>
      </c>
    </row>
    <row r="1018" ht="22.5" customHeight="1">
      <c r="A1018" s="29">
        <v>46176.0</v>
      </c>
      <c r="B1018" s="31"/>
      <c r="C1018" s="32" t="s">
        <v>711</v>
      </c>
      <c r="D1018" s="71" t="s">
        <v>220</v>
      </c>
      <c r="E1018" s="66" t="str">
        <f t="array" ref="E1018">IF(D1018="", "", XLOOKUP(D1018, 'MASTER ITEM LIST'!A:A, 'MASTER ITEM LIST'!B:B, ""))</f>
        <v>PREMILA MIXING 1L</v>
      </c>
      <c r="F1018" s="31"/>
      <c r="G1018" s="67" t="s">
        <v>34</v>
      </c>
      <c r="H1018" s="31">
        <v>0.2</v>
      </c>
      <c r="I1018" s="31" t="str">
        <f t="array" ref="I1018">IFERROR(XLOOKUP(D1018,'MASTER ITEM LIST'!A:A,'MASTER ITEM LIST'!D:D), "")</f>
        <v>LITER</v>
      </c>
      <c r="J1018" s="34">
        <v>2700.0</v>
      </c>
      <c r="K1018" s="69">
        <f t="shared" si="1"/>
        <v>540</v>
      </c>
      <c r="L1018" s="70" t="s">
        <v>42</v>
      </c>
    </row>
    <row r="1019" ht="22.5" customHeight="1">
      <c r="A1019" s="29">
        <v>46176.0</v>
      </c>
      <c r="B1019" s="31"/>
      <c r="C1019" s="32" t="s">
        <v>711</v>
      </c>
      <c r="D1019" s="71" t="s">
        <v>63</v>
      </c>
      <c r="E1019" s="66" t="str">
        <f t="array" ref="E1019">IF(D1019="", "", XLOOKUP(D1019, 'MASTER ITEM LIST'!A:A, 'MASTER ITEM LIST'!B:B, ""))</f>
        <v>OLD NEWS</v>
      </c>
      <c r="F1019" s="31"/>
      <c r="G1019" s="67" t="s">
        <v>34</v>
      </c>
      <c r="H1019" s="31">
        <v>1.5</v>
      </c>
      <c r="I1019" s="31" t="str">
        <f t="array" ref="I1019">IFERROR(XLOOKUP(D1019,'MASTER ITEM LIST'!A:A,'MASTER ITEM LIST'!D:D), "")</f>
        <v>KG</v>
      </c>
      <c r="J1019" s="34">
        <v>100.0</v>
      </c>
      <c r="K1019" s="69">
        <f t="shared" si="1"/>
        <v>150</v>
      </c>
      <c r="L1019" s="70" t="s">
        <v>42</v>
      </c>
    </row>
    <row r="1020" ht="22.5" customHeight="1">
      <c r="A1020" s="29">
        <v>46176.0</v>
      </c>
      <c r="B1020" s="31"/>
      <c r="C1020" s="32" t="s">
        <v>711</v>
      </c>
      <c r="D1020" s="71" t="s">
        <v>136</v>
      </c>
      <c r="E1020" s="66" t="str">
        <f t="array" ref="E1020">IF(D1020="", "", XLOOKUP(D1020, 'MASTER ITEM LIST'!A:A, 'MASTER ITEM LIST'!B:B, ""))</f>
        <v>CROCO MASKING TAPE 3/4 18MM (1X64)</v>
      </c>
      <c r="F1020" s="31"/>
      <c r="G1020" s="67" t="s">
        <v>34</v>
      </c>
      <c r="H1020" s="31">
        <v>1.0</v>
      </c>
      <c r="I1020" s="31" t="str">
        <f t="array" ref="I1020">IFERROR(XLOOKUP(D1020,'MASTER ITEM LIST'!A:A,'MASTER ITEM LIST'!D:D), "")</f>
        <v>PC/S</v>
      </c>
      <c r="J1020" s="34">
        <v>25.0</v>
      </c>
      <c r="K1020" s="69">
        <f t="shared" si="1"/>
        <v>25</v>
      </c>
      <c r="L1020" s="70" t="s">
        <v>42</v>
      </c>
    </row>
    <row r="1021" ht="22.5" customHeight="1">
      <c r="A1021" s="29">
        <v>46177.0</v>
      </c>
      <c r="B1021" s="31"/>
      <c r="C1021" s="32" t="s">
        <v>711</v>
      </c>
      <c r="D1021" s="71" t="s">
        <v>134</v>
      </c>
      <c r="E1021" s="66" t="str">
        <f t="array" ref="E1021">IF(D1021="", "", XLOOKUP(D1021, 'MASTER ITEM LIST'!A:A, 'MASTER ITEM LIST'!B:B, ""))</f>
        <v>QDE MIXING NP, DAVIES, BOYSEN, ALPHA CHROMA, WC 1L</v>
      </c>
      <c r="F1021" s="31"/>
      <c r="G1021" s="67" t="s">
        <v>34</v>
      </c>
      <c r="H1021" s="31">
        <v>0.25</v>
      </c>
      <c r="I1021" s="31" t="str">
        <f t="array" ref="I1021">IFERROR(XLOOKUP(D1021,'MASTER ITEM LIST'!A:A,'MASTER ITEM LIST'!D:D), "")</f>
        <v>LITER</v>
      </c>
      <c r="J1021" s="34">
        <v>280.0</v>
      </c>
      <c r="K1021" s="69">
        <f t="shared" si="1"/>
        <v>70</v>
      </c>
      <c r="L1021" s="70" t="s">
        <v>42</v>
      </c>
    </row>
    <row r="1022" ht="22.5" customHeight="1">
      <c r="A1022" s="29">
        <v>46177.0</v>
      </c>
      <c r="B1022" s="31"/>
      <c r="C1022" s="32" t="s">
        <v>711</v>
      </c>
      <c r="D1022" s="71" t="s">
        <v>233</v>
      </c>
      <c r="E1022" s="66" t="str">
        <f t="array" ref="E1022">IF(D1022="", "", XLOOKUP(D1022, 'MASTER ITEM LIST'!A:A, 'MASTER ITEM LIST'!B:B, ""))</f>
        <v>NAX ALPHA HB SPRAY FILLER GRAY WITH HARDENER 1L</v>
      </c>
      <c r="F1022" s="31"/>
      <c r="G1022" s="67" t="s">
        <v>34</v>
      </c>
      <c r="H1022" s="31">
        <v>1.0</v>
      </c>
      <c r="I1022" s="31" t="str">
        <f t="array" ref="I1022">IFERROR(XLOOKUP(D1022,'MASTER ITEM LIST'!A:A,'MASTER ITEM LIST'!D:D), "")</f>
        <v>LITER</v>
      </c>
      <c r="J1022" s="34">
        <v>590.0</v>
      </c>
      <c r="K1022" s="69">
        <f t="shared" si="1"/>
        <v>590</v>
      </c>
      <c r="L1022" s="70" t="s">
        <v>42</v>
      </c>
    </row>
    <row r="1023" ht="22.5" customHeight="1">
      <c r="A1023" s="29">
        <v>46177.0</v>
      </c>
      <c r="B1023" s="31"/>
      <c r="C1023" s="32" t="s">
        <v>711</v>
      </c>
      <c r="D1023" s="71" t="s">
        <v>53</v>
      </c>
      <c r="E1023" s="66" t="str">
        <f t="array" ref="E1023">IF(D1023="", "", XLOOKUP(D1023, 'MASTER ITEM LIST'!A:A, 'MASTER ITEM LIST'!B:B, ""))</f>
        <v>NAX 108 CERAMIC 2K CLEAR WITH HARDENER 1L</v>
      </c>
      <c r="F1023" s="31"/>
      <c r="G1023" s="67" t="s">
        <v>34</v>
      </c>
      <c r="H1023" s="31">
        <v>3.0</v>
      </c>
      <c r="I1023" s="31" t="str">
        <f t="array" ref="I1023">IFERROR(XLOOKUP(D1023,'MASTER ITEM LIST'!A:A,'MASTER ITEM LIST'!D:D), "")</f>
        <v>LITER</v>
      </c>
      <c r="J1023" s="34">
        <v>680.0</v>
      </c>
      <c r="K1023" s="69">
        <f t="shared" si="1"/>
        <v>2040</v>
      </c>
      <c r="L1023" s="70" t="s">
        <v>42</v>
      </c>
    </row>
    <row r="1024" ht="22.5" customHeight="1">
      <c r="A1024" s="29">
        <v>46177.0</v>
      </c>
      <c r="B1024" s="31"/>
      <c r="C1024" s="32" t="s">
        <v>711</v>
      </c>
      <c r="D1024" s="71" t="s">
        <v>35</v>
      </c>
      <c r="E1024" s="66" t="str">
        <f t="array" ref="E1024">IF(D1024="", "", XLOOKUP(D1024, 'MASTER ITEM LIST'!A:A, 'MASTER ITEM LIST'!B:B, ""))</f>
        <v>RAIN OR SHINE CHOCOLATE BROWN 1L</v>
      </c>
      <c r="F1024" s="31"/>
      <c r="G1024" s="67" t="s">
        <v>34</v>
      </c>
      <c r="H1024" s="31">
        <v>1.0</v>
      </c>
      <c r="I1024" s="31" t="str">
        <f t="array" ref="I1024">IFERROR(XLOOKUP(D1024,'MASTER ITEM LIST'!A:A,'MASTER ITEM LIST'!D:D), "")</f>
        <v>LITER</v>
      </c>
      <c r="J1024" s="34">
        <v>250.0</v>
      </c>
      <c r="K1024" s="69">
        <f t="shared" si="1"/>
        <v>250</v>
      </c>
      <c r="L1024" s="70" t="s">
        <v>42</v>
      </c>
    </row>
    <row r="1025" ht="22.5" customHeight="1">
      <c r="A1025" s="29">
        <v>46178.0</v>
      </c>
      <c r="B1025" s="31"/>
      <c r="C1025" s="32" t="s">
        <v>711</v>
      </c>
      <c r="D1025" s="71" t="s">
        <v>1170</v>
      </c>
      <c r="E1025" s="66" t="str">
        <f t="array" ref="E1025">IF(D1025="", "", XLOOKUP(D1025, 'MASTER ITEM LIST'!A:A, 'MASTER ITEM LIST'!B:B, ""))</f>
        <v>RAIN OR SHINE-TEMPTATION 4L</v>
      </c>
      <c r="F1025" s="31"/>
      <c r="G1025" s="67" t="s">
        <v>34</v>
      </c>
      <c r="H1025" s="31">
        <v>1.0</v>
      </c>
      <c r="I1025" s="31" t="str">
        <f t="array" ref="I1025">IFERROR(XLOOKUP(D1025,'MASTER ITEM LIST'!A:A,'MASTER ITEM LIST'!D:D), "")</f>
        <v>GALON</v>
      </c>
      <c r="J1025" s="34">
        <v>950.0</v>
      </c>
      <c r="K1025" s="69">
        <f t="shared" si="1"/>
        <v>950</v>
      </c>
      <c r="L1025" s="70" t="s">
        <v>42</v>
      </c>
    </row>
    <row r="1026" ht="22.5" customHeight="1">
      <c r="A1026" s="29">
        <v>46178.0</v>
      </c>
      <c r="B1026" s="31"/>
      <c r="C1026" s="32" t="s">
        <v>711</v>
      </c>
      <c r="D1026" s="71" t="s">
        <v>326</v>
      </c>
      <c r="E1026" s="66" t="str">
        <f t="array" ref="E1026">IF(D1026="", "", XLOOKUP(D1026, 'MASTER ITEM LIST'!A:A, 'MASTER ITEM LIST'!B:B, ""))</f>
        <v>EAGLE SANDPAPER #1200</v>
      </c>
      <c r="F1026" s="31"/>
      <c r="G1026" s="67" t="s">
        <v>34</v>
      </c>
      <c r="H1026" s="31">
        <v>1.0</v>
      </c>
      <c r="I1026" s="31" t="str">
        <f t="array" ref="I1026">IFERROR(XLOOKUP(D1026,'MASTER ITEM LIST'!A:A,'MASTER ITEM LIST'!D:D), "")</f>
        <v>PC/S</v>
      </c>
      <c r="J1026" s="34">
        <v>25.0</v>
      </c>
      <c r="K1026" s="69">
        <f t="shared" si="1"/>
        <v>25</v>
      </c>
      <c r="L1026" s="70" t="s">
        <v>42</v>
      </c>
    </row>
    <row r="1027" ht="22.5" customHeight="1">
      <c r="A1027" s="29">
        <v>46178.0</v>
      </c>
      <c r="B1027" s="31"/>
      <c r="C1027" s="32" t="s">
        <v>711</v>
      </c>
      <c r="D1027" s="71" t="s">
        <v>167</v>
      </c>
      <c r="E1027" s="66" t="str">
        <f t="array" ref="E1027">IF(D1027="", "", XLOOKUP(D1027, 'MASTER ITEM LIST'!A:A, 'MASTER ITEM LIST'!B:B, ""))</f>
        <v>NAX QDU MIX 1L</v>
      </c>
      <c r="F1027" s="31"/>
      <c r="G1027" s="67" t="s">
        <v>34</v>
      </c>
      <c r="H1027" s="31">
        <v>0.5</v>
      </c>
      <c r="I1027" s="31" t="str">
        <f t="array" ref="I1027">IFERROR(XLOOKUP(D1027,'MASTER ITEM LIST'!A:A,'MASTER ITEM LIST'!D:D), "")</f>
        <v>LITER</v>
      </c>
      <c r="J1027" s="34">
        <v>800.0</v>
      </c>
      <c r="K1027" s="69">
        <f t="shared" si="1"/>
        <v>400</v>
      </c>
      <c r="L1027" s="70" t="s">
        <v>42</v>
      </c>
    </row>
    <row r="1028" ht="22.5" customHeight="1">
      <c r="A1028" s="29">
        <v>46178.0</v>
      </c>
      <c r="B1028" s="31"/>
      <c r="C1028" s="32" t="s">
        <v>711</v>
      </c>
      <c r="D1028" s="71" t="s">
        <v>167</v>
      </c>
      <c r="E1028" s="66" t="str">
        <f t="array" ref="E1028">IF(D1028="", "", XLOOKUP(D1028, 'MASTER ITEM LIST'!A:A, 'MASTER ITEM LIST'!B:B, ""))</f>
        <v>NAX QDU MIX 1L</v>
      </c>
      <c r="F1028" s="31"/>
      <c r="G1028" s="67" t="s">
        <v>34</v>
      </c>
      <c r="H1028" s="31">
        <v>0.25</v>
      </c>
      <c r="I1028" s="31" t="str">
        <f t="array" ref="I1028">IFERROR(XLOOKUP(D1028,'MASTER ITEM LIST'!A:A,'MASTER ITEM LIST'!D:D), "")</f>
        <v>LITER</v>
      </c>
      <c r="J1028" s="34">
        <v>1200.0</v>
      </c>
      <c r="K1028" s="69">
        <f t="shared" si="1"/>
        <v>300</v>
      </c>
      <c r="L1028" s="70" t="s">
        <v>42</v>
      </c>
    </row>
    <row r="1029" ht="22.5" customHeight="1">
      <c r="A1029" s="29">
        <v>46178.0</v>
      </c>
      <c r="B1029" s="31"/>
      <c r="C1029" s="32" t="s">
        <v>711</v>
      </c>
      <c r="D1029" s="71" t="s">
        <v>136</v>
      </c>
      <c r="E1029" s="66" t="str">
        <f t="array" ref="E1029">IF(D1029="", "", XLOOKUP(D1029, 'MASTER ITEM LIST'!A:A, 'MASTER ITEM LIST'!B:B, ""))</f>
        <v>CROCO MASKING TAPE 3/4 18MM (1X64)</v>
      </c>
      <c r="F1029" s="31"/>
      <c r="G1029" s="67" t="s">
        <v>34</v>
      </c>
      <c r="H1029" s="31">
        <v>16.0</v>
      </c>
      <c r="I1029" s="31" t="str">
        <f t="array" ref="I1029">IFERROR(XLOOKUP(D1029,'MASTER ITEM LIST'!A:A,'MASTER ITEM LIST'!D:D), "")</f>
        <v>PC/S</v>
      </c>
      <c r="J1029" s="34">
        <v>35.0</v>
      </c>
      <c r="K1029" s="69">
        <f t="shared" si="1"/>
        <v>560</v>
      </c>
      <c r="L1029" s="70" t="s">
        <v>42</v>
      </c>
    </row>
    <row r="1030" ht="22.5" customHeight="1">
      <c r="A1030" s="29">
        <v>46178.0</v>
      </c>
      <c r="B1030" s="31"/>
      <c r="C1030" s="32" t="s">
        <v>711</v>
      </c>
      <c r="D1030" s="71" t="s">
        <v>340</v>
      </c>
      <c r="E1030" s="66" t="str">
        <f t="array" ref="E1030">IF(D1030="", "", XLOOKUP(D1030, 'MASTER ITEM LIST'!A:A, 'MASTER ITEM LIST'!B:B, ""))</f>
        <v>PYLOX LAZER GLOSS BLACK 48</v>
      </c>
      <c r="F1030" s="31"/>
      <c r="G1030" s="67" t="s">
        <v>34</v>
      </c>
      <c r="H1030" s="31">
        <v>1.0</v>
      </c>
      <c r="I1030" s="31" t="str">
        <f t="array" ref="I1030">IFERROR(XLOOKUP(D1030,'MASTER ITEM LIST'!A:A,'MASTER ITEM LIST'!D:D), "")</f>
        <v>CAN</v>
      </c>
      <c r="J1030" s="34">
        <v>140.0</v>
      </c>
      <c r="K1030" s="69">
        <f t="shared" si="1"/>
        <v>140</v>
      </c>
      <c r="L1030" s="70" t="s">
        <v>42</v>
      </c>
    </row>
    <row r="1031" ht="22.5" customHeight="1">
      <c r="A1031" s="29">
        <v>46179.0</v>
      </c>
      <c r="B1031" s="31"/>
      <c r="C1031" s="32" t="s">
        <v>711</v>
      </c>
      <c r="D1031" s="71" t="s">
        <v>220</v>
      </c>
      <c r="E1031" s="66" t="str">
        <f t="array" ref="E1031">IF(D1031="", "", XLOOKUP(D1031, 'MASTER ITEM LIST'!A:A, 'MASTER ITEM LIST'!B:B, ""))</f>
        <v>PREMILA MIXING 1L</v>
      </c>
      <c r="F1031" s="31" t="s">
        <v>1710</v>
      </c>
      <c r="G1031" s="67" t="s">
        <v>34</v>
      </c>
      <c r="H1031" s="31">
        <v>0.125</v>
      </c>
      <c r="I1031" s="31" t="str">
        <f t="array" ref="I1031">IFERROR(XLOOKUP(D1031,'MASTER ITEM LIST'!A:A,'MASTER ITEM LIST'!D:D), "")</f>
        <v>LITER</v>
      </c>
      <c r="J1031" s="34">
        <v>2560.0</v>
      </c>
      <c r="K1031" s="69">
        <f t="shared" si="1"/>
        <v>320</v>
      </c>
      <c r="L1031" s="70" t="s">
        <v>42</v>
      </c>
    </row>
    <row r="1032" ht="22.5" customHeight="1">
      <c r="A1032" s="29">
        <v>46179.0</v>
      </c>
      <c r="B1032" s="31"/>
      <c r="C1032" s="32" t="s">
        <v>711</v>
      </c>
      <c r="D1032" s="71" t="s">
        <v>717</v>
      </c>
      <c r="E1032" s="66" t="str">
        <f t="array" ref="E1032">IF(D1032="", "", XLOOKUP(D1032, 'MASTER ITEM LIST'!A:A, 'MASTER ITEM LIST'!B:B, ""))</f>
        <v>CROCO MASKING TAPE #1</v>
      </c>
      <c r="F1032" s="31"/>
      <c r="G1032" s="67" t="s">
        <v>34</v>
      </c>
      <c r="H1032" s="31">
        <v>2.0</v>
      </c>
      <c r="I1032" s="31" t="str">
        <f t="array" ref="I1032">IFERROR(XLOOKUP(D1032,'MASTER ITEM LIST'!A:A,'MASTER ITEM LIST'!D:D), "")</f>
        <v>PCS</v>
      </c>
      <c r="J1032" s="34">
        <v>40.0</v>
      </c>
      <c r="K1032" s="69">
        <f t="shared" si="1"/>
        <v>80</v>
      </c>
      <c r="L1032" s="70" t="s">
        <v>42</v>
      </c>
    </row>
    <row r="1033" ht="22.5" customHeight="1">
      <c r="A1033" s="29">
        <v>46181.0</v>
      </c>
      <c r="B1033" s="31"/>
      <c r="C1033" s="32" t="s">
        <v>711</v>
      </c>
      <c r="D1033" s="71" t="s">
        <v>167</v>
      </c>
      <c r="E1033" s="66" t="str">
        <f t="array" ref="E1033">IF(D1033="", "", XLOOKUP(D1033, 'MASTER ITEM LIST'!A:A, 'MASTER ITEM LIST'!B:B, ""))</f>
        <v>NAX QDU MIX 1L</v>
      </c>
      <c r="F1033" s="31"/>
      <c r="G1033" s="67" t="s">
        <v>34</v>
      </c>
      <c r="H1033" s="31">
        <v>0.5</v>
      </c>
      <c r="I1033" s="31" t="str">
        <f t="array" ref="I1033">IFERROR(XLOOKUP(D1033,'MASTER ITEM LIST'!A:A,'MASTER ITEM LIST'!D:D), "")</f>
        <v>LITER</v>
      </c>
      <c r="J1033" s="34">
        <v>1000.0</v>
      </c>
      <c r="K1033" s="69">
        <f t="shared" si="1"/>
        <v>500</v>
      </c>
      <c r="L1033" s="70" t="s">
        <v>42</v>
      </c>
    </row>
    <row r="1034" ht="22.5" customHeight="1">
      <c r="A1034" s="29">
        <v>46181.0</v>
      </c>
      <c r="B1034" s="31"/>
      <c r="C1034" s="32" t="s">
        <v>711</v>
      </c>
      <c r="D1034" s="71" t="s">
        <v>233</v>
      </c>
      <c r="E1034" s="66" t="str">
        <f t="array" ref="E1034">IF(D1034="", "", XLOOKUP(D1034, 'MASTER ITEM LIST'!A:A, 'MASTER ITEM LIST'!B:B, ""))</f>
        <v>NAX ALPHA HB SPRAY FILLER GRAY WITH HARDENER 1L</v>
      </c>
      <c r="F1034" s="31"/>
      <c r="G1034" s="67" t="s">
        <v>34</v>
      </c>
      <c r="H1034" s="31">
        <v>1.0</v>
      </c>
      <c r="I1034" s="31" t="str">
        <f t="array" ref="I1034">IFERROR(XLOOKUP(D1034,'MASTER ITEM LIST'!A:A,'MASTER ITEM LIST'!D:D), "")</f>
        <v>LITER</v>
      </c>
      <c r="J1034" s="34">
        <v>590.0</v>
      </c>
      <c r="K1034" s="69">
        <f t="shared" si="1"/>
        <v>590</v>
      </c>
      <c r="L1034" s="70" t="s">
        <v>42</v>
      </c>
    </row>
    <row r="1035" ht="22.5" customHeight="1">
      <c r="A1035" s="29">
        <v>46181.0</v>
      </c>
      <c r="B1035" s="31"/>
      <c r="C1035" s="32" t="s">
        <v>711</v>
      </c>
      <c r="D1035" s="71" t="s">
        <v>410</v>
      </c>
      <c r="E1035" s="66" t="str">
        <f t="array" ref="E1035">IF(D1035="", "", XLOOKUP(D1035, 'MASTER ITEM LIST'!A:A, 'MASTER ITEM LIST'!B:B, ""))</f>
        <v>NAX NAX21 URETHANE HAEDENER</v>
      </c>
      <c r="F1035" s="31"/>
      <c r="G1035" s="67" t="s">
        <v>34</v>
      </c>
      <c r="H1035" s="31">
        <v>1.0</v>
      </c>
      <c r="I1035" s="31" t="str">
        <f t="array" ref="I1035">IFERROR(XLOOKUP(D1035,'MASTER ITEM LIST'!A:A,'MASTER ITEM LIST'!D:D), "")</f>
        <v>CANS</v>
      </c>
      <c r="J1035" s="34">
        <v>250.0</v>
      </c>
      <c r="K1035" s="69">
        <f t="shared" si="1"/>
        <v>250</v>
      </c>
      <c r="L1035" s="70" t="s">
        <v>42</v>
      </c>
    </row>
    <row r="1036" ht="22.5" customHeight="1">
      <c r="A1036" s="29">
        <v>46181.0</v>
      </c>
      <c r="B1036" s="31"/>
      <c r="C1036" s="32" t="s">
        <v>711</v>
      </c>
      <c r="D1036" s="71" t="s">
        <v>253</v>
      </c>
      <c r="E1036" s="66" t="str">
        <f t="array" ref="E1036">IF(D1036="", "", XLOOKUP(D1036, 'MASTER ITEM LIST'!A:A, 'MASTER ITEM LIST'!B:B, ""))</f>
        <v>ROBERLO RUBBING COMPOUND 1KG</v>
      </c>
      <c r="F1036" s="72"/>
      <c r="G1036" s="67" t="s">
        <v>34</v>
      </c>
      <c r="H1036" s="31">
        <v>0.25</v>
      </c>
      <c r="I1036" s="31" t="str">
        <f t="array" ref="I1036">IFERROR(XLOOKUP(D1036,'MASTER ITEM LIST'!A:A,'MASTER ITEM LIST'!D:D), "")</f>
        <v>KG</v>
      </c>
      <c r="J1036" s="34">
        <v>1000.0</v>
      </c>
      <c r="K1036" s="69">
        <f t="shared" si="1"/>
        <v>250</v>
      </c>
      <c r="L1036" s="70" t="s">
        <v>42</v>
      </c>
    </row>
    <row r="1037" ht="22.5" customHeight="1">
      <c r="A1037" s="29">
        <v>46182.0</v>
      </c>
      <c r="B1037" s="31"/>
      <c r="C1037" s="32" t="s">
        <v>711</v>
      </c>
      <c r="D1037" s="71" t="s">
        <v>220</v>
      </c>
      <c r="E1037" s="66" t="str">
        <f t="array" ref="E1037">IF(D1037="", "", XLOOKUP(D1037, 'MASTER ITEM LIST'!A:A, 'MASTER ITEM LIST'!B:B, ""))</f>
        <v>PREMILA MIXING 1L</v>
      </c>
      <c r="F1037" s="31" t="s">
        <v>1711</v>
      </c>
      <c r="G1037" s="67" t="s">
        <v>34</v>
      </c>
      <c r="H1037" s="31">
        <v>0.25</v>
      </c>
      <c r="I1037" s="31" t="str">
        <f t="array" ref="I1037">IFERROR(XLOOKUP(D1037,'MASTER ITEM LIST'!A:A,'MASTER ITEM LIST'!D:D), "")</f>
        <v>LITER</v>
      </c>
      <c r="J1037" s="34">
        <v>2320.0</v>
      </c>
      <c r="K1037" s="69">
        <f t="shared" si="1"/>
        <v>580</v>
      </c>
      <c r="L1037" s="70" t="s">
        <v>42</v>
      </c>
    </row>
    <row r="1038" ht="22.5" customHeight="1">
      <c r="A1038" s="29">
        <v>46182.0</v>
      </c>
      <c r="B1038" s="31"/>
      <c r="C1038" s="32" t="s">
        <v>711</v>
      </c>
      <c r="D1038" s="71" t="s">
        <v>90</v>
      </c>
      <c r="E1038" s="66" t="str">
        <f t="array" ref="E1038">IF(D1038="", "", XLOOKUP(D1038, 'MASTER ITEM LIST'!A:A, 'MASTER ITEM LIST'!B:B, ""))</f>
        <v>NAX SOB757 HIGH GRADE URETHANE THINNER 4L</v>
      </c>
      <c r="F1038" s="31"/>
      <c r="G1038" s="67" t="s">
        <v>34</v>
      </c>
      <c r="H1038" s="31">
        <v>0.5</v>
      </c>
      <c r="I1038" s="31" t="str">
        <f t="array" ref="I1038">IFERROR(XLOOKUP(D1038,'MASTER ITEM LIST'!A:A,'MASTER ITEM LIST'!D:D), "")</f>
        <v>GAL</v>
      </c>
      <c r="J1038" s="34">
        <v>800.0</v>
      </c>
      <c r="K1038" s="69">
        <f t="shared" si="1"/>
        <v>400</v>
      </c>
      <c r="L1038" s="70" t="s">
        <v>42</v>
      </c>
    </row>
    <row r="1039" ht="22.5" customHeight="1">
      <c r="A1039" s="29">
        <v>46182.0</v>
      </c>
      <c r="B1039" s="31"/>
      <c r="C1039" s="32" t="s">
        <v>711</v>
      </c>
      <c r="D1039" s="71" t="s">
        <v>136</v>
      </c>
      <c r="E1039" s="66" t="str">
        <f t="array" ref="E1039">IF(D1039="", "", XLOOKUP(D1039, 'MASTER ITEM LIST'!A:A, 'MASTER ITEM LIST'!B:B, ""))</f>
        <v>CROCO MASKING TAPE 3/4 18MM (1X64)</v>
      </c>
      <c r="F1039" s="31"/>
      <c r="G1039" s="67" t="s">
        <v>34</v>
      </c>
      <c r="H1039" s="31">
        <v>4.0</v>
      </c>
      <c r="I1039" s="31" t="str">
        <f t="array" ref="I1039">IFERROR(XLOOKUP(D1039,'MASTER ITEM LIST'!A:A,'MASTER ITEM LIST'!D:D), "")</f>
        <v>PC/S</v>
      </c>
      <c r="J1039" s="34">
        <v>35.0</v>
      </c>
      <c r="K1039" s="69">
        <f t="shared" si="1"/>
        <v>140</v>
      </c>
      <c r="L1039" s="70" t="s">
        <v>42</v>
      </c>
    </row>
    <row r="1040" ht="22.5" customHeight="1">
      <c r="A1040" s="29">
        <v>46182.0</v>
      </c>
      <c r="B1040" s="31"/>
      <c r="C1040" s="32" t="s">
        <v>711</v>
      </c>
      <c r="D1040" s="71" t="s">
        <v>233</v>
      </c>
      <c r="E1040" s="66" t="str">
        <f t="array" ref="E1040">IF(D1040="", "", XLOOKUP(D1040, 'MASTER ITEM LIST'!A:A, 'MASTER ITEM LIST'!B:B, ""))</f>
        <v>NAX ALPHA HB SPRAY FILLER GRAY WITH HARDENER 1L</v>
      </c>
      <c r="F1040" s="31"/>
      <c r="G1040" s="67" t="s">
        <v>34</v>
      </c>
      <c r="H1040" s="31">
        <v>0.25</v>
      </c>
      <c r="I1040" s="31" t="str">
        <f t="array" ref="I1040">IFERROR(XLOOKUP(D1040,'MASTER ITEM LIST'!A:A,'MASTER ITEM LIST'!D:D), "")</f>
        <v>LITER</v>
      </c>
      <c r="J1040" s="34">
        <v>640.0</v>
      </c>
      <c r="K1040" s="69">
        <f t="shared" si="1"/>
        <v>160</v>
      </c>
      <c r="L1040" s="70" t="s">
        <v>42</v>
      </c>
    </row>
    <row r="1041" ht="22.5" customHeight="1">
      <c r="A1041" s="29">
        <v>46182.0</v>
      </c>
      <c r="B1041" s="31"/>
      <c r="C1041" s="32" t="s">
        <v>711</v>
      </c>
      <c r="D1041" s="71" t="s">
        <v>134</v>
      </c>
      <c r="E1041" s="66" t="str">
        <f t="array" ref="E1041">IF(D1041="", "", XLOOKUP(D1041, 'MASTER ITEM LIST'!A:A, 'MASTER ITEM LIST'!B:B, ""))</f>
        <v>QDE MIXING NP, DAVIES, BOYSEN, ALPHA CHROMA, WC 1L</v>
      </c>
      <c r="F1041" s="31"/>
      <c r="G1041" s="67" t="s">
        <v>34</v>
      </c>
      <c r="H1041" s="31">
        <v>0.25</v>
      </c>
      <c r="I1041" s="31" t="str">
        <f t="array" ref="I1041">IFERROR(XLOOKUP(D1041,'MASTER ITEM LIST'!A:A,'MASTER ITEM LIST'!D:D), "")</f>
        <v>LITER</v>
      </c>
      <c r="J1041" s="34">
        <v>280.0</v>
      </c>
      <c r="K1041" s="69">
        <f t="shared" si="1"/>
        <v>70</v>
      </c>
      <c r="L1041" s="70" t="s">
        <v>42</v>
      </c>
    </row>
    <row r="1042" ht="22.5" customHeight="1">
      <c r="A1042" s="29">
        <v>46183.0</v>
      </c>
      <c r="B1042" s="31"/>
      <c r="C1042" s="32" t="s">
        <v>711</v>
      </c>
      <c r="D1042" s="71" t="s">
        <v>454</v>
      </c>
      <c r="E1042" s="66" t="str">
        <f t="array" ref="E1042">IF(D1042="", "", XLOOKUP(D1042, 'MASTER ITEM LIST'!A:A, 'MASTER ITEM LIST'!B:B, ""))</f>
        <v>POLYGLOSS PU 888 RED 4L</v>
      </c>
      <c r="F1042" s="31"/>
      <c r="G1042" s="67" t="s">
        <v>34</v>
      </c>
      <c r="H1042" s="31">
        <v>0.5</v>
      </c>
      <c r="I1042" s="31" t="str">
        <f t="array" ref="I1042">IFERROR(XLOOKUP(D1042,'MASTER ITEM LIST'!A:A,'MASTER ITEM LIST'!D:D), "")</f>
        <v>GALON</v>
      </c>
      <c r="J1042" s="34">
        <v>3400.0</v>
      </c>
      <c r="K1042" s="69">
        <f t="shared" si="1"/>
        <v>1700</v>
      </c>
      <c r="L1042" s="70" t="s">
        <v>42</v>
      </c>
    </row>
    <row r="1043" ht="22.5" customHeight="1">
      <c r="A1043" s="29">
        <v>46183.0</v>
      </c>
      <c r="B1043" s="31"/>
      <c r="C1043" s="32" t="s">
        <v>711</v>
      </c>
      <c r="D1043" s="71" t="s">
        <v>568</v>
      </c>
      <c r="E1043" s="66" t="str">
        <f t="array" ref="E1043">IF(D1043="", "", XLOOKUP(D1043, 'MASTER ITEM LIST'!A:A, 'MASTER ITEM LIST'!B:B, ""))</f>
        <v>NIPPON EXTREME QDU SILVER 4L</v>
      </c>
      <c r="F1043" s="31"/>
      <c r="G1043" s="67" t="s">
        <v>34</v>
      </c>
      <c r="H1043" s="31">
        <v>0.375</v>
      </c>
      <c r="I1043" s="31" t="str">
        <f t="array" ref="I1043">IFERROR(XLOOKUP(D1043,'MASTER ITEM LIST'!A:A,'MASTER ITEM LIST'!D:D), "")</f>
        <v>GAL</v>
      </c>
      <c r="J1043" s="34">
        <v>2933.33</v>
      </c>
      <c r="K1043" s="69">
        <f t="shared" si="1"/>
        <v>1099.99875</v>
      </c>
      <c r="L1043" s="70" t="s">
        <v>42</v>
      </c>
    </row>
    <row r="1044" ht="22.5" customHeight="1">
      <c r="A1044" s="29">
        <v>46196.0</v>
      </c>
      <c r="B1044" s="31" t="s">
        <v>1712</v>
      </c>
      <c r="C1044" s="32" t="s">
        <v>281</v>
      </c>
      <c r="D1044" s="71" t="s">
        <v>156</v>
      </c>
      <c r="E1044" s="66" t="str">
        <f t="array" ref="E1044">IF(D1044="", "", XLOOKUP(D1044, 'MASTER ITEM LIST'!A:A, 'MASTER ITEM LIST'!B:B, ""))</f>
        <v>WASTE COTTON POD</v>
      </c>
      <c r="F1044" s="31"/>
      <c r="G1044" s="67" t="s">
        <v>34</v>
      </c>
      <c r="H1044" s="31">
        <v>1.0</v>
      </c>
      <c r="I1044" s="31" t="str">
        <f t="array" ref="I1044">IFERROR(XLOOKUP(D1044,'MASTER ITEM LIST'!A:A,'MASTER ITEM LIST'!D:D), "")</f>
        <v>KL</v>
      </c>
      <c r="J1044" s="34">
        <v>100.0</v>
      </c>
      <c r="K1044" s="69">
        <f t="shared" si="1"/>
        <v>100</v>
      </c>
      <c r="L1044" s="70" t="s">
        <v>42</v>
      </c>
    </row>
    <row r="1045" ht="22.5" customHeight="1">
      <c r="A1045" s="29">
        <v>46196.0</v>
      </c>
      <c r="B1045" s="31" t="s">
        <v>1713</v>
      </c>
      <c r="C1045" s="32" t="s">
        <v>1240</v>
      </c>
      <c r="D1045" s="71" t="s">
        <v>213</v>
      </c>
      <c r="E1045" s="66" t="str">
        <f t="array" ref="E1045">IF(D1045="", "", XLOOKUP(D1045, 'MASTER ITEM LIST'!A:A, 'MASTER ITEM LIST'!B:B, ""))</f>
        <v>NAX PREMILA NP9200 2K CLEAR WITH HARDENER 1L</v>
      </c>
      <c r="F1045" s="31"/>
      <c r="G1045" s="67" t="s">
        <v>34</v>
      </c>
      <c r="H1045" s="31">
        <v>3.0</v>
      </c>
      <c r="I1045" s="31" t="str">
        <f t="array" ref="I1045">IFERROR(XLOOKUP(D1045,'MASTER ITEM LIST'!A:A,'MASTER ITEM LIST'!D:D), "")</f>
        <v>LITER</v>
      </c>
      <c r="J1045" s="34">
        <v>1350.0</v>
      </c>
      <c r="K1045" s="69">
        <f t="shared" si="1"/>
        <v>4050</v>
      </c>
      <c r="L1045" s="70" t="s">
        <v>42</v>
      </c>
    </row>
    <row r="1046" ht="22.5" customHeight="1">
      <c r="A1046" s="29">
        <v>46196.0</v>
      </c>
      <c r="B1046" s="31" t="s">
        <v>1713</v>
      </c>
      <c r="C1046" s="32" t="s">
        <v>1240</v>
      </c>
      <c r="D1046" s="71" t="s">
        <v>703</v>
      </c>
      <c r="E1046" s="66" t="str">
        <f t="array" ref="E1046">IF(D1046="", "", XLOOKUP(D1046, 'MASTER ITEM LIST'!A:A, 'MASTER ITEM LIST'!B:B, ""))</f>
        <v>NAX SOD145 SOLVENT NAPTHA/DEGREASER 4L</v>
      </c>
      <c r="F1046" s="31"/>
      <c r="G1046" s="67" t="s">
        <v>34</v>
      </c>
      <c r="H1046" s="31">
        <v>1.0</v>
      </c>
      <c r="I1046" s="31" t="str">
        <f t="array" ref="I1046">IFERROR(XLOOKUP(D1046,'MASTER ITEM LIST'!A:A,'MASTER ITEM LIST'!D:D), "")</f>
        <v>GAL</v>
      </c>
      <c r="J1046" s="34">
        <v>1000.0</v>
      </c>
      <c r="K1046" s="69">
        <f t="shared" si="1"/>
        <v>1000</v>
      </c>
      <c r="L1046" s="70" t="s">
        <v>42</v>
      </c>
    </row>
    <row r="1047" ht="22.5" customHeight="1">
      <c r="A1047" s="29">
        <v>46196.0</v>
      </c>
      <c r="B1047" s="31"/>
      <c r="C1047" s="32" t="s">
        <v>711</v>
      </c>
      <c r="D1047" s="71" t="s">
        <v>136</v>
      </c>
      <c r="E1047" s="66" t="str">
        <f t="array" ref="E1047">IF(D1047="", "", XLOOKUP(D1047, 'MASTER ITEM LIST'!A:A, 'MASTER ITEM LIST'!B:B, ""))</f>
        <v>CROCO MASKING TAPE 3/4 18MM (1X64)</v>
      </c>
      <c r="F1047" s="31"/>
      <c r="G1047" s="67" t="s">
        <v>34</v>
      </c>
      <c r="H1047" s="31">
        <v>2.0</v>
      </c>
      <c r="I1047" s="31" t="str">
        <f t="array" ref="I1047">IFERROR(XLOOKUP(D1047,'MASTER ITEM LIST'!A:A,'MASTER ITEM LIST'!D:D), "")</f>
        <v>PC/S</v>
      </c>
      <c r="J1047" s="34">
        <v>35.0</v>
      </c>
      <c r="K1047" s="69">
        <f t="shared" si="1"/>
        <v>70</v>
      </c>
      <c r="L1047" s="70" t="s">
        <v>42</v>
      </c>
    </row>
    <row r="1048" ht="22.5" customHeight="1">
      <c r="A1048" s="29">
        <v>46184.0</v>
      </c>
      <c r="B1048" s="31"/>
      <c r="C1048" s="32" t="s">
        <v>711</v>
      </c>
      <c r="D1048" s="71" t="s">
        <v>167</v>
      </c>
      <c r="E1048" s="66" t="str">
        <f t="array" ref="E1048">IF(D1048="", "", XLOOKUP(D1048, 'MASTER ITEM LIST'!A:A, 'MASTER ITEM LIST'!B:B, ""))</f>
        <v>NAX QDU MIX 1L</v>
      </c>
      <c r="F1048" s="31"/>
      <c r="G1048" s="67" t="s">
        <v>34</v>
      </c>
      <c r="H1048" s="31">
        <v>0.25</v>
      </c>
      <c r="I1048" s="31" t="str">
        <f t="array" ref="I1048">IFERROR(XLOOKUP(D1048,'MASTER ITEM LIST'!A:A,'MASTER ITEM LIST'!D:D), "")</f>
        <v>LITER</v>
      </c>
      <c r="J1048" s="34">
        <v>1400.0</v>
      </c>
      <c r="K1048" s="69">
        <f t="shared" si="1"/>
        <v>350</v>
      </c>
      <c r="L1048" s="70" t="s">
        <v>42</v>
      </c>
    </row>
    <row r="1049" ht="22.5" customHeight="1">
      <c r="A1049" s="29">
        <v>46184.0</v>
      </c>
      <c r="B1049" s="31"/>
      <c r="C1049" s="32" t="s">
        <v>711</v>
      </c>
      <c r="D1049" s="71" t="s">
        <v>58</v>
      </c>
      <c r="E1049" s="66" t="str">
        <f t="array" ref="E1049">IF(D1049="", "", XLOOKUP(D1049, 'MASTER ITEM LIST'!A:A, 'MASTER ITEM LIST'!B:B, ""))</f>
        <v>POLYGLOSS PU METALLIC COARSE 4L</v>
      </c>
      <c r="F1049" s="31"/>
      <c r="G1049" s="67" t="s">
        <v>34</v>
      </c>
      <c r="H1049" s="31">
        <v>0.03125</v>
      </c>
      <c r="I1049" s="31" t="str">
        <f t="array" ref="I1049">IFERROR(XLOOKUP(D1049,'MASTER ITEM LIST'!A:A,'MASTER ITEM LIST'!D:D), "")</f>
        <v>GALON</v>
      </c>
      <c r="J1049" s="34">
        <v>3200.0</v>
      </c>
      <c r="K1049" s="69">
        <f t="shared" si="1"/>
        <v>100</v>
      </c>
      <c r="L1049" s="70" t="s">
        <v>42</v>
      </c>
    </row>
    <row r="1050" ht="22.5" customHeight="1">
      <c r="A1050" s="29">
        <v>46184.0</v>
      </c>
      <c r="B1050" s="31"/>
      <c r="C1050" s="32" t="s">
        <v>711</v>
      </c>
      <c r="D1050" s="71" t="s">
        <v>64</v>
      </c>
      <c r="E1050" s="66" t="str">
        <f t="array" ref="E1050">IF(D1050="", "", XLOOKUP(D1050, 'MASTER ITEM LIST'!A:A, 'MASTER ITEM LIST'!B:B, ""))</f>
        <v>POLYGLOSS PU FLAT BLACK 4L</v>
      </c>
      <c r="F1050" s="31"/>
      <c r="G1050" s="67" t="s">
        <v>34</v>
      </c>
      <c r="H1050" s="31">
        <v>0.03125</v>
      </c>
      <c r="I1050" s="31" t="str">
        <f t="array" ref="I1050">IFERROR(XLOOKUP(D1050,'MASTER ITEM LIST'!A:A,'MASTER ITEM LIST'!D:D), "")</f>
        <v>GALON</v>
      </c>
      <c r="J1050" s="34">
        <v>3200.0</v>
      </c>
      <c r="K1050" s="69">
        <f t="shared" si="1"/>
        <v>100</v>
      </c>
      <c r="L1050" s="70" t="s">
        <v>42</v>
      </c>
    </row>
    <row r="1051" ht="22.5" customHeight="1">
      <c r="A1051" s="29">
        <v>46184.0</v>
      </c>
      <c r="B1051" s="31"/>
      <c r="C1051" s="32" t="s">
        <v>711</v>
      </c>
      <c r="D1051" s="71" t="s">
        <v>397</v>
      </c>
      <c r="E1051" s="66" t="str">
        <f t="array" ref="E1051">IF(D1051="", "", XLOOKUP(D1051, 'MASTER ITEM LIST'!A:A, 'MASTER ITEM LIST'!B:B, ""))</f>
        <v>NIPPON HS FILLER 1L</v>
      </c>
      <c r="F1051" s="31"/>
      <c r="G1051" s="67" t="s">
        <v>34</v>
      </c>
      <c r="H1051" s="31">
        <v>0.5</v>
      </c>
      <c r="I1051" s="31" t="str">
        <f t="array" ref="I1051">IFERROR(XLOOKUP(D1051,'MASTER ITEM LIST'!A:A,'MASTER ITEM LIST'!D:D), "")</f>
        <v>LITER</v>
      </c>
      <c r="J1051" s="34">
        <v>800.0</v>
      </c>
      <c r="K1051" s="69">
        <f t="shared" si="1"/>
        <v>400</v>
      </c>
      <c r="L1051" s="70" t="s">
        <v>42</v>
      </c>
    </row>
    <row r="1052" ht="22.5" customHeight="1">
      <c r="A1052" s="29">
        <v>46184.0</v>
      </c>
      <c r="B1052" s="31"/>
      <c r="C1052" s="32" t="s">
        <v>711</v>
      </c>
      <c r="D1052" s="71" t="s">
        <v>90</v>
      </c>
      <c r="E1052" s="66" t="str">
        <f t="array" ref="E1052">IF(D1052="", "", XLOOKUP(D1052, 'MASTER ITEM LIST'!A:A, 'MASTER ITEM LIST'!B:B, ""))</f>
        <v>NAX SOB757 HIGH GRADE URETHANE THINNER 4L</v>
      </c>
      <c r="F1052" s="31"/>
      <c r="G1052" s="67" t="s">
        <v>34</v>
      </c>
      <c r="H1052" s="31">
        <v>1.0</v>
      </c>
      <c r="I1052" s="31" t="str">
        <f t="array" ref="I1052">IFERROR(XLOOKUP(D1052,'MASTER ITEM LIST'!A:A,'MASTER ITEM LIST'!D:D), "")</f>
        <v>GAL</v>
      </c>
      <c r="J1052" s="34">
        <v>750.0</v>
      </c>
      <c r="K1052" s="69">
        <f t="shared" si="1"/>
        <v>750</v>
      </c>
      <c r="L1052" s="70" t="s">
        <v>42</v>
      </c>
    </row>
    <row r="1053" ht="22.5" customHeight="1">
      <c r="A1053" s="29">
        <v>46184.0</v>
      </c>
      <c r="B1053" s="31"/>
      <c r="C1053" s="32" t="s">
        <v>711</v>
      </c>
      <c r="D1053" s="71" t="s">
        <v>426</v>
      </c>
      <c r="E1053" s="66" t="str">
        <f t="array" ref="E1053">IF(D1053="", "", XLOOKUP(D1053, 'MASTER ITEM LIST'!A:A, 'MASTER ITEM LIST'!B:B, ""))</f>
        <v>EAGLE SAND PAPER #320</v>
      </c>
      <c r="F1053" s="31"/>
      <c r="G1053" s="67" t="s">
        <v>34</v>
      </c>
      <c r="H1053" s="31">
        <v>3.0</v>
      </c>
      <c r="I1053" s="31" t="str">
        <f t="array" ref="I1053">IFERROR(XLOOKUP(D1053,'MASTER ITEM LIST'!A:A,'MASTER ITEM LIST'!D:D), "")</f>
        <v>PCS</v>
      </c>
      <c r="J1053" s="34">
        <v>25.0</v>
      </c>
      <c r="K1053" s="69">
        <f t="shared" si="1"/>
        <v>75</v>
      </c>
      <c r="L1053" s="70" t="s">
        <v>42</v>
      </c>
    </row>
    <row r="1054" ht="22.5" customHeight="1">
      <c r="A1054" s="29">
        <v>46184.0</v>
      </c>
      <c r="B1054" s="31"/>
      <c r="C1054" s="32" t="s">
        <v>711</v>
      </c>
      <c r="D1054" s="71" t="s">
        <v>567</v>
      </c>
      <c r="E1054" s="66" t="str">
        <f t="array" ref="E1054">IF(D1054="", "", XLOOKUP(D1054, 'MASTER ITEM LIST'!A:A, 'MASTER ITEM LIST'!B:B, ""))</f>
        <v>EAGLE SANDPAPER #800</v>
      </c>
      <c r="F1054" s="31"/>
      <c r="G1054" s="67" t="s">
        <v>34</v>
      </c>
      <c r="H1054" s="31">
        <v>1.0</v>
      </c>
      <c r="I1054" s="31" t="str">
        <f t="array" ref="I1054">IFERROR(XLOOKUP(D1054,'MASTER ITEM LIST'!A:A,'MASTER ITEM LIST'!D:D), "")</f>
        <v>PC/S</v>
      </c>
      <c r="J1054" s="34">
        <v>25.0</v>
      </c>
      <c r="K1054" s="69">
        <f t="shared" si="1"/>
        <v>25</v>
      </c>
      <c r="L1054" s="70" t="s">
        <v>42</v>
      </c>
    </row>
    <row r="1055" ht="22.5" customHeight="1">
      <c r="A1055" s="29">
        <v>46184.0</v>
      </c>
      <c r="B1055" s="31"/>
      <c r="C1055" s="32" t="s">
        <v>711</v>
      </c>
      <c r="D1055" s="71" t="s">
        <v>957</v>
      </c>
      <c r="E1055" s="66" t="str">
        <f t="array" ref="E1055">IF(D1055="", "", XLOOKUP(D1055, 'MASTER ITEM LIST'!A:A, 'MASTER ITEM LIST'!B:B, ""))</f>
        <v>NAX 301 NAX QDU FLAT CLEAR WITH HARDENER 1L</v>
      </c>
      <c r="F1055" s="31"/>
      <c r="G1055" s="67" t="s">
        <v>34</v>
      </c>
      <c r="H1055" s="31">
        <v>0.25</v>
      </c>
      <c r="I1055" s="31" t="str">
        <f t="array" ref="I1055">IFERROR(XLOOKUP(D1055,'MASTER ITEM LIST'!A:A,'MASTER ITEM LIST'!D:D), "")</f>
        <v>LITER</v>
      </c>
      <c r="J1055" s="34">
        <v>1200.0</v>
      </c>
      <c r="K1055" s="69">
        <f t="shared" si="1"/>
        <v>300</v>
      </c>
      <c r="L1055" s="70" t="s">
        <v>42</v>
      </c>
    </row>
    <row r="1056" ht="22.5" customHeight="1">
      <c r="A1056" s="29">
        <v>46196.0</v>
      </c>
      <c r="B1056" s="31"/>
      <c r="C1056" s="32" t="s">
        <v>711</v>
      </c>
      <c r="D1056" s="71" t="s">
        <v>53</v>
      </c>
      <c r="E1056" s="66" t="str">
        <f t="array" ref="E1056">IF(D1056="", "", XLOOKUP(D1056, 'MASTER ITEM LIST'!A:A, 'MASTER ITEM LIST'!B:B, ""))</f>
        <v>NAX 108 CERAMIC 2K CLEAR WITH HARDENER 1L</v>
      </c>
      <c r="F1056" s="31"/>
      <c r="G1056" s="67" t="s">
        <v>34</v>
      </c>
      <c r="H1056" s="31">
        <v>1.0</v>
      </c>
      <c r="I1056" s="31" t="str">
        <f t="array" ref="I1056">IFERROR(XLOOKUP(D1056,'MASTER ITEM LIST'!A:A,'MASTER ITEM LIST'!D:D), "")</f>
        <v>LITER</v>
      </c>
      <c r="J1056" s="34">
        <v>680.0</v>
      </c>
      <c r="K1056" s="69">
        <f t="shared" si="1"/>
        <v>680</v>
      </c>
      <c r="L1056" s="70" t="s">
        <v>42</v>
      </c>
    </row>
    <row r="1057" ht="22.5" customHeight="1">
      <c r="A1057" s="29">
        <v>46196.0</v>
      </c>
      <c r="B1057" s="31"/>
      <c r="C1057" s="32" t="s">
        <v>711</v>
      </c>
      <c r="D1057" s="71" t="s">
        <v>220</v>
      </c>
      <c r="E1057" s="66" t="str">
        <f t="array" ref="E1057">IF(D1057="", "", XLOOKUP(D1057, 'MASTER ITEM LIST'!A:A, 'MASTER ITEM LIST'!B:B, ""))</f>
        <v>PREMILA MIXING 1L</v>
      </c>
      <c r="F1057" s="31" t="s">
        <v>1714</v>
      </c>
      <c r="G1057" s="67" t="s">
        <v>34</v>
      </c>
      <c r="H1057" s="31">
        <v>0.25</v>
      </c>
      <c r="I1057" s="31" t="str">
        <f t="array" ref="I1057">IFERROR(XLOOKUP(D1057,'MASTER ITEM LIST'!A:A,'MASTER ITEM LIST'!D:D), "")</f>
        <v>LITER</v>
      </c>
      <c r="J1057" s="34">
        <v>2400.0</v>
      </c>
      <c r="K1057" s="69">
        <f t="shared" si="1"/>
        <v>600</v>
      </c>
      <c r="L1057" s="70" t="s">
        <v>42</v>
      </c>
    </row>
    <row r="1058" ht="22.5" customHeight="1">
      <c r="A1058" s="29">
        <v>46185.0</v>
      </c>
      <c r="B1058" s="31"/>
      <c r="C1058" s="32" t="s">
        <v>711</v>
      </c>
      <c r="D1058" s="71" t="s">
        <v>90</v>
      </c>
      <c r="E1058" s="66" t="str">
        <f t="array" ref="E1058">IF(D1058="", "", XLOOKUP(D1058, 'MASTER ITEM LIST'!A:A, 'MASTER ITEM LIST'!B:B, ""))</f>
        <v>NAX SOB757 HIGH GRADE URETHANE THINNER 4L</v>
      </c>
      <c r="F1058" s="31"/>
      <c r="G1058" s="67" t="s">
        <v>34</v>
      </c>
      <c r="H1058" s="31">
        <v>0.25</v>
      </c>
      <c r="I1058" s="31" t="str">
        <f t="array" ref="I1058">IFERROR(XLOOKUP(D1058,'MASTER ITEM LIST'!A:A,'MASTER ITEM LIST'!D:D), "")</f>
        <v>GAL</v>
      </c>
      <c r="J1058" s="34">
        <v>800.0</v>
      </c>
      <c r="K1058" s="69">
        <f t="shared" si="1"/>
        <v>200</v>
      </c>
      <c r="L1058" s="70" t="s">
        <v>42</v>
      </c>
    </row>
    <row r="1059" ht="22.5" customHeight="1">
      <c r="A1059" s="29">
        <v>46185.0</v>
      </c>
      <c r="B1059" s="31"/>
      <c r="C1059" s="32" t="s">
        <v>711</v>
      </c>
      <c r="D1059" s="71" t="s">
        <v>717</v>
      </c>
      <c r="E1059" s="66" t="str">
        <f t="array" ref="E1059">IF(D1059="", "", XLOOKUP(D1059, 'MASTER ITEM LIST'!A:A, 'MASTER ITEM LIST'!B:B, ""))</f>
        <v>CROCO MASKING TAPE #1</v>
      </c>
      <c r="F1059" s="31"/>
      <c r="G1059" s="67" t="s">
        <v>34</v>
      </c>
      <c r="H1059" s="31">
        <v>1.0</v>
      </c>
      <c r="I1059" s="31" t="str">
        <f t="array" ref="I1059">IFERROR(XLOOKUP(D1059,'MASTER ITEM LIST'!A:A,'MASTER ITEM LIST'!D:D), "")</f>
        <v>PCS</v>
      </c>
      <c r="J1059" s="34">
        <v>40.0</v>
      </c>
      <c r="K1059" s="69">
        <f t="shared" si="1"/>
        <v>40</v>
      </c>
      <c r="L1059" s="70" t="s">
        <v>42</v>
      </c>
    </row>
    <row r="1060" ht="22.5" customHeight="1">
      <c r="A1060" s="29">
        <v>46185.0</v>
      </c>
      <c r="B1060" s="31"/>
      <c r="C1060" s="32" t="s">
        <v>711</v>
      </c>
      <c r="D1060" s="71" t="s">
        <v>117</v>
      </c>
      <c r="E1060" s="66" t="str">
        <f t="array" ref="E1060">IF(D1060="", "", XLOOKUP(D1060, 'MASTER ITEM LIST'!A:A, 'MASTER ITEM LIST'!B:B, ""))</f>
        <v>EAGLE SANDPAPER #120</v>
      </c>
      <c r="F1060" s="31"/>
      <c r="G1060" s="67" t="s">
        <v>34</v>
      </c>
      <c r="H1060" s="31">
        <v>1.0</v>
      </c>
      <c r="I1060" s="31" t="str">
        <f t="array" ref="I1060">IFERROR(XLOOKUP(D1060,'MASTER ITEM LIST'!A:A,'MASTER ITEM LIST'!D:D), "")</f>
        <v>PC/S</v>
      </c>
      <c r="J1060" s="34">
        <v>25.0</v>
      </c>
      <c r="K1060" s="69">
        <f t="shared" si="1"/>
        <v>25</v>
      </c>
      <c r="L1060" s="70" t="s">
        <v>42</v>
      </c>
    </row>
    <row r="1061" ht="22.5" customHeight="1">
      <c r="A1061" s="29">
        <v>46185.0</v>
      </c>
      <c r="B1061" s="31"/>
      <c r="C1061" s="32" t="s">
        <v>711</v>
      </c>
      <c r="D1061" s="71" t="s">
        <v>233</v>
      </c>
      <c r="E1061" s="66" t="str">
        <f t="array" ref="E1061">IF(D1061="", "", XLOOKUP(D1061, 'MASTER ITEM LIST'!A:A, 'MASTER ITEM LIST'!B:B, ""))</f>
        <v>NAX ALPHA HB SPRAY FILLER GRAY WITH HARDENER 1L</v>
      </c>
      <c r="F1061" s="31"/>
      <c r="G1061" s="67" t="s">
        <v>34</v>
      </c>
      <c r="H1061" s="31">
        <v>1.0</v>
      </c>
      <c r="I1061" s="31" t="str">
        <f t="array" ref="I1061">IFERROR(XLOOKUP(D1061,'MASTER ITEM LIST'!A:A,'MASTER ITEM LIST'!D:D), "")</f>
        <v>LITER</v>
      </c>
      <c r="J1061" s="34">
        <v>600.0</v>
      </c>
      <c r="K1061" s="69">
        <f t="shared" si="1"/>
        <v>600</v>
      </c>
      <c r="L1061" s="70" t="s">
        <v>42</v>
      </c>
    </row>
    <row r="1062" ht="22.5" customHeight="1">
      <c r="A1062" s="29">
        <v>46185.0</v>
      </c>
      <c r="B1062" s="31"/>
      <c r="C1062" s="32" t="s">
        <v>711</v>
      </c>
      <c r="D1062" s="71" t="s">
        <v>53</v>
      </c>
      <c r="E1062" s="66" t="str">
        <f t="array" ref="E1062">IF(D1062="", "", XLOOKUP(D1062, 'MASTER ITEM LIST'!A:A, 'MASTER ITEM LIST'!B:B, ""))</f>
        <v>NAX 108 CERAMIC 2K CLEAR WITH HARDENER 1L</v>
      </c>
      <c r="F1062" s="31"/>
      <c r="G1062" s="67" t="s">
        <v>34</v>
      </c>
      <c r="H1062" s="31">
        <v>1.0</v>
      </c>
      <c r="I1062" s="31" t="str">
        <f t="array" ref="I1062">IFERROR(XLOOKUP(D1062,'MASTER ITEM LIST'!A:A,'MASTER ITEM LIST'!D:D), "")</f>
        <v>LITER</v>
      </c>
      <c r="J1062" s="34">
        <v>680.0</v>
      </c>
      <c r="K1062" s="69">
        <f t="shared" si="1"/>
        <v>680</v>
      </c>
      <c r="L1062" s="70" t="s">
        <v>42</v>
      </c>
    </row>
    <row r="1063" ht="22.5" customHeight="1">
      <c r="A1063" s="29">
        <v>46186.0</v>
      </c>
      <c r="B1063" s="31"/>
      <c r="C1063" s="32" t="s">
        <v>711</v>
      </c>
      <c r="D1063" s="71" t="s">
        <v>177</v>
      </c>
      <c r="E1063" s="66" t="str">
        <f t="array" ref="E1063">IF(D1063="", "", XLOOKUP(D1063, 'MASTER ITEM LIST'!A:A, 'MASTER ITEM LIST'!B:B, ""))</f>
        <v>UNO LACQUER THINNER BOT</v>
      </c>
      <c r="F1063" s="31"/>
      <c r="G1063" s="67" t="s">
        <v>34</v>
      </c>
      <c r="H1063" s="31">
        <v>1.0</v>
      </c>
      <c r="I1063" s="31" t="str">
        <f t="array" ref="I1063">IFERROR(XLOOKUP(D1063,'MASTER ITEM LIST'!A:A,'MASTER ITEM LIST'!D:D), "")</f>
        <v>BOT</v>
      </c>
      <c r="J1063" s="34">
        <v>80.0</v>
      </c>
      <c r="K1063" s="69">
        <f t="shared" si="1"/>
        <v>80</v>
      </c>
      <c r="L1063" s="70" t="s">
        <v>42</v>
      </c>
    </row>
    <row r="1064" ht="22.5" customHeight="1">
      <c r="A1064" s="29">
        <v>46186.0</v>
      </c>
      <c r="B1064" s="31"/>
      <c r="C1064" s="32" t="s">
        <v>711</v>
      </c>
      <c r="D1064" s="71" t="s">
        <v>415</v>
      </c>
      <c r="E1064" s="66" t="str">
        <f t="array" ref="E1064">IF(D1064="", "", XLOOKUP(D1064, 'MASTER ITEM LIST'!A:A, 'MASTER ITEM LIST'!B:B, ""))</f>
        <v>NAX PREMILA NP9700 HS 2K CLEAR WITH HARDENER 1L</v>
      </c>
      <c r="F1064" s="31"/>
      <c r="G1064" s="67" t="s">
        <v>34</v>
      </c>
      <c r="H1064" s="31">
        <v>1.0</v>
      </c>
      <c r="I1064" s="31" t="str">
        <f t="array" ref="I1064">IFERROR(XLOOKUP(D1064,'MASTER ITEM LIST'!A:A,'MASTER ITEM LIST'!D:D), "")</f>
        <v>LITER</v>
      </c>
      <c r="J1064" s="34">
        <v>1600.0</v>
      </c>
      <c r="K1064" s="69">
        <f t="shared" si="1"/>
        <v>1600</v>
      </c>
      <c r="L1064" s="70" t="s">
        <v>42</v>
      </c>
    </row>
    <row r="1065" ht="22.5" customHeight="1">
      <c r="A1065" s="29">
        <v>46186.0</v>
      </c>
      <c r="B1065" s="31"/>
      <c r="C1065" s="32" t="s">
        <v>711</v>
      </c>
      <c r="D1065" s="71" t="s">
        <v>90</v>
      </c>
      <c r="E1065" s="66" t="str">
        <f t="array" ref="E1065">IF(D1065="", "", XLOOKUP(D1065, 'MASTER ITEM LIST'!A:A, 'MASTER ITEM LIST'!B:B, ""))</f>
        <v>NAX SOB757 HIGH GRADE URETHANE THINNER 4L</v>
      </c>
      <c r="F1065" s="31"/>
      <c r="G1065" s="67" t="s">
        <v>34</v>
      </c>
      <c r="H1065" s="31">
        <v>0.25</v>
      </c>
      <c r="I1065" s="31" t="str">
        <f t="array" ref="I1065">IFERROR(XLOOKUP(D1065,'MASTER ITEM LIST'!A:A,'MASTER ITEM LIST'!D:D), "")</f>
        <v>GAL</v>
      </c>
      <c r="J1065" s="34">
        <v>800.0</v>
      </c>
      <c r="K1065" s="69">
        <f t="shared" si="1"/>
        <v>200</v>
      </c>
      <c r="L1065" s="70" t="s">
        <v>42</v>
      </c>
    </row>
    <row r="1066" ht="22.5" customHeight="1">
      <c r="A1066" s="29">
        <v>46186.0</v>
      </c>
      <c r="B1066" s="31"/>
      <c r="C1066" s="32" t="s">
        <v>711</v>
      </c>
      <c r="D1066" s="71" t="s">
        <v>326</v>
      </c>
      <c r="E1066" s="66" t="str">
        <f t="array" ref="E1066">IF(D1066="", "", XLOOKUP(D1066, 'MASTER ITEM LIST'!A:A, 'MASTER ITEM LIST'!B:B, ""))</f>
        <v>EAGLE SANDPAPER #1200</v>
      </c>
      <c r="F1066" s="31"/>
      <c r="G1066" s="67" t="s">
        <v>34</v>
      </c>
      <c r="H1066" s="31">
        <v>1.0</v>
      </c>
      <c r="I1066" s="31" t="str">
        <f t="array" ref="I1066">IFERROR(XLOOKUP(D1066,'MASTER ITEM LIST'!A:A,'MASTER ITEM LIST'!D:D), "")</f>
        <v>PC/S</v>
      </c>
      <c r="J1066" s="34">
        <v>25.0</v>
      </c>
      <c r="K1066" s="69">
        <f t="shared" si="1"/>
        <v>25</v>
      </c>
      <c r="L1066" s="70" t="s">
        <v>42</v>
      </c>
    </row>
    <row r="1067" ht="22.5" customHeight="1">
      <c r="A1067" s="29">
        <v>46186.0</v>
      </c>
      <c r="B1067" s="31"/>
      <c r="C1067" s="32" t="s">
        <v>711</v>
      </c>
      <c r="D1067" s="71" t="s">
        <v>776</v>
      </c>
      <c r="E1067" s="66" t="str">
        <f t="array" ref="E1067">IF(D1067="", "", XLOOKUP(D1067, 'MASTER ITEM LIST'!A:A, 'MASTER ITEM LIST'!B:B, ""))</f>
        <v>METALGUARD EPOXY PRIMER BLACK WITH HARDENER 4L</v>
      </c>
      <c r="F1067" s="31"/>
      <c r="G1067" s="67" t="s">
        <v>34</v>
      </c>
      <c r="H1067" s="31">
        <v>1.0</v>
      </c>
      <c r="I1067" s="31" t="str">
        <f t="array" ref="I1067">IFERROR(XLOOKUP(D1067,'MASTER ITEM LIST'!A:A,'MASTER ITEM LIST'!D:D), "")</f>
        <v>GAL</v>
      </c>
      <c r="J1067" s="34">
        <v>1100.0</v>
      </c>
      <c r="K1067" s="69">
        <f t="shared" si="1"/>
        <v>1100</v>
      </c>
      <c r="L1067" s="70" t="s">
        <v>42</v>
      </c>
    </row>
    <row r="1068" ht="22.5" customHeight="1">
      <c r="A1068" s="29">
        <v>46186.0</v>
      </c>
      <c r="B1068" s="31"/>
      <c r="C1068" s="32" t="s">
        <v>711</v>
      </c>
      <c r="D1068" s="71" t="s">
        <v>537</v>
      </c>
      <c r="E1068" s="66" t="str">
        <f t="array" ref="E1068">IF(D1068="", "", XLOOKUP(D1068, 'MASTER ITEM LIST'!A:A, 'MASTER ITEM LIST'!B:B, ""))</f>
        <v>NIPPON METAL PRIMER RED OXIDE GAL</v>
      </c>
      <c r="F1068" s="31"/>
      <c r="G1068" s="67" t="s">
        <v>34</v>
      </c>
      <c r="H1068" s="31">
        <v>1.0</v>
      </c>
      <c r="I1068" s="31" t="str">
        <f t="array" ref="I1068">IFERROR(XLOOKUP(D1068,'MASTER ITEM LIST'!A:A,'MASTER ITEM LIST'!D:D), "")</f>
        <v>GAL</v>
      </c>
      <c r="J1068" s="34">
        <v>750.0</v>
      </c>
      <c r="K1068" s="69">
        <f t="shared" si="1"/>
        <v>750</v>
      </c>
      <c r="L1068" s="70" t="s">
        <v>42</v>
      </c>
    </row>
    <row r="1069" ht="22.5" customHeight="1">
      <c r="A1069" s="29">
        <v>46186.0</v>
      </c>
      <c r="B1069" s="31"/>
      <c r="C1069" s="32" t="s">
        <v>711</v>
      </c>
      <c r="D1069" s="71" t="s">
        <v>182</v>
      </c>
      <c r="E1069" s="66" t="str">
        <f t="array" ref="E1069">IF(D1069="", "", XLOOKUP(D1069, 'MASTER ITEM LIST'!A:A, 'MASTER ITEM LIST'!B:B, ""))</f>
        <v>UNO LACQUER THINNER 4L</v>
      </c>
      <c r="F1069" s="31"/>
      <c r="G1069" s="67" t="s">
        <v>34</v>
      </c>
      <c r="H1069" s="31">
        <v>1.0</v>
      </c>
      <c r="I1069" s="31" t="str">
        <f t="array" ref="I1069">IFERROR(XLOOKUP(D1069,'MASTER ITEM LIST'!A:A,'MASTER ITEM LIST'!D:D), "")</f>
        <v>GAL/S</v>
      </c>
      <c r="J1069" s="34">
        <v>650.0</v>
      </c>
      <c r="K1069" s="69">
        <f t="shared" si="1"/>
        <v>650</v>
      </c>
      <c r="L1069" s="70" t="s">
        <v>42</v>
      </c>
    </row>
    <row r="1070" ht="22.5" customHeight="1">
      <c r="A1070" s="29">
        <v>46186.0</v>
      </c>
      <c r="B1070" s="31"/>
      <c r="C1070" s="32" t="s">
        <v>711</v>
      </c>
      <c r="D1070" s="71" t="s">
        <v>979</v>
      </c>
      <c r="E1070" s="66" t="str">
        <f t="array" ref="E1070">IF(D1070="", "", XLOOKUP(D1070, 'MASTER ITEM LIST'!A:A, 'MASTER ITEM LIST'!B:B, ""))</f>
        <v>MARINE EPOXY A &amp; B 1L SET EL KAPITAN BOSTIK</v>
      </c>
      <c r="F1070" s="31"/>
      <c r="G1070" s="67" t="s">
        <v>34</v>
      </c>
      <c r="H1070" s="31">
        <v>1.0</v>
      </c>
      <c r="I1070" s="31" t="str">
        <f t="array" ref="I1070">IFERROR(XLOOKUP(D1070,'MASTER ITEM LIST'!A:A,'MASTER ITEM LIST'!D:D), "")</f>
        <v>1L SET</v>
      </c>
      <c r="J1070" s="34">
        <v>800.0</v>
      </c>
      <c r="K1070" s="69">
        <f t="shared" si="1"/>
        <v>800</v>
      </c>
      <c r="L1070" s="70" t="s">
        <v>42</v>
      </c>
    </row>
    <row r="1071" ht="22.5" customHeight="1">
      <c r="A1071" s="29">
        <v>46186.0</v>
      </c>
      <c r="B1071" s="31"/>
      <c r="C1071" s="32" t="s">
        <v>711</v>
      </c>
      <c r="D1071" s="71" t="s">
        <v>127</v>
      </c>
      <c r="E1071" s="66" t="str">
        <f t="array" ref="E1071">IF(D1071="", "", XLOOKUP(D1071, 'MASTER ITEM LIST'!A:A, 'MASTER ITEM LIST'!B:B, ""))</f>
        <v>JAPAN PUTTY KNIFE #4</v>
      </c>
      <c r="F1071" s="31"/>
      <c r="G1071" s="67" t="s">
        <v>34</v>
      </c>
      <c r="H1071" s="31">
        <v>1.0</v>
      </c>
      <c r="I1071" s="31" t="str">
        <f t="array" ref="I1071">IFERROR(XLOOKUP(D1071,'MASTER ITEM LIST'!A:A,'MASTER ITEM LIST'!D:D), "")</f>
        <v>PC/S</v>
      </c>
      <c r="J1071" s="34">
        <v>60.0</v>
      </c>
      <c r="K1071" s="69">
        <f t="shared" si="1"/>
        <v>60</v>
      </c>
      <c r="L1071" s="70" t="s">
        <v>42</v>
      </c>
    </row>
    <row r="1072" ht="22.5" customHeight="1">
      <c r="A1072" s="29">
        <v>46188.0</v>
      </c>
      <c r="B1072" s="31"/>
      <c r="C1072" s="32" t="s">
        <v>711</v>
      </c>
      <c r="D1072" s="71" t="s">
        <v>198</v>
      </c>
      <c r="E1072" s="66" t="str">
        <f t="array" ref="E1072">IF(D1072="", "", XLOOKUP(D1072, 'MASTER ITEM LIST'!A:A, 'MASTER ITEM LIST'!B:B, ""))</f>
        <v>EAGLE SANDPAPER #2000</v>
      </c>
      <c r="F1072" s="31"/>
      <c r="G1072" s="67" t="s">
        <v>34</v>
      </c>
      <c r="H1072" s="31">
        <v>2.0</v>
      </c>
      <c r="I1072" s="31" t="str">
        <f t="array" ref="I1072">IFERROR(XLOOKUP(D1072,'MASTER ITEM LIST'!A:A,'MASTER ITEM LIST'!D:D), "")</f>
        <v>PC/S</v>
      </c>
      <c r="J1072" s="34">
        <v>35.0</v>
      </c>
      <c r="K1072" s="69">
        <f t="shared" si="1"/>
        <v>70</v>
      </c>
      <c r="L1072" s="70" t="s">
        <v>42</v>
      </c>
    </row>
    <row r="1073" ht="22.5" customHeight="1">
      <c r="A1073" s="29">
        <v>46188.0</v>
      </c>
      <c r="B1073" s="31"/>
      <c r="C1073" s="32" t="s">
        <v>711</v>
      </c>
      <c r="D1073" s="71" t="s">
        <v>516</v>
      </c>
      <c r="E1073" s="66" t="str">
        <f t="array" ref="E1073">IF(D1073="", "", XLOOKUP(D1073, 'MASTER ITEM LIST'!A:A, 'MASTER ITEM LIST'!B:B, ""))</f>
        <v>EAGLE SANDPAPER #1500</v>
      </c>
      <c r="F1073" s="31"/>
      <c r="G1073" s="67" t="s">
        <v>34</v>
      </c>
      <c r="H1073" s="31">
        <v>1.0</v>
      </c>
      <c r="I1073" s="31" t="str">
        <f t="array" ref="I1073">IFERROR(XLOOKUP(D1073,'MASTER ITEM LIST'!A:A,'MASTER ITEM LIST'!D:D), "")</f>
        <v>PC/S</v>
      </c>
      <c r="J1073" s="34">
        <v>35.0</v>
      </c>
      <c r="K1073" s="69">
        <f t="shared" si="1"/>
        <v>35</v>
      </c>
      <c r="L1073" s="70" t="s">
        <v>42</v>
      </c>
    </row>
    <row r="1074" ht="22.5" customHeight="1">
      <c r="A1074" s="29">
        <v>46188.0</v>
      </c>
      <c r="B1074" s="31"/>
      <c r="C1074" s="32" t="s">
        <v>711</v>
      </c>
      <c r="D1074" s="71" t="s">
        <v>220</v>
      </c>
      <c r="E1074" s="66" t="str">
        <f t="array" ref="E1074">IF(D1074="", "", XLOOKUP(D1074, 'MASTER ITEM LIST'!A:A, 'MASTER ITEM LIST'!B:B, ""))</f>
        <v>PREMILA MIXING 1L</v>
      </c>
      <c r="F1074" s="31" t="s">
        <v>1715</v>
      </c>
      <c r="G1074" s="67" t="s">
        <v>34</v>
      </c>
      <c r="H1074" s="31">
        <v>0.5</v>
      </c>
      <c r="I1074" s="31" t="str">
        <f t="array" ref="I1074">IFERROR(XLOOKUP(D1074,'MASTER ITEM LIST'!A:A,'MASTER ITEM LIST'!D:D), "")</f>
        <v>LITER</v>
      </c>
      <c r="J1074" s="34">
        <v>2600.0</v>
      </c>
      <c r="K1074" s="69">
        <f t="shared" si="1"/>
        <v>1300</v>
      </c>
      <c r="L1074" s="70" t="s">
        <v>42</v>
      </c>
    </row>
    <row r="1075" ht="22.5" customHeight="1">
      <c r="A1075" s="29">
        <v>46188.0</v>
      </c>
      <c r="B1075" s="31"/>
      <c r="C1075" s="32" t="s">
        <v>711</v>
      </c>
      <c r="D1075" s="71" t="s">
        <v>136</v>
      </c>
      <c r="E1075" s="66" t="str">
        <f t="array" ref="E1075">IF(D1075="", "", XLOOKUP(D1075, 'MASTER ITEM LIST'!A:A, 'MASTER ITEM LIST'!B:B, ""))</f>
        <v>CROCO MASKING TAPE 3/4 18MM (1X64)</v>
      </c>
      <c r="F1075" s="31"/>
      <c r="G1075" s="67" t="s">
        <v>34</v>
      </c>
      <c r="H1075" s="31">
        <v>4.0</v>
      </c>
      <c r="I1075" s="31" t="str">
        <f t="array" ref="I1075">IFERROR(XLOOKUP(D1075,'MASTER ITEM LIST'!A:A,'MASTER ITEM LIST'!D:D), "")</f>
        <v>PC/S</v>
      </c>
      <c r="J1075" s="34">
        <v>35.0</v>
      </c>
      <c r="K1075" s="69">
        <f t="shared" si="1"/>
        <v>140</v>
      </c>
      <c r="L1075" s="70" t="s">
        <v>42</v>
      </c>
    </row>
    <row r="1076" ht="22.5" customHeight="1">
      <c r="A1076" s="29">
        <v>46188.0</v>
      </c>
      <c r="B1076" s="31"/>
      <c r="C1076" s="32" t="s">
        <v>711</v>
      </c>
      <c r="D1076" s="71" t="s">
        <v>90</v>
      </c>
      <c r="E1076" s="66" t="str">
        <f t="array" ref="E1076">IF(D1076="", "", XLOOKUP(D1076, 'MASTER ITEM LIST'!A:A, 'MASTER ITEM LIST'!B:B, ""))</f>
        <v>NAX SOB757 HIGH GRADE URETHANE THINNER 4L</v>
      </c>
      <c r="F1076" s="31"/>
      <c r="G1076" s="67" t="s">
        <v>34</v>
      </c>
      <c r="H1076" s="31">
        <v>2.0</v>
      </c>
      <c r="I1076" s="31" t="str">
        <f t="array" ref="I1076">IFERROR(XLOOKUP(D1076,'MASTER ITEM LIST'!A:A,'MASTER ITEM LIST'!D:D), "")</f>
        <v>GAL</v>
      </c>
      <c r="J1076" s="34">
        <v>750.0</v>
      </c>
      <c r="K1076" s="69">
        <f t="shared" si="1"/>
        <v>1500</v>
      </c>
      <c r="L1076" s="70" t="s">
        <v>42</v>
      </c>
    </row>
    <row r="1077" ht="22.5" customHeight="1">
      <c r="A1077" s="29">
        <v>46189.0</v>
      </c>
      <c r="B1077" s="31"/>
      <c r="C1077" s="32" t="s">
        <v>711</v>
      </c>
      <c r="D1077" s="71" t="s">
        <v>1124</v>
      </c>
      <c r="E1077" s="66" t="str">
        <f t="array" ref="E1077">IF(D1077="", "", XLOOKUP(D1077, 'MASTER ITEM LIST'!A:A, 'MASTER ITEM LIST'!B:B, ""))</f>
        <v>BOYSEN PERMACOAT GLOSS LATEX B-710 WHITE 4L</v>
      </c>
      <c r="F1077" s="31"/>
      <c r="G1077" s="67" t="s">
        <v>34</v>
      </c>
      <c r="H1077" s="31">
        <v>1.0</v>
      </c>
      <c r="I1077" s="31" t="str">
        <f t="array" ref="I1077">IFERROR(XLOOKUP(D1077,'MASTER ITEM LIST'!A:A,'MASTER ITEM LIST'!D:D), "")</f>
        <v>GALON</v>
      </c>
      <c r="J1077" s="34">
        <v>870.0</v>
      </c>
      <c r="K1077" s="69">
        <f t="shared" si="1"/>
        <v>870</v>
      </c>
      <c r="L1077" s="70" t="s">
        <v>42</v>
      </c>
    </row>
    <row r="1078" ht="22.5" customHeight="1">
      <c r="A1078" s="29">
        <v>46189.0</v>
      </c>
      <c r="B1078" s="31"/>
      <c r="C1078" s="32" t="s">
        <v>711</v>
      </c>
      <c r="D1078" s="71" t="s">
        <v>220</v>
      </c>
      <c r="E1078" s="66" t="str">
        <f t="array" ref="E1078">IF(D1078="", "", XLOOKUP(D1078, 'MASTER ITEM LIST'!A:A, 'MASTER ITEM LIST'!B:B, ""))</f>
        <v>PREMILA MIXING 1L</v>
      </c>
      <c r="F1078" s="31" t="s">
        <v>1716</v>
      </c>
      <c r="G1078" s="67" t="s">
        <v>1376</v>
      </c>
      <c r="H1078" s="31">
        <v>0.5</v>
      </c>
      <c r="I1078" s="31" t="str">
        <f t="array" ref="I1078">IFERROR(XLOOKUP(D1078,'MASTER ITEM LIST'!A:A,'MASTER ITEM LIST'!D:D), "")</f>
        <v>LITER</v>
      </c>
      <c r="J1078" s="34">
        <v>2800.0</v>
      </c>
      <c r="K1078" s="69">
        <f t="shared" si="1"/>
        <v>1400</v>
      </c>
      <c r="L1078" s="70" t="s">
        <v>42</v>
      </c>
    </row>
    <row r="1079" ht="22.5" customHeight="1">
      <c r="A1079" s="29">
        <v>46189.0</v>
      </c>
      <c r="B1079" s="31"/>
      <c r="C1079" s="32" t="s">
        <v>711</v>
      </c>
      <c r="D1079" s="71" t="s">
        <v>511</v>
      </c>
      <c r="E1079" s="66" t="str">
        <f t="array" ref="E1079">IF(D1079="", "", XLOOKUP(D1079, 'MASTER ITEM LIST'!A:A, 'MASTER ITEM LIST'!B:B, ""))</f>
        <v>NAX NAT-740 TTC ULTRA FINE SILVER 1L</v>
      </c>
      <c r="F1079" s="31"/>
      <c r="G1079" s="67" t="s">
        <v>34</v>
      </c>
      <c r="H1079" s="31">
        <v>2.0</v>
      </c>
      <c r="I1079" s="31" t="str">
        <f t="array" ref="I1079">IFERROR(XLOOKUP(D1079,'MASTER ITEM LIST'!A:A,'MASTER ITEM LIST'!D:D), "")</f>
        <v>LITER</v>
      </c>
      <c r="J1079" s="34">
        <v>1000.0</v>
      </c>
      <c r="K1079" s="69">
        <f t="shared" si="1"/>
        <v>2000</v>
      </c>
      <c r="L1079" s="70" t="s">
        <v>42</v>
      </c>
    </row>
    <row r="1080" ht="22.5" customHeight="1">
      <c r="A1080" s="29">
        <v>46196.0</v>
      </c>
      <c r="B1080" s="31" t="s">
        <v>1717</v>
      </c>
      <c r="C1080" s="32" t="s">
        <v>1521</v>
      </c>
      <c r="D1080" s="71" t="s">
        <v>779</v>
      </c>
      <c r="E1080" s="66" t="str">
        <f t="array" ref="E1080">IF(D1080="", "", XLOOKUP(D1080, 'MASTER ITEM LIST'!A:A, 'MASTER ITEM LIST'!B:B, ""))</f>
        <v>METALGUARD EPOXY PRIMER GRAY WITH HARDENER 4L</v>
      </c>
      <c r="F1080" s="31"/>
      <c r="G1080" s="67" t="s">
        <v>34</v>
      </c>
      <c r="H1080" s="31">
        <v>3.0</v>
      </c>
      <c r="I1080" s="31" t="str">
        <f t="array" ref="I1080">IFERROR(XLOOKUP(D1080,'MASTER ITEM LIST'!A:A,'MASTER ITEM LIST'!D:D), "")</f>
        <v>GAL</v>
      </c>
      <c r="J1080" s="34">
        <v>1100.0</v>
      </c>
      <c r="K1080" s="69">
        <f t="shared" si="1"/>
        <v>3300</v>
      </c>
      <c r="L1080" s="70" t="s">
        <v>42</v>
      </c>
    </row>
    <row r="1081" ht="22.5" customHeight="1">
      <c r="A1081" s="29">
        <v>46196.0</v>
      </c>
      <c r="B1081" s="31" t="s">
        <v>1717</v>
      </c>
      <c r="C1081" s="32" t="s">
        <v>1521</v>
      </c>
      <c r="D1081" s="71" t="s">
        <v>574</v>
      </c>
      <c r="E1081" s="66" t="str">
        <f t="array" ref="E1081">IF(D1081="", "", XLOOKUP(D1081, 'MASTER ITEM LIST'!A:A, 'MASTER ITEM LIST'!B:B, ""))</f>
        <v>NIPPON EXTREME QDU ORANGE 4L</v>
      </c>
      <c r="F1081" s="31"/>
      <c r="G1081" s="67" t="s">
        <v>34</v>
      </c>
      <c r="H1081" s="31">
        <v>-1.0</v>
      </c>
      <c r="I1081" s="31" t="str">
        <f t="array" ref="I1081">IFERROR(XLOOKUP(D1081,'MASTER ITEM LIST'!A:A,'MASTER ITEM LIST'!D:D), "")</f>
        <v>GAL</v>
      </c>
      <c r="J1081" s="34">
        <v>2800.0</v>
      </c>
      <c r="K1081" s="69">
        <f t="shared" si="1"/>
        <v>-2800</v>
      </c>
      <c r="L1081" s="70" t="s">
        <v>1718</v>
      </c>
    </row>
    <row r="1082" ht="22.5" customHeight="1">
      <c r="A1082" s="29">
        <v>46192.0</v>
      </c>
      <c r="B1082" s="31" t="s">
        <v>1388</v>
      </c>
      <c r="C1082" s="32" t="s">
        <v>93</v>
      </c>
      <c r="D1082" s="71" t="s">
        <v>246</v>
      </c>
      <c r="E1082" s="66" t="str">
        <f t="array" ref="E1082">IF(D1082="", "", XLOOKUP(D1082, 'MASTER ITEM LIST'!A:A, 'MASTER ITEM LIST'!B:B, ""))</f>
        <v>DOMINO BODY FILTER WITH HARDENER 4L</v>
      </c>
      <c r="F1082" s="31"/>
      <c r="G1082" s="67" t="s">
        <v>34</v>
      </c>
      <c r="H1082" s="31">
        <v>1.0</v>
      </c>
      <c r="I1082" s="31" t="str">
        <f t="array" ref="I1082">IFERROR(XLOOKUP(D1082,'MASTER ITEM LIST'!A:A,'MASTER ITEM LIST'!D:D), "")</f>
        <v>GAL</v>
      </c>
      <c r="J1082" s="34">
        <v>615.0</v>
      </c>
      <c r="K1082" s="69">
        <f t="shared" si="1"/>
        <v>615</v>
      </c>
      <c r="L1082" s="70" t="s">
        <v>42</v>
      </c>
    </row>
    <row r="1083" ht="22.5" customHeight="1">
      <c r="A1083" s="74">
        <v>46192.0</v>
      </c>
      <c r="B1083" s="31" t="s">
        <v>1388</v>
      </c>
      <c r="C1083" s="32" t="s">
        <v>93</v>
      </c>
      <c r="D1083" s="71" t="s">
        <v>63</v>
      </c>
      <c r="E1083" s="66" t="str">
        <f t="array" ref="E1083">IF(D1083="", "", XLOOKUP(D1083, 'MASTER ITEM LIST'!A:A, 'MASTER ITEM LIST'!B:B, ""))</f>
        <v>OLD NEWS</v>
      </c>
      <c r="F1083" s="31"/>
      <c r="G1083" s="67" t="s">
        <v>34</v>
      </c>
      <c r="H1083" s="31">
        <v>3.0</v>
      </c>
      <c r="I1083" s="31" t="str">
        <f t="array" ref="I1083">IFERROR(XLOOKUP(D1083,'MASTER ITEM LIST'!A:A,'MASTER ITEM LIST'!D:D), "")</f>
        <v>KG</v>
      </c>
      <c r="J1083" s="34">
        <v>100.0</v>
      </c>
      <c r="K1083" s="69">
        <f t="shared" si="1"/>
        <v>300</v>
      </c>
      <c r="L1083" s="70" t="s">
        <v>42</v>
      </c>
    </row>
    <row r="1084" ht="22.5" customHeight="1">
      <c r="A1084" s="29">
        <v>46192.0</v>
      </c>
      <c r="B1084" s="31" t="s">
        <v>1478</v>
      </c>
      <c r="C1084" s="32" t="s">
        <v>1479</v>
      </c>
      <c r="D1084" s="71" t="s">
        <v>104</v>
      </c>
      <c r="E1084" s="66" t="str">
        <f t="array" ref="E1084">IF(D1084="", "", XLOOKUP(D1084, 'MASTER ITEM LIST'!A:A, 'MASTER ITEM LIST'!B:B, ""))</f>
        <v>BOYSEN ACRYTEX GLOSS WHITE 4L</v>
      </c>
      <c r="F1084" s="31"/>
      <c r="G1084" s="67" t="s">
        <v>34</v>
      </c>
      <c r="H1084" s="31">
        <v>1.0</v>
      </c>
      <c r="I1084" s="31" t="str">
        <f t="array" ref="I1084">IFERROR(XLOOKUP(D1084,'MASTER ITEM LIST'!A:A,'MASTER ITEM LIST'!D:D), "")</f>
        <v>GALON</v>
      </c>
      <c r="J1084" s="34">
        <v>1245.0</v>
      </c>
      <c r="K1084" s="69">
        <f t="shared" si="1"/>
        <v>1245</v>
      </c>
      <c r="L1084" s="70" t="s">
        <v>42</v>
      </c>
    </row>
    <row r="1085" ht="22.5" customHeight="1">
      <c r="A1085" s="29">
        <v>46196.0</v>
      </c>
      <c r="B1085" s="31"/>
      <c r="C1085" s="32" t="s">
        <v>711</v>
      </c>
      <c r="D1085" s="71" t="s">
        <v>31</v>
      </c>
      <c r="E1085" s="66" t="str">
        <f t="array" ref="E1085">IF(D1085="", "", XLOOKUP(D1085, 'MASTER ITEM LIST'!A:A, 'MASTER ITEM LIST'!B:B, ""))</f>
        <v>EXTREME QDU MIXING 1L</v>
      </c>
      <c r="F1085" s="31"/>
      <c r="G1085" s="67" t="s">
        <v>34</v>
      </c>
      <c r="H1085" s="31">
        <v>0.25</v>
      </c>
      <c r="I1085" s="31" t="str">
        <f t="array" ref="I1085">IFERROR(XLOOKUP(D1085,'MASTER ITEM LIST'!A:A,'MASTER ITEM LIST'!D:D), "")</f>
        <v>LITER</v>
      </c>
      <c r="J1085" s="34">
        <v>1520.0</v>
      </c>
      <c r="K1085" s="69">
        <f t="shared" si="1"/>
        <v>380</v>
      </c>
      <c r="L1085" s="70" t="s">
        <v>42</v>
      </c>
    </row>
    <row r="1086" ht="22.5" customHeight="1">
      <c r="A1086" s="29">
        <v>46175.0</v>
      </c>
      <c r="B1086" s="31" t="s">
        <v>1719</v>
      </c>
      <c r="C1086" s="32" t="s">
        <v>1210</v>
      </c>
      <c r="D1086" s="71" t="s">
        <v>674</v>
      </c>
      <c r="E1086" s="66" t="str">
        <f t="array" ref="E1086">IF(D1086="", "", XLOOKUP(D1086, 'MASTER ITEM LIST'!A:A, 'MASTER ITEM LIST'!B:B, ""))</f>
        <v>DOMINO BODY FILTER WITH HARDENER 1L</v>
      </c>
      <c r="F1086" s="31"/>
      <c r="G1086" s="67" t="s">
        <v>1211</v>
      </c>
      <c r="H1086" s="31">
        <v>1.0</v>
      </c>
      <c r="I1086" s="31" t="str">
        <f t="array" ref="I1086">IFERROR(XLOOKUP(D1086,'MASTER ITEM LIST'!A:A,'MASTER ITEM LIST'!D:D), "")</f>
        <v>LITER</v>
      </c>
      <c r="J1086" s="34">
        <v>220.0</v>
      </c>
      <c r="K1086" s="69">
        <f t="shared" si="1"/>
        <v>220</v>
      </c>
      <c r="L1086" s="70" t="s">
        <v>1212</v>
      </c>
    </row>
    <row r="1087" ht="22.5" customHeight="1">
      <c r="A1087" s="29">
        <v>46175.0</v>
      </c>
      <c r="B1087" s="31" t="s">
        <v>1719</v>
      </c>
      <c r="C1087" s="32" t="s">
        <v>1210</v>
      </c>
      <c r="D1087" s="71" t="s">
        <v>90</v>
      </c>
      <c r="E1087" s="66" t="str">
        <f t="array" ref="E1087">IF(D1087="", "", XLOOKUP(D1087, 'MASTER ITEM LIST'!A:A, 'MASTER ITEM LIST'!B:B, ""))</f>
        <v>NAX SOB757 HIGH GRADE URETHANE THINNER 4L</v>
      </c>
      <c r="F1087" s="31"/>
      <c r="G1087" s="67" t="s">
        <v>1211</v>
      </c>
      <c r="H1087" s="31">
        <v>0.5</v>
      </c>
      <c r="I1087" s="31" t="str">
        <f t="array" ref="I1087">IFERROR(XLOOKUP(D1087,'MASTER ITEM LIST'!A:A,'MASTER ITEM LIST'!D:D), "")</f>
        <v>GAL</v>
      </c>
      <c r="J1087" s="34">
        <v>220.0</v>
      </c>
      <c r="K1087" s="69">
        <f t="shared" si="1"/>
        <v>110</v>
      </c>
      <c r="L1087" s="70" t="s">
        <v>1212</v>
      </c>
    </row>
    <row r="1088" ht="22.5" customHeight="1">
      <c r="A1088" s="29">
        <v>46175.0</v>
      </c>
      <c r="B1088" s="31" t="s">
        <v>1719</v>
      </c>
      <c r="C1088" s="32" t="s">
        <v>1210</v>
      </c>
      <c r="D1088" s="71" t="s">
        <v>136</v>
      </c>
      <c r="E1088" s="66" t="str">
        <f t="array" ref="E1088">IF(D1088="", "", XLOOKUP(D1088, 'MASTER ITEM LIST'!A:A, 'MASTER ITEM LIST'!B:B, ""))</f>
        <v>CROCO MASKING TAPE 3/4 18MM (1X64)</v>
      </c>
      <c r="F1088" s="31"/>
      <c r="G1088" s="67" t="s">
        <v>1211</v>
      </c>
      <c r="H1088" s="31">
        <v>3.0</v>
      </c>
      <c r="I1088" s="31" t="str">
        <f t="array" ref="I1088">IFERROR(XLOOKUP(D1088,'MASTER ITEM LIST'!A:A,'MASTER ITEM LIST'!D:D), "")</f>
        <v>PC/S</v>
      </c>
      <c r="J1088" s="34">
        <v>35.0</v>
      </c>
      <c r="K1088" s="69">
        <f t="shared" si="1"/>
        <v>105</v>
      </c>
      <c r="L1088" s="70" t="s">
        <v>1212</v>
      </c>
    </row>
    <row r="1089" ht="22.5" customHeight="1">
      <c r="A1089" s="29">
        <v>46175.0</v>
      </c>
      <c r="B1089" s="31" t="s">
        <v>1719</v>
      </c>
      <c r="C1089" s="32" t="s">
        <v>1210</v>
      </c>
      <c r="D1089" s="71" t="s">
        <v>63</v>
      </c>
      <c r="E1089" s="66" t="str">
        <f t="array" ref="E1089">IF(D1089="", "", XLOOKUP(D1089, 'MASTER ITEM LIST'!A:A, 'MASTER ITEM LIST'!B:B, ""))</f>
        <v>OLD NEWS</v>
      </c>
      <c r="F1089" s="31"/>
      <c r="G1089" s="67" t="s">
        <v>1211</v>
      </c>
      <c r="H1089" s="31">
        <v>0.5</v>
      </c>
      <c r="I1089" s="31" t="str">
        <f t="array" ref="I1089">IFERROR(XLOOKUP(D1089,'MASTER ITEM LIST'!A:A,'MASTER ITEM LIST'!D:D), "")</f>
        <v>KG</v>
      </c>
      <c r="J1089" s="34">
        <v>100.0</v>
      </c>
      <c r="K1089" s="69">
        <f t="shared" si="1"/>
        <v>50</v>
      </c>
      <c r="L1089" s="70" t="s">
        <v>1212</v>
      </c>
    </row>
    <row r="1090" ht="22.5" customHeight="1">
      <c r="A1090" s="29">
        <v>46175.0</v>
      </c>
      <c r="B1090" s="31" t="s">
        <v>1719</v>
      </c>
      <c r="C1090" s="32" t="s">
        <v>1210</v>
      </c>
      <c r="D1090" s="71" t="s">
        <v>326</v>
      </c>
      <c r="E1090" s="66" t="str">
        <f t="array" ref="E1090">IF(D1090="", "", XLOOKUP(D1090, 'MASTER ITEM LIST'!A:A, 'MASTER ITEM LIST'!B:B, ""))</f>
        <v>EAGLE SANDPAPER #1200</v>
      </c>
      <c r="F1090" s="31"/>
      <c r="G1090" s="67" t="s">
        <v>1211</v>
      </c>
      <c r="H1090" s="31">
        <v>2.0</v>
      </c>
      <c r="I1090" s="31" t="str">
        <f t="array" ref="I1090">IFERROR(XLOOKUP(D1090,'MASTER ITEM LIST'!A:A,'MASTER ITEM LIST'!D:D), "")</f>
        <v>PC/S</v>
      </c>
      <c r="J1090" s="34">
        <v>25.0</v>
      </c>
      <c r="K1090" s="69">
        <f t="shared" si="1"/>
        <v>50</v>
      </c>
      <c r="L1090" s="70" t="s">
        <v>1212</v>
      </c>
    </row>
    <row r="1091" ht="22.5" customHeight="1">
      <c r="A1091" s="29">
        <v>46175.0</v>
      </c>
      <c r="B1091" s="31" t="s">
        <v>1719</v>
      </c>
      <c r="C1091" s="32" t="s">
        <v>1210</v>
      </c>
      <c r="D1091" s="71" t="s">
        <v>198</v>
      </c>
      <c r="E1091" s="66" t="str">
        <f t="array" ref="E1091">IF(D1091="", "", XLOOKUP(D1091, 'MASTER ITEM LIST'!A:A, 'MASTER ITEM LIST'!B:B, ""))</f>
        <v>EAGLE SANDPAPER #2000</v>
      </c>
      <c r="F1091" s="31"/>
      <c r="G1091" s="67" t="s">
        <v>1211</v>
      </c>
      <c r="H1091" s="31">
        <v>2.0</v>
      </c>
      <c r="I1091" s="31" t="str">
        <f t="array" ref="I1091">IFERROR(XLOOKUP(D1091,'MASTER ITEM LIST'!A:A,'MASTER ITEM LIST'!D:D), "")</f>
        <v>PC/S</v>
      </c>
      <c r="J1091" s="34">
        <v>35.0</v>
      </c>
      <c r="K1091" s="69">
        <f t="shared" si="1"/>
        <v>70</v>
      </c>
      <c r="L1091" s="70" t="s">
        <v>1212</v>
      </c>
    </row>
    <row r="1092" ht="22.5" customHeight="1">
      <c r="A1092" s="29">
        <v>46176.0</v>
      </c>
      <c r="B1092" s="31" t="s">
        <v>1720</v>
      </c>
      <c r="C1092" s="32" t="s">
        <v>1215</v>
      </c>
      <c r="D1092" s="71" t="s">
        <v>220</v>
      </c>
      <c r="E1092" s="66" t="str">
        <f t="array" ref="E1092">IF(D1092="", "", XLOOKUP(D1092, 'MASTER ITEM LIST'!A:A, 'MASTER ITEM LIST'!B:B, ""))</f>
        <v>PREMILA MIXING 1L</v>
      </c>
      <c r="F1092" s="31" t="s">
        <v>1721</v>
      </c>
      <c r="G1092" s="67" t="s">
        <v>1211</v>
      </c>
      <c r="H1092" s="31">
        <v>0.5</v>
      </c>
      <c r="I1092" s="31" t="str">
        <f t="array" ref="I1092">IFERROR(XLOOKUP(D1092,'MASTER ITEM LIST'!A:A,'MASTER ITEM LIST'!D:D), "")</f>
        <v>LITER</v>
      </c>
      <c r="J1092" s="34">
        <v>2700.0</v>
      </c>
      <c r="K1092" s="69">
        <f t="shared" si="1"/>
        <v>1350</v>
      </c>
      <c r="L1092" s="70" t="s">
        <v>1633</v>
      </c>
    </row>
    <row r="1093" ht="22.5" customHeight="1">
      <c r="A1093" s="29">
        <v>46176.0</v>
      </c>
      <c r="B1093" s="31" t="s">
        <v>1720</v>
      </c>
      <c r="C1093" s="32" t="s">
        <v>1215</v>
      </c>
      <c r="D1093" s="71" t="s">
        <v>220</v>
      </c>
      <c r="E1093" s="66" t="str">
        <f t="array" ref="E1093">IF(D1093="", "", XLOOKUP(D1093, 'MASTER ITEM LIST'!A:A, 'MASTER ITEM LIST'!B:B, ""))</f>
        <v>PREMILA MIXING 1L</v>
      </c>
      <c r="F1093" s="31" t="s">
        <v>1722</v>
      </c>
      <c r="G1093" s="67" t="s">
        <v>1211</v>
      </c>
      <c r="H1093" s="31">
        <v>0.5</v>
      </c>
      <c r="I1093" s="31" t="str">
        <f t="array" ref="I1093">IFERROR(XLOOKUP(D1093,'MASTER ITEM LIST'!A:A,'MASTER ITEM LIST'!D:D), "")</f>
        <v>LITER</v>
      </c>
      <c r="J1093" s="34">
        <v>2000.0</v>
      </c>
      <c r="K1093" s="69">
        <f t="shared" si="1"/>
        <v>1000</v>
      </c>
      <c r="L1093" s="70" t="s">
        <v>1633</v>
      </c>
    </row>
    <row r="1094" ht="22.5" customHeight="1">
      <c r="A1094" s="29">
        <v>46181.0</v>
      </c>
      <c r="B1094" s="31" t="s">
        <v>1723</v>
      </c>
      <c r="C1094" s="32" t="s">
        <v>1215</v>
      </c>
      <c r="D1094" s="71" t="s">
        <v>220</v>
      </c>
      <c r="E1094" s="66" t="str">
        <f t="array" ref="E1094">IF(D1094="", "", XLOOKUP(D1094, 'MASTER ITEM LIST'!A:A, 'MASTER ITEM LIST'!B:B, ""))</f>
        <v>PREMILA MIXING 1L</v>
      </c>
      <c r="F1094" s="31" t="s">
        <v>1724</v>
      </c>
      <c r="G1094" s="67" t="s">
        <v>1211</v>
      </c>
      <c r="H1094" s="31">
        <v>0.5</v>
      </c>
      <c r="I1094" s="31" t="str">
        <f t="array" ref="I1094">IFERROR(XLOOKUP(D1094,'MASTER ITEM LIST'!A:A,'MASTER ITEM LIST'!D:D), "")</f>
        <v>LITER</v>
      </c>
      <c r="J1094" s="34">
        <v>2000.0</v>
      </c>
      <c r="K1094" s="69">
        <f t="shared" si="1"/>
        <v>1000</v>
      </c>
      <c r="L1094" s="70" t="s">
        <v>1633</v>
      </c>
    </row>
    <row r="1095" ht="22.5" customHeight="1">
      <c r="A1095" s="29">
        <v>46181.0</v>
      </c>
      <c r="B1095" s="31" t="s">
        <v>1725</v>
      </c>
      <c r="C1095" s="32" t="s">
        <v>1210</v>
      </c>
      <c r="D1095" s="71" t="s">
        <v>90</v>
      </c>
      <c r="E1095" s="66" t="str">
        <f t="array" ref="E1095">IF(D1095="", "", XLOOKUP(D1095, 'MASTER ITEM LIST'!A:A, 'MASTER ITEM LIST'!B:B, ""))</f>
        <v>NAX SOB757 HIGH GRADE URETHANE THINNER 4L</v>
      </c>
      <c r="F1095" s="31"/>
      <c r="G1095" s="67" t="s">
        <v>1211</v>
      </c>
      <c r="H1095" s="31">
        <v>0.25</v>
      </c>
      <c r="I1095" s="31" t="str">
        <f t="array" ref="I1095">IFERROR(XLOOKUP(D1095,'MASTER ITEM LIST'!A:A,'MASTER ITEM LIST'!D:D), "")</f>
        <v>GAL</v>
      </c>
      <c r="J1095" s="34">
        <v>400.0</v>
      </c>
      <c r="K1095" s="69">
        <f t="shared" si="1"/>
        <v>100</v>
      </c>
      <c r="L1095" s="70" t="s">
        <v>1212</v>
      </c>
    </row>
    <row r="1096" ht="22.5" customHeight="1">
      <c r="A1096" s="29">
        <v>46181.0</v>
      </c>
      <c r="B1096" s="31" t="s">
        <v>1725</v>
      </c>
      <c r="C1096" s="32" t="s">
        <v>1210</v>
      </c>
      <c r="D1096" s="71" t="s">
        <v>410</v>
      </c>
      <c r="E1096" s="66" t="str">
        <f t="array" ref="E1096">IF(D1096="", "", XLOOKUP(D1096, 'MASTER ITEM LIST'!A:A, 'MASTER ITEM LIST'!B:B, ""))</f>
        <v>NAX NAX21 URETHANE HAEDENER</v>
      </c>
      <c r="F1096" s="31"/>
      <c r="G1096" s="67" t="s">
        <v>1211</v>
      </c>
      <c r="H1096" s="31">
        <v>1.0</v>
      </c>
      <c r="I1096" s="31" t="str">
        <f t="array" ref="I1096">IFERROR(XLOOKUP(D1096,'MASTER ITEM LIST'!A:A,'MASTER ITEM LIST'!D:D), "")</f>
        <v>CANS</v>
      </c>
      <c r="J1096" s="34">
        <v>280.0</v>
      </c>
      <c r="K1096" s="69">
        <f t="shared" si="1"/>
        <v>280</v>
      </c>
      <c r="L1096" s="70" t="s">
        <v>1212</v>
      </c>
    </row>
    <row r="1097" ht="22.5" customHeight="1">
      <c r="A1097" s="29">
        <v>46181.0</v>
      </c>
      <c r="B1097" s="31" t="s">
        <v>1725</v>
      </c>
      <c r="C1097" s="32" t="s">
        <v>1210</v>
      </c>
      <c r="D1097" s="71" t="s">
        <v>136</v>
      </c>
      <c r="E1097" s="66" t="str">
        <f t="array" ref="E1097">IF(D1097="", "", XLOOKUP(D1097, 'MASTER ITEM LIST'!A:A, 'MASTER ITEM LIST'!B:B, ""))</f>
        <v>CROCO MASKING TAPE 3/4 18MM (1X64)</v>
      </c>
      <c r="F1097" s="31"/>
      <c r="G1097" s="67" t="s">
        <v>1211</v>
      </c>
      <c r="H1097" s="31">
        <v>2.0</v>
      </c>
      <c r="I1097" s="31" t="str">
        <f t="array" ref="I1097">IFERROR(XLOOKUP(D1097,'MASTER ITEM LIST'!A:A,'MASTER ITEM LIST'!D:D), "")</f>
        <v>PC/S</v>
      </c>
      <c r="J1097" s="34">
        <v>35.0</v>
      </c>
      <c r="K1097" s="69">
        <f t="shared" si="1"/>
        <v>70</v>
      </c>
      <c r="L1097" s="70" t="s">
        <v>1212</v>
      </c>
    </row>
    <row r="1098" ht="22.5" customHeight="1">
      <c r="A1098" s="29">
        <v>46181.0</v>
      </c>
      <c r="B1098" s="31" t="s">
        <v>1725</v>
      </c>
      <c r="C1098" s="32" t="s">
        <v>1210</v>
      </c>
      <c r="D1098" s="71" t="s">
        <v>63</v>
      </c>
      <c r="E1098" s="66" t="str">
        <f t="array" ref="E1098">IF(D1098="", "", XLOOKUP(D1098, 'MASTER ITEM LIST'!A:A, 'MASTER ITEM LIST'!B:B, ""))</f>
        <v>OLD NEWS</v>
      </c>
      <c r="F1098" s="31"/>
      <c r="G1098" s="67" t="s">
        <v>1211</v>
      </c>
      <c r="H1098" s="31">
        <v>1.0</v>
      </c>
      <c r="I1098" s="31" t="str">
        <f t="array" ref="I1098">IFERROR(XLOOKUP(D1098,'MASTER ITEM LIST'!A:A,'MASTER ITEM LIST'!D:D), "")</f>
        <v>KG</v>
      </c>
      <c r="J1098" s="34">
        <v>100.0</v>
      </c>
      <c r="K1098" s="69">
        <f t="shared" si="1"/>
        <v>100</v>
      </c>
      <c r="L1098" s="70" t="s">
        <v>1212</v>
      </c>
    </row>
    <row r="1099" ht="22.5" customHeight="1">
      <c r="A1099" s="29">
        <v>46182.0</v>
      </c>
      <c r="B1099" s="31" t="s">
        <v>1725</v>
      </c>
      <c r="C1099" s="32" t="s">
        <v>1210</v>
      </c>
      <c r="D1099" s="71" t="s">
        <v>220</v>
      </c>
      <c r="E1099" s="66" t="str">
        <f t="array" ref="E1099">IF(D1099="", "", XLOOKUP(D1099, 'MASTER ITEM LIST'!A:A, 'MASTER ITEM LIST'!B:B, ""))</f>
        <v>PREMILA MIXING 1L</v>
      </c>
      <c r="F1099" s="31" t="s">
        <v>1681</v>
      </c>
      <c r="G1099" s="67" t="s">
        <v>1211</v>
      </c>
      <c r="H1099" s="31">
        <v>0.5</v>
      </c>
      <c r="I1099" s="31" t="str">
        <f t="array" ref="I1099">IFERROR(XLOOKUP(D1099,'MASTER ITEM LIST'!A:A,'MASTER ITEM LIST'!D:D), "")</f>
        <v>LITER</v>
      </c>
      <c r="J1099" s="34">
        <v>2000.0</v>
      </c>
      <c r="K1099" s="69">
        <f t="shared" si="1"/>
        <v>1000</v>
      </c>
      <c r="L1099" s="70" t="s">
        <v>1212</v>
      </c>
    </row>
    <row r="1100" ht="22.5" customHeight="1">
      <c r="A1100" s="29">
        <v>46182.0</v>
      </c>
      <c r="B1100" s="31" t="s">
        <v>1725</v>
      </c>
      <c r="C1100" s="32" t="s">
        <v>1210</v>
      </c>
      <c r="D1100" s="71" t="s">
        <v>233</v>
      </c>
      <c r="E1100" s="66" t="str">
        <f t="array" ref="E1100">IF(D1100="", "", XLOOKUP(D1100, 'MASTER ITEM LIST'!A:A, 'MASTER ITEM LIST'!B:B, ""))</f>
        <v>NAX ALPHA HB SPRAY FILLER GRAY WITH HARDENER 1L</v>
      </c>
      <c r="F1100" s="31"/>
      <c r="G1100" s="67" t="s">
        <v>1211</v>
      </c>
      <c r="H1100" s="31">
        <v>1.0</v>
      </c>
      <c r="I1100" s="31" t="str">
        <f t="array" ref="I1100">IFERROR(XLOOKUP(D1100,'MASTER ITEM LIST'!A:A,'MASTER ITEM LIST'!D:D), "")</f>
        <v>LITER</v>
      </c>
      <c r="J1100" s="34">
        <v>600.0</v>
      </c>
      <c r="K1100" s="69">
        <f t="shared" si="1"/>
        <v>600</v>
      </c>
      <c r="L1100" s="70" t="s">
        <v>1212</v>
      </c>
    </row>
    <row r="1101" ht="22.5" customHeight="1">
      <c r="A1101" s="29">
        <v>46182.0</v>
      </c>
      <c r="B1101" s="31" t="s">
        <v>1725</v>
      </c>
      <c r="C1101" s="32" t="s">
        <v>1210</v>
      </c>
      <c r="D1101" s="71" t="s">
        <v>90</v>
      </c>
      <c r="E1101" s="66" t="str">
        <f t="array" ref="E1101">IF(D1101="", "", XLOOKUP(D1101, 'MASTER ITEM LIST'!A:A, 'MASTER ITEM LIST'!B:B, ""))</f>
        <v>NAX SOB757 HIGH GRADE URETHANE THINNER 4L</v>
      </c>
      <c r="F1101" s="31"/>
      <c r="G1101" s="67" t="s">
        <v>1211</v>
      </c>
      <c r="H1101" s="31">
        <v>0.5</v>
      </c>
      <c r="I1101" s="31" t="str">
        <f t="array" ref="I1101">IFERROR(XLOOKUP(D1101,'MASTER ITEM LIST'!A:A,'MASTER ITEM LIST'!D:D), "")</f>
        <v>GAL</v>
      </c>
      <c r="J1101" s="34">
        <v>400.0</v>
      </c>
      <c r="K1101" s="69">
        <f t="shared" si="1"/>
        <v>200</v>
      </c>
      <c r="L1101" s="70" t="s">
        <v>1212</v>
      </c>
    </row>
    <row r="1102" ht="22.5" customHeight="1">
      <c r="A1102" s="29">
        <v>46182.0</v>
      </c>
      <c r="B1102" s="31" t="s">
        <v>1725</v>
      </c>
      <c r="C1102" s="32" t="s">
        <v>1210</v>
      </c>
      <c r="D1102" s="71" t="s">
        <v>53</v>
      </c>
      <c r="E1102" s="66" t="str">
        <f t="array" ref="E1102">IF(D1102="", "", XLOOKUP(D1102, 'MASTER ITEM LIST'!A:A, 'MASTER ITEM LIST'!B:B, ""))</f>
        <v>NAX 108 CERAMIC 2K CLEAR WITH HARDENER 1L</v>
      </c>
      <c r="F1102" s="31"/>
      <c r="G1102" s="67" t="s">
        <v>1211</v>
      </c>
      <c r="H1102" s="31">
        <v>1.0</v>
      </c>
      <c r="I1102" s="31" t="str">
        <f t="array" ref="I1102">IFERROR(XLOOKUP(D1102,'MASTER ITEM LIST'!A:A,'MASTER ITEM LIST'!D:D), "")</f>
        <v>LITER</v>
      </c>
      <c r="J1102" s="34">
        <v>710.0</v>
      </c>
      <c r="K1102" s="69">
        <f t="shared" si="1"/>
        <v>710</v>
      </c>
      <c r="L1102" s="70" t="s">
        <v>1212</v>
      </c>
    </row>
    <row r="1103" ht="22.5" customHeight="1">
      <c r="A1103" s="29">
        <v>46182.0</v>
      </c>
      <c r="B1103" s="31" t="s">
        <v>1725</v>
      </c>
      <c r="C1103" s="32" t="s">
        <v>1210</v>
      </c>
      <c r="D1103" s="71" t="s">
        <v>136</v>
      </c>
      <c r="E1103" s="66" t="str">
        <f t="array" ref="E1103">IF(D1103="", "", XLOOKUP(D1103, 'MASTER ITEM LIST'!A:A, 'MASTER ITEM LIST'!B:B, ""))</f>
        <v>CROCO MASKING TAPE 3/4 18MM (1X64)</v>
      </c>
      <c r="F1103" s="31"/>
      <c r="G1103" s="67" t="s">
        <v>1211</v>
      </c>
      <c r="H1103" s="31">
        <v>3.0</v>
      </c>
      <c r="I1103" s="31" t="str">
        <f t="array" ref="I1103">IFERROR(XLOOKUP(D1103,'MASTER ITEM LIST'!A:A,'MASTER ITEM LIST'!D:D), "")</f>
        <v>PC/S</v>
      </c>
      <c r="J1103" s="34">
        <v>35.0</v>
      </c>
      <c r="K1103" s="69">
        <f t="shared" si="1"/>
        <v>105</v>
      </c>
      <c r="L1103" s="70" t="s">
        <v>1212</v>
      </c>
    </row>
    <row r="1104" ht="22.5" customHeight="1">
      <c r="A1104" s="29">
        <v>46182.0</v>
      </c>
      <c r="B1104" s="31" t="s">
        <v>1726</v>
      </c>
      <c r="C1104" s="32" t="s">
        <v>1210</v>
      </c>
      <c r="D1104" s="71" t="s">
        <v>220</v>
      </c>
      <c r="E1104" s="66" t="str">
        <f t="array" ref="E1104">IF(D1104="", "", XLOOKUP(D1104, 'MASTER ITEM LIST'!A:A, 'MASTER ITEM LIST'!B:B, ""))</f>
        <v>PREMILA MIXING 1L</v>
      </c>
      <c r="F1104" s="31" t="s">
        <v>1727</v>
      </c>
      <c r="G1104" s="67" t="s">
        <v>1211</v>
      </c>
      <c r="H1104" s="31">
        <v>0.5</v>
      </c>
      <c r="I1104" s="31" t="str">
        <f t="array" ref="I1104">IFERROR(XLOOKUP(D1104,'MASTER ITEM LIST'!A:A,'MASTER ITEM LIST'!D:D), "")</f>
        <v>LITER</v>
      </c>
      <c r="J1104" s="34">
        <v>1460.0</v>
      </c>
      <c r="K1104" s="69">
        <f t="shared" si="1"/>
        <v>730</v>
      </c>
      <c r="L1104" s="70" t="s">
        <v>1212</v>
      </c>
    </row>
    <row r="1105" ht="22.5" customHeight="1">
      <c r="A1105" s="29">
        <v>46182.0</v>
      </c>
      <c r="B1105" s="31" t="s">
        <v>1726</v>
      </c>
      <c r="C1105" s="32" t="s">
        <v>1210</v>
      </c>
      <c r="D1105" s="71" t="s">
        <v>53</v>
      </c>
      <c r="E1105" s="66" t="str">
        <f t="array" ref="E1105">IF(D1105="", "", XLOOKUP(D1105, 'MASTER ITEM LIST'!A:A, 'MASTER ITEM LIST'!B:B, ""))</f>
        <v>NAX 108 CERAMIC 2K CLEAR WITH HARDENER 1L</v>
      </c>
      <c r="F1105" s="31"/>
      <c r="G1105" s="67" t="s">
        <v>1211</v>
      </c>
      <c r="H1105" s="31">
        <v>0.5</v>
      </c>
      <c r="I1105" s="31" t="str">
        <f t="array" ref="I1105">IFERROR(XLOOKUP(D1105,'MASTER ITEM LIST'!A:A,'MASTER ITEM LIST'!D:D), "")</f>
        <v>LITER</v>
      </c>
      <c r="J1105" s="34">
        <v>710.0</v>
      </c>
      <c r="K1105" s="69">
        <f t="shared" si="1"/>
        <v>355</v>
      </c>
      <c r="L1105" s="70" t="s">
        <v>1212</v>
      </c>
    </row>
    <row r="1106" ht="22.5" customHeight="1">
      <c r="A1106" s="29">
        <v>46182.0</v>
      </c>
      <c r="B1106" s="31" t="s">
        <v>1726</v>
      </c>
      <c r="C1106" s="32" t="s">
        <v>1210</v>
      </c>
      <c r="D1106" s="71" t="s">
        <v>90</v>
      </c>
      <c r="E1106" s="66" t="str">
        <f t="array" ref="E1106">IF(D1106="", "", XLOOKUP(D1106, 'MASTER ITEM LIST'!A:A, 'MASTER ITEM LIST'!B:B, ""))</f>
        <v>NAX SOB757 HIGH GRADE URETHANE THINNER 4L</v>
      </c>
      <c r="F1106" s="31"/>
      <c r="G1106" s="67" t="s">
        <v>1211</v>
      </c>
      <c r="H1106" s="31">
        <v>0.25</v>
      </c>
      <c r="I1106" s="31" t="str">
        <f t="array" ref="I1106">IFERROR(XLOOKUP(D1106,'MASTER ITEM LIST'!A:A,'MASTER ITEM LIST'!D:D), "")</f>
        <v>GAL</v>
      </c>
      <c r="J1106" s="34">
        <v>800.0</v>
      </c>
      <c r="K1106" s="69">
        <f t="shared" si="1"/>
        <v>200</v>
      </c>
      <c r="L1106" s="70" t="s">
        <v>1212</v>
      </c>
    </row>
    <row r="1107" ht="22.5" customHeight="1">
      <c r="A1107" s="29">
        <v>46182.0</v>
      </c>
      <c r="B1107" s="31" t="s">
        <v>1726</v>
      </c>
      <c r="C1107" s="32" t="s">
        <v>1210</v>
      </c>
      <c r="D1107" s="71" t="s">
        <v>117</v>
      </c>
      <c r="E1107" s="66" t="str">
        <f t="array" ref="E1107">IF(D1107="", "", XLOOKUP(D1107, 'MASTER ITEM LIST'!A:A, 'MASTER ITEM LIST'!B:B, ""))</f>
        <v>EAGLE SANDPAPER #120</v>
      </c>
      <c r="F1107" s="31"/>
      <c r="G1107" s="67" t="s">
        <v>1211</v>
      </c>
      <c r="H1107" s="31">
        <v>2.0</v>
      </c>
      <c r="I1107" s="31" t="str">
        <f t="array" ref="I1107">IFERROR(XLOOKUP(D1107,'MASTER ITEM LIST'!A:A,'MASTER ITEM LIST'!D:D), "")</f>
        <v>PC/S</v>
      </c>
      <c r="J1107" s="34">
        <v>25.0</v>
      </c>
      <c r="K1107" s="69">
        <f t="shared" si="1"/>
        <v>50</v>
      </c>
      <c r="L1107" s="70" t="s">
        <v>1212</v>
      </c>
    </row>
    <row r="1108" ht="22.5" customHeight="1">
      <c r="A1108" s="29">
        <v>46182.0</v>
      </c>
      <c r="B1108" s="31" t="s">
        <v>1726</v>
      </c>
      <c r="C1108" s="32" t="s">
        <v>1210</v>
      </c>
      <c r="D1108" s="71" t="s">
        <v>548</v>
      </c>
      <c r="E1108" s="66" t="str">
        <f t="array" ref="E1108">IF(D1108="", "", XLOOKUP(D1108, 'MASTER ITEM LIST'!A:A, 'MASTER ITEM LIST'!B:B, ""))</f>
        <v>EAGLE SANDPAPER #240</v>
      </c>
      <c r="F1108" s="31"/>
      <c r="G1108" s="67" t="s">
        <v>1211</v>
      </c>
      <c r="H1108" s="31">
        <v>2.0</v>
      </c>
      <c r="I1108" s="31" t="str">
        <f t="array" ref="I1108">IFERROR(XLOOKUP(D1108,'MASTER ITEM LIST'!A:A,'MASTER ITEM LIST'!D:D), "")</f>
        <v>PC/S</v>
      </c>
      <c r="J1108" s="34">
        <v>25.0</v>
      </c>
      <c r="K1108" s="69">
        <f t="shared" si="1"/>
        <v>50</v>
      </c>
      <c r="L1108" s="70" t="s">
        <v>1212</v>
      </c>
    </row>
    <row r="1109" ht="22.5" customHeight="1">
      <c r="A1109" s="29">
        <v>46182.0</v>
      </c>
      <c r="B1109" s="31" t="s">
        <v>1726</v>
      </c>
      <c r="C1109" s="32" t="s">
        <v>1210</v>
      </c>
      <c r="D1109" s="71" t="s">
        <v>79</v>
      </c>
      <c r="E1109" s="66" t="str">
        <f t="array" ref="E1109">IF(D1109="", "", XLOOKUP(D1109, 'MASTER ITEM LIST'!A:A, 'MASTER ITEM LIST'!B:B, ""))</f>
        <v>CROCO MASKING TAPE 1/2 12MM (1X96)</v>
      </c>
      <c r="F1109" s="31"/>
      <c r="G1109" s="67" t="s">
        <v>1211</v>
      </c>
      <c r="H1109" s="31">
        <v>2.0</v>
      </c>
      <c r="I1109" s="31" t="str">
        <f t="array" ref="I1109">IFERROR(XLOOKUP(D1109,'MASTER ITEM LIST'!A:A,'MASTER ITEM LIST'!D:D), "")</f>
        <v>PC/S</v>
      </c>
      <c r="J1109" s="34">
        <v>25.0</v>
      </c>
      <c r="K1109" s="69">
        <f t="shared" si="1"/>
        <v>50</v>
      </c>
      <c r="L1109" s="70" t="s">
        <v>1212</v>
      </c>
    </row>
    <row r="1110" ht="22.5" customHeight="1">
      <c r="A1110" s="29">
        <v>46182.0</v>
      </c>
      <c r="B1110" s="31" t="s">
        <v>1726</v>
      </c>
      <c r="C1110" s="32" t="s">
        <v>1210</v>
      </c>
      <c r="D1110" s="71" t="s">
        <v>233</v>
      </c>
      <c r="E1110" s="66" t="str">
        <f t="array" ref="E1110">IF(D1110="", "", XLOOKUP(D1110, 'MASTER ITEM LIST'!A:A, 'MASTER ITEM LIST'!B:B, ""))</f>
        <v>NAX ALPHA HB SPRAY FILLER GRAY WITH HARDENER 1L</v>
      </c>
      <c r="F1110" s="31"/>
      <c r="G1110" s="67" t="s">
        <v>1211</v>
      </c>
      <c r="H1110" s="31">
        <v>0.25</v>
      </c>
      <c r="I1110" s="31" t="str">
        <f t="array" ref="I1110">IFERROR(XLOOKUP(D1110,'MASTER ITEM LIST'!A:A,'MASTER ITEM LIST'!D:D), "")</f>
        <v>LITER</v>
      </c>
      <c r="J1110" s="34">
        <v>400.0</v>
      </c>
      <c r="K1110" s="69">
        <f t="shared" si="1"/>
        <v>100</v>
      </c>
      <c r="L1110" s="70" t="s">
        <v>1212</v>
      </c>
    </row>
    <row r="1111" ht="22.5" customHeight="1">
      <c r="A1111" s="29">
        <v>46183.0</v>
      </c>
      <c r="B1111" s="31" t="s">
        <v>1728</v>
      </c>
      <c r="C1111" s="32" t="s">
        <v>1215</v>
      </c>
      <c r="D1111" s="71" t="s">
        <v>220</v>
      </c>
      <c r="E1111" s="66" t="str">
        <f t="array" ref="E1111">IF(D1111="", "", XLOOKUP(D1111, 'MASTER ITEM LIST'!A:A, 'MASTER ITEM LIST'!B:B, ""))</f>
        <v>PREMILA MIXING 1L</v>
      </c>
      <c r="F1111" s="31"/>
      <c r="G1111" s="67" t="s">
        <v>1211</v>
      </c>
      <c r="H1111" s="31">
        <v>0.25</v>
      </c>
      <c r="I1111" s="31" t="str">
        <f t="array" ref="I1111">IFERROR(XLOOKUP(D1111,'MASTER ITEM LIST'!A:A,'MASTER ITEM LIST'!D:D), "")</f>
        <v>LITER</v>
      </c>
      <c r="J1111" s="34">
        <v>2720.0</v>
      </c>
      <c r="K1111" s="69">
        <f t="shared" si="1"/>
        <v>680</v>
      </c>
      <c r="L1111" s="70" t="s">
        <v>1633</v>
      </c>
    </row>
    <row r="1112" ht="22.5" customHeight="1">
      <c r="A1112" s="29">
        <v>46183.0</v>
      </c>
      <c r="B1112" s="31" t="s">
        <v>1728</v>
      </c>
      <c r="C1112" s="32" t="s">
        <v>1215</v>
      </c>
      <c r="D1112" s="71" t="s">
        <v>220</v>
      </c>
      <c r="E1112" s="66" t="str">
        <f t="array" ref="E1112">IF(D1112="", "", XLOOKUP(D1112, 'MASTER ITEM LIST'!A:A, 'MASTER ITEM LIST'!B:B, ""))</f>
        <v>PREMILA MIXING 1L</v>
      </c>
      <c r="F1112" s="31"/>
      <c r="G1112" s="67" t="s">
        <v>1211</v>
      </c>
      <c r="H1112" s="31">
        <v>0.25</v>
      </c>
      <c r="I1112" s="31" t="str">
        <f t="array" ref="I1112">IFERROR(XLOOKUP(D1112,'MASTER ITEM LIST'!A:A,'MASTER ITEM LIST'!D:D), "")</f>
        <v>LITER</v>
      </c>
      <c r="J1112" s="34">
        <v>2000.0</v>
      </c>
      <c r="K1112" s="69">
        <f t="shared" si="1"/>
        <v>500</v>
      </c>
      <c r="L1112" s="70" t="s">
        <v>1633</v>
      </c>
    </row>
    <row r="1113" ht="22.5" customHeight="1">
      <c r="A1113" s="29">
        <v>46183.0</v>
      </c>
      <c r="B1113" s="31" t="s">
        <v>1728</v>
      </c>
      <c r="C1113" s="32" t="s">
        <v>1215</v>
      </c>
      <c r="D1113" s="71" t="s">
        <v>220</v>
      </c>
      <c r="E1113" s="66" t="str">
        <f t="array" ref="E1113">IF(D1113="", "", XLOOKUP(D1113, 'MASTER ITEM LIST'!A:A, 'MASTER ITEM LIST'!B:B, ""))</f>
        <v>PREMILA MIXING 1L</v>
      </c>
      <c r="F1113" s="31"/>
      <c r="G1113" s="67" t="s">
        <v>1211</v>
      </c>
      <c r="H1113" s="31">
        <v>1.0</v>
      </c>
      <c r="I1113" s="31" t="str">
        <f t="array" ref="I1113">IFERROR(XLOOKUP(D1113,'MASTER ITEM LIST'!A:A,'MASTER ITEM LIST'!D:D), "")</f>
        <v>LITER</v>
      </c>
      <c r="J1113" s="34">
        <v>2600.0</v>
      </c>
      <c r="K1113" s="69">
        <f t="shared" si="1"/>
        <v>2600</v>
      </c>
      <c r="L1113" s="70" t="s">
        <v>1633</v>
      </c>
    </row>
    <row r="1114" ht="22.5" customHeight="1">
      <c r="A1114" s="29">
        <v>46183.0</v>
      </c>
      <c r="B1114" s="31" t="s">
        <v>1728</v>
      </c>
      <c r="C1114" s="32" t="s">
        <v>1215</v>
      </c>
      <c r="D1114" s="71" t="s">
        <v>220</v>
      </c>
      <c r="E1114" s="66" t="str">
        <f t="array" ref="E1114">IF(D1114="", "", XLOOKUP(D1114, 'MASTER ITEM LIST'!A:A, 'MASTER ITEM LIST'!B:B, ""))</f>
        <v>PREMILA MIXING 1L</v>
      </c>
      <c r="F1114" s="31"/>
      <c r="G1114" s="67" t="s">
        <v>1211</v>
      </c>
      <c r="H1114" s="31">
        <v>0.5</v>
      </c>
      <c r="I1114" s="31" t="str">
        <f t="array" ref="I1114">IFERROR(XLOOKUP(D1114,'MASTER ITEM LIST'!A:A,'MASTER ITEM LIST'!D:D), "")</f>
        <v>LITER</v>
      </c>
      <c r="J1114" s="34">
        <v>2700.0</v>
      </c>
      <c r="K1114" s="69">
        <f t="shared" si="1"/>
        <v>1350</v>
      </c>
      <c r="L1114" s="70" t="s">
        <v>1633</v>
      </c>
    </row>
    <row r="1115" ht="22.5" customHeight="1">
      <c r="A1115" s="29">
        <v>46183.0</v>
      </c>
      <c r="B1115" s="31" t="s">
        <v>1728</v>
      </c>
      <c r="C1115" s="32" t="s">
        <v>1215</v>
      </c>
      <c r="D1115" s="71" t="s">
        <v>315</v>
      </c>
      <c r="E1115" s="66" t="str">
        <f t="array" ref="E1115">IF(D1115="", "", XLOOKUP(D1115, 'MASTER ITEM LIST'!A:A, 'MASTER ITEM LIST'!B:B, ""))</f>
        <v>CUMI SUPREME FLOOR SANDING 60</v>
      </c>
      <c r="F1115" s="31"/>
      <c r="G1115" s="67" t="s">
        <v>1211</v>
      </c>
      <c r="H1115" s="31">
        <v>2.0</v>
      </c>
      <c r="I1115" s="31" t="str">
        <f t="array" ref="I1115">IFERROR(XLOOKUP(D1115,'MASTER ITEM LIST'!A:A,'MASTER ITEM LIST'!D:D), "")</f>
        <v>FT</v>
      </c>
      <c r="J1115" s="34">
        <v>95.0</v>
      </c>
      <c r="K1115" s="69">
        <f t="shared" si="1"/>
        <v>190</v>
      </c>
      <c r="L1115" s="70" t="s">
        <v>1633</v>
      </c>
    </row>
    <row r="1116" ht="22.5" customHeight="1">
      <c r="A1116" s="29">
        <v>46184.0</v>
      </c>
      <c r="B1116" s="31" t="s">
        <v>1729</v>
      </c>
      <c r="C1116" s="32" t="s">
        <v>1210</v>
      </c>
      <c r="D1116" s="71" t="s">
        <v>304</v>
      </c>
      <c r="E1116" s="66" t="str">
        <f t="array" ref="E1116">IF(D1116="", "", XLOOKUP(D1116, 'MASTER ITEM LIST'!A:A, 'MASTER ITEM LIST'!B:B, ""))</f>
        <v>NAX NAT-100 TTC WHITE 4L</v>
      </c>
      <c r="F1116" s="31"/>
      <c r="G1116" s="67" t="s">
        <v>1211</v>
      </c>
      <c r="H1116" s="31">
        <v>0.5</v>
      </c>
      <c r="I1116" s="31" t="str">
        <f t="array" ref="I1116">IFERROR(XLOOKUP(D1116,'MASTER ITEM LIST'!A:A,'MASTER ITEM LIST'!D:D), "")</f>
        <v>GAL</v>
      </c>
      <c r="J1116" s="34">
        <v>1200.0</v>
      </c>
      <c r="K1116" s="69">
        <f t="shared" si="1"/>
        <v>600</v>
      </c>
      <c r="L1116" s="70" t="s">
        <v>1212</v>
      </c>
    </row>
    <row r="1117" ht="22.5" customHeight="1">
      <c r="A1117" s="29">
        <v>46184.0</v>
      </c>
      <c r="B1117" s="31" t="s">
        <v>1729</v>
      </c>
      <c r="C1117" s="32" t="s">
        <v>1210</v>
      </c>
      <c r="D1117" s="71" t="s">
        <v>90</v>
      </c>
      <c r="E1117" s="66" t="str">
        <f t="array" ref="E1117">IF(D1117="", "", XLOOKUP(D1117, 'MASTER ITEM LIST'!A:A, 'MASTER ITEM LIST'!B:B, ""))</f>
        <v>NAX SOB757 HIGH GRADE URETHANE THINNER 4L</v>
      </c>
      <c r="F1117" s="31"/>
      <c r="G1117" s="67" t="s">
        <v>1211</v>
      </c>
      <c r="H1117" s="31">
        <v>0.25</v>
      </c>
      <c r="I1117" s="31" t="str">
        <f t="array" ref="I1117">IFERROR(XLOOKUP(D1117,'MASTER ITEM LIST'!A:A,'MASTER ITEM LIST'!D:D), "")</f>
        <v>GAL</v>
      </c>
      <c r="J1117" s="34">
        <v>800.0</v>
      </c>
      <c r="K1117" s="69">
        <f t="shared" si="1"/>
        <v>200</v>
      </c>
      <c r="L1117" s="70" t="s">
        <v>1212</v>
      </c>
    </row>
    <row r="1118" ht="22.5" customHeight="1">
      <c r="A1118" s="29">
        <v>46184.0</v>
      </c>
      <c r="B1118" s="31" t="s">
        <v>1729</v>
      </c>
      <c r="C1118" s="32" t="s">
        <v>1210</v>
      </c>
      <c r="D1118" s="71" t="s">
        <v>53</v>
      </c>
      <c r="E1118" s="66" t="str">
        <f t="array" ref="E1118">IF(D1118="", "", XLOOKUP(D1118, 'MASTER ITEM LIST'!A:A, 'MASTER ITEM LIST'!B:B, ""))</f>
        <v>NAX 108 CERAMIC 2K CLEAR WITH HARDENER 1L</v>
      </c>
      <c r="F1118" s="31"/>
      <c r="G1118" s="67" t="s">
        <v>1211</v>
      </c>
      <c r="H1118" s="31">
        <v>0.5</v>
      </c>
      <c r="I1118" s="31" t="str">
        <f t="array" ref="I1118">IFERROR(XLOOKUP(D1118,'MASTER ITEM LIST'!A:A,'MASTER ITEM LIST'!D:D), "")</f>
        <v>LITER</v>
      </c>
      <c r="J1118" s="34">
        <v>720.0</v>
      </c>
      <c r="K1118" s="69">
        <f t="shared" si="1"/>
        <v>360</v>
      </c>
      <c r="L1118" s="70" t="s">
        <v>1212</v>
      </c>
    </row>
    <row r="1119" ht="22.5" customHeight="1">
      <c r="A1119" s="29">
        <v>46184.0</v>
      </c>
      <c r="B1119" s="31" t="s">
        <v>1729</v>
      </c>
      <c r="C1119" s="32" t="s">
        <v>1210</v>
      </c>
      <c r="D1119" s="71" t="s">
        <v>117</v>
      </c>
      <c r="E1119" s="66" t="str">
        <f t="array" ref="E1119">IF(D1119="", "", XLOOKUP(D1119, 'MASTER ITEM LIST'!A:A, 'MASTER ITEM LIST'!B:B, ""))</f>
        <v>EAGLE SANDPAPER #120</v>
      </c>
      <c r="F1119" s="31"/>
      <c r="G1119" s="67" t="s">
        <v>1211</v>
      </c>
      <c r="H1119" s="31">
        <v>2.0</v>
      </c>
      <c r="I1119" s="31" t="str">
        <f t="array" ref="I1119">IFERROR(XLOOKUP(D1119,'MASTER ITEM LIST'!A:A,'MASTER ITEM LIST'!D:D), "")</f>
        <v>PC/S</v>
      </c>
      <c r="J1119" s="34">
        <v>25.0</v>
      </c>
      <c r="K1119" s="69">
        <f t="shared" si="1"/>
        <v>50</v>
      </c>
      <c r="L1119" s="70" t="s">
        <v>1212</v>
      </c>
    </row>
    <row r="1120" ht="22.5" customHeight="1">
      <c r="A1120" s="29">
        <v>46184.0</v>
      </c>
      <c r="B1120" s="31" t="s">
        <v>1729</v>
      </c>
      <c r="C1120" s="32" t="s">
        <v>1210</v>
      </c>
      <c r="D1120" s="71" t="s">
        <v>548</v>
      </c>
      <c r="E1120" s="66" t="str">
        <f t="array" ref="E1120">IF(D1120="", "", XLOOKUP(D1120, 'MASTER ITEM LIST'!A:A, 'MASTER ITEM LIST'!B:B, ""))</f>
        <v>EAGLE SANDPAPER #240</v>
      </c>
      <c r="F1120" s="31"/>
      <c r="G1120" s="67" t="s">
        <v>1211</v>
      </c>
      <c r="H1120" s="31">
        <v>2.0</v>
      </c>
      <c r="I1120" s="31" t="str">
        <f t="array" ref="I1120">IFERROR(XLOOKUP(D1120,'MASTER ITEM LIST'!A:A,'MASTER ITEM LIST'!D:D), "")</f>
        <v>PC/S</v>
      </c>
      <c r="J1120" s="34">
        <v>25.0</v>
      </c>
      <c r="K1120" s="69">
        <f t="shared" si="1"/>
        <v>50</v>
      </c>
      <c r="L1120" s="70" t="s">
        <v>1212</v>
      </c>
    </row>
    <row r="1121" ht="22.5" customHeight="1">
      <c r="A1121" s="29">
        <v>46184.0</v>
      </c>
      <c r="B1121" s="31" t="s">
        <v>1729</v>
      </c>
      <c r="C1121" s="32" t="s">
        <v>1210</v>
      </c>
      <c r="D1121" s="71" t="s">
        <v>326</v>
      </c>
      <c r="E1121" s="66" t="str">
        <f t="array" ref="E1121">IF(D1121="", "", XLOOKUP(D1121, 'MASTER ITEM LIST'!A:A, 'MASTER ITEM LIST'!B:B, ""))</f>
        <v>EAGLE SANDPAPER #1200</v>
      </c>
      <c r="F1121" s="31"/>
      <c r="G1121" s="67" t="s">
        <v>1211</v>
      </c>
      <c r="H1121" s="31">
        <v>2.0</v>
      </c>
      <c r="I1121" s="31" t="str">
        <f t="array" ref="I1121">IFERROR(XLOOKUP(D1121,'MASTER ITEM LIST'!A:A,'MASTER ITEM LIST'!D:D), "")</f>
        <v>PC/S</v>
      </c>
      <c r="J1121" s="34">
        <v>25.0</v>
      </c>
      <c r="K1121" s="69">
        <f t="shared" si="1"/>
        <v>50</v>
      </c>
      <c r="L1121" s="70" t="s">
        <v>1212</v>
      </c>
    </row>
    <row r="1122" ht="22.5" customHeight="1">
      <c r="A1122" s="29">
        <v>46184.0</v>
      </c>
      <c r="B1122" s="31" t="s">
        <v>1729</v>
      </c>
      <c r="C1122" s="32" t="s">
        <v>1210</v>
      </c>
      <c r="D1122" s="71" t="s">
        <v>198</v>
      </c>
      <c r="E1122" s="66" t="str">
        <f t="array" ref="E1122">IF(D1122="", "", XLOOKUP(D1122, 'MASTER ITEM LIST'!A:A, 'MASTER ITEM LIST'!B:B, ""))</f>
        <v>EAGLE SANDPAPER #2000</v>
      </c>
      <c r="F1122" s="31"/>
      <c r="G1122" s="67" t="s">
        <v>1211</v>
      </c>
      <c r="H1122" s="31">
        <v>2.0</v>
      </c>
      <c r="I1122" s="31" t="str">
        <f t="array" ref="I1122">IFERROR(XLOOKUP(D1122,'MASTER ITEM LIST'!A:A,'MASTER ITEM LIST'!D:D), "")</f>
        <v>PC/S</v>
      </c>
      <c r="J1122" s="34">
        <v>35.0</v>
      </c>
      <c r="K1122" s="69">
        <f t="shared" si="1"/>
        <v>70</v>
      </c>
      <c r="L1122" s="70" t="s">
        <v>1212</v>
      </c>
    </row>
    <row r="1123" ht="22.5" customHeight="1">
      <c r="A1123" s="29">
        <v>46184.0</v>
      </c>
      <c r="B1123" s="31" t="s">
        <v>1729</v>
      </c>
      <c r="C1123" s="32" t="s">
        <v>1210</v>
      </c>
      <c r="D1123" s="71" t="s">
        <v>136</v>
      </c>
      <c r="E1123" s="66" t="str">
        <f t="array" ref="E1123">IF(D1123="", "", XLOOKUP(D1123, 'MASTER ITEM LIST'!A:A, 'MASTER ITEM LIST'!B:B, ""))</f>
        <v>CROCO MASKING TAPE 3/4 18MM (1X64)</v>
      </c>
      <c r="F1123" s="31"/>
      <c r="G1123" s="67" t="s">
        <v>1211</v>
      </c>
      <c r="H1123" s="31">
        <v>3.0</v>
      </c>
      <c r="I1123" s="31" t="str">
        <f t="array" ref="I1123">IFERROR(XLOOKUP(D1123,'MASTER ITEM LIST'!A:A,'MASTER ITEM LIST'!D:D), "")</f>
        <v>PC/S</v>
      </c>
      <c r="J1123" s="34">
        <v>35.0</v>
      </c>
      <c r="K1123" s="69">
        <f t="shared" si="1"/>
        <v>105</v>
      </c>
      <c r="L1123" s="70" t="s">
        <v>1212</v>
      </c>
    </row>
    <row r="1124" ht="22.5" customHeight="1">
      <c r="A1124" s="29">
        <v>46184.0</v>
      </c>
      <c r="B1124" s="31" t="s">
        <v>1729</v>
      </c>
      <c r="C1124" s="32" t="s">
        <v>1210</v>
      </c>
      <c r="D1124" s="71" t="s">
        <v>63</v>
      </c>
      <c r="E1124" s="66" t="str">
        <f t="array" ref="E1124">IF(D1124="", "", XLOOKUP(D1124, 'MASTER ITEM LIST'!A:A, 'MASTER ITEM LIST'!B:B, ""))</f>
        <v>OLD NEWS</v>
      </c>
      <c r="F1124" s="31"/>
      <c r="G1124" s="67" t="s">
        <v>1211</v>
      </c>
      <c r="H1124" s="31">
        <v>1.0</v>
      </c>
      <c r="I1124" s="31" t="str">
        <f t="array" ref="I1124">IFERROR(XLOOKUP(D1124,'MASTER ITEM LIST'!A:A,'MASTER ITEM LIST'!D:D), "")</f>
        <v>KG</v>
      </c>
      <c r="J1124" s="34">
        <v>100.0</v>
      </c>
      <c r="K1124" s="69">
        <f t="shared" si="1"/>
        <v>100</v>
      </c>
      <c r="L1124" s="70" t="s">
        <v>1212</v>
      </c>
    </row>
    <row r="1125" ht="22.5" customHeight="1">
      <c r="A1125" s="29">
        <v>46196.0</v>
      </c>
      <c r="B1125" s="31"/>
      <c r="C1125" s="32" t="s">
        <v>711</v>
      </c>
      <c r="D1125" s="71" t="s">
        <v>174</v>
      </c>
      <c r="E1125" s="66" t="str">
        <f t="array" ref="E1125">IF(D1125="", "", XLOOKUP(D1125, 'MASTER ITEM LIST'!A:A, 'MASTER ITEM LIST'!B:B, ""))</f>
        <v>UNO PAINT THINNER BOT</v>
      </c>
      <c r="F1125" s="31"/>
      <c r="G1125" s="67" t="s">
        <v>34</v>
      </c>
      <c r="H1125" s="31">
        <v>2.0</v>
      </c>
      <c r="I1125" s="31" t="str">
        <f t="array" ref="I1125">IFERROR(XLOOKUP(D1125,'MASTER ITEM LIST'!A:A,'MASTER ITEM LIST'!D:D), "")</f>
        <v>PC/S</v>
      </c>
      <c r="J1125" s="34">
        <v>80.0</v>
      </c>
      <c r="K1125" s="69">
        <f t="shared" si="1"/>
        <v>160</v>
      </c>
      <c r="L1125" s="70" t="s">
        <v>42</v>
      </c>
    </row>
    <row r="1126" ht="22.5" customHeight="1">
      <c r="A1126" s="29">
        <v>46196.0</v>
      </c>
      <c r="B1126" s="31"/>
      <c r="C1126" s="32" t="s">
        <v>711</v>
      </c>
      <c r="D1126" s="71" t="s">
        <v>798</v>
      </c>
      <c r="E1126" s="66" t="str">
        <f t="array" ref="E1126">IF(D1126="", "", XLOOKUP(D1126, 'MASTER ITEM LIST'!A:A, 'MASTER ITEM LIST'!B:B, ""))</f>
        <v>GLAZER AUTO ENAMEL MIX 4L</v>
      </c>
      <c r="F1126" s="31"/>
      <c r="G1126" s="67" t="s">
        <v>34</v>
      </c>
      <c r="H1126" s="31">
        <v>0.25</v>
      </c>
      <c r="I1126" s="31" t="str">
        <f t="array" ref="I1126">IFERROR(XLOOKUP(D1126,'MASTER ITEM LIST'!A:A,'MASTER ITEM LIST'!D:D), "")</f>
        <v>GAL</v>
      </c>
      <c r="J1126" s="34">
        <v>1760.0</v>
      </c>
      <c r="K1126" s="69">
        <f t="shared" si="1"/>
        <v>440</v>
      </c>
      <c r="L1126" s="70" t="s">
        <v>42</v>
      </c>
    </row>
    <row r="1127" ht="22.5" customHeight="1">
      <c r="A1127" s="29">
        <v>46196.0</v>
      </c>
      <c r="B1127" s="31"/>
      <c r="C1127" s="32" t="s">
        <v>711</v>
      </c>
      <c r="D1127" s="71" t="s">
        <v>220</v>
      </c>
      <c r="E1127" s="66" t="str">
        <f t="array" ref="E1127">IF(D1127="", "", XLOOKUP(D1127, 'MASTER ITEM LIST'!A:A, 'MASTER ITEM LIST'!B:B, ""))</f>
        <v>PREMILA MIXING 1L</v>
      </c>
      <c r="F1127" s="31" t="s">
        <v>1292</v>
      </c>
      <c r="G1127" s="67" t="s">
        <v>34</v>
      </c>
      <c r="H1127" s="31">
        <v>0.25</v>
      </c>
      <c r="I1127" s="31" t="str">
        <f t="array" ref="I1127">IFERROR(XLOOKUP(D1127,'MASTER ITEM LIST'!A:A,'MASTER ITEM LIST'!D:D), "")</f>
        <v>LITER</v>
      </c>
      <c r="J1127" s="34">
        <v>2400.0</v>
      </c>
      <c r="K1127" s="69">
        <f t="shared" si="1"/>
        <v>600</v>
      </c>
      <c r="L1127" s="70" t="s">
        <v>42</v>
      </c>
    </row>
    <row r="1128" ht="22.5" customHeight="1">
      <c r="A1128" s="29">
        <v>46197.0</v>
      </c>
      <c r="B1128" s="31" t="s">
        <v>1730</v>
      </c>
      <c r="C1128" s="32" t="s">
        <v>1240</v>
      </c>
      <c r="D1128" s="71" t="s">
        <v>117</v>
      </c>
      <c r="E1128" s="66" t="str">
        <f t="array" ref="E1128">IF(D1128="", "", XLOOKUP(D1128, 'MASTER ITEM LIST'!A:A, 'MASTER ITEM LIST'!B:B, ""))</f>
        <v>EAGLE SANDPAPER #120</v>
      </c>
      <c r="F1128" s="31"/>
      <c r="G1128" s="67" t="s">
        <v>1376</v>
      </c>
      <c r="H1128" s="31">
        <v>5.0</v>
      </c>
      <c r="I1128" s="31" t="str">
        <f t="array" ref="I1128">IFERROR(XLOOKUP(D1128,'MASTER ITEM LIST'!A:A,'MASTER ITEM LIST'!D:D), "")</f>
        <v>PC/S</v>
      </c>
      <c r="J1128" s="34">
        <v>25.0</v>
      </c>
      <c r="K1128" s="69">
        <f t="shared" si="1"/>
        <v>125</v>
      </c>
      <c r="L1128" s="70" t="s">
        <v>42</v>
      </c>
    </row>
    <row r="1129" ht="22.5" customHeight="1">
      <c r="A1129" s="29">
        <v>46197.0</v>
      </c>
      <c r="B1129" s="31" t="s">
        <v>1730</v>
      </c>
      <c r="C1129" s="32" t="s">
        <v>1240</v>
      </c>
      <c r="D1129" s="71" t="s">
        <v>931</v>
      </c>
      <c r="E1129" s="66" t="str">
        <f t="array" ref="E1129">IF(D1129="", "", XLOOKUP(D1129, 'MASTER ITEM LIST'!A:A, 'MASTER ITEM LIST'!B:B, ""))</f>
        <v>EAGLE SANDPAPER #60</v>
      </c>
      <c r="F1129" s="31"/>
      <c r="G1129" s="67" t="s">
        <v>1376</v>
      </c>
      <c r="H1129" s="31">
        <v>5.0</v>
      </c>
      <c r="I1129" s="31" t="str">
        <f t="array" ref="I1129">IFERROR(XLOOKUP(D1129,'MASTER ITEM LIST'!A:A,'MASTER ITEM LIST'!D:D), "")</f>
        <v>PC/S</v>
      </c>
      <c r="J1129" s="34">
        <v>40.0</v>
      </c>
      <c r="K1129" s="69">
        <f t="shared" si="1"/>
        <v>200</v>
      </c>
      <c r="L1129" s="70" t="s">
        <v>42</v>
      </c>
    </row>
    <row r="1130" ht="22.5" customHeight="1">
      <c r="A1130" s="29">
        <v>46197.0</v>
      </c>
      <c r="B1130" s="31" t="s">
        <v>1730</v>
      </c>
      <c r="C1130" s="32" t="s">
        <v>1240</v>
      </c>
      <c r="D1130" s="71" t="s">
        <v>548</v>
      </c>
      <c r="E1130" s="66" t="str">
        <f t="array" ref="E1130">IF(D1130="", "", XLOOKUP(D1130, 'MASTER ITEM LIST'!A:A, 'MASTER ITEM LIST'!B:B, ""))</f>
        <v>EAGLE SANDPAPER #240</v>
      </c>
      <c r="F1130" s="31"/>
      <c r="G1130" s="67" t="s">
        <v>1376</v>
      </c>
      <c r="H1130" s="31">
        <v>3.0</v>
      </c>
      <c r="I1130" s="31" t="str">
        <f t="array" ref="I1130">IFERROR(XLOOKUP(D1130,'MASTER ITEM LIST'!A:A,'MASTER ITEM LIST'!D:D), "")</f>
        <v>PC/S</v>
      </c>
      <c r="J1130" s="34">
        <v>25.0</v>
      </c>
      <c r="K1130" s="69">
        <f t="shared" si="1"/>
        <v>75</v>
      </c>
      <c r="L1130" s="70" t="s">
        <v>42</v>
      </c>
    </row>
    <row r="1131" ht="22.5" customHeight="1">
      <c r="A1131" s="29">
        <v>46197.0</v>
      </c>
      <c r="B1131" s="31" t="s">
        <v>1730</v>
      </c>
      <c r="C1131" s="32" t="s">
        <v>1240</v>
      </c>
      <c r="D1131" s="71" t="s">
        <v>554</v>
      </c>
      <c r="E1131" s="66" t="str">
        <f t="array" ref="E1131">IF(D1131="", "", XLOOKUP(D1131, 'MASTER ITEM LIST'!A:A, 'MASTER ITEM LIST'!B:B, ""))</f>
        <v>EAGLE SANDPAPER #400</v>
      </c>
      <c r="F1131" s="31"/>
      <c r="G1131" s="67" t="s">
        <v>1376</v>
      </c>
      <c r="H1131" s="31">
        <v>5.0</v>
      </c>
      <c r="I1131" s="31" t="str">
        <f t="array" ref="I1131">IFERROR(XLOOKUP(D1131,'MASTER ITEM LIST'!A:A,'MASTER ITEM LIST'!D:D), "")</f>
        <v>PC/S</v>
      </c>
      <c r="J1131" s="34">
        <v>25.0</v>
      </c>
      <c r="K1131" s="69">
        <f t="shared" si="1"/>
        <v>125</v>
      </c>
      <c r="L1131" s="70" t="s">
        <v>42</v>
      </c>
    </row>
    <row r="1132" ht="22.5" customHeight="1">
      <c r="A1132" s="29">
        <v>46197.0</v>
      </c>
      <c r="B1132" s="31" t="s">
        <v>1730</v>
      </c>
      <c r="C1132" s="32" t="s">
        <v>1240</v>
      </c>
      <c r="D1132" s="71" t="s">
        <v>432</v>
      </c>
      <c r="E1132" s="66" t="str">
        <f t="array" ref="E1132">IF(D1132="", "", XLOOKUP(D1132, 'MASTER ITEM LIST'!A:A, 'MASTER ITEM LIST'!B:B, ""))</f>
        <v>EAGLE SANDPAPER #600</v>
      </c>
      <c r="F1132" s="31"/>
      <c r="G1132" s="67" t="s">
        <v>1376</v>
      </c>
      <c r="H1132" s="31">
        <v>4.0</v>
      </c>
      <c r="I1132" s="31" t="str">
        <f t="array" ref="I1132">IFERROR(XLOOKUP(D1132,'MASTER ITEM LIST'!A:A,'MASTER ITEM LIST'!D:D), "")</f>
        <v>PCS</v>
      </c>
      <c r="J1132" s="34">
        <v>25.0</v>
      </c>
      <c r="K1132" s="69">
        <f t="shared" si="1"/>
        <v>100</v>
      </c>
      <c r="L1132" s="70" t="s">
        <v>42</v>
      </c>
    </row>
    <row r="1133" ht="22.5" customHeight="1">
      <c r="A1133" s="29">
        <v>46197.0</v>
      </c>
      <c r="B1133" s="31" t="s">
        <v>1730</v>
      </c>
      <c r="C1133" s="32" t="s">
        <v>1240</v>
      </c>
      <c r="D1133" s="71" t="s">
        <v>326</v>
      </c>
      <c r="E1133" s="66" t="str">
        <f t="array" ref="E1133">IF(D1133="", "", XLOOKUP(D1133, 'MASTER ITEM LIST'!A:A, 'MASTER ITEM LIST'!B:B, ""))</f>
        <v>EAGLE SANDPAPER #1200</v>
      </c>
      <c r="F1133" s="31"/>
      <c r="G1133" s="67" t="s">
        <v>1376</v>
      </c>
      <c r="H1133" s="31">
        <v>3.0</v>
      </c>
      <c r="I1133" s="31" t="str">
        <f t="array" ref="I1133">IFERROR(XLOOKUP(D1133,'MASTER ITEM LIST'!A:A,'MASTER ITEM LIST'!D:D), "")</f>
        <v>PC/S</v>
      </c>
      <c r="J1133" s="34">
        <v>25.0</v>
      </c>
      <c r="K1133" s="69">
        <f t="shared" si="1"/>
        <v>75</v>
      </c>
      <c r="L1133" s="70" t="s">
        <v>42</v>
      </c>
    </row>
    <row r="1134" ht="22.5" customHeight="1">
      <c r="A1134" s="29">
        <v>46197.0</v>
      </c>
      <c r="B1134" s="31" t="s">
        <v>1730</v>
      </c>
      <c r="C1134" s="32" t="s">
        <v>1240</v>
      </c>
      <c r="D1134" s="71" t="s">
        <v>516</v>
      </c>
      <c r="E1134" s="66" t="str">
        <f t="array" ref="E1134">IF(D1134="", "", XLOOKUP(D1134, 'MASTER ITEM LIST'!A:A, 'MASTER ITEM LIST'!B:B, ""))</f>
        <v>EAGLE SANDPAPER #1500</v>
      </c>
      <c r="F1134" s="31"/>
      <c r="G1134" s="67" t="s">
        <v>1376</v>
      </c>
      <c r="H1134" s="31">
        <v>5.0</v>
      </c>
      <c r="I1134" s="31" t="str">
        <f t="array" ref="I1134">IFERROR(XLOOKUP(D1134,'MASTER ITEM LIST'!A:A,'MASTER ITEM LIST'!D:D), "")</f>
        <v>PC/S</v>
      </c>
      <c r="J1134" s="34">
        <v>35.0</v>
      </c>
      <c r="K1134" s="69">
        <f t="shared" si="1"/>
        <v>175</v>
      </c>
      <c r="L1134" s="70" t="s">
        <v>42</v>
      </c>
    </row>
    <row r="1135" ht="22.5" customHeight="1">
      <c r="A1135" s="29">
        <v>46197.0</v>
      </c>
      <c r="B1135" s="31" t="s">
        <v>1730</v>
      </c>
      <c r="C1135" s="32" t="s">
        <v>1240</v>
      </c>
      <c r="D1135" s="71" t="s">
        <v>198</v>
      </c>
      <c r="E1135" s="66" t="str">
        <f t="array" ref="E1135">IF(D1135="", "", XLOOKUP(D1135, 'MASTER ITEM LIST'!A:A, 'MASTER ITEM LIST'!B:B, ""))</f>
        <v>EAGLE SANDPAPER #2000</v>
      </c>
      <c r="F1135" s="31"/>
      <c r="G1135" s="67" t="s">
        <v>1376</v>
      </c>
      <c r="H1135" s="31">
        <v>5.0</v>
      </c>
      <c r="I1135" s="31" t="str">
        <f t="array" ref="I1135">IFERROR(XLOOKUP(D1135,'MASTER ITEM LIST'!A:A,'MASTER ITEM LIST'!D:D), "")</f>
        <v>PC/S</v>
      </c>
      <c r="J1135" s="34">
        <v>35.0</v>
      </c>
      <c r="K1135" s="69">
        <f t="shared" si="1"/>
        <v>175</v>
      </c>
      <c r="L1135" s="70" t="s">
        <v>42</v>
      </c>
    </row>
    <row r="1136" ht="22.5" customHeight="1">
      <c r="A1136" s="29">
        <v>46197.0</v>
      </c>
      <c r="B1136" s="31" t="s">
        <v>1730</v>
      </c>
      <c r="C1136" s="32" t="s">
        <v>1240</v>
      </c>
      <c r="D1136" s="71" t="s">
        <v>53</v>
      </c>
      <c r="E1136" s="66" t="str">
        <f t="array" ref="E1136">IF(D1136="", "", XLOOKUP(D1136, 'MASTER ITEM LIST'!A:A, 'MASTER ITEM LIST'!B:B, ""))</f>
        <v>NAX 108 CERAMIC 2K CLEAR WITH HARDENER 1L</v>
      </c>
      <c r="F1136" s="31"/>
      <c r="G1136" s="67" t="s">
        <v>1376</v>
      </c>
      <c r="H1136" s="31">
        <v>1.0</v>
      </c>
      <c r="I1136" s="31" t="str">
        <f t="array" ref="I1136">IFERROR(XLOOKUP(D1136,'MASTER ITEM LIST'!A:A,'MASTER ITEM LIST'!D:D), "")</f>
        <v>LITER</v>
      </c>
      <c r="J1136" s="34">
        <v>700.0</v>
      </c>
      <c r="K1136" s="69">
        <f t="shared" si="1"/>
        <v>700</v>
      </c>
      <c r="L1136" s="70" t="s">
        <v>42</v>
      </c>
    </row>
    <row r="1137" ht="22.5" customHeight="1">
      <c r="A1137" s="29">
        <v>46197.0</v>
      </c>
      <c r="B1137" s="31" t="s">
        <v>1731</v>
      </c>
      <c r="C1137" s="32" t="s">
        <v>1240</v>
      </c>
      <c r="D1137" s="71" t="s">
        <v>136</v>
      </c>
      <c r="E1137" s="66" t="str">
        <f t="array" ref="E1137">IF(D1137="", "", XLOOKUP(D1137, 'MASTER ITEM LIST'!A:A, 'MASTER ITEM LIST'!B:B, ""))</f>
        <v>CROCO MASKING TAPE 3/4 18MM (1X64)</v>
      </c>
      <c r="F1137" s="31"/>
      <c r="G1137" s="67" t="s">
        <v>1376</v>
      </c>
      <c r="H1137" s="31">
        <v>15.0</v>
      </c>
      <c r="I1137" s="31" t="str">
        <f t="array" ref="I1137">IFERROR(XLOOKUP(D1137,'MASTER ITEM LIST'!A:A,'MASTER ITEM LIST'!D:D), "")</f>
        <v>PC/S</v>
      </c>
      <c r="J1137" s="34">
        <v>35.0</v>
      </c>
      <c r="K1137" s="69">
        <f t="shared" si="1"/>
        <v>525</v>
      </c>
      <c r="L1137" s="70" t="s">
        <v>42</v>
      </c>
    </row>
    <row r="1138" ht="22.5" customHeight="1">
      <c r="A1138" s="29">
        <v>46197.0</v>
      </c>
      <c r="B1138" s="31" t="s">
        <v>1731</v>
      </c>
      <c r="C1138" s="32" t="s">
        <v>1240</v>
      </c>
      <c r="D1138" s="71" t="s">
        <v>63</v>
      </c>
      <c r="E1138" s="66" t="str">
        <f t="array" ref="E1138">IF(D1138="", "", XLOOKUP(D1138, 'MASTER ITEM LIST'!A:A, 'MASTER ITEM LIST'!B:B, ""))</f>
        <v>OLD NEWS</v>
      </c>
      <c r="F1138" s="31"/>
      <c r="G1138" s="67" t="s">
        <v>1376</v>
      </c>
      <c r="H1138" s="31">
        <v>2.0</v>
      </c>
      <c r="I1138" s="31" t="str">
        <f t="array" ref="I1138">IFERROR(XLOOKUP(D1138,'MASTER ITEM LIST'!A:A,'MASTER ITEM LIST'!D:D), "")</f>
        <v>KG</v>
      </c>
      <c r="J1138" s="34">
        <v>100.0</v>
      </c>
      <c r="K1138" s="69">
        <f t="shared" si="1"/>
        <v>200</v>
      </c>
      <c r="L1138" s="70" t="s">
        <v>42</v>
      </c>
    </row>
    <row r="1139" ht="22.5" customHeight="1">
      <c r="A1139" s="29">
        <v>46197.0</v>
      </c>
      <c r="B1139" s="31" t="s">
        <v>1731</v>
      </c>
      <c r="C1139" s="32" t="s">
        <v>1240</v>
      </c>
      <c r="D1139" s="71" t="s">
        <v>213</v>
      </c>
      <c r="E1139" s="66" t="str">
        <f t="array" ref="E1139">IF(D1139="", "", XLOOKUP(D1139, 'MASTER ITEM LIST'!A:A, 'MASTER ITEM LIST'!B:B, ""))</f>
        <v>NAX PREMILA NP9200 2K CLEAR WITH HARDENER 1L</v>
      </c>
      <c r="F1139" s="31"/>
      <c r="G1139" s="67" t="s">
        <v>1376</v>
      </c>
      <c r="H1139" s="31">
        <v>2.0</v>
      </c>
      <c r="I1139" s="31" t="str">
        <f t="array" ref="I1139">IFERROR(XLOOKUP(D1139,'MASTER ITEM LIST'!A:A,'MASTER ITEM LIST'!D:D), "")</f>
        <v>LITER</v>
      </c>
      <c r="J1139" s="34">
        <v>1350.0</v>
      </c>
      <c r="K1139" s="69">
        <f t="shared" si="1"/>
        <v>2700</v>
      </c>
      <c r="L1139" s="70" t="s">
        <v>42</v>
      </c>
    </row>
    <row r="1140" ht="22.5" customHeight="1">
      <c r="A1140" s="29">
        <v>46197.0</v>
      </c>
      <c r="B1140" s="31" t="s">
        <v>1731</v>
      </c>
      <c r="C1140" s="32" t="s">
        <v>1240</v>
      </c>
      <c r="D1140" s="71" t="s">
        <v>501</v>
      </c>
      <c r="E1140" s="66" t="str">
        <f t="array" ref="E1140">IF(D1140="", "", XLOOKUP(D1140, 'MASTER ITEM LIST'!A:A, 'MASTER ITEM LIST'!B:B, ""))</f>
        <v>NAX NAT-990 TTC BLACK 1L</v>
      </c>
      <c r="F1140" s="31"/>
      <c r="G1140" s="67" t="s">
        <v>1376</v>
      </c>
      <c r="H1140" s="31">
        <v>1.0</v>
      </c>
      <c r="I1140" s="31" t="str">
        <f t="array" ref="I1140">IFERROR(XLOOKUP(D1140,'MASTER ITEM LIST'!A:A,'MASTER ITEM LIST'!D:D), "")</f>
        <v>LITER</v>
      </c>
      <c r="J1140" s="34">
        <v>1000.0</v>
      </c>
      <c r="K1140" s="69">
        <f t="shared" si="1"/>
        <v>1000</v>
      </c>
      <c r="L1140" s="70" t="s">
        <v>42</v>
      </c>
    </row>
    <row r="1141" ht="22.5" customHeight="1">
      <c r="A1141" s="29">
        <v>46197.0</v>
      </c>
      <c r="B1141" s="31" t="s">
        <v>1731</v>
      </c>
      <c r="C1141" s="32" t="s">
        <v>1240</v>
      </c>
      <c r="D1141" s="71" t="s">
        <v>334</v>
      </c>
      <c r="E1141" s="66" t="str">
        <f t="array" ref="E1141">IF(D1141="", "", XLOOKUP(D1141, 'MASTER ITEM LIST'!A:A, 'MASTER ITEM LIST'!B:B, ""))</f>
        <v>PLATONE QDE BLACK 4L</v>
      </c>
      <c r="F1141" s="31"/>
      <c r="G1141" s="67" t="s">
        <v>1376</v>
      </c>
      <c r="H1141" s="31">
        <v>0.25</v>
      </c>
      <c r="I1141" s="31" t="str">
        <f t="array" ref="I1141">IFERROR(XLOOKUP(D1141,'MASTER ITEM LIST'!A:A,'MASTER ITEM LIST'!D:D), "")</f>
        <v>GAL</v>
      </c>
      <c r="J1141" s="34">
        <v>920.0</v>
      </c>
      <c r="K1141" s="69">
        <f t="shared" si="1"/>
        <v>230</v>
      </c>
      <c r="L1141" s="70" t="s">
        <v>42</v>
      </c>
    </row>
    <row r="1142" ht="22.5" customHeight="1">
      <c r="A1142" s="29">
        <v>46197.0</v>
      </c>
      <c r="B1142" s="31" t="s">
        <v>1731</v>
      </c>
      <c r="C1142" s="32" t="s">
        <v>1240</v>
      </c>
      <c r="D1142" s="71" t="s">
        <v>53</v>
      </c>
      <c r="E1142" s="66" t="str">
        <f t="array" ref="E1142">IF(D1142="", "", XLOOKUP(D1142, 'MASTER ITEM LIST'!A:A, 'MASTER ITEM LIST'!B:B, ""))</f>
        <v>NAX 108 CERAMIC 2K CLEAR WITH HARDENER 1L</v>
      </c>
      <c r="F1142" s="31"/>
      <c r="G1142" s="67" t="s">
        <v>1376</v>
      </c>
      <c r="H1142" s="31">
        <v>1.0</v>
      </c>
      <c r="I1142" s="31" t="str">
        <f t="array" ref="I1142">IFERROR(XLOOKUP(D1142,'MASTER ITEM LIST'!A:A,'MASTER ITEM LIST'!D:D), "")</f>
        <v>LITER</v>
      </c>
      <c r="J1142" s="34">
        <v>600.0</v>
      </c>
      <c r="K1142" s="69">
        <f t="shared" si="1"/>
        <v>600</v>
      </c>
      <c r="L1142" s="70" t="s">
        <v>42</v>
      </c>
    </row>
    <row r="1143" ht="22.5" customHeight="1">
      <c r="A1143" s="29">
        <v>46197.0</v>
      </c>
      <c r="B1143" s="31"/>
      <c r="C1143" s="32" t="s">
        <v>711</v>
      </c>
      <c r="D1143" s="71" t="s">
        <v>64</v>
      </c>
      <c r="E1143" s="66" t="str">
        <f t="array" ref="E1143">IF(D1143="", "", XLOOKUP(D1143, 'MASTER ITEM LIST'!A:A, 'MASTER ITEM LIST'!B:B, ""))</f>
        <v>POLYGLOSS PU FLAT BLACK 4L</v>
      </c>
      <c r="F1143" s="31"/>
      <c r="G1143" s="195" t="s">
        <v>34</v>
      </c>
      <c r="H1143" s="31">
        <v>0.1875</v>
      </c>
      <c r="I1143" s="31" t="str">
        <f t="array" ref="I1143">IFERROR(XLOOKUP(D1143,'MASTER ITEM LIST'!A:A,'MASTER ITEM LIST'!D:D), "")</f>
        <v>GALON</v>
      </c>
      <c r="J1143" s="34">
        <f t="shared" ref="J1143:J2000" si="2">IF(OR(H1143="", K1143=""), "", K1143 / H1143)</f>
        <v>2933.333333</v>
      </c>
      <c r="K1143" s="196">
        <v>550.0</v>
      </c>
      <c r="L1143" s="70" t="s">
        <v>42</v>
      </c>
    </row>
    <row r="1144" ht="22.5" customHeight="1">
      <c r="A1144" s="29">
        <v>46197.0</v>
      </c>
      <c r="B1144" s="31"/>
      <c r="C1144" s="32" t="s">
        <v>711</v>
      </c>
      <c r="D1144" s="71" t="s">
        <v>134</v>
      </c>
      <c r="E1144" s="66" t="str">
        <f t="array" ref="E1144">IF(D1144="", "", XLOOKUP(D1144, 'MASTER ITEM LIST'!A:A, 'MASTER ITEM LIST'!B:B, ""))</f>
        <v>QDE MIXING NP, DAVIES, BOYSEN, ALPHA CHROMA, WC 1L</v>
      </c>
      <c r="F1144" s="31" t="s">
        <v>1732</v>
      </c>
      <c r="G1144" s="195" t="s">
        <v>34</v>
      </c>
      <c r="H1144" s="31">
        <v>2.0</v>
      </c>
      <c r="I1144" s="31" t="str">
        <f t="array" ref="I1144">IFERROR(XLOOKUP(D1144,'MASTER ITEM LIST'!A:A,'MASTER ITEM LIST'!D:D), "")</f>
        <v>LITER</v>
      </c>
      <c r="J1144" s="34">
        <f t="shared" si="2"/>
        <v>240</v>
      </c>
      <c r="K1144" s="196">
        <v>480.0</v>
      </c>
      <c r="L1144" s="70" t="s">
        <v>42</v>
      </c>
    </row>
    <row r="1145" ht="22.5" customHeight="1">
      <c r="A1145" s="29">
        <v>46197.0</v>
      </c>
      <c r="B1145" s="31"/>
      <c r="C1145" s="32" t="s">
        <v>711</v>
      </c>
      <c r="D1145" s="23" t="s">
        <v>31</v>
      </c>
      <c r="E1145" s="66" t="str">
        <f t="array" ref="E1145">IF(D1145="", "", XLOOKUP(D1145, 'MASTER ITEM LIST'!A:A, 'MASTER ITEM LIST'!B:B, ""))</f>
        <v>EXTREME QDU MIXING 1L</v>
      </c>
      <c r="F1145" s="31"/>
      <c r="G1145" s="195" t="s">
        <v>34</v>
      </c>
      <c r="H1145" s="31">
        <v>1.0</v>
      </c>
      <c r="I1145" s="31" t="str">
        <f t="array" ref="I1145">IFERROR(XLOOKUP(D1145,'MASTER ITEM LIST'!A:A,'MASTER ITEM LIST'!D:D), "")</f>
        <v>LITER</v>
      </c>
      <c r="J1145" s="34">
        <f t="shared" si="2"/>
        <v>600</v>
      </c>
      <c r="K1145" s="196">
        <v>600.0</v>
      </c>
      <c r="L1145" s="70" t="s">
        <v>42</v>
      </c>
    </row>
    <row r="1146" ht="22.5" customHeight="1">
      <c r="A1146" s="29">
        <v>46197.0</v>
      </c>
      <c r="B1146" s="31"/>
      <c r="C1146" s="32" t="s">
        <v>711</v>
      </c>
      <c r="D1146" s="71" t="s">
        <v>136</v>
      </c>
      <c r="E1146" s="66" t="str">
        <f t="array" ref="E1146">IF(D1146="", "", XLOOKUP(D1146, 'MASTER ITEM LIST'!A:A, 'MASTER ITEM LIST'!B:B, ""))</f>
        <v>CROCO MASKING TAPE 3/4 18MM (1X64)</v>
      </c>
      <c r="F1146" s="31"/>
      <c r="G1146" s="195" t="s">
        <v>34</v>
      </c>
      <c r="H1146" s="31">
        <v>3.0</v>
      </c>
      <c r="I1146" s="31" t="str">
        <f t="array" ref="I1146">IFERROR(XLOOKUP(D1146,'MASTER ITEM LIST'!A:A,'MASTER ITEM LIST'!D:D), "")</f>
        <v>PC/S</v>
      </c>
      <c r="J1146" s="34">
        <f t="shared" si="2"/>
        <v>35</v>
      </c>
      <c r="K1146" s="196">
        <v>105.0</v>
      </c>
      <c r="L1146" s="70" t="s">
        <v>42</v>
      </c>
    </row>
    <row r="1147" ht="22.5" customHeight="1">
      <c r="A1147" s="29">
        <v>46197.0</v>
      </c>
      <c r="B1147" s="31"/>
      <c r="C1147" s="32" t="s">
        <v>711</v>
      </c>
      <c r="D1147" s="71" t="s">
        <v>397</v>
      </c>
      <c r="E1147" s="66" t="str">
        <f t="array" ref="E1147">IF(D1147="", "", XLOOKUP(D1147, 'MASTER ITEM LIST'!A:A, 'MASTER ITEM LIST'!B:B, ""))</f>
        <v>NIPPON HS FILLER 1L</v>
      </c>
      <c r="F1147" s="31"/>
      <c r="G1147" s="195" t="s">
        <v>34</v>
      </c>
      <c r="H1147" s="31">
        <v>0.5</v>
      </c>
      <c r="I1147" s="31" t="str">
        <f t="array" ref="I1147">IFERROR(XLOOKUP(D1147,'MASTER ITEM LIST'!A:A,'MASTER ITEM LIST'!D:D), "")</f>
        <v>LITER</v>
      </c>
      <c r="J1147" s="34">
        <f t="shared" si="2"/>
        <v>860</v>
      </c>
      <c r="K1147" s="196">
        <v>430.0</v>
      </c>
      <c r="L1147" s="70" t="s">
        <v>42</v>
      </c>
    </row>
    <row r="1148" ht="22.5" customHeight="1">
      <c r="A1148" s="29">
        <v>46197.0</v>
      </c>
      <c r="B1148" s="31"/>
      <c r="C1148" s="32" t="s">
        <v>711</v>
      </c>
      <c r="D1148" s="71" t="s">
        <v>167</v>
      </c>
      <c r="E1148" s="66" t="str">
        <f t="array" ref="E1148">IF(D1148="", "", XLOOKUP(D1148, 'MASTER ITEM LIST'!A:A, 'MASTER ITEM LIST'!B:B, ""))</f>
        <v>NAX QDU MIX 1L</v>
      </c>
      <c r="F1148" s="31"/>
      <c r="G1148" s="195" t="s">
        <v>34</v>
      </c>
      <c r="H1148" s="31">
        <v>0.25</v>
      </c>
      <c r="I1148" s="31" t="str">
        <f t="array" ref="I1148">IFERROR(XLOOKUP(D1148,'MASTER ITEM LIST'!A:A,'MASTER ITEM LIST'!D:D), "")</f>
        <v>LITER</v>
      </c>
      <c r="J1148" s="34">
        <f t="shared" si="2"/>
        <v>1600</v>
      </c>
      <c r="K1148" s="196">
        <v>400.0</v>
      </c>
      <c r="L1148" s="70" t="s">
        <v>42</v>
      </c>
    </row>
    <row r="1149" ht="22.5" customHeight="1">
      <c r="A1149" s="29">
        <v>46197.0</v>
      </c>
      <c r="B1149" s="31"/>
      <c r="C1149" s="32" t="s">
        <v>711</v>
      </c>
      <c r="D1149" s="71" t="s">
        <v>415</v>
      </c>
      <c r="E1149" s="66" t="str">
        <f t="array" ref="E1149">IF(D1149="", "", XLOOKUP(D1149, 'MASTER ITEM LIST'!A:A, 'MASTER ITEM LIST'!B:B, ""))</f>
        <v>NAX PREMILA NP9700 HS 2K CLEAR WITH HARDENER 1L</v>
      </c>
      <c r="F1149" s="31"/>
      <c r="G1149" s="195" t="s">
        <v>34</v>
      </c>
      <c r="H1149" s="31">
        <v>0.5</v>
      </c>
      <c r="I1149" s="31" t="str">
        <f t="array" ref="I1149">IFERROR(XLOOKUP(D1149,'MASTER ITEM LIST'!A:A,'MASTER ITEM LIST'!D:D), "")</f>
        <v>LITER</v>
      </c>
      <c r="J1149" s="34">
        <f t="shared" si="2"/>
        <v>1600</v>
      </c>
      <c r="K1149" s="196">
        <v>800.0</v>
      </c>
      <c r="L1149" s="70" t="s">
        <v>42</v>
      </c>
    </row>
    <row r="1150" ht="22.5" customHeight="1">
      <c r="A1150" s="197">
        <v>46198.0</v>
      </c>
      <c r="B1150" s="31" t="s">
        <v>1733</v>
      </c>
      <c r="C1150" s="32" t="s">
        <v>93</v>
      </c>
      <c r="D1150" s="71" t="s">
        <v>568</v>
      </c>
      <c r="E1150" s="66" t="str">
        <f t="array" ref="E1150">IF(D1150="", "", XLOOKUP(D1150, 'MASTER ITEM LIST'!A:A, 'MASTER ITEM LIST'!B:B, ""))</f>
        <v>NIPPON EXTREME QDU SILVER 4L</v>
      </c>
      <c r="F1150" s="31"/>
      <c r="G1150" s="195" t="s">
        <v>34</v>
      </c>
      <c r="H1150" s="31">
        <v>0.0625</v>
      </c>
      <c r="I1150" s="31" t="str">
        <f t="array" ref="I1150">IFERROR(XLOOKUP(D1150,'MASTER ITEM LIST'!A:A,'MASTER ITEM LIST'!D:D), "")</f>
        <v>GAL</v>
      </c>
      <c r="J1150" s="34">
        <f t="shared" si="2"/>
        <v>3680</v>
      </c>
      <c r="K1150" s="196">
        <v>230.0</v>
      </c>
      <c r="L1150" s="70" t="s">
        <v>42</v>
      </c>
    </row>
    <row r="1151" ht="22.5" customHeight="1">
      <c r="A1151" s="197">
        <v>46198.0</v>
      </c>
      <c r="B1151" s="31" t="s">
        <v>1734</v>
      </c>
      <c r="C1151" s="32" t="s">
        <v>1527</v>
      </c>
      <c r="D1151" s="71" t="s">
        <v>604</v>
      </c>
      <c r="E1151" s="66" t="str">
        <f t="array" ref="E1151">IF(D1151="", "", XLOOKUP(D1151, 'MASTER ITEM LIST'!A:A, 'MASTER ITEM LIST'!B:B, ""))</f>
        <v>METALGUARD EPOXY PRIMER WHITE WITH HARDENER 4L</v>
      </c>
      <c r="F1151" s="31"/>
      <c r="G1151" s="195" t="s">
        <v>34</v>
      </c>
      <c r="H1151" s="31">
        <v>1.0</v>
      </c>
      <c r="I1151" s="31" t="str">
        <f t="array" ref="I1151">IFERROR(XLOOKUP(D1151,'MASTER ITEM LIST'!A:A,'MASTER ITEM LIST'!D:D), "")</f>
        <v>GAL</v>
      </c>
      <c r="J1151" s="34">
        <f t="shared" si="2"/>
        <v>1100</v>
      </c>
      <c r="K1151" s="196">
        <v>1100.0</v>
      </c>
      <c r="L1151" s="70" t="s">
        <v>42</v>
      </c>
    </row>
    <row r="1152" ht="22.5" customHeight="1">
      <c r="A1152" s="197">
        <v>46198.0</v>
      </c>
      <c r="B1152" s="31" t="s">
        <v>1734</v>
      </c>
      <c r="C1152" s="32" t="s">
        <v>1527</v>
      </c>
      <c r="D1152" s="71" t="s">
        <v>776</v>
      </c>
      <c r="E1152" s="66" t="str">
        <f t="array" ref="E1152">IF(D1152="", "", XLOOKUP(D1152, 'MASTER ITEM LIST'!A:A, 'MASTER ITEM LIST'!B:B, ""))</f>
        <v>METALGUARD EPOXY PRIMER BLACK WITH HARDENER 4L</v>
      </c>
      <c r="F1152" s="31"/>
      <c r="G1152" s="195" t="s">
        <v>34</v>
      </c>
      <c r="H1152" s="31">
        <v>1.0</v>
      </c>
      <c r="I1152" s="31" t="str">
        <f t="array" ref="I1152">IFERROR(XLOOKUP(D1152,'MASTER ITEM LIST'!A:A,'MASTER ITEM LIST'!D:D), "")</f>
        <v>GAL</v>
      </c>
      <c r="J1152" s="34">
        <f t="shared" si="2"/>
        <v>1100</v>
      </c>
      <c r="K1152" s="196">
        <v>1100.0</v>
      </c>
      <c r="L1152" s="70" t="s">
        <v>42</v>
      </c>
    </row>
    <row r="1153" ht="22.5" customHeight="1">
      <c r="A1153" s="197">
        <v>46198.0</v>
      </c>
      <c r="B1153" s="31" t="s">
        <v>1734</v>
      </c>
      <c r="C1153" s="32" t="s">
        <v>1527</v>
      </c>
      <c r="D1153" s="71" t="s">
        <v>563</v>
      </c>
      <c r="E1153" s="66" t="str">
        <f t="array" ref="E1153">IF(D1153="", "", XLOOKUP(D1153, 'MASTER ITEM LIST'!A:A, 'MASTER ITEM LIST'!B:B, ""))</f>
        <v>NIPPON EXTREME QDU WHITE 4L</v>
      </c>
      <c r="F1153" s="31"/>
      <c r="G1153" s="195" t="s">
        <v>34</v>
      </c>
      <c r="H1153" s="31">
        <v>1.0</v>
      </c>
      <c r="I1153" s="31" t="str">
        <f t="array" ref="I1153">IFERROR(XLOOKUP(D1153,'MASTER ITEM LIST'!A:A,'MASTER ITEM LIST'!D:D), "")</f>
        <v>GAL</v>
      </c>
      <c r="J1153" s="34">
        <f t="shared" si="2"/>
        <v>2400</v>
      </c>
      <c r="K1153" s="196">
        <v>2400.0</v>
      </c>
      <c r="L1153" s="70" t="s">
        <v>42</v>
      </c>
    </row>
    <row r="1154" ht="22.5" customHeight="1">
      <c r="A1154" s="197">
        <v>46198.0</v>
      </c>
      <c r="B1154" s="31" t="s">
        <v>1734</v>
      </c>
      <c r="C1154" s="32" t="s">
        <v>1527</v>
      </c>
      <c r="D1154" s="71" t="s">
        <v>31</v>
      </c>
      <c r="E1154" s="66" t="str">
        <f t="array" ref="E1154">IF(D1154="", "", XLOOKUP(D1154, 'MASTER ITEM LIST'!A:A, 'MASTER ITEM LIST'!B:B, ""))</f>
        <v>EXTREME QDU MIXING 1L</v>
      </c>
      <c r="F1154" s="31" t="s">
        <v>1735</v>
      </c>
      <c r="G1154" s="195" t="s">
        <v>34</v>
      </c>
      <c r="H1154" s="31">
        <v>2.0</v>
      </c>
      <c r="I1154" s="31" t="str">
        <f t="array" ref="I1154">IFERROR(XLOOKUP(D1154,'MASTER ITEM LIST'!A:A,'MASTER ITEM LIST'!D:D), "")</f>
        <v>LITER</v>
      </c>
      <c r="J1154" s="34">
        <f t="shared" si="2"/>
        <v>700</v>
      </c>
      <c r="K1154" s="196">
        <v>1400.0</v>
      </c>
      <c r="L1154" s="70" t="s">
        <v>42</v>
      </c>
    </row>
    <row r="1155" ht="22.5" customHeight="1">
      <c r="A1155" s="197">
        <v>46198.0</v>
      </c>
      <c r="B1155" s="31" t="s">
        <v>1734</v>
      </c>
      <c r="C1155" s="32" t="s">
        <v>1527</v>
      </c>
      <c r="D1155" s="71" t="s">
        <v>90</v>
      </c>
      <c r="E1155" s="66" t="str">
        <f t="array" ref="E1155">IF(D1155="", "", XLOOKUP(D1155, 'MASTER ITEM LIST'!A:A, 'MASTER ITEM LIST'!B:B, ""))</f>
        <v>NAX SOB757 HIGH GRADE URETHANE THINNER 4L</v>
      </c>
      <c r="F1155" s="31"/>
      <c r="G1155" s="195" t="s">
        <v>34</v>
      </c>
      <c r="H1155" s="31">
        <v>2.0</v>
      </c>
      <c r="I1155" s="31" t="str">
        <f t="array" ref="I1155">IFERROR(XLOOKUP(D1155,'MASTER ITEM LIST'!A:A,'MASTER ITEM LIST'!D:D), "")</f>
        <v>GAL</v>
      </c>
      <c r="J1155" s="34">
        <f t="shared" si="2"/>
        <v>800</v>
      </c>
      <c r="K1155" s="196">
        <v>1600.0</v>
      </c>
      <c r="L1155" s="70" t="s">
        <v>42</v>
      </c>
    </row>
    <row r="1156" ht="22.5" customHeight="1">
      <c r="A1156" s="197">
        <v>46198.0</v>
      </c>
      <c r="B1156" s="31" t="s">
        <v>1734</v>
      </c>
      <c r="C1156" s="32" t="s">
        <v>1527</v>
      </c>
      <c r="D1156" s="71" t="s">
        <v>72</v>
      </c>
      <c r="E1156" s="66" t="str">
        <f t="array" ref="E1156">IF(D1156="", "", XLOOKUP(D1156, 'MASTER ITEM LIST'!A:A, 'MASTER ITEM LIST'!B:B, ""))</f>
        <v>NIPPON EXTREME QDU BLACK 4L</v>
      </c>
      <c r="F1156" s="31"/>
      <c r="G1156" s="195" t="s">
        <v>34</v>
      </c>
      <c r="H1156" s="31">
        <v>0.5</v>
      </c>
      <c r="I1156" s="31" t="str">
        <f t="array" ref="I1156">IFERROR(XLOOKUP(D1156,'MASTER ITEM LIST'!A:A,'MASTER ITEM LIST'!D:D), "")</f>
        <v>GAL</v>
      </c>
      <c r="J1156" s="34">
        <f t="shared" si="2"/>
        <v>2400</v>
      </c>
      <c r="K1156" s="196">
        <v>1200.0</v>
      </c>
      <c r="L1156" s="70" t="s">
        <v>42</v>
      </c>
    </row>
    <row r="1157" ht="22.5" customHeight="1">
      <c r="A1157" s="197">
        <v>46198.0</v>
      </c>
      <c r="B1157" s="31" t="s">
        <v>1734</v>
      </c>
      <c r="C1157" s="32" t="s">
        <v>1527</v>
      </c>
      <c r="D1157" s="71" t="s">
        <v>53</v>
      </c>
      <c r="E1157" s="66" t="str">
        <f t="array" ref="E1157">IF(D1157="", "", XLOOKUP(D1157, 'MASTER ITEM LIST'!A:A, 'MASTER ITEM LIST'!B:B, ""))</f>
        <v>NAX 108 CERAMIC 2K CLEAR WITH HARDENER 1L</v>
      </c>
      <c r="F1157" s="31"/>
      <c r="G1157" s="195" t="s">
        <v>34</v>
      </c>
      <c r="H1157" s="31">
        <v>0.5</v>
      </c>
      <c r="I1157" s="31" t="str">
        <f t="array" ref="I1157">IFERROR(XLOOKUP(D1157,'MASTER ITEM LIST'!A:A,'MASTER ITEM LIST'!D:D), "")</f>
        <v>LITER</v>
      </c>
      <c r="J1157" s="34">
        <f t="shared" si="2"/>
        <v>2720</v>
      </c>
      <c r="K1157" s="196">
        <v>1360.0</v>
      </c>
      <c r="L1157" s="70" t="s">
        <v>42</v>
      </c>
    </row>
    <row r="1158" ht="22.5" customHeight="1">
      <c r="A1158" s="197">
        <v>46198.0</v>
      </c>
      <c r="B1158" s="31" t="s">
        <v>1736</v>
      </c>
      <c r="C1158" s="32" t="s">
        <v>93</v>
      </c>
      <c r="D1158" s="71" t="s">
        <v>53</v>
      </c>
      <c r="E1158" s="66" t="str">
        <f t="array" ref="E1158">IF(D1158="", "", XLOOKUP(D1158, 'MASTER ITEM LIST'!A:A, 'MASTER ITEM LIST'!B:B, ""))</f>
        <v>NAX 108 CERAMIC 2K CLEAR WITH HARDENER 1L</v>
      </c>
      <c r="F1158" s="31"/>
      <c r="G1158" s="195" t="s">
        <v>1376</v>
      </c>
      <c r="H1158" s="31">
        <v>1.0</v>
      </c>
      <c r="I1158" s="31" t="str">
        <f t="array" ref="I1158">IFERROR(XLOOKUP(D1158,'MASTER ITEM LIST'!A:A,'MASTER ITEM LIST'!D:D), "")</f>
        <v>LITER</v>
      </c>
      <c r="J1158" s="34">
        <f t="shared" si="2"/>
        <v>680</v>
      </c>
      <c r="K1158" s="196">
        <v>680.0</v>
      </c>
      <c r="L1158" s="70" t="s">
        <v>42</v>
      </c>
    </row>
    <row r="1159" ht="22.5" customHeight="1">
      <c r="A1159" s="197">
        <v>46198.0</v>
      </c>
      <c r="B1159" s="31" t="s">
        <v>1736</v>
      </c>
      <c r="C1159" s="32" t="s">
        <v>93</v>
      </c>
      <c r="D1159" s="71" t="s">
        <v>548</v>
      </c>
      <c r="E1159" s="66" t="str">
        <f t="array" ref="E1159">IF(D1159="", "", XLOOKUP(D1159, 'MASTER ITEM LIST'!A:A, 'MASTER ITEM LIST'!B:B, ""))</f>
        <v>EAGLE SANDPAPER #240</v>
      </c>
      <c r="F1159" s="31"/>
      <c r="G1159" s="195" t="s">
        <v>1376</v>
      </c>
      <c r="H1159" s="31">
        <v>5.0</v>
      </c>
      <c r="I1159" s="31" t="str">
        <f t="array" ref="I1159">IFERROR(XLOOKUP(D1159,'MASTER ITEM LIST'!A:A,'MASTER ITEM LIST'!D:D), "")</f>
        <v>PC/S</v>
      </c>
      <c r="J1159" s="34">
        <f t="shared" si="2"/>
        <v>25</v>
      </c>
      <c r="K1159" s="196">
        <v>125.0</v>
      </c>
      <c r="L1159" s="70" t="s">
        <v>42</v>
      </c>
    </row>
    <row r="1160" ht="22.5" customHeight="1">
      <c r="A1160" s="197">
        <v>46198.0</v>
      </c>
      <c r="B1160" s="31" t="s">
        <v>1736</v>
      </c>
      <c r="C1160" s="32" t="s">
        <v>93</v>
      </c>
      <c r="D1160" s="71" t="s">
        <v>432</v>
      </c>
      <c r="E1160" s="66" t="str">
        <f t="array" ref="E1160">IF(D1160="", "", XLOOKUP(D1160, 'MASTER ITEM LIST'!A:A, 'MASTER ITEM LIST'!B:B, ""))</f>
        <v>EAGLE SANDPAPER #600</v>
      </c>
      <c r="F1160" s="31"/>
      <c r="G1160" s="195" t="s">
        <v>1376</v>
      </c>
      <c r="H1160" s="31">
        <v>5.0</v>
      </c>
      <c r="I1160" s="31" t="str">
        <f t="array" ref="I1160">IFERROR(XLOOKUP(D1160,'MASTER ITEM LIST'!A:A,'MASTER ITEM LIST'!D:D), "")</f>
        <v>PCS</v>
      </c>
      <c r="J1160" s="34">
        <f t="shared" si="2"/>
        <v>25</v>
      </c>
      <c r="K1160" s="196">
        <v>125.0</v>
      </c>
      <c r="L1160" s="70" t="s">
        <v>42</v>
      </c>
    </row>
    <row r="1161" ht="22.5" customHeight="1">
      <c r="A1161" s="197">
        <v>46198.0</v>
      </c>
      <c r="B1161" s="31" t="s">
        <v>1736</v>
      </c>
      <c r="C1161" s="32" t="s">
        <v>93</v>
      </c>
      <c r="D1161" s="71" t="s">
        <v>220</v>
      </c>
      <c r="E1161" s="66" t="str">
        <f t="array" ref="E1161">IF(D1161="", "", XLOOKUP(D1161, 'MASTER ITEM LIST'!A:A, 'MASTER ITEM LIST'!B:B, ""))</f>
        <v>PREMILA MIXING 1L</v>
      </c>
      <c r="F1161" s="31" t="s">
        <v>1737</v>
      </c>
      <c r="G1161" s="195" t="s">
        <v>1376</v>
      </c>
      <c r="H1161" s="31">
        <v>0.125</v>
      </c>
      <c r="I1161" s="31" t="str">
        <f t="array" ref="I1161">IFERROR(XLOOKUP(D1161,'MASTER ITEM LIST'!A:A,'MASTER ITEM LIST'!D:D), "")</f>
        <v>LITER</v>
      </c>
      <c r="J1161" s="34">
        <f t="shared" si="2"/>
        <v>2000</v>
      </c>
      <c r="K1161" s="196">
        <v>250.0</v>
      </c>
      <c r="L1161" s="70" t="s">
        <v>42</v>
      </c>
    </row>
    <row r="1162" ht="22.5" customHeight="1">
      <c r="A1162" s="197">
        <v>46198.0</v>
      </c>
      <c r="B1162" s="31" t="s">
        <v>1736</v>
      </c>
      <c r="C1162" s="32" t="s">
        <v>93</v>
      </c>
      <c r="D1162" s="71" t="s">
        <v>220</v>
      </c>
      <c r="E1162" s="66" t="str">
        <f t="array" ref="E1162">IF(D1162="", "", XLOOKUP(D1162, 'MASTER ITEM LIST'!A:A, 'MASTER ITEM LIST'!B:B, ""))</f>
        <v>PREMILA MIXING 1L</v>
      </c>
      <c r="F1162" s="31" t="s">
        <v>1375</v>
      </c>
      <c r="G1162" s="195" t="s">
        <v>1376</v>
      </c>
      <c r="H1162" s="31">
        <v>0.5</v>
      </c>
      <c r="I1162" s="31" t="str">
        <f t="array" ref="I1162">IFERROR(XLOOKUP(D1162,'MASTER ITEM LIST'!A:A,'MASTER ITEM LIST'!D:D), "")</f>
        <v>LITER</v>
      </c>
      <c r="J1162" s="34">
        <f t="shared" si="2"/>
        <v>2600</v>
      </c>
      <c r="K1162" s="196">
        <v>1300.0</v>
      </c>
      <c r="L1162" s="70" t="s">
        <v>42</v>
      </c>
    </row>
    <row r="1163" ht="22.5" customHeight="1">
      <c r="A1163" s="197">
        <v>46198.0</v>
      </c>
      <c r="B1163" s="31" t="s">
        <v>1738</v>
      </c>
      <c r="C1163" s="32" t="s">
        <v>1527</v>
      </c>
      <c r="D1163" s="71" t="s">
        <v>63</v>
      </c>
      <c r="E1163" s="66" t="str">
        <f t="array" ref="E1163">IF(D1163="", "", XLOOKUP(D1163, 'MASTER ITEM LIST'!A:A, 'MASTER ITEM LIST'!B:B, ""))</f>
        <v>OLD NEWS</v>
      </c>
      <c r="F1163" s="31"/>
      <c r="G1163" s="195" t="s">
        <v>34</v>
      </c>
      <c r="H1163" s="31">
        <v>5.0</v>
      </c>
      <c r="I1163" s="31" t="str">
        <f t="array" ref="I1163">IFERROR(XLOOKUP(D1163,'MASTER ITEM LIST'!A:A,'MASTER ITEM LIST'!D:D), "")</f>
        <v>KG</v>
      </c>
      <c r="J1163" s="34">
        <f t="shared" si="2"/>
        <v>90</v>
      </c>
      <c r="K1163" s="196">
        <v>450.0</v>
      </c>
      <c r="L1163" s="70" t="s">
        <v>42</v>
      </c>
    </row>
    <row r="1164" ht="22.5" customHeight="1">
      <c r="A1164" s="29">
        <v>46198.0</v>
      </c>
      <c r="B1164" s="31"/>
      <c r="C1164" s="32" t="s">
        <v>711</v>
      </c>
      <c r="D1164" s="71" t="s">
        <v>167</v>
      </c>
      <c r="E1164" s="66" t="str">
        <f t="array" ref="E1164">IF(D1164="", "", XLOOKUP(D1164, 'MASTER ITEM LIST'!A:A, 'MASTER ITEM LIST'!B:B, ""))</f>
        <v>NAX QDU MIX 1L</v>
      </c>
      <c r="F1164" s="31"/>
      <c r="G1164" s="195" t="s">
        <v>34</v>
      </c>
      <c r="H1164" s="31">
        <v>0.5</v>
      </c>
      <c r="I1164" s="31" t="str">
        <f t="array" ref="I1164">IFERROR(XLOOKUP(D1164,'MASTER ITEM LIST'!A:A,'MASTER ITEM LIST'!D:D), "")</f>
        <v>LITER</v>
      </c>
      <c r="J1164" s="34">
        <f t="shared" si="2"/>
        <v>1500</v>
      </c>
      <c r="K1164" s="196">
        <v>750.0</v>
      </c>
      <c r="L1164" s="70" t="s">
        <v>42</v>
      </c>
    </row>
    <row r="1165" ht="22.5" customHeight="1">
      <c r="A1165" s="29">
        <v>46198.0</v>
      </c>
      <c r="B1165" s="31"/>
      <c r="C1165" s="32" t="s">
        <v>711</v>
      </c>
      <c r="D1165" s="71" t="s">
        <v>220</v>
      </c>
      <c r="E1165" s="66" t="str">
        <f t="array" ref="E1165">IF(D1165="", "", XLOOKUP(D1165, 'MASTER ITEM LIST'!A:A, 'MASTER ITEM LIST'!B:B, ""))</f>
        <v>PREMILA MIXING 1L</v>
      </c>
      <c r="F1165" s="31" t="s">
        <v>1739</v>
      </c>
      <c r="G1165" s="195" t="s">
        <v>1376</v>
      </c>
      <c r="H1165" s="31">
        <v>0.125</v>
      </c>
      <c r="I1165" s="31" t="str">
        <f t="array" ref="I1165">IFERROR(XLOOKUP(D1165,'MASTER ITEM LIST'!A:A,'MASTER ITEM LIST'!D:D), "")</f>
        <v>LITER</v>
      </c>
      <c r="J1165" s="34">
        <f t="shared" si="2"/>
        <v>2000</v>
      </c>
      <c r="K1165" s="196">
        <v>250.0</v>
      </c>
      <c r="L1165" s="70" t="s">
        <v>42</v>
      </c>
    </row>
    <row r="1166" ht="22.5" customHeight="1">
      <c r="A1166" s="29">
        <v>46198.0</v>
      </c>
      <c r="B1166" s="31"/>
      <c r="C1166" s="32" t="s">
        <v>711</v>
      </c>
      <c r="D1166" s="71" t="s">
        <v>717</v>
      </c>
      <c r="E1166" s="66" t="str">
        <f t="array" ref="E1166">IF(D1166="", "", XLOOKUP(D1166, 'MASTER ITEM LIST'!A:A, 'MASTER ITEM LIST'!B:B, ""))</f>
        <v>CROCO MASKING TAPE #1</v>
      </c>
      <c r="F1166" s="31"/>
      <c r="G1166" s="195" t="s">
        <v>1376</v>
      </c>
      <c r="H1166" s="31">
        <v>1.0</v>
      </c>
      <c r="I1166" s="31" t="str">
        <f t="array" ref="I1166">IFERROR(XLOOKUP(D1166,'MASTER ITEM LIST'!A:A,'MASTER ITEM LIST'!D:D), "")</f>
        <v>PCS</v>
      </c>
      <c r="J1166" s="34">
        <f t="shared" si="2"/>
        <v>40</v>
      </c>
      <c r="K1166" s="196">
        <v>40.0</v>
      </c>
      <c r="L1166" s="70" t="s">
        <v>42</v>
      </c>
    </row>
    <row r="1167" ht="22.5" customHeight="1">
      <c r="A1167" s="29">
        <v>46199.0</v>
      </c>
      <c r="B1167" s="31" t="s">
        <v>1740</v>
      </c>
      <c r="C1167" s="32" t="s">
        <v>1529</v>
      </c>
      <c r="D1167" s="71" t="s">
        <v>160</v>
      </c>
      <c r="E1167" s="66" t="str">
        <f t="array" ref="E1167">IF(D1167="", "", XLOOKUP(D1167, 'MASTER ITEM LIST'!A:A, 'MASTER ITEM LIST'!B:B, ""))</f>
        <v>NAX 141 NAX MAXIMA URETHANE FD CLEAR WITH HARDENER 1L</v>
      </c>
      <c r="F1167" s="31"/>
      <c r="G1167" s="195" t="s">
        <v>1376</v>
      </c>
      <c r="H1167" s="31">
        <v>1.0</v>
      </c>
      <c r="I1167" s="31" t="str">
        <f t="array" ref="I1167">IFERROR(XLOOKUP(D1167,'MASTER ITEM LIST'!A:A,'MASTER ITEM LIST'!D:D), "")</f>
        <v>LITER</v>
      </c>
      <c r="J1167" s="34">
        <f t="shared" si="2"/>
        <v>580</v>
      </c>
      <c r="K1167" s="196">
        <v>580.0</v>
      </c>
      <c r="L1167" s="70" t="s">
        <v>42</v>
      </c>
    </row>
    <row r="1168" ht="22.5" customHeight="1">
      <c r="A1168" s="29">
        <v>46199.0</v>
      </c>
      <c r="B1168" s="31" t="s">
        <v>1740</v>
      </c>
      <c r="C1168" s="32" t="s">
        <v>1529</v>
      </c>
      <c r="D1168" s="71" t="s">
        <v>90</v>
      </c>
      <c r="E1168" s="66" t="str">
        <f t="array" ref="E1168">IF(D1168="", "", XLOOKUP(D1168, 'MASTER ITEM LIST'!A:A, 'MASTER ITEM LIST'!B:B, ""))</f>
        <v>NAX SOB757 HIGH GRADE URETHANE THINNER 4L</v>
      </c>
      <c r="F1168" s="31"/>
      <c r="G1168" s="195" t="s">
        <v>1376</v>
      </c>
      <c r="H1168" s="31">
        <v>0.75</v>
      </c>
      <c r="I1168" s="31" t="str">
        <f t="array" ref="I1168">IFERROR(XLOOKUP(D1168,'MASTER ITEM LIST'!A:A,'MASTER ITEM LIST'!D:D), "")</f>
        <v>GAL</v>
      </c>
      <c r="J1168" s="34">
        <f t="shared" si="2"/>
        <v>800</v>
      </c>
      <c r="K1168" s="196">
        <v>600.0</v>
      </c>
      <c r="L1168" s="70" t="s">
        <v>42</v>
      </c>
    </row>
    <row r="1169" ht="22.5" customHeight="1">
      <c r="A1169" s="29">
        <v>46199.0</v>
      </c>
      <c r="B1169" s="31" t="s">
        <v>1740</v>
      </c>
      <c r="C1169" s="32" t="s">
        <v>1529</v>
      </c>
      <c r="D1169" s="71" t="s">
        <v>167</v>
      </c>
      <c r="E1169" s="66" t="str">
        <f t="array" ref="E1169">IF(D1169="", "", XLOOKUP(D1169, 'MASTER ITEM LIST'!A:A, 'MASTER ITEM LIST'!B:B, ""))</f>
        <v>NAX QDU MIX 1L</v>
      </c>
      <c r="F1169" s="31"/>
      <c r="G1169" s="195" t="s">
        <v>1376</v>
      </c>
      <c r="H1169" s="31">
        <v>1.0</v>
      </c>
      <c r="I1169" s="31" t="str">
        <f t="array" ref="I1169">IFERROR(XLOOKUP(D1169,'MASTER ITEM LIST'!A:A,'MASTER ITEM LIST'!D:D), "")</f>
        <v>LITER</v>
      </c>
      <c r="J1169" s="34">
        <f t="shared" si="2"/>
        <v>600</v>
      </c>
      <c r="K1169" s="196">
        <v>600.0</v>
      </c>
      <c r="L1169" s="70" t="s">
        <v>42</v>
      </c>
    </row>
    <row r="1170" ht="22.5" customHeight="1">
      <c r="A1170" s="29">
        <v>46199.0</v>
      </c>
      <c r="B1170" s="31"/>
      <c r="C1170" s="32" t="s">
        <v>711</v>
      </c>
      <c r="D1170" s="71" t="s">
        <v>220</v>
      </c>
      <c r="E1170" s="66" t="str">
        <f t="array" ref="E1170">IF(D1170="", "", XLOOKUP(D1170, 'MASTER ITEM LIST'!A:A, 'MASTER ITEM LIST'!B:B, ""))</f>
        <v>PREMILA MIXING 1L</v>
      </c>
      <c r="F1170" s="31" t="s">
        <v>1741</v>
      </c>
      <c r="G1170" s="195" t="s">
        <v>34</v>
      </c>
      <c r="H1170" s="31">
        <v>0.25</v>
      </c>
      <c r="I1170" s="31" t="str">
        <f t="array" ref="I1170">IFERROR(XLOOKUP(D1170,'MASTER ITEM LIST'!A:A,'MASTER ITEM LIST'!D:D), "")</f>
        <v>LITER</v>
      </c>
      <c r="J1170" s="34">
        <f t="shared" si="2"/>
        <v>2600</v>
      </c>
      <c r="K1170" s="196">
        <v>650.0</v>
      </c>
      <c r="L1170" s="70" t="s">
        <v>42</v>
      </c>
    </row>
    <row r="1171" ht="22.5" customHeight="1">
      <c r="A1171" s="29">
        <v>46199.0</v>
      </c>
      <c r="B1171" s="31"/>
      <c r="C1171" s="32" t="s">
        <v>711</v>
      </c>
      <c r="D1171" s="71" t="s">
        <v>90</v>
      </c>
      <c r="E1171" s="66" t="str">
        <f t="array" ref="E1171">IF(D1171="", "", XLOOKUP(D1171, 'MASTER ITEM LIST'!A:A, 'MASTER ITEM LIST'!B:B, ""))</f>
        <v>NAX SOB757 HIGH GRADE URETHANE THINNER 4L</v>
      </c>
      <c r="F1171" s="31"/>
      <c r="G1171" s="195" t="s">
        <v>34</v>
      </c>
      <c r="H1171" s="31">
        <v>0.5</v>
      </c>
      <c r="I1171" s="31" t="str">
        <f t="array" ref="I1171">IFERROR(XLOOKUP(D1171,'MASTER ITEM LIST'!A:A,'MASTER ITEM LIST'!D:D), "")</f>
        <v>GAL</v>
      </c>
      <c r="J1171" s="34">
        <f t="shared" si="2"/>
        <v>800</v>
      </c>
      <c r="K1171" s="196">
        <v>400.0</v>
      </c>
      <c r="L1171" s="70" t="s">
        <v>42</v>
      </c>
    </row>
    <row r="1172" ht="22.5" customHeight="1">
      <c r="A1172" s="29">
        <v>46199.0</v>
      </c>
      <c r="B1172" s="31"/>
      <c r="C1172" s="32" t="s">
        <v>711</v>
      </c>
      <c r="D1172" s="71" t="s">
        <v>136</v>
      </c>
      <c r="E1172" s="66" t="str">
        <f t="array" ref="E1172">IF(D1172="", "", XLOOKUP(D1172, 'MASTER ITEM LIST'!A:A, 'MASTER ITEM LIST'!B:B, ""))</f>
        <v>CROCO MASKING TAPE 3/4 18MM (1X64)</v>
      </c>
      <c r="F1172" s="31"/>
      <c r="G1172" s="195" t="s">
        <v>34</v>
      </c>
      <c r="H1172" s="31">
        <v>4.0</v>
      </c>
      <c r="I1172" s="31" t="str">
        <f t="array" ref="I1172">IFERROR(XLOOKUP(D1172,'MASTER ITEM LIST'!A:A,'MASTER ITEM LIST'!D:D), "")</f>
        <v>PC/S</v>
      </c>
      <c r="J1172" s="34">
        <f t="shared" si="2"/>
        <v>35</v>
      </c>
      <c r="K1172" s="196">
        <v>140.0</v>
      </c>
      <c r="L1172" s="70" t="s">
        <v>42</v>
      </c>
    </row>
    <row r="1173" ht="22.5" customHeight="1">
      <c r="A1173" s="29">
        <v>46199.0</v>
      </c>
      <c r="B1173" s="31"/>
      <c r="C1173" s="32" t="s">
        <v>711</v>
      </c>
      <c r="D1173" s="71" t="s">
        <v>220</v>
      </c>
      <c r="E1173" s="66" t="str">
        <f t="array" ref="E1173">IF(D1173="", "", XLOOKUP(D1173, 'MASTER ITEM LIST'!A:A, 'MASTER ITEM LIST'!B:B, ""))</f>
        <v>PREMILA MIXING 1L</v>
      </c>
      <c r="F1173" s="31" t="s">
        <v>1742</v>
      </c>
      <c r="G1173" s="195" t="s">
        <v>34</v>
      </c>
      <c r="H1173" s="31">
        <v>0.5</v>
      </c>
      <c r="I1173" s="31" t="str">
        <f t="array" ref="I1173">IFERROR(XLOOKUP(D1173,'MASTER ITEM LIST'!A:A,'MASTER ITEM LIST'!D:D), "")</f>
        <v>LITER</v>
      </c>
      <c r="J1173" s="34">
        <f t="shared" si="2"/>
        <v>2800</v>
      </c>
      <c r="K1173" s="196">
        <v>1400.0</v>
      </c>
      <c r="L1173" s="70" t="s">
        <v>42</v>
      </c>
    </row>
    <row r="1174" ht="22.5" customHeight="1">
      <c r="A1174" s="29">
        <v>46199.0</v>
      </c>
      <c r="B1174" s="31"/>
      <c r="C1174" s="32" t="s">
        <v>711</v>
      </c>
      <c r="D1174" s="71" t="s">
        <v>1168</v>
      </c>
      <c r="E1174" s="66" t="str">
        <f t="array" ref="E1174">IF(D1174="", "", XLOOKUP(D1174, 'MASTER ITEM LIST'!A:A, 'MASTER ITEM LIST'!B:B, ""))</f>
        <v>URETHANE MIXING POLYGLOSS, DO IT 4L</v>
      </c>
      <c r="F1174" s="31"/>
      <c r="G1174" s="195" t="s">
        <v>34</v>
      </c>
      <c r="H1174" s="31">
        <v>0.75</v>
      </c>
      <c r="I1174" s="31" t="str">
        <f t="array" ref="I1174">IFERROR(XLOOKUP(D1174,'MASTER ITEM LIST'!A:A,'MASTER ITEM LIST'!D:D), "")</f>
        <v>GALON</v>
      </c>
      <c r="J1174" s="34">
        <f t="shared" si="2"/>
        <v>5200</v>
      </c>
      <c r="K1174" s="196">
        <v>3900.0</v>
      </c>
      <c r="L1174" s="70" t="s">
        <v>42</v>
      </c>
    </row>
    <row r="1175" ht="22.5" customHeight="1">
      <c r="A1175" s="29">
        <v>46200.0</v>
      </c>
      <c r="B1175" s="31" t="s">
        <v>1743</v>
      </c>
      <c r="C1175" s="32" t="s">
        <v>1531</v>
      </c>
      <c r="D1175" s="71" t="s">
        <v>474</v>
      </c>
      <c r="E1175" s="66" t="str">
        <f t="array" ref="E1175">IF(D1175="", "", XLOOKUP(D1175, 'MASTER ITEM LIST'!A:A, 'MASTER ITEM LIST'!B:B, ""))</f>
        <v>PLATONE QDE INTERNATIONAL RED 4L</v>
      </c>
      <c r="F1175" s="31"/>
      <c r="G1175" s="195" t="s">
        <v>34</v>
      </c>
      <c r="H1175" s="31">
        <v>0.25</v>
      </c>
      <c r="I1175" s="31" t="str">
        <f t="array" ref="I1175">IFERROR(XLOOKUP(D1175,'MASTER ITEM LIST'!A:A,'MASTER ITEM LIST'!D:D), "")</f>
        <v>GAL</v>
      </c>
      <c r="J1175" s="34">
        <f t="shared" si="2"/>
        <v>1120</v>
      </c>
      <c r="K1175" s="196">
        <v>280.0</v>
      </c>
      <c r="L1175" s="70" t="s">
        <v>42</v>
      </c>
    </row>
    <row r="1176" ht="22.5" customHeight="1">
      <c r="A1176" s="29">
        <v>46200.0</v>
      </c>
      <c r="B1176" s="31" t="s">
        <v>1743</v>
      </c>
      <c r="C1176" s="32" t="s">
        <v>1531</v>
      </c>
      <c r="D1176" s="71" t="s">
        <v>43</v>
      </c>
      <c r="E1176" s="66" t="str">
        <f t="array" ref="E1176">IF(D1176="", "", XLOOKUP(D1176, 'MASTER ITEM LIST'!A:A, 'MASTER ITEM LIST'!B:B, ""))</f>
        <v>RAIN OR SHINE BAGUIO GREEN 4L</v>
      </c>
      <c r="F1176" s="31"/>
      <c r="G1176" s="195" t="s">
        <v>34</v>
      </c>
      <c r="H1176" s="31">
        <v>4.0</v>
      </c>
      <c r="I1176" s="31" t="str">
        <f t="array" ref="I1176">IFERROR(XLOOKUP(D1176,'MASTER ITEM LIST'!A:A,'MASTER ITEM LIST'!D:D), "")</f>
        <v>GALON</v>
      </c>
      <c r="J1176" s="34">
        <f t="shared" si="2"/>
        <v>930</v>
      </c>
      <c r="K1176" s="196">
        <v>3720.0</v>
      </c>
      <c r="L1176" s="70" t="s">
        <v>42</v>
      </c>
    </row>
    <row r="1177" ht="22.5" customHeight="1">
      <c r="A1177" s="29">
        <v>46200.0</v>
      </c>
      <c r="B1177" s="31" t="s">
        <v>1743</v>
      </c>
      <c r="C1177" s="32" t="s">
        <v>1531</v>
      </c>
      <c r="D1177" s="71" t="s">
        <v>177</v>
      </c>
      <c r="E1177" s="66" t="str">
        <f t="array" ref="E1177">IF(D1177="", "", XLOOKUP(D1177, 'MASTER ITEM LIST'!A:A, 'MASTER ITEM LIST'!B:B, ""))</f>
        <v>UNO LACQUER THINNER BOT</v>
      </c>
      <c r="F1177" s="31"/>
      <c r="G1177" s="195" t="s">
        <v>34</v>
      </c>
      <c r="H1177" s="31">
        <v>1.0</v>
      </c>
      <c r="I1177" s="31" t="str">
        <f t="array" ref="I1177">IFERROR(XLOOKUP(D1177,'MASTER ITEM LIST'!A:A,'MASTER ITEM LIST'!D:D), "")</f>
        <v>BOT</v>
      </c>
      <c r="J1177" s="34">
        <f t="shared" si="2"/>
        <v>80</v>
      </c>
      <c r="K1177" s="196">
        <v>80.0</v>
      </c>
      <c r="L1177" s="70" t="s">
        <v>42</v>
      </c>
    </row>
    <row r="1178" ht="22.5" customHeight="1">
      <c r="A1178" s="29">
        <v>46200.0</v>
      </c>
      <c r="B1178" s="31" t="s">
        <v>1744</v>
      </c>
      <c r="C1178" s="32" t="s">
        <v>219</v>
      </c>
      <c r="D1178" s="71" t="s">
        <v>220</v>
      </c>
      <c r="E1178" s="66" t="str">
        <f t="array" ref="E1178">IF(D1178="", "", XLOOKUP(D1178, 'MASTER ITEM LIST'!A:A, 'MASTER ITEM LIST'!B:B, ""))</f>
        <v>PREMILA MIXING 1L</v>
      </c>
      <c r="F1178" s="31" t="s">
        <v>1745</v>
      </c>
      <c r="G1178" s="195" t="s">
        <v>34</v>
      </c>
      <c r="H1178" s="31">
        <v>0.4</v>
      </c>
      <c r="I1178" s="31" t="str">
        <f t="array" ref="I1178">IFERROR(XLOOKUP(D1178,'MASTER ITEM LIST'!A:A,'MASTER ITEM LIST'!D:D), "")</f>
        <v>LITER</v>
      </c>
      <c r="J1178" s="34">
        <f t="shared" si="2"/>
        <v>2600</v>
      </c>
      <c r="K1178" s="196">
        <v>1040.0</v>
      </c>
      <c r="L1178" s="70" t="s">
        <v>42</v>
      </c>
    </row>
    <row r="1179" ht="22.5" customHeight="1">
      <c r="A1179" s="29">
        <v>46200.0</v>
      </c>
      <c r="B1179" s="31" t="s">
        <v>1744</v>
      </c>
      <c r="C1179" s="32" t="s">
        <v>219</v>
      </c>
      <c r="D1179" s="71" t="s">
        <v>563</v>
      </c>
      <c r="E1179" s="66" t="str">
        <f t="array" ref="E1179">IF(D1179="", "", XLOOKUP(D1179, 'MASTER ITEM LIST'!A:A, 'MASTER ITEM LIST'!B:B, ""))</f>
        <v>NIPPON EXTREME QDU WHITE 4L</v>
      </c>
      <c r="F1179" s="31"/>
      <c r="G1179" s="195" t="s">
        <v>34</v>
      </c>
      <c r="H1179" s="31">
        <v>0.5</v>
      </c>
      <c r="I1179" s="31" t="str">
        <f t="array" ref="I1179">IFERROR(XLOOKUP(D1179,'MASTER ITEM LIST'!A:A,'MASTER ITEM LIST'!D:D), "")</f>
        <v>GAL</v>
      </c>
      <c r="J1179" s="34">
        <f t="shared" si="2"/>
        <v>2400</v>
      </c>
      <c r="K1179" s="196">
        <v>1200.0</v>
      </c>
      <c r="L1179" s="70" t="s">
        <v>42</v>
      </c>
    </row>
    <row r="1180" ht="22.5" customHeight="1">
      <c r="A1180" s="29">
        <v>46200.0</v>
      </c>
      <c r="B1180" s="31" t="s">
        <v>1744</v>
      </c>
      <c r="C1180" s="32" t="s">
        <v>219</v>
      </c>
      <c r="D1180" s="71" t="s">
        <v>220</v>
      </c>
      <c r="E1180" s="66" t="str">
        <f t="array" ref="E1180">IF(D1180="", "", XLOOKUP(D1180, 'MASTER ITEM LIST'!A:A, 'MASTER ITEM LIST'!B:B, ""))</f>
        <v>PREMILA MIXING 1L</v>
      </c>
      <c r="F1180" s="31" t="s">
        <v>1746</v>
      </c>
      <c r="G1180" s="195" t="s">
        <v>34</v>
      </c>
      <c r="H1180" s="31">
        <v>0.2</v>
      </c>
      <c r="I1180" s="31" t="str">
        <f t="array" ref="I1180">IFERROR(XLOOKUP(D1180,'MASTER ITEM LIST'!A:A,'MASTER ITEM LIST'!D:D), "")</f>
        <v>LITER</v>
      </c>
      <c r="J1180" s="34">
        <f t="shared" si="2"/>
        <v>2000</v>
      </c>
      <c r="K1180" s="196">
        <v>400.0</v>
      </c>
      <c r="L1180" s="70" t="s">
        <v>42</v>
      </c>
    </row>
    <row r="1181" ht="22.5" customHeight="1">
      <c r="A1181" s="29">
        <v>46200.0</v>
      </c>
      <c r="B1181" s="31" t="s">
        <v>1744</v>
      </c>
      <c r="C1181" s="32" t="s">
        <v>219</v>
      </c>
      <c r="D1181" s="71" t="s">
        <v>220</v>
      </c>
      <c r="E1181" s="66" t="str">
        <f t="array" ref="E1181">IF(D1181="", "", XLOOKUP(D1181, 'MASTER ITEM LIST'!A:A, 'MASTER ITEM LIST'!B:B, ""))</f>
        <v>PREMILA MIXING 1L</v>
      </c>
      <c r="F1181" s="31" t="s">
        <v>1747</v>
      </c>
      <c r="G1181" s="195" t="s">
        <v>34</v>
      </c>
      <c r="H1181" s="31">
        <v>0.2</v>
      </c>
      <c r="I1181" s="31" t="str">
        <f t="array" ref="I1181">IFERROR(XLOOKUP(D1181,'MASTER ITEM LIST'!A:A,'MASTER ITEM LIST'!D:D), "")</f>
        <v>LITER</v>
      </c>
      <c r="J1181" s="34">
        <f t="shared" si="2"/>
        <v>2600</v>
      </c>
      <c r="K1181" s="196">
        <v>520.0</v>
      </c>
      <c r="L1181" s="70" t="s">
        <v>42</v>
      </c>
    </row>
    <row r="1182" ht="22.5" customHeight="1">
      <c r="A1182" s="29">
        <v>46200.0</v>
      </c>
      <c r="B1182" s="31" t="s">
        <v>1748</v>
      </c>
      <c r="C1182" s="32" t="s">
        <v>93</v>
      </c>
      <c r="D1182" s="71" t="s">
        <v>90</v>
      </c>
      <c r="E1182" s="66" t="str">
        <f t="array" ref="E1182">IF(D1182="", "", XLOOKUP(D1182, 'MASTER ITEM LIST'!A:A, 'MASTER ITEM LIST'!B:B, ""))</f>
        <v>NAX SOB757 HIGH GRADE URETHANE THINNER 4L</v>
      </c>
      <c r="F1182" s="31"/>
      <c r="G1182" s="195" t="s">
        <v>1376</v>
      </c>
      <c r="H1182" s="31">
        <v>1.0</v>
      </c>
      <c r="I1182" s="31" t="str">
        <f t="array" ref="I1182">IFERROR(XLOOKUP(D1182,'MASTER ITEM LIST'!A:A,'MASTER ITEM LIST'!D:D), "")</f>
        <v>GAL</v>
      </c>
      <c r="J1182" s="34">
        <f t="shared" si="2"/>
        <v>780</v>
      </c>
      <c r="K1182" s="196">
        <v>780.0</v>
      </c>
      <c r="L1182" s="70" t="s">
        <v>42</v>
      </c>
    </row>
    <row r="1183" ht="22.5" customHeight="1">
      <c r="A1183" s="29">
        <v>46202.0</v>
      </c>
      <c r="B1183" s="31" t="s">
        <v>1749</v>
      </c>
      <c r="C1183" s="32" t="s">
        <v>1533</v>
      </c>
      <c r="D1183" s="71" t="s">
        <v>604</v>
      </c>
      <c r="E1183" s="66" t="str">
        <f t="array" ref="E1183">IF(D1183="", "", XLOOKUP(D1183, 'MASTER ITEM LIST'!A:A, 'MASTER ITEM LIST'!B:B, ""))</f>
        <v>METALGUARD EPOXY PRIMER WHITE WITH HARDENER 4L</v>
      </c>
      <c r="F1183" s="31"/>
      <c r="G1183" s="195" t="s">
        <v>34</v>
      </c>
      <c r="H1183" s="31">
        <v>6.0</v>
      </c>
      <c r="I1183" s="31" t="str">
        <f t="array" ref="I1183">IFERROR(XLOOKUP(D1183,'MASTER ITEM LIST'!A:A,'MASTER ITEM LIST'!D:D), "")</f>
        <v>GAL</v>
      </c>
      <c r="J1183" s="34">
        <f t="shared" si="2"/>
        <v>1150</v>
      </c>
      <c r="K1183" s="196">
        <v>6900.0</v>
      </c>
      <c r="L1183" s="70" t="s">
        <v>42</v>
      </c>
    </row>
    <row r="1184" ht="22.5" customHeight="1">
      <c r="A1184" s="29">
        <v>46202.0</v>
      </c>
      <c r="B1184" s="31" t="s">
        <v>1749</v>
      </c>
      <c r="C1184" s="32" t="s">
        <v>1533</v>
      </c>
      <c r="D1184" s="71" t="s">
        <v>540</v>
      </c>
      <c r="E1184" s="66" t="str">
        <f t="array" ref="E1184">IF(D1184="", "", XLOOKUP(D1184, 'MASTER ITEM LIST'!A:A, 'MASTER ITEM LIST'!B:B, ""))</f>
        <v>NIPPON LACQUER THINNER 4L</v>
      </c>
      <c r="F1184" s="31"/>
      <c r="G1184" s="195" t="s">
        <v>34</v>
      </c>
      <c r="H1184" s="31">
        <v>2.0</v>
      </c>
      <c r="I1184" s="31" t="str">
        <f t="array" ref="I1184">IFERROR(XLOOKUP(D1184,'MASTER ITEM LIST'!A:A,'MASTER ITEM LIST'!D:D), "")</f>
        <v>GAL</v>
      </c>
      <c r="J1184" s="34">
        <f t="shared" si="2"/>
        <v>650</v>
      </c>
      <c r="K1184" s="196">
        <v>1300.0</v>
      </c>
      <c r="L1184" s="70" t="s">
        <v>42</v>
      </c>
    </row>
    <row r="1185" ht="22.5" customHeight="1">
      <c r="A1185" s="29">
        <v>46203.0</v>
      </c>
      <c r="B1185" s="31" t="s">
        <v>1750</v>
      </c>
      <c r="C1185" s="32" t="s">
        <v>93</v>
      </c>
      <c r="D1185" s="71" t="s">
        <v>220</v>
      </c>
      <c r="E1185" s="66" t="str">
        <f t="array" ref="E1185">IF(D1185="", "", XLOOKUP(D1185, 'MASTER ITEM LIST'!A:A, 'MASTER ITEM LIST'!B:B, ""))</f>
        <v>PREMILA MIXING 1L</v>
      </c>
      <c r="F1185" s="31" t="s">
        <v>1751</v>
      </c>
      <c r="G1185" s="195" t="s">
        <v>1376</v>
      </c>
      <c r="H1185" s="31">
        <v>1.0</v>
      </c>
      <c r="I1185" s="31" t="str">
        <f t="array" ref="I1185">IFERROR(XLOOKUP(D1185,'MASTER ITEM LIST'!A:A,'MASTER ITEM LIST'!D:D), "")</f>
        <v>LITER</v>
      </c>
      <c r="J1185" s="34">
        <f t="shared" si="2"/>
        <v>2900</v>
      </c>
      <c r="K1185" s="196">
        <v>2900.0</v>
      </c>
      <c r="L1185" s="70" t="s">
        <v>42</v>
      </c>
    </row>
    <row r="1186" ht="22.5" customHeight="1">
      <c r="A1186" s="29">
        <v>46203.0</v>
      </c>
      <c r="B1186" s="31" t="s">
        <v>1750</v>
      </c>
      <c r="C1186" s="32" t="s">
        <v>93</v>
      </c>
      <c r="D1186" s="71" t="s">
        <v>167</v>
      </c>
      <c r="E1186" s="66" t="str">
        <f t="array" ref="E1186">IF(D1186="", "", XLOOKUP(D1186, 'MASTER ITEM LIST'!A:A, 'MASTER ITEM LIST'!B:B, ""))</f>
        <v>NAX QDU MIX 1L</v>
      </c>
      <c r="F1186" s="31"/>
      <c r="G1186" s="195" t="s">
        <v>1376</v>
      </c>
      <c r="H1186" s="31">
        <v>1.0</v>
      </c>
      <c r="I1186" s="31" t="str">
        <f t="array" ref="I1186">IFERROR(XLOOKUP(D1186,'MASTER ITEM LIST'!A:A,'MASTER ITEM LIST'!D:D), "")</f>
        <v>LITER</v>
      </c>
      <c r="J1186" s="34">
        <f t="shared" si="2"/>
        <v>1600</v>
      </c>
      <c r="K1186" s="196">
        <v>1600.0</v>
      </c>
      <c r="L1186" s="70" t="s">
        <v>42</v>
      </c>
    </row>
    <row r="1187" ht="22.5" customHeight="1">
      <c r="A1187" s="29">
        <v>46203.0</v>
      </c>
      <c r="B1187" s="31" t="s">
        <v>1750</v>
      </c>
      <c r="C1187" s="32" t="s">
        <v>93</v>
      </c>
      <c r="D1187" s="71" t="s">
        <v>53</v>
      </c>
      <c r="E1187" s="66" t="str">
        <f t="array" ref="E1187">IF(D1187="", "", XLOOKUP(D1187, 'MASTER ITEM LIST'!A:A, 'MASTER ITEM LIST'!B:B, ""))</f>
        <v>NAX 108 CERAMIC 2K CLEAR WITH HARDENER 1L</v>
      </c>
      <c r="F1187" s="31"/>
      <c r="G1187" s="195" t="s">
        <v>1376</v>
      </c>
      <c r="H1187" s="31">
        <v>3.0</v>
      </c>
      <c r="I1187" s="31" t="str">
        <f t="array" ref="I1187">IFERROR(XLOOKUP(D1187,'MASTER ITEM LIST'!A:A,'MASTER ITEM LIST'!D:D), "")</f>
        <v>LITER</v>
      </c>
      <c r="J1187" s="34">
        <f t="shared" si="2"/>
        <v>680</v>
      </c>
      <c r="K1187" s="196">
        <v>2040.0</v>
      </c>
      <c r="L1187" s="70" t="s">
        <v>42</v>
      </c>
    </row>
    <row r="1188" ht="22.5" customHeight="1">
      <c r="A1188" s="29">
        <v>46203.0</v>
      </c>
      <c r="B1188" s="31" t="s">
        <v>1750</v>
      </c>
      <c r="C1188" s="32" t="s">
        <v>93</v>
      </c>
      <c r="D1188" s="71" t="s">
        <v>198</v>
      </c>
      <c r="E1188" s="66" t="str">
        <f t="array" ref="E1188">IF(D1188="", "", XLOOKUP(D1188, 'MASTER ITEM LIST'!A:A, 'MASTER ITEM LIST'!B:B, ""))</f>
        <v>EAGLE SANDPAPER #2000</v>
      </c>
      <c r="F1188" s="31"/>
      <c r="G1188" s="195" t="s">
        <v>1376</v>
      </c>
      <c r="H1188" s="31">
        <v>5.0</v>
      </c>
      <c r="I1188" s="31" t="str">
        <f t="array" ref="I1188">IFERROR(XLOOKUP(D1188,'MASTER ITEM LIST'!A:A,'MASTER ITEM LIST'!D:D), "")</f>
        <v>PC/S</v>
      </c>
      <c r="J1188" s="34">
        <f t="shared" si="2"/>
        <v>35</v>
      </c>
      <c r="K1188" s="196">
        <v>175.0</v>
      </c>
      <c r="L1188" s="70" t="s">
        <v>42</v>
      </c>
    </row>
    <row r="1189" ht="22.5" customHeight="1">
      <c r="A1189" s="29">
        <v>46200.0</v>
      </c>
      <c r="B1189" s="31"/>
      <c r="C1189" s="32" t="s">
        <v>711</v>
      </c>
      <c r="D1189" s="71" t="s">
        <v>77</v>
      </c>
      <c r="E1189" s="66" t="str">
        <f t="array" ref="E1189">IF(D1189="", "", XLOOKUP(D1189, 'MASTER ITEM LIST'!A:A, 'MASTER ITEM LIST'!B:B, ""))</f>
        <v>PLATONE QDE BLACK 1L</v>
      </c>
      <c r="F1189" s="31"/>
      <c r="G1189" s="195" t="s">
        <v>34</v>
      </c>
      <c r="H1189" s="31">
        <v>0.1875</v>
      </c>
      <c r="I1189" s="31" t="str">
        <f t="array" ref="I1189">IFERROR(XLOOKUP(D1189,'MASTER ITEM LIST'!A:A,'MASTER ITEM LIST'!D:D), "")</f>
        <v>LITER</v>
      </c>
      <c r="J1189" s="34">
        <f t="shared" si="2"/>
        <v>1066.666667</v>
      </c>
      <c r="K1189" s="196">
        <v>200.0</v>
      </c>
      <c r="L1189" s="70" t="s">
        <v>42</v>
      </c>
    </row>
    <row r="1190" ht="22.5" customHeight="1">
      <c r="A1190" s="29">
        <v>46200.0</v>
      </c>
      <c r="B1190" s="31"/>
      <c r="C1190" s="32" t="s">
        <v>711</v>
      </c>
      <c r="D1190" s="71" t="s">
        <v>1166</v>
      </c>
      <c r="E1190" s="66" t="str">
        <f t="array" ref="E1190">IF(D1190="", "", XLOOKUP(D1190, 'MASTER ITEM LIST'!A:A, 'MASTER ITEM LIST'!B:B, ""))</f>
        <v>2B PAINT BRUSH 1 1/2</v>
      </c>
      <c r="F1190" s="31"/>
      <c r="G1190" s="195" t="s">
        <v>34</v>
      </c>
      <c r="H1190" s="31">
        <v>1.0</v>
      </c>
      <c r="I1190" s="31" t="str">
        <f t="array" ref="I1190">IFERROR(XLOOKUP(D1190,'MASTER ITEM LIST'!A:A,'MASTER ITEM LIST'!D:D), "")</f>
        <v>PC/S</v>
      </c>
      <c r="J1190" s="34">
        <f t="shared" si="2"/>
        <v>35</v>
      </c>
      <c r="K1190" s="196">
        <v>35.0</v>
      </c>
      <c r="L1190" s="70" t="s">
        <v>42</v>
      </c>
    </row>
    <row r="1191" ht="22.5" customHeight="1">
      <c r="A1191" s="29">
        <v>46200.0</v>
      </c>
      <c r="B1191" s="31"/>
      <c r="C1191" s="32" t="s">
        <v>711</v>
      </c>
      <c r="D1191" s="71" t="s">
        <v>90</v>
      </c>
      <c r="E1191" s="66" t="str">
        <f t="array" ref="E1191">IF(D1191="", "", XLOOKUP(D1191, 'MASTER ITEM LIST'!A:A, 'MASTER ITEM LIST'!B:B, ""))</f>
        <v>NAX SOB757 HIGH GRADE URETHANE THINNER 4L</v>
      </c>
      <c r="F1191" s="31"/>
      <c r="G1191" s="195" t="s">
        <v>34</v>
      </c>
      <c r="H1191" s="31">
        <v>0.25</v>
      </c>
      <c r="I1191" s="31" t="str">
        <f t="array" ref="I1191">IFERROR(XLOOKUP(D1191,'MASTER ITEM LIST'!A:A,'MASTER ITEM LIST'!D:D), "")</f>
        <v>GAL</v>
      </c>
      <c r="J1191" s="34">
        <f t="shared" si="2"/>
        <v>800</v>
      </c>
      <c r="K1191" s="196">
        <v>200.0</v>
      </c>
      <c r="L1191" s="70" t="s">
        <v>42</v>
      </c>
    </row>
    <row r="1192" ht="22.5" customHeight="1">
      <c r="A1192" s="29">
        <v>46200.0</v>
      </c>
      <c r="B1192" s="31"/>
      <c r="C1192" s="32" t="s">
        <v>711</v>
      </c>
      <c r="D1192" s="71" t="s">
        <v>548</v>
      </c>
      <c r="E1192" s="66" t="str">
        <f t="array" ref="E1192">IF(D1192="", "", XLOOKUP(D1192, 'MASTER ITEM LIST'!A:A, 'MASTER ITEM LIST'!B:B, ""))</f>
        <v>EAGLE SANDPAPER #240</v>
      </c>
      <c r="F1192" s="31"/>
      <c r="G1192" s="195" t="s">
        <v>34</v>
      </c>
      <c r="H1192" s="31">
        <v>1.0</v>
      </c>
      <c r="I1192" s="31" t="str">
        <f t="array" ref="I1192">IFERROR(XLOOKUP(D1192,'MASTER ITEM LIST'!A:A,'MASTER ITEM LIST'!D:D), "")</f>
        <v>PC/S</v>
      </c>
      <c r="J1192" s="34">
        <f t="shared" si="2"/>
        <v>25</v>
      </c>
      <c r="K1192" s="196">
        <v>25.0</v>
      </c>
      <c r="L1192" s="70" t="s">
        <v>42</v>
      </c>
    </row>
    <row r="1193" ht="22.5" customHeight="1">
      <c r="A1193" s="29">
        <v>46200.0</v>
      </c>
      <c r="B1193" s="31"/>
      <c r="C1193" s="32" t="s">
        <v>711</v>
      </c>
      <c r="D1193" s="71" t="s">
        <v>567</v>
      </c>
      <c r="E1193" s="66" t="str">
        <f t="array" ref="E1193">IF(D1193="", "", XLOOKUP(D1193, 'MASTER ITEM LIST'!A:A, 'MASTER ITEM LIST'!B:B, ""))</f>
        <v>EAGLE SANDPAPER #800</v>
      </c>
      <c r="F1193" s="31"/>
      <c r="G1193" s="195" t="s">
        <v>34</v>
      </c>
      <c r="H1193" s="31">
        <v>1.0</v>
      </c>
      <c r="I1193" s="31" t="str">
        <f t="array" ref="I1193">IFERROR(XLOOKUP(D1193,'MASTER ITEM LIST'!A:A,'MASTER ITEM LIST'!D:D), "")</f>
        <v>PC/S</v>
      </c>
      <c r="J1193" s="34">
        <f t="shared" si="2"/>
        <v>25</v>
      </c>
      <c r="K1193" s="196">
        <v>25.0</v>
      </c>
      <c r="L1193" s="70" t="s">
        <v>42</v>
      </c>
    </row>
    <row r="1194" ht="22.5" customHeight="1">
      <c r="A1194" s="29">
        <v>46200.0</v>
      </c>
      <c r="B1194" s="31"/>
      <c r="C1194" s="32" t="s">
        <v>711</v>
      </c>
      <c r="D1194" s="71" t="s">
        <v>942</v>
      </c>
      <c r="E1194" s="66" t="str">
        <f t="array" ref="E1194">IF(D1194="", "", XLOOKUP(D1194, 'MASTER ITEM LIST'!A:A, 'MASTER ITEM LIST'!B:B, ""))</f>
        <v>EAGLE SANDPAPER #1000</v>
      </c>
      <c r="F1194" s="31"/>
      <c r="G1194" s="195" t="s">
        <v>34</v>
      </c>
      <c r="H1194" s="31">
        <v>1.0</v>
      </c>
      <c r="I1194" s="31" t="str">
        <f t="array" ref="I1194">IFERROR(XLOOKUP(D1194,'MASTER ITEM LIST'!A:A,'MASTER ITEM LIST'!D:D), "")</f>
        <v>PC/S</v>
      </c>
      <c r="J1194" s="34">
        <f t="shared" si="2"/>
        <v>25</v>
      </c>
      <c r="K1194" s="196">
        <v>25.0</v>
      </c>
      <c r="L1194" s="70" t="s">
        <v>42</v>
      </c>
    </row>
    <row r="1195" ht="22.5" customHeight="1">
      <c r="A1195" s="29">
        <v>46201.0</v>
      </c>
      <c r="B1195" s="31"/>
      <c r="C1195" s="32" t="s">
        <v>711</v>
      </c>
      <c r="D1195" s="71" t="s">
        <v>649</v>
      </c>
      <c r="E1195" s="66" t="str">
        <f t="array" ref="E1195">IF(D1195="", "", XLOOKUP(D1195, 'MASTER ITEM LIST'!A:A, 'MASTER ITEM LIST'!B:B, ""))</f>
        <v>NIPPON DOU CLASSIC FLAT WHITE 701 1L</v>
      </c>
      <c r="F1195" s="31"/>
      <c r="G1195" s="195" t="s">
        <v>34</v>
      </c>
      <c r="H1195" s="31">
        <v>3.0</v>
      </c>
      <c r="I1195" s="31" t="str">
        <f t="array" ref="I1195">IFERROR(XLOOKUP(D1195,'MASTER ITEM LIST'!A:A,'MASTER ITEM LIST'!D:D), "")</f>
        <v>LITER</v>
      </c>
      <c r="J1195" s="34">
        <f t="shared" si="2"/>
        <v>230</v>
      </c>
      <c r="K1195" s="196">
        <v>690.0</v>
      </c>
      <c r="L1195" s="70" t="s">
        <v>42</v>
      </c>
    </row>
    <row r="1196" ht="22.5" customHeight="1">
      <c r="A1196" s="29">
        <v>46201.0</v>
      </c>
      <c r="B1196" s="31"/>
      <c r="C1196" s="32" t="s">
        <v>711</v>
      </c>
      <c r="D1196" s="71" t="s">
        <v>112</v>
      </c>
      <c r="E1196" s="66" t="str">
        <f t="array" ref="E1196">IF(D1196="", "", XLOOKUP(D1196, 'MASTER ITEM LIST'!A:A, 'MASTER ITEM LIST'!B:B, ""))</f>
        <v>2B PAINT ROLLER #7</v>
      </c>
      <c r="F1196" s="31"/>
      <c r="G1196" s="195" t="s">
        <v>34</v>
      </c>
      <c r="H1196" s="31">
        <v>2.0</v>
      </c>
      <c r="I1196" s="31" t="str">
        <f t="array" ref="I1196">IFERROR(XLOOKUP(D1196,'MASTER ITEM LIST'!A:A,'MASTER ITEM LIST'!D:D), "")</f>
        <v>PC/S</v>
      </c>
      <c r="J1196" s="34">
        <f t="shared" si="2"/>
        <v>85</v>
      </c>
      <c r="K1196" s="196">
        <v>170.0</v>
      </c>
      <c r="L1196" s="70" t="s">
        <v>42</v>
      </c>
    </row>
    <row r="1197" ht="22.5" customHeight="1">
      <c r="A1197" s="29">
        <v>46201.0</v>
      </c>
      <c r="B1197" s="31"/>
      <c r="C1197" s="32" t="s">
        <v>711</v>
      </c>
      <c r="D1197" s="71" t="s">
        <v>334</v>
      </c>
      <c r="E1197" s="66" t="str">
        <f t="array" ref="E1197">IF(D1197="", "", XLOOKUP(D1197, 'MASTER ITEM LIST'!A:A, 'MASTER ITEM LIST'!B:B, ""))</f>
        <v>PLATONE QDE BLACK 4L</v>
      </c>
      <c r="F1197" s="31"/>
      <c r="G1197" s="195" t="s">
        <v>34</v>
      </c>
      <c r="H1197" s="31">
        <v>0.25</v>
      </c>
      <c r="I1197" s="31" t="str">
        <f t="array" ref="I1197">IFERROR(XLOOKUP(D1197,'MASTER ITEM LIST'!A:A,'MASTER ITEM LIST'!D:D), "")</f>
        <v>GAL</v>
      </c>
      <c r="J1197" s="34">
        <f t="shared" si="2"/>
        <v>960</v>
      </c>
      <c r="K1197" s="196">
        <v>240.0</v>
      </c>
      <c r="L1197" s="70" t="s">
        <v>42</v>
      </c>
    </row>
    <row r="1198" ht="22.5" customHeight="1">
      <c r="A1198" s="29">
        <v>46201.0</v>
      </c>
      <c r="B1198" s="31"/>
      <c r="C1198" s="32" t="s">
        <v>711</v>
      </c>
      <c r="D1198" s="71" t="s">
        <v>1073</v>
      </c>
      <c r="E1198" s="66" t="str">
        <f t="array" ref="E1198">IF(D1198="", "", XLOOKUP(D1198, 'MASTER ITEM LIST'!A:A, 'MASTER ITEM LIST'!B:B, ""))</f>
        <v>BOYSEN QDE WHITE GAL</v>
      </c>
      <c r="F1198" s="31"/>
      <c r="G1198" s="195" t="s">
        <v>34</v>
      </c>
      <c r="H1198" s="31">
        <v>0.125</v>
      </c>
      <c r="I1198" s="31" t="str">
        <f t="array" ref="I1198">IFERROR(XLOOKUP(D1198,'MASTER ITEM LIST'!A:A,'MASTER ITEM LIST'!D:D), "")</f>
        <v>GAL</v>
      </c>
      <c r="J1198" s="34">
        <f t="shared" si="2"/>
        <v>1120</v>
      </c>
      <c r="K1198" s="196">
        <v>140.0</v>
      </c>
      <c r="L1198" s="70" t="s">
        <v>42</v>
      </c>
    </row>
    <row r="1199" ht="22.5" customHeight="1">
      <c r="A1199" s="29">
        <v>46201.0</v>
      </c>
      <c r="B1199" s="31"/>
      <c r="C1199" s="32" t="s">
        <v>711</v>
      </c>
      <c r="D1199" s="71" t="s">
        <v>167</v>
      </c>
      <c r="E1199" s="66" t="str">
        <f t="array" ref="E1199">IF(D1199="", "", XLOOKUP(D1199, 'MASTER ITEM LIST'!A:A, 'MASTER ITEM LIST'!B:B, ""))</f>
        <v>NAX QDU MIX 1L</v>
      </c>
      <c r="F1199" s="31"/>
      <c r="G1199" s="195" t="s">
        <v>34</v>
      </c>
      <c r="H1199" s="31">
        <v>0.25</v>
      </c>
      <c r="I1199" s="31" t="str">
        <f t="array" ref="I1199">IFERROR(XLOOKUP(D1199,'MASTER ITEM LIST'!A:A,'MASTER ITEM LIST'!D:D), "")</f>
        <v>LITER</v>
      </c>
      <c r="J1199" s="34">
        <f t="shared" si="2"/>
        <v>1200</v>
      </c>
      <c r="K1199" s="196">
        <v>300.0</v>
      </c>
      <c r="L1199" s="70" t="s">
        <v>42</v>
      </c>
    </row>
    <row r="1200" ht="22.5" customHeight="1">
      <c r="A1200" s="29">
        <v>46203.0</v>
      </c>
      <c r="B1200" s="31"/>
      <c r="C1200" s="32" t="s">
        <v>711</v>
      </c>
      <c r="D1200" s="23" t="s">
        <v>828</v>
      </c>
      <c r="E1200" s="66" t="str">
        <f t="array" ref="E1200">IF(D1200="", "", XLOOKUP(D1200, 'MASTER ITEM LIST'!A:A, 'MASTER ITEM LIST'!B:B, ""))</f>
        <v>NAX PP BUMPER PRIMER GRAY 1L</v>
      </c>
      <c r="F1200" s="31"/>
      <c r="G1200" s="195" t="s">
        <v>34</v>
      </c>
      <c r="H1200" s="31">
        <v>1.0</v>
      </c>
      <c r="I1200" s="31" t="str">
        <f t="array" ref="I1200">IFERROR(XLOOKUP(D1200,'MASTER ITEM LIST'!A:A,'MASTER ITEM LIST'!D:D), "")</f>
        <v>LITER</v>
      </c>
      <c r="J1200" s="34">
        <f t="shared" si="2"/>
        <v>850</v>
      </c>
      <c r="K1200" s="196">
        <v>850.0</v>
      </c>
      <c r="L1200" s="70" t="s">
        <v>42</v>
      </c>
    </row>
    <row r="1201" ht="22.5" customHeight="1">
      <c r="A1201" s="29">
        <v>46203.0</v>
      </c>
      <c r="B1201" s="31"/>
      <c r="C1201" s="32" t="s">
        <v>711</v>
      </c>
      <c r="D1201" s="71" t="s">
        <v>220</v>
      </c>
      <c r="E1201" s="66" t="str">
        <f t="array" ref="E1201">IF(D1201="", "", XLOOKUP(D1201, 'MASTER ITEM LIST'!A:A, 'MASTER ITEM LIST'!B:B, ""))</f>
        <v>PREMILA MIXING 1L</v>
      </c>
      <c r="F1201" s="31" t="s">
        <v>1681</v>
      </c>
      <c r="G1201" s="195" t="s">
        <v>34</v>
      </c>
      <c r="H1201" s="31">
        <v>0.5</v>
      </c>
      <c r="I1201" s="31" t="str">
        <f t="array" ref="I1201">IFERROR(XLOOKUP(D1201,'MASTER ITEM LIST'!A:A,'MASTER ITEM LIST'!D:D), "")</f>
        <v>LITER</v>
      </c>
      <c r="J1201" s="34">
        <f t="shared" si="2"/>
        <v>2000</v>
      </c>
      <c r="K1201" s="196">
        <v>1000.0</v>
      </c>
      <c r="L1201" s="70" t="s">
        <v>42</v>
      </c>
    </row>
    <row r="1202" ht="22.5" customHeight="1">
      <c r="A1202" s="29">
        <v>46203.0</v>
      </c>
      <c r="B1202" s="31"/>
      <c r="C1202" s="32" t="s">
        <v>711</v>
      </c>
      <c r="D1202" s="71" t="s">
        <v>220</v>
      </c>
      <c r="E1202" s="66" t="str">
        <f t="array" ref="E1202">IF(D1202="", "", XLOOKUP(D1202, 'MASTER ITEM LIST'!A:A, 'MASTER ITEM LIST'!B:B, ""))</f>
        <v>PREMILA MIXING 1L</v>
      </c>
      <c r="F1202" s="31" t="s">
        <v>1697</v>
      </c>
      <c r="G1202" s="195" t="s">
        <v>34</v>
      </c>
      <c r="H1202" s="31">
        <v>0.5</v>
      </c>
      <c r="I1202" s="31" t="str">
        <f t="array" ref="I1202">IFERROR(XLOOKUP(D1202,'MASTER ITEM LIST'!A:A,'MASTER ITEM LIST'!D:D), "")</f>
        <v>LITER</v>
      </c>
      <c r="J1202" s="34">
        <f t="shared" si="2"/>
        <v>2600</v>
      </c>
      <c r="K1202" s="196">
        <v>1300.0</v>
      </c>
      <c r="L1202" s="70" t="s">
        <v>42</v>
      </c>
    </row>
    <row r="1203" ht="22.5" customHeight="1">
      <c r="A1203" s="29">
        <v>46203.0</v>
      </c>
      <c r="B1203" s="31"/>
      <c r="C1203" s="32" t="s">
        <v>711</v>
      </c>
      <c r="D1203" s="71" t="s">
        <v>90</v>
      </c>
      <c r="E1203" s="66" t="str">
        <f t="array" ref="E1203">IF(D1203="", "", XLOOKUP(D1203, 'MASTER ITEM LIST'!A:A, 'MASTER ITEM LIST'!B:B, ""))</f>
        <v>NAX SOB757 HIGH GRADE URETHANE THINNER 4L</v>
      </c>
      <c r="F1203" s="31"/>
      <c r="G1203" s="195" t="s">
        <v>34</v>
      </c>
      <c r="H1203" s="31">
        <v>1.0</v>
      </c>
      <c r="I1203" s="31" t="str">
        <f t="array" ref="I1203">IFERROR(XLOOKUP(D1203,'MASTER ITEM LIST'!A:A,'MASTER ITEM LIST'!D:D), "")</f>
        <v>GAL</v>
      </c>
      <c r="J1203" s="34">
        <f t="shared" si="2"/>
        <v>780</v>
      </c>
      <c r="K1203" s="196">
        <v>780.0</v>
      </c>
      <c r="L1203" s="70" t="s">
        <v>42</v>
      </c>
    </row>
    <row r="1204" ht="22.5" customHeight="1">
      <c r="A1204" s="29">
        <v>46203.0</v>
      </c>
      <c r="B1204" s="31"/>
      <c r="C1204" s="32" t="s">
        <v>711</v>
      </c>
      <c r="D1204" s="71" t="s">
        <v>909</v>
      </c>
      <c r="E1204" s="66" t="str">
        <f t="array" ref="E1204">IF(D1204="", "", XLOOKUP(D1204, 'MASTER ITEM LIST'!A:A, 'MASTER ITEM LIST'!B:B, ""))</f>
        <v>JAPAN PUTTY KNIFE #6</v>
      </c>
      <c r="F1204" s="31"/>
      <c r="G1204" s="195" t="s">
        <v>34</v>
      </c>
      <c r="H1204" s="31">
        <v>1.0</v>
      </c>
      <c r="I1204" s="31" t="str">
        <f t="array" ref="I1204">IFERROR(XLOOKUP(D1204,'MASTER ITEM LIST'!A:A,'MASTER ITEM LIST'!D:D), "")</f>
        <v>PC/S</v>
      </c>
      <c r="J1204" s="34">
        <f t="shared" si="2"/>
        <v>70</v>
      </c>
      <c r="K1204" s="196">
        <v>70.0</v>
      </c>
      <c r="L1204" s="70" t="s">
        <v>42</v>
      </c>
    </row>
    <row r="1205" ht="22.5" customHeight="1">
      <c r="A1205" s="29">
        <v>46203.0</v>
      </c>
      <c r="B1205" s="31"/>
      <c r="C1205" s="32" t="s">
        <v>711</v>
      </c>
      <c r="D1205" s="71" t="s">
        <v>554</v>
      </c>
      <c r="E1205" s="66" t="str">
        <f t="array" ref="E1205">IF(D1205="", "", XLOOKUP(D1205, 'MASTER ITEM LIST'!A:A, 'MASTER ITEM LIST'!B:B, ""))</f>
        <v>EAGLE SANDPAPER #400</v>
      </c>
      <c r="F1205" s="31"/>
      <c r="G1205" s="195" t="s">
        <v>34</v>
      </c>
      <c r="H1205" s="31">
        <v>2.0</v>
      </c>
      <c r="I1205" s="31" t="str">
        <f t="array" ref="I1205">IFERROR(XLOOKUP(D1205,'MASTER ITEM LIST'!A:A,'MASTER ITEM LIST'!D:D), "")</f>
        <v>PC/S</v>
      </c>
      <c r="J1205" s="34">
        <f t="shared" si="2"/>
        <v>25</v>
      </c>
      <c r="K1205" s="196">
        <v>50.0</v>
      </c>
      <c r="L1205" s="70" t="s">
        <v>42</v>
      </c>
    </row>
    <row r="1206" ht="22.5" customHeight="1">
      <c r="A1206" s="29">
        <v>46203.0</v>
      </c>
      <c r="B1206" s="31"/>
      <c r="C1206" s="32" t="s">
        <v>711</v>
      </c>
      <c r="D1206" s="71" t="s">
        <v>432</v>
      </c>
      <c r="E1206" s="66" t="str">
        <f t="array" ref="E1206">IF(D1206="", "", XLOOKUP(D1206, 'MASTER ITEM LIST'!A:A, 'MASTER ITEM LIST'!B:B, ""))</f>
        <v>EAGLE SANDPAPER #600</v>
      </c>
      <c r="F1206" s="31"/>
      <c r="G1206" s="195" t="s">
        <v>34</v>
      </c>
      <c r="H1206" s="31">
        <v>3.0</v>
      </c>
      <c r="I1206" s="31" t="str">
        <f t="array" ref="I1206">IFERROR(XLOOKUP(D1206,'MASTER ITEM LIST'!A:A,'MASTER ITEM LIST'!D:D), "")</f>
        <v>PCS</v>
      </c>
      <c r="J1206" s="34">
        <f t="shared" si="2"/>
        <v>25</v>
      </c>
      <c r="K1206" s="196">
        <v>75.0</v>
      </c>
      <c r="L1206" s="70" t="s">
        <v>42</v>
      </c>
    </row>
    <row r="1207" ht="22.5" customHeight="1">
      <c r="A1207" s="29">
        <v>46203.0</v>
      </c>
      <c r="B1207" s="31"/>
      <c r="C1207" s="32" t="s">
        <v>711</v>
      </c>
      <c r="D1207" s="71" t="s">
        <v>516</v>
      </c>
      <c r="E1207" s="66" t="str">
        <f t="array" ref="E1207">IF(D1207="", "", XLOOKUP(D1207, 'MASTER ITEM LIST'!A:A, 'MASTER ITEM LIST'!B:B, ""))</f>
        <v>EAGLE SANDPAPER #1500</v>
      </c>
      <c r="F1207" s="31"/>
      <c r="G1207" s="195" t="s">
        <v>34</v>
      </c>
      <c r="H1207" s="31">
        <v>3.0</v>
      </c>
      <c r="I1207" s="31" t="str">
        <f t="array" ref="I1207">IFERROR(XLOOKUP(D1207,'MASTER ITEM LIST'!A:A,'MASTER ITEM LIST'!D:D), "")</f>
        <v>PC/S</v>
      </c>
      <c r="J1207" s="34">
        <f t="shared" si="2"/>
        <v>35</v>
      </c>
      <c r="K1207" s="196">
        <v>105.0</v>
      </c>
      <c r="L1207" s="70" t="s">
        <v>42</v>
      </c>
    </row>
    <row r="1208" ht="22.5" customHeight="1">
      <c r="A1208" s="29">
        <v>46203.0</v>
      </c>
      <c r="B1208" s="31"/>
      <c r="C1208" s="32" t="s">
        <v>711</v>
      </c>
      <c r="D1208" s="71" t="s">
        <v>548</v>
      </c>
      <c r="E1208" s="66" t="str">
        <f t="array" ref="E1208">IF(D1208="", "", XLOOKUP(D1208, 'MASTER ITEM LIST'!A:A, 'MASTER ITEM LIST'!B:B, ""))</f>
        <v>EAGLE SANDPAPER #240</v>
      </c>
      <c r="F1208" s="31"/>
      <c r="G1208" s="195" t="s">
        <v>34</v>
      </c>
      <c r="H1208" s="31">
        <v>3.0</v>
      </c>
      <c r="I1208" s="31" t="str">
        <f t="array" ref="I1208">IFERROR(XLOOKUP(D1208,'MASTER ITEM LIST'!A:A,'MASTER ITEM LIST'!D:D), "")</f>
        <v>PC/S</v>
      </c>
      <c r="J1208" s="34">
        <f t="shared" si="2"/>
        <v>25</v>
      </c>
      <c r="K1208" s="196">
        <v>75.0</v>
      </c>
      <c r="L1208" s="70" t="s">
        <v>42</v>
      </c>
    </row>
    <row r="1209" ht="22.5" customHeight="1">
      <c r="A1209" s="29">
        <v>46203.0</v>
      </c>
      <c r="B1209" s="31"/>
      <c r="C1209" s="32" t="s">
        <v>711</v>
      </c>
      <c r="D1209" s="71" t="s">
        <v>931</v>
      </c>
      <c r="E1209" s="66" t="str">
        <f t="array" ref="E1209">IF(D1209="", "", XLOOKUP(D1209, 'MASTER ITEM LIST'!A:A, 'MASTER ITEM LIST'!B:B, ""))</f>
        <v>EAGLE SANDPAPER #60</v>
      </c>
      <c r="F1209" s="31"/>
      <c r="G1209" s="195" t="s">
        <v>34</v>
      </c>
      <c r="H1209" s="31">
        <v>5.0</v>
      </c>
      <c r="I1209" s="31" t="str">
        <f t="array" ref="I1209">IFERROR(XLOOKUP(D1209,'MASTER ITEM LIST'!A:A,'MASTER ITEM LIST'!D:D), "")</f>
        <v>PC/S</v>
      </c>
      <c r="J1209" s="34">
        <f t="shared" si="2"/>
        <v>40</v>
      </c>
      <c r="K1209" s="196">
        <v>200.0</v>
      </c>
      <c r="L1209" s="70" t="s">
        <v>42</v>
      </c>
    </row>
    <row r="1210" ht="22.5" customHeight="1">
      <c r="A1210" s="29">
        <v>46203.0</v>
      </c>
      <c r="B1210" s="31"/>
      <c r="C1210" s="32" t="s">
        <v>711</v>
      </c>
      <c r="D1210" s="71" t="s">
        <v>505</v>
      </c>
      <c r="E1210" s="66" t="str">
        <f t="array" ref="E1210">IF(D1210="", "", XLOOKUP(D1210, 'MASTER ITEM LIST'!A:A, 'MASTER ITEM LIST'!B:B, ""))</f>
        <v>PAINT ROLLER TRAY</v>
      </c>
      <c r="F1210" s="31"/>
      <c r="G1210" s="195" t="s">
        <v>34</v>
      </c>
      <c r="H1210" s="31">
        <v>1.0</v>
      </c>
      <c r="I1210" s="31" t="str">
        <f t="array" ref="I1210">IFERROR(XLOOKUP(D1210,'MASTER ITEM LIST'!A:A,'MASTER ITEM LIST'!D:D), "")</f>
        <v>PC/S</v>
      </c>
      <c r="J1210" s="34">
        <f t="shared" si="2"/>
        <v>80</v>
      </c>
      <c r="K1210" s="196">
        <v>80.0</v>
      </c>
      <c r="L1210" s="70" t="s">
        <v>42</v>
      </c>
    </row>
    <row r="1211" ht="22.5" customHeight="1">
      <c r="A1211" s="29">
        <v>46203.0</v>
      </c>
      <c r="B1211" s="31"/>
      <c r="C1211" s="32" t="s">
        <v>711</v>
      </c>
      <c r="D1211" s="23" t="s">
        <v>31</v>
      </c>
      <c r="E1211" s="66" t="str">
        <f t="array" ref="E1211">IF(D1211="", "", XLOOKUP(D1211, 'MASTER ITEM LIST'!A:A, 'MASTER ITEM LIST'!B:B, ""))</f>
        <v>EXTREME QDU MIXING 1L</v>
      </c>
      <c r="F1211" s="31"/>
      <c r="G1211" s="195" t="s">
        <v>34</v>
      </c>
      <c r="H1211" s="31">
        <v>2.0</v>
      </c>
      <c r="I1211" s="31" t="str">
        <f t="array" ref="I1211">IFERROR(XLOOKUP(D1211,'MASTER ITEM LIST'!A:A,'MASTER ITEM LIST'!D:D), "")</f>
        <v>LITER</v>
      </c>
      <c r="J1211" s="34">
        <f t="shared" si="2"/>
        <v>600</v>
      </c>
      <c r="K1211" s="196">
        <v>1200.0</v>
      </c>
      <c r="L1211" s="70" t="s">
        <v>42</v>
      </c>
    </row>
    <row r="1212" ht="22.5" customHeight="1">
      <c r="A1212" s="29">
        <v>46203.0</v>
      </c>
      <c r="B1212" s="31"/>
      <c r="C1212" s="32" t="s">
        <v>711</v>
      </c>
      <c r="D1212" s="71" t="s">
        <v>160</v>
      </c>
      <c r="E1212" s="66" t="str">
        <f t="array" ref="E1212">IF(D1212="", "", XLOOKUP(D1212, 'MASTER ITEM LIST'!A:A, 'MASTER ITEM LIST'!B:B, ""))</f>
        <v>NAX 141 NAX MAXIMA URETHANE FD CLEAR WITH HARDENER 1L</v>
      </c>
      <c r="F1212" s="31"/>
      <c r="G1212" s="195" t="s">
        <v>34</v>
      </c>
      <c r="H1212" s="31">
        <v>1.5</v>
      </c>
      <c r="I1212" s="31" t="str">
        <f t="array" ref="I1212">IFERROR(XLOOKUP(D1212,'MASTER ITEM LIST'!A:A,'MASTER ITEM LIST'!D:D), "")</f>
        <v>LITER</v>
      </c>
      <c r="J1212" s="34">
        <f t="shared" si="2"/>
        <v>570</v>
      </c>
      <c r="K1212" s="196">
        <v>855.0</v>
      </c>
      <c r="L1212" s="70" t="s">
        <v>42</v>
      </c>
    </row>
    <row r="1213" ht="22.5" customHeight="1">
      <c r="A1213" s="29">
        <v>46203.0</v>
      </c>
      <c r="B1213" s="31"/>
      <c r="C1213" s="32" t="s">
        <v>711</v>
      </c>
      <c r="D1213" s="71" t="s">
        <v>90</v>
      </c>
      <c r="E1213" s="66" t="str">
        <f t="array" ref="E1213">IF(D1213="", "", XLOOKUP(D1213, 'MASTER ITEM LIST'!A:A, 'MASTER ITEM LIST'!B:B, ""))</f>
        <v>NAX SOB757 HIGH GRADE URETHANE THINNER 4L</v>
      </c>
      <c r="F1213" s="31"/>
      <c r="G1213" s="195" t="s">
        <v>34</v>
      </c>
      <c r="H1213" s="31">
        <v>1.0</v>
      </c>
      <c r="I1213" s="31" t="str">
        <f t="array" ref="I1213">IFERROR(XLOOKUP(D1213,'MASTER ITEM LIST'!A:A,'MASTER ITEM LIST'!D:D), "")</f>
        <v>GAL</v>
      </c>
      <c r="J1213" s="34">
        <f t="shared" si="2"/>
        <v>780</v>
      </c>
      <c r="K1213" s="196">
        <v>780.0</v>
      </c>
      <c r="L1213" s="70" t="s">
        <v>42</v>
      </c>
    </row>
    <row r="1214" ht="22.5" customHeight="1">
      <c r="A1214" s="29">
        <v>46203.0</v>
      </c>
      <c r="B1214" s="31"/>
      <c r="C1214" s="32" t="s">
        <v>711</v>
      </c>
      <c r="D1214" s="71" t="s">
        <v>695</v>
      </c>
      <c r="E1214" s="66" t="str">
        <f t="array" ref="E1214">IF(D1214="", "", XLOOKUP(D1214, 'MASTER ITEM LIST'!A:A, 'MASTER ITEM LIST'!B:B, ""))</f>
        <v>NIPPELAC ACE JET BLACK 4L</v>
      </c>
      <c r="F1214" s="31"/>
      <c r="G1214" s="195" t="s">
        <v>34</v>
      </c>
      <c r="H1214" s="31">
        <v>0.25</v>
      </c>
      <c r="I1214" s="31" t="str">
        <f t="array" ref="I1214">IFERROR(XLOOKUP(D1214,'MASTER ITEM LIST'!A:A,'MASTER ITEM LIST'!D:D), "")</f>
        <v>GAL</v>
      </c>
      <c r="J1214" s="34">
        <f t="shared" si="2"/>
        <v>1800</v>
      </c>
      <c r="K1214" s="196">
        <v>450.0</v>
      </c>
      <c r="L1214" s="70" t="s">
        <v>42</v>
      </c>
    </row>
    <row r="1215" ht="22.5" customHeight="1">
      <c r="A1215" s="29">
        <v>46203.0</v>
      </c>
      <c r="B1215" s="31"/>
      <c r="C1215" s="32" t="s">
        <v>711</v>
      </c>
      <c r="D1215" s="71" t="s">
        <v>136</v>
      </c>
      <c r="E1215" s="66" t="str">
        <f t="array" ref="E1215">IF(D1215="", "", XLOOKUP(D1215, 'MASTER ITEM LIST'!A:A, 'MASTER ITEM LIST'!B:B, ""))</f>
        <v>CROCO MASKING TAPE 3/4 18MM (1X64)</v>
      </c>
      <c r="F1215" s="31"/>
      <c r="G1215" s="195" t="s">
        <v>34</v>
      </c>
      <c r="H1215" s="31">
        <v>3.0</v>
      </c>
      <c r="I1215" s="31" t="str">
        <f t="array" ref="I1215">IFERROR(XLOOKUP(D1215,'MASTER ITEM LIST'!A:A,'MASTER ITEM LIST'!D:D), "")</f>
        <v>PC/S</v>
      </c>
      <c r="J1215" s="34">
        <f t="shared" si="2"/>
        <v>35</v>
      </c>
      <c r="K1215" s="196">
        <v>105.0</v>
      </c>
      <c r="L1215" s="70" t="s">
        <v>42</v>
      </c>
    </row>
    <row r="1216" ht="22.5" customHeight="1">
      <c r="A1216" s="29">
        <v>46203.0</v>
      </c>
      <c r="B1216" s="31"/>
      <c r="C1216" s="32" t="s">
        <v>711</v>
      </c>
      <c r="D1216" s="71" t="s">
        <v>674</v>
      </c>
      <c r="E1216" s="66" t="str">
        <f t="array" ref="E1216">IF(D1216="", "", XLOOKUP(D1216, 'MASTER ITEM LIST'!A:A, 'MASTER ITEM LIST'!B:B, ""))</f>
        <v>DOMINO BODY FILTER WITH HARDENER 1L</v>
      </c>
      <c r="F1216" s="31"/>
      <c r="G1216" s="195" t="s">
        <v>34</v>
      </c>
      <c r="H1216" s="31">
        <v>1.0</v>
      </c>
      <c r="I1216" s="31" t="str">
        <f t="array" ref="I1216">IFERROR(XLOOKUP(D1216,'MASTER ITEM LIST'!A:A,'MASTER ITEM LIST'!D:D), "")</f>
        <v>LITER</v>
      </c>
      <c r="J1216" s="34">
        <f t="shared" si="2"/>
        <v>220</v>
      </c>
      <c r="K1216" s="196">
        <v>220.0</v>
      </c>
      <c r="L1216" s="70" t="s">
        <v>42</v>
      </c>
    </row>
    <row r="1217" ht="22.5" customHeight="1">
      <c r="A1217" s="29">
        <v>46204.0</v>
      </c>
      <c r="B1217" s="31"/>
      <c r="C1217" s="32" t="s">
        <v>711</v>
      </c>
      <c r="D1217" s="71" t="s">
        <v>136</v>
      </c>
      <c r="E1217" s="66" t="str">
        <f t="array" ref="E1217">IF(D1217="", "", XLOOKUP(D1217, 'MASTER ITEM LIST'!A:A, 'MASTER ITEM LIST'!B:B, ""))</f>
        <v>CROCO MASKING TAPE 3/4 18MM (1X64)</v>
      </c>
      <c r="F1217" s="31"/>
      <c r="G1217" s="195" t="s">
        <v>34</v>
      </c>
      <c r="H1217" s="31">
        <v>2.0</v>
      </c>
      <c r="I1217" s="31" t="str">
        <f t="array" ref="I1217">IFERROR(XLOOKUP(D1217,'MASTER ITEM LIST'!A:A,'MASTER ITEM LIST'!D:D), "")</f>
        <v>PC/S</v>
      </c>
      <c r="J1217" s="34">
        <f t="shared" si="2"/>
        <v>35</v>
      </c>
      <c r="K1217" s="196">
        <v>70.0</v>
      </c>
      <c r="L1217" s="70" t="s">
        <v>42</v>
      </c>
    </row>
    <row r="1218" ht="22.5" customHeight="1">
      <c r="A1218" s="29">
        <v>46204.0</v>
      </c>
      <c r="B1218" s="31"/>
      <c r="C1218" s="32" t="s">
        <v>711</v>
      </c>
      <c r="D1218" s="71" t="s">
        <v>53</v>
      </c>
      <c r="E1218" s="66" t="str">
        <f t="array" ref="E1218">IF(D1218="", "", XLOOKUP(D1218, 'MASTER ITEM LIST'!A:A, 'MASTER ITEM LIST'!B:B, ""))</f>
        <v>NAX 108 CERAMIC 2K CLEAR WITH HARDENER 1L</v>
      </c>
      <c r="F1218" s="31"/>
      <c r="G1218" s="195" t="s">
        <v>34</v>
      </c>
      <c r="H1218" s="31">
        <v>1.0</v>
      </c>
      <c r="I1218" s="31" t="str">
        <f t="array" ref="I1218">IFERROR(XLOOKUP(D1218,'MASTER ITEM LIST'!A:A,'MASTER ITEM LIST'!D:D), "")</f>
        <v>LITER</v>
      </c>
      <c r="J1218" s="34">
        <f t="shared" si="2"/>
        <v>680</v>
      </c>
      <c r="K1218" s="196">
        <v>680.0</v>
      </c>
      <c r="L1218" s="70" t="s">
        <v>42</v>
      </c>
    </row>
    <row r="1219" ht="22.5" customHeight="1">
      <c r="A1219" s="29">
        <v>46204.0</v>
      </c>
      <c r="B1219" s="31"/>
      <c r="C1219" s="32" t="s">
        <v>711</v>
      </c>
      <c r="D1219" s="71" t="s">
        <v>520</v>
      </c>
      <c r="E1219" s="66" t="str">
        <f t="array" ref="E1219">IF(D1219="", "", XLOOKUP(D1219, 'MASTER ITEM LIST'!A:A, 'MASTER ITEM LIST'!B:B, ""))</f>
        <v>NIPPON ULTRA 8100T FD 2K CLEAR W/HARDENER 1L</v>
      </c>
      <c r="F1219" s="31"/>
      <c r="G1219" s="195" t="s">
        <v>34</v>
      </c>
      <c r="H1219" s="31">
        <v>0.5</v>
      </c>
      <c r="I1219" s="31" t="str">
        <f t="array" ref="I1219">IFERROR(XLOOKUP(D1219,'MASTER ITEM LIST'!A:A,'MASTER ITEM LIST'!D:D), "")</f>
        <v>LITER</v>
      </c>
      <c r="J1219" s="34">
        <f t="shared" si="2"/>
        <v>1900</v>
      </c>
      <c r="K1219" s="196">
        <v>950.0</v>
      </c>
      <c r="L1219" s="70" t="s">
        <v>42</v>
      </c>
    </row>
    <row r="1220" ht="22.5" customHeight="1">
      <c r="A1220" s="29">
        <v>46204.0</v>
      </c>
      <c r="B1220" s="31"/>
      <c r="C1220" s="32" t="s">
        <v>711</v>
      </c>
      <c r="D1220" s="71" t="s">
        <v>72</v>
      </c>
      <c r="E1220" s="66" t="str">
        <f t="array" ref="E1220">IF(D1220="", "", XLOOKUP(D1220, 'MASTER ITEM LIST'!A:A, 'MASTER ITEM LIST'!B:B, ""))</f>
        <v>NIPPON EXTREME QDU BLACK 4L</v>
      </c>
      <c r="F1220" s="31"/>
      <c r="G1220" s="195" t="s">
        <v>34</v>
      </c>
      <c r="H1220" s="31">
        <v>0.0625</v>
      </c>
      <c r="I1220" s="31" t="str">
        <f t="array" ref="I1220">IFERROR(XLOOKUP(D1220,'MASTER ITEM LIST'!A:A,'MASTER ITEM LIST'!D:D), "")</f>
        <v>GAL</v>
      </c>
      <c r="J1220" s="34">
        <f t="shared" si="2"/>
        <v>3200</v>
      </c>
      <c r="K1220" s="196">
        <v>200.0</v>
      </c>
      <c r="L1220" s="70" t="s">
        <v>42</v>
      </c>
    </row>
    <row r="1221" ht="22.5" customHeight="1">
      <c r="A1221" s="29">
        <v>46204.0</v>
      </c>
      <c r="B1221" s="31"/>
      <c r="C1221" s="32" t="s">
        <v>711</v>
      </c>
      <c r="D1221" s="71" t="s">
        <v>90</v>
      </c>
      <c r="E1221" s="66" t="str">
        <f t="array" ref="E1221">IF(D1221="", "", XLOOKUP(D1221, 'MASTER ITEM LIST'!A:A, 'MASTER ITEM LIST'!B:B, ""))</f>
        <v>NAX SOB757 HIGH GRADE URETHANE THINNER 4L</v>
      </c>
      <c r="F1221" s="31"/>
      <c r="G1221" s="195" t="s">
        <v>34</v>
      </c>
      <c r="H1221" s="31">
        <v>0.25</v>
      </c>
      <c r="I1221" s="31" t="str">
        <f t="array" ref="I1221">IFERROR(XLOOKUP(D1221,'MASTER ITEM LIST'!A:A,'MASTER ITEM LIST'!D:D), "")</f>
        <v>GAL</v>
      </c>
      <c r="J1221" s="34">
        <f t="shared" si="2"/>
        <v>800</v>
      </c>
      <c r="K1221" s="196">
        <v>200.0</v>
      </c>
      <c r="L1221" s="70" t="s">
        <v>42</v>
      </c>
    </row>
    <row r="1222" ht="22.5" customHeight="1">
      <c r="A1222" s="29">
        <v>46204.0</v>
      </c>
      <c r="B1222" s="31" t="s">
        <v>1752</v>
      </c>
      <c r="C1222" s="32" t="s">
        <v>1527</v>
      </c>
      <c r="D1222" s="71" t="s">
        <v>604</v>
      </c>
      <c r="E1222" s="66" t="str">
        <f t="array" ref="E1222">IF(D1222="", "", XLOOKUP(D1222, 'MASTER ITEM LIST'!A:A, 'MASTER ITEM LIST'!B:B, ""))</f>
        <v>METALGUARD EPOXY PRIMER WHITE WITH HARDENER 4L</v>
      </c>
      <c r="F1222" s="31"/>
      <c r="G1222" s="195" t="s">
        <v>34</v>
      </c>
      <c r="H1222" s="31">
        <v>1.0</v>
      </c>
      <c r="I1222" s="31" t="str">
        <f t="array" ref="I1222">IFERROR(XLOOKUP(D1222,'MASTER ITEM LIST'!A:A,'MASTER ITEM LIST'!D:D), "")</f>
        <v>GAL</v>
      </c>
      <c r="J1222" s="34">
        <f t="shared" si="2"/>
        <v>1150</v>
      </c>
      <c r="K1222" s="196">
        <v>1150.0</v>
      </c>
      <c r="L1222" s="70" t="s">
        <v>42</v>
      </c>
    </row>
    <row r="1223" ht="22.5" customHeight="1">
      <c r="A1223" s="29">
        <v>46204.0</v>
      </c>
      <c r="B1223" s="31" t="s">
        <v>1752</v>
      </c>
      <c r="C1223" s="32" t="s">
        <v>1527</v>
      </c>
      <c r="D1223" s="71" t="s">
        <v>1185</v>
      </c>
      <c r="E1223" s="66" t="str">
        <f t="array" ref="E1223">IF(D1223="", "", XLOOKUP(D1223, 'MASTER ITEM LIST'!A:A, 'MASTER ITEM LIST'!B:B, ""))</f>
        <v>DO IT URETHANE HARDENER</v>
      </c>
      <c r="F1223" s="31"/>
      <c r="G1223" s="195" t="s">
        <v>34</v>
      </c>
      <c r="H1223" s="31">
        <v>4.0</v>
      </c>
      <c r="I1223" s="31" t="str">
        <f t="array" ref="I1223">IFERROR(XLOOKUP(D1223,'MASTER ITEM LIST'!A:A,'MASTER ITEM LIST'!D:D), "")</f>
        <v>CAN</v>
      </c>
      <c r="J1223" s="34">
        <f t="shared" si="2"/>
        <v>280</v>
      </c>
      <c r="K1223" s="196">
        <v>1120.0</v>
      </c>
      <c r="L1223" s="70" t="s">
        <v>42</v>
      </c>
    </row>
    <row r="1224" ht="22.5" customHeight="1">
      <c r="A1224" s="29">
        <v>46204.0</v>
      </c>
      <c r="B1224" s="31"/>
      <c r="C1224" s="32" t="s">
        <v>711</v>
      </c>
      <c r="D1224" s="71" t="s">
        <v>90</v>
      </c>
      <c r="E1224" s="66" t="str">
        <f t="array" ref="E1224">IF(D1224="", "", XLOOKUP(D1224, 'MASTER ITEM LIST'!A:A, 'MASTER ITEM LIST'!B:B, ""))</f>
        <v>NAX SOB757 HIGH GRADE URETHANE THINNER 4L</v>
      </c>
      <c r="F1224" s="31"/>
      <c r="G1224" s="195" t="s">
        <v>1376</v>
      </c>
      <c r="H1224" s="31">
        <v>2.0</v>
      </c>
      <c r="I1224" s="31" t="str">
        <f t="array" ref="I1224">IFERROR(XLOOKUP(D1224,'MASTER ITEM LIST'!A:A,'MASTER ITEM LIST'!D:D), "")</f>
        <v>GAL</v>
      </c>
      <c r="J1224" s="34">
        <f t="shared" si="2"/>
        <v>780</v>
      </c>
      <c r="K1224" s="196">
        <v>1560.0</v>
      </c>
      <c r="L1224" s="70" t="s">
        <v>42</v>
      </c>
    </row>
    <row r="1225" ht="22.5" customHeight="1">
      <c r="A1225" s="29">
        <v>46204.0</v>
      </c>
      <c r="B1225" s="31"/>
      <c r="C1225" s="32" t="s">
        <v>711</v>
      </c>
      <c r="D1225" s="71" t="s">
        <v>950</v>
      </c>
      <c r="E1225" s="66" t="str">
        <f t="array" ref="E1225">IF(D1225="", "", XLOOKUP(D1225, 'MASTER ITEM LIST'!A:A, 'MASTER ITEM LIST'!B:B, ""))</f>
        <v>DO IT URETHANE WHITE 4L</v>
      </c>
      <c r="F1225" s="31"/>
      <c r="G1225" s="195" t="s">
        <v>1376</v>
      </c>
      <c r="H1225" s="31">
        <v>0.75</v>
      </c>
      <c r="I1225" s="31" t="str">
        <f t="array" ref="I1225">IFERROR(XLOOKUP(D1225,'MASTER ITEM LIST'!A:A,'MASTER ITEM LIST'!D:D), "")</f>
        <v>GAL/S</v>
      </c>
      <c r="J1225" s="34">
        <f t="shared" si="2"/>
        <v>2400</v>
      </c>
      <c r="K1225" s="196">
        <v>1800.0</v>
      </c>
      <c r="L1225" s="70" t="s">
        <v>42</v>
      </c>
    </row>
    <row r="1226" ht="22.5" customHeight="1">
      <c r="A1226" s="29">
        <v>46204.0</v>
      </c>
      <c r="B1226" s="31" t="s">
        <v>1753</v>
      </c>
      <c r="C1226" s="32" t="s">
        <v>1210</v>
      </c>
      <c r="D1226" s="71" t="s">
        <v>220</v>
      </c>
      <c r="E1226" s="66" t="str">
        <f t="array" ref="E1226">IF(D1226="", "", XLOOKUP(D1226, 'MASTER ITEM LIST'!A:A, 'MASTER ITEM LIST'!B:B, ""))</f>
        <v>PREMILA MIXING 1L</v>
      </c>
      <c r="F1226" s="31" t="s">
        <v>1754</v>
      </c>
      <c r="G1226" s="195" t="s">
        <v>1211</v>
      </c>
      <c r="H1226" s="31">
        <v>0.2</v>
      </c>
      <c r="I1226" s="31" t="str">
        <f t="array" ref="I1226">IFERROR(XLOOKUP(D1226,'MASTER ITEM LIST'!A:A,'MASTER ITEM LIST'!D:D), "")</f>
        <v>LITER</v>
      </c>
      <c r="J1226" s="34">
        <f t="shared" si="2"/>
        <v>2900</v>
      </c>
      <c r="K1226" s="196">
        <v>580.0</v>
      </c>
      <c r="L1226" s="70" t="s">
        <v>1212</v>
      </c>
    </row>
    <row r="1227" ht="22.5" customHeight="1">
      <c r="A1227" s="29">
        <v>46204.0</v>
      </c>
      <c r="B1227" s="31" t="s">
        <v>1753</v>
      </c>
      <c r="C1227" s="32" t="s">
        <v>1210</v>
      </c>
      <c r="D1227" s="71" t="s">
        <v>90</v>
      </c>
      <c r="E1227" s="66" t="str">
        <f t="array" ref="E1227">IF(D1227="", "", XLOOKUP(D1227, 'MASTER ITEM LIST'!A:A, 'MASTER ITEM LIST'!B:B, ""))</f>
        <v>NAX SOB757 HIGH GRADE URETHANE THINNER 4L</v>
      </c>
      <c r="F1227" s="31"/>
      <c r="G1227" s="195" t="s">
        <v>1211</v>
      </c>
      <c r="H1227" s="31">
        <v>0.25</v>
      </c>
      <c r="I1227" s="31" t="str">
        <f t="array" ref="I1227">IFERROR(XLOOKUP(D1227,'MASTER ITEM LIST'!A:A,'MASTER ITEM LIST'!D:D), "")</f>
        <v>GAL</v>
      </c>
      <c r="J1227" s="34">
        <f t="shared" si="2"/>
        <v>800</v>
      </c>
      <c r="K1227" s="196">
        <v>200.0</v>
      </c>
      <c r="L1227" s="70" t="s">
        <v>1212</v>
      </c>
    </row>
    <row r="1228" ht="22.5" customHeight="1">
      <c r="A1228" s="29">
        <v>46204.0</v>
      </c>
      <c r="B1228" s="31" t="s">
        <v>1753</v>
      </c>
      <c r="C1228" s="32" t="s">
        <v>1210</v>
      </c>
      <c r="D1228" s="71" t="s">
        <v>53</v>
      </c>
      <c r="E1228" s="66" t="str">
        <f t="array" ref="E1228">IF(D1228="", "", XLOOKUP(D1228, 'MASTER ITEM LIST'!A:A, 'MASTER ITEM LIST'!B:B, ""))</f>
        <v>NAX 108 CERAMIC 2K CLEAR WITH HARDENER 1L</v>
      </c>
      <c r="F1228" s="31"/>
      <c r="G1228" s="195" t="s">
        <v>1211</v>
      </c>
      <c r="H1228" s="31">
        <v>0.5</v>
      </c>
      <c r="I1228" s="31" t="str">
        <f t="array" ref="I1228">IFERROR(XLOOKUP(D1228,'MASTER ITEM LIST'!A:A,'MASTER ITEM LIST'!D:D), "")</f>
        <v>LITER</v>
      </c>
      <c r="J1228" s="34">
        <f t="shared" si="2"/>
        <v>720</v>
      </c>
      <c r="K1228" s="196">
        <v>360.0</v>
      </c>
      <c r="L1228" s="70" t="s">
        <v>1212</v>
      </c>
    </row>
    <row r="1229" ht="22.5" customHeight="1">
      <c r="A1229" s="29">
        <v>46204.0</v>
      </c>
      <c r="B1229" s="31" t="s">
        <v>1753</v>
      </c>
      <c r="C1229" s="32" t="s">
        <v>1210</v>
      </c>
      <c r="D1229" s="71" t="s">
        <v>136</v>
      </c>
      <c r="E1229" s="66" t="str">
        <f t="array" ref="E1229">IF(D1229="", "", XLOOKUP(D1229, 'MASTER ITEM LIST'!A:A, 'MASTER ITEM LIST'!B:B, ""))</f>
        <v>CROCO MASKING TAPE 3/4 18MM (1X64)</v>
      </c>
      <c r="F1229" s="31"/>
      <c r="G1229" s="195" t="s">
        <v>1211</v>
      </c>
      <c r="H1229" s="31">
        <v>3.0</v>
      </c>
      <c r="I1229" s="31" t="str">
        <f t="array" ref="I1229">IFERROR(XLOOKUP(D1229,'MASTER ITEM LIST'!A:A,'MASTER ITEM LIST'!D:D), "")</f>
        <v>PC/S</v>
      </c>
      <c r="J1229" s="34">
        <f t="shared" si="2"/>
        <v>35</v>
      </c>
      <c r="K1229" s="196">
        <v>105.0</v>
      </c>
      <c r="L1229" s="70" t="s">
        <v>1212</v>
      </c>
    </row>
    <row r="1230" ht="22.5" customHeight="1">
      <c r="A1230" s="29">
        <v>46204.0</v>
      </c>
      <c r="B1230" s="31" t="s">
        <v>1753</v>
      </c>
      <c r="C1230" s="32" t="s">
        <v>1210</v>
      </c>
      <c r="D1230" s="71" t="s">
        <v>63</v>
      </c>
      <c r="E1230" s="66" t="str">
        <f t="array" ref="E1230">IF(D1230="", "", XLOOKUP(D1230, 'MASTER ITEM LIST'!A:A, 'MASTER ITEM LIST'!B:B, ""))</f>
        <v>OLD NEWS</v>
      </c>
      <c r="F1230" s="31"/>
      <c r="G1230" s="195" t="s">
        <v>1211</v>
      </c>
      <c r="H1230" s="31">
        <v>1.0</v>
      </c>
      <c r="I1230" s="31" t="str">
        <f t="array" ref="I1230">IFERROR(XLOOKUP(D1230,'MASTER ITEM LIST'!A:A,'MASTER ITEM LIST'!D:D), "")</f>
        <v>KG</v>
      </c>
      <c r="J1230" s="34">
        <f t="shared" si="2"/>
        <v>100</v>
      </c>
      <c r="K1230" s="196">
        <v>100.0</v>
      </c>
      <c r="L1230" s="70" t="s">
        <v>1212</v>
      </c>
    </row>
    <row r="1231" ht="22.5" customHeight="1">
      <c r="A1231" s="29">
        <v>46204.0</v>
      </c>
      <c r="B1231" s="31" t="s">
        <v>1755</v>
      </c>
      <c r="C1231" s="32" t="s">
        <v>1210</v>
      </c>
      <c r="D1231" s="71" t="s">
        <v>1168</v>
      </c>
      <c r="E1231" s="66" t="str">
        <f t="array" ref="E1231">IF(D1231="", "", XLOOKUP(D1231, 'MASTER ITEM LIST'!A:A, 'MASTER ITEM LIST'!B:B, ""))</f>
        <v>URETHANE MIXING POLYGLOSS, DO IT 4L</v>
      </c>
      <c r="F1231" s="31"/>
      <c r="G1231" s="195" t="s">
        <v>1211</v>
      </c>
      <c r="H1231" s="31">
        <v>0.125</v>
      </c>
      <c r="I1231" s="31" t="str">
        <f t="array" ref="I1231">IFERROR(XLOOKUP(D1231,'MASTER ITEM LIST'!A:A,'MASTER ITEM LIST'!D:D), "")</f>
        <v>GALON</v>
      </c>
      <c r="J1231" s="34">
        <f t="shared" si="2"/>
        <v>4800</v>
      </c>
      <c r="K1231" s="196">
        <v>600.0</v>
      </c>
      <c r="L1231" s="70" t="s">
        <v>1212</v>
      </c>
    </row>
    <row r="1232" ht="22.5" customHeight="1">
      <c r="A1232" s="29">
        <v>46204.0</v>
      </c>
      <c r="B1232" s="31" t="s">
        <v>1755</v>
      </c>
      <c r="C1232" s="32" t="s">
        <v>1210</v>
      </c>
      <c r="D1232" s="71" t="s">
        <v>90</v>
      </c>
      <c r="E1232" s="66" t="str">
        <f t="array" ref="E1232">IF(D1232="", "", XLOOKUP(D1232, 'MASTER ITEM LIST'!A:A, 'MASTER ITEM LIST'!B:B, ""))</f>
        <v>NAX SOB757 HIGH GRADE URETHANE THINNER 4L</v>
      </c>
      <c r="F1232" s="31"/>
      <c r="G1232" s="195" t="s">
        <v>1211</v>
      </c>
      <c r="H1232" s="31">
        <v>0.25</v>
      </c>
      <c r="I1232" s="31" t="str">
        <f t="array" ref="I1232">IFERROR(XLOOKUP(D1232,'MASTER ITEM LIST'!A:A,'MASTER ITEM LIST'!D:D), "")</f>
        <v>GAL</v>
      </c>
      <c r="J1232" s="34">
        <f t="shared" si="2"/>
        <v>800</v>
      </c>
      <c r="K1232" s="196">
        <v>200.0</v>
      </c>
      <c r="L1232" s="70" t="s">
        <v>1212</v>
      </c>
    </row>
    <row r="1233" ht="22.5" customHeight="1">
      <c r="A1233" s="29">
        <v>46204.0</v>
      </c>
      <c r="B1233" s="31" t="s">
        <v>1755</v>
      </c>
      <c r="C1233" s="32" t="s">
        <v>1210</v>
      </c>
      <c r="D1233" s="71" t="s">
        <v>53</v>
      </c>
      <c r="E1233" s="66" t="str">
        <f t="array" ref="E1233">IF(D1233="", "", XLOOKUP(D1233, 'MASTER ITEM LIST'!A:A, 'MASTER ITEM LIST'!B:B, ""))</f>
        <v>NAX 108 CERAMIC 2K CLEAR WITH HARDENER 1L</v>
      </c>
      <c r="F1233" s="31"/>
      <c r="G1233" s="195" t="s">
        <v>1211</v>
      </c>
      <c r="H1233" s="31">
        <v>1.0</v>
      </c>
      <c r="I1233" s="31" t="str">
        <f t="array" ref="I1233">IFERROR(XLOOKUP(D1233,'MASTER ITEM LIST'!A:A,'MASTER ITEM LIST'!D:D), "")</f>
        <v>LITER</v>
      </c>
      <c r="J1233" s="34">
        <f t="shared" si="2"/>
        <v>710</v>
      </c>
      <c r="K1233" s="196">
        <v>710.0</v>
      </c>
      <c r="L1233" s="70" t="s">
        <v>1212</v>
      </c>
    </row>
    <row r="1234" ht="22.5" customHeight="1">
      <c r="A1234" s="29">
        <v>46204.0</v>
      </c>
      <c r="B1234" s="31" t="s">
        <v>1755</v>
      </c>
      <c r="C1234" s="32" t="s">
        <v>1210</v>
      </c>
      <c r="D1234" s="71" t="s">
        <v>674</v>
      </c>
      <c r="E1234" s="66" t="str">
        <f t="array" ref="E1234">IF(D1234="", "", XLOOKUP(D1234, 'MASTER ITEM LIST'!A:A, 'MASTER ITEM LIST'!B:B, ""))</f>
        <v>DOMINO BODY FILTER WITH HARDENER 1L</v>
      </c>
      <c r="F1234" s="31"/>
      <c r="G1234" s="195" t="s">
        <v>1211</v>
      </c>
      <c r="H1234" s="31">
        <v>1.0</v>
      </c>
      <c r="I1234" s="31" t="str">
        <f t="array" ref="I1234">IFERROR(XLOOKUP(D1234,'MASTER ITEM LIST'!A:A,'MASTER ITEM LIST'!D:D), "")</f>
        <v>LITER</v>
      </c>
      <c r="J1234" s="34">
        <f t="shared" si="2"/>
        <v>220</v>
      </c>
      <c r="K1234" s="196">
        <v>220.0</v>
      </c>
      <c r="L1234" s="70" t="s">
        <v>1212</v>
      </c>
    </row>
    <row r="1235" ht="22.5" customHeight="1">
      <c r="A1235" s="29">
        <v>46204.0</v>
      </c>
      <c r="B1235" s="31" t="s">
        <v>1755</v>
      </c>
      <c r="C1235" s="32" t="s">
        <v>1210</v>
      </c>
      <c r="D1235" s="71" t="s">
        <v>136</v>
      </c>
      <c r="E1235" s="66" t="str">
        <f t="array" ref="E1235">IF(D1235="", "", XLOOKUP(D1235, 'MASTER ITEM LIST'!A:A, 'MASTER ITEM LIST'!B:B, ""))</f>
        <v>CROCO MASKING TAPE 3/4 18MM (1X64)</v>
      </c>
      <c r="F1235" s="31"/>
      <c r="G1235" s="195" t="s">
        <v>1211</v>
      </c>
      <c r="H1235" s="31">
        <v>4.0</v>
      </c>
      <c r="I1235" s="31" t="str">
        <f t="array" ref="I1235">IFERROR(XLOOKUP(D1235,'MASTER ITEM LIST'!A:A,'MASTER ITEM LIST'!D:D), "")</f>
        <v>PC/S</v>
      </c>
      <c r="J1235" s="34">
        <f t="shared" si="2"/>
        <v>35</v>
      </c>
      <c r="K1235" s="196">
        <v>140.0</v>
      </c>
      <c r="L1235" s="70" t="s">
        <v>1212</v>
      </c>
    </row>
    <row r="1236" ht="22.5" customHeight="1">
      <c r="A1236" s="29">
        <v>46204.0</v>
      </c>
      <c r="B1236" s="31" t="s">
        <v>1755</v>
      </c>
      <c r="C1236" s="32" t="s">
        <v>1210</v>
      </c>
      <c r="D1236" s="71" t="s">
        <v>198</v>
      </c>
      <c r="E1236" s="66" t="str">
        <f t="array" ref="E1236">IF(D1236="", "", XLOOKUP(D1236, 'MASTER ITEM LIST'!A:A, 'MASTER ITEM LIST'!B:B, ""))</f>
        <v>EAGLE SANDPAPER #2000</v>
      </c>
      <c r="F1236" s="31"/>
      <c r="G1236" s="195" t="s">
        <v>1211</v>
      </c>
      <c r="H1236" s="31">
        <v>2.0</v>
      </c>
      <c r="I1236" s="31" t="str">
        <f t="array" ref="I1236">IFERROR(XLOOKUP(D1236,'MASTER ITEM LIST'!A:A,'MASTER ITEM LIST'!D:D), "")</f>
        <v>PC/S</v>
      </c>
      <c r="J1236" s="34">
        <f t="shared" si="2"/>
        <v>35</v>
      </c>
      <c r="K1236" s="196">
        <v>70.0</v>
      </c>
      <c r="L1236" s="70" t="s">
        <v>1212</v>
      </c>
    </row>
    <row r="1237" ht="22.5" customHeight="1">
      <c r="A1237" s="29">
        <v>46204.0</v>
      </c>
      <c r="B1237" s="31" t="s">
        <v>1755</v>
      </c>
      <c r="C1237" s="32" t="s">
        <v>1210</v>
      </c>
      <c r="D1237" s="71" t="s">
        <v>326</v>
      </c>
      <c r="E1237" s="66" t="str">
        <f t="array" ref="E1237">IF(D1237="", "", XLOOKUP(D1237, 'MASTER ITEM LIST'!A:A, 'MASTER ITEM LIST'!B:B, ""))</f>
        <v>EAGLE SANDPAPER #1200</v>
      </c>
      <c r="F1237" s="31"/>
      <c r="G1237" s="195" t="s">
        <v>1211</v>
      </c>
      <c r="H1237" s="31">
        <v>2.0</v>
      </c>
      <c r="I1237" s="31" t="str">
        <f t="array" ref="I1237">IFERROR(XLOOKUP(D1237,'MASTER ITEM LIST'!A:A,'MASTER ITEM LIST'!D:D), "")</f>
        <v>PC/S</v>
      </c>
      <c r="J1237" s="34">
        <f t="shared" si="2"/>
        <v>25</v>
      </c>
      <c r="K1237" s="196">
        <v>50.0</v>
      </c>
      <c r="L1237" s="70" t="s">
        <v>1212</v>
      </c>
    </row>
    <row r="1238" ht="22.5" customHeight="1">
      <c r="A1238" s="29">
        <v>46205.0</v>
      </c>
      <c r="B1238" s="31"/>
      <c r="C1238" s="32" t="s">
        <v>711</v>
      </c>
      <c r="D1238" s="71" t="s">
        <v>980</v>
      </c>
      <c r="E1238" s="66" t="str">
        <f t="array" ref="E1238">IF(D1238="", "", XLOOKUP(D1238, 'MASTER ITEM LIST'!A:A, 'MASTER ITEM LIST'!B:B, ""))</f>
        <v>METALGUARD EPOXY PRIMER BLACK W/H REPACK</v>
      </c>
      <c r="F1238" s="31"/>
      <c r="G1238" s="195" t="s">
        <v>34</v>
      </c>
      <c r="H1238" s="31">
        <v>1.0</v>
      </c>
      <c r="I1238" s="31" t="str">
        <f t="array" ref="I1238">IFERROR(XLOOKUP(D1238,'MASTER ITEM LIST'!A:A,'MASTER ITEM LIST'!D:D), "")</f>
        <v>LITER</v>
      </c>
      <c r="J1238" s="34">
        <f t="shared" si="2"/>
        <v>300</v>
      </c>
      <c r="K1238" s="196">
        <v>300.0</v>
      </c>
      <c r="L1238" s="70" t="s">
        <v>42</v>
      </c>
    </row>
    <row r="1239" ht="22.5" customHeight="1">
      <c r="A1239" s="29">
        <v>46205.0</v>
      </c>
      <c r="B1239" s="31"/>
      <c r="C1239" s="32" t="s">
        <v>711</v>
      </c>
      <c r="D1239" s="71" t="s">
        <v>1166</v>
      </c>
      <c r="E1239" s="66" t="str">
        <f t="array" ref="E1239">IF(D1239="", "", XLOOKUP(D1239, 'MASTER ITEM LIST'!A:A, 'MASTER ITEM LIST'!B:B, ""))</f>
        <v>2B PAINT BRUSH 1 1/2</v>
      </c>
      <c r="F1239" s="31"/>
      <c r="G1239" s="195" t="s">
        <v>34</v>
      </c>
      <c r="H1239" s="31">
        <v>1.0</v>
      </c>
      <c r="I1239" s="31" t="str">
        <f t="array" ref="I1239">IFERROR(XLOOKUP(D1239,'MASTER ITEM LIST'!A:A,'MASTER ITEM LIST'!D:D), "")</f>
        <v>PC/S</v>
      </c>
      <c r="J1239" s="34">
        <f t="shared" si="2"/>
        <v>40</v>
      </c>
      <c r="K1239" s="196">
        <v>40.0</v>
      </c>
      <c r="L1239" s="70" t="s">
        <v>42</v>
      </c>
    </row>
    <row r="1240" ht="22.5" customHeight="1">
      <c r="A1240" s="29">
        <v>46205.0</v>
      </c>
      <c r="B1240" s="31" t="s">
        <v>1756</v>
      </c>
      <c r="C1240" s="32" t="s">
        <v>1535</v>
      </c>
      <c r="D1240" s="71" t="s">
        <v>537</v>
      </c>
      <c r="E1240" s="66" t="str">
        <f t="array" ref="E1240">IF(D1240="", "", XLOOKUP(D1240, 'MASTER ITEM LIST'!A:A, 'MASTER ITEM LIST'!B:B, ""))</f>
        <v>NIPPON METAL PRIMER RED OXIDE GAL</v>
      </c>
      <c r="F1240" s="31"/>
      <c r="G1240" s="195" t="s">
        <v>34</v>
      </c>
      <c r="H1240" s="31">
        <v>1.0</v>
      </c>
      <c r="I1240" s="31" t="str">
        <f t="array" ref="I1240">IFERROR(XLOOKUP(D1240,'MASTER ITEM LIST'!A:A,'MASTER ITEM LIST'!D:D), "")</f>
        <v>GAL</v>
      </c>
      <c r="J1240" s="34">
        <f t="shared" si="2"/>
        <v>780</v>
      </c>
      <c r="K1240" s="196">
        <v>780.0</v>
      </c>
      <c r="L1240" s="70" t="s">
        <v>42</v>
      </c>
    </row>
    <row r="1241" ht="22.5" customHeight="1">
      <c r="A1241" s="29">
        <v>46205.0</v>
      </c>
      <c r="B1241" s="31" t="s">
        <v>1756</v>
      </c>
      <c r="C1241" s="32" t="s">
        <v>1535</v>
      </c>
      <c r="D1241" s="71" t="s">
        <v>177</v>
      </c>
      <c r="E1241" s="66" t="str">
        <f t="array" ref="E1241">IF(D1241="", "", XLOOKUP(D1241, 'MASTER ITEM LIST'!A:A, 'MASTER ITEM LIST'!B:B, ""))</f>
        <v>UNO LACQUER THINNER BOT</v>
      </c>
      <c r="F1241" s="31"/>
      <c r="G1241" s="195" t="s">
        <v>34</v>
      </c>
      <c r="H1241" s="31">
        <v>1.0</v>
      </c>
      <c r="I1241" s="31" t="str">
        <f t="array" ref="I1241">IFERROR(XLOOKUP(D1241,'MASTER ITEM LIST'!A:A,'MASTER ITEM LIST'!D:D), "")</f>
        <v>BOT</v>
      </c>
      <c r="J1241" s="34">
        <f t="shared" si="2"/>
        <v>80</v>
      </c>
      <c r="K1241" s="196">
        <v>80.0</v>
      </c>
      <c r="L1241" s="70" t="s">
        <v>42</v>
      </c>
    </row>
    <row r="1242" ht="22.5" customHeight="1">
      <c r="A1242" s="29">
        <v>46205.0</v>
      </c>
      <c r="B1242" s="31" t="s">
        <v>1756</v>
      </c>
      <c r="C1242" s="32" t="s">
        <v>1535</v>
      </c>
      <c r="D1242" s="71" t="s">
        <v>1147</v>
      </c>
      <c r="E1242" s="66" t="str">
        <f t="array" ref="E1242">IF(D1242="", "", XLOOKUP(D1242, 'MASTER ITEM LIST'!A:A, 'MASTER ITEM LIST'!B:B, ""))</f>
        <v>2B PAINT BRUSH #3</v>
      </c>
      <c r="F1242" s="31"/>
      <c r="G1242" s="195" t="s">
        <v>34</v>
      </c>
      <c r="H1242" s="31">
        <v>1.0</v>
      </c>
      <c r="I1242" s="31" t="str">
        <f t="array" ref="I1242">IFERROR(XLOOKUP(D1242,'MASTER ITEM LIST'!A:A,'MASTER ITEM LIST'!D:D), "")</f>
        <v>PC/S</v>
      </c>
      <c r="J1242" s="34">
        <f t="shared" si="2"/>
        <v>90</v>
      </c>
      <c r="K1242" s="196">
        <v>90.0</v>
      </c>
      <c r="L1242" s="70" t="s">
        <v>42</v>
      </c>
    </row>
    <row r="1243" ht="22.5" customHeight="1">
      <c r="A1243" s="29">
        <v>46205.0</v>
      </c>
      <c r="B1243" s="31"/>
      <c r="C1243" s="32" t="s">
        <v>711</v>
      </c>
      <c r="D1243" s="71" t="s">
        <v>53</v>
      </c>
      <c r="E1243" s="66" t="str">
        <f t="array" ref="E1243">IF(D1243="", "", XLOOKUP(D1243, 'MASTER ITEM LIST'!A:A, 'MASTER ITEM LIST'!B:B, ""))</f>
        <v>NAX 108 CERAMIC 2K CLEAR WITH HARDENER 1L</v>
      </c>
      <c r="F1243" s="31"/>
      <c r="G1243" s="195" t="s">
        <v>34</v>
      </c>
      <c r="H1243" s="31">
        <v>1.0</v>
      </c>
      <c r="I1243" s="31" t="str">
        <f t="array" ref="I1243">IFERROR(XLOOKUP(D1243,'MASTER ITEM LIST'!A:A,'MASTER ITEM LIST'!D:D), "")</f>
        <v>LITER</v>
      </c>
      <c r="J1243" s="34">
        <f t="shared" si="2"/>
        <v>680</v>
      </c>
      <c r="K1243" s="196">
        <v>680.0</v>
      </c>
      <c r="L1243" s="70" t="s">
        <v>42</v>
      </c>
    </row>
    <row r="1244" ht="22.5" customHeight="1">
      <c r="A1244" s="29">
        <v>46205.0</v>
      </c>
      <c r="B1244" s="31"/>
      <c r="C1244" s="32" t="s">
        <v>711</v>
      </c>
      <c r="D1244" s="71" t="s">
        <v>233</v>
      </c>
      <c r="E1244" s="66" t="str">
        <f t="array" ref="E1244">IF(D1244="", "", XLOOKUP(D1244, 'MASTER ITEM LIST'!A:A, 'MASTER ITEM LIST'!B:B, ""))</f>
        <v>NAX ALPHA HB SPRAY FILLER GRAY WITH HARDENER 1L</v>
      </c>
      <c r="F1244" s="31"/>
      <c r="G1244" s="195" t="s">
        <v>34</v>
      </c>
      <c r="H1244" s="31">
        <v>1.0</v>
      </c>
      <c r="I1244" s="31" t="str">
        <f t="array" ref="I1244">IFERROR(XLOOKUP(D1244,'MASTER ITEM LIST'!A:A,'MASTER ITEM LIST'!D:D), "")</f>
        <v>LITER</v>
      </c>
      <c r="J1244" s="34">
        <f t="shared" si="2"/>
        <v>600</v>
      </c>
      <c r="K1244" s="196">
        <v>600.0</v>
      </c>
      <c r="L1244" s="70" t="s">
        <v>42</v>
      </c>
    </row>
    <row r="1245" ht="22.5" customHeight="1">
      <c r="A1245" s="29">
        <v>46205.0</v>
      </c>
      <c r="B1245" s="31"/>
      <c r="C1245" s="32" t="s">
        <v>711</v>
      </c>
      <c r="D1245" s="71" t="s">
        <v>72</v>
      </c>
      <c r="E1245" s="66" t="str">
        <f t="array" ref="E1245">IF(D1245="", "", XLOOKUP(D1245, 'MASTER ITEM LIST'!A:A, 'MASTER ITEM LIST'!B:B, ""))</f>
        <v>NIPPON EXTREME QDU BLACK 4L</v>
      </c>
      <c r="F1245" s="31"/>
      <c r="G1245" s="195" t="s">
        <v>34</v>
      </c>
      <c r="H1245" s="31">
        <v>0.0625</v>
      </c>
      <c r="I1245" s="31" t="str">
        <f t="array" ref="I1245">IFERROR(XLOOKUP(D1245,'MASTER ITEM LIST'!A:A,'MASTER ITEM LIST'!D:D), "")</f>
        <v>GAL</v>
      </c>
      <c r="J1245" s="34">
        <f t="shared" si="2"/>
        <v>3200</v>
      </c>
      <c r="K1245" s="196">
        <v>200.0</v>
      </c>
      <c r="L1245" s="70" t="s">
        <v>42</v>
      </c>
    </row>
    <row r="1246" ht="22.5" customHeight="1">
      <c r="A1246" s="29">
        <v>46205.0</v>
      </c>
      <c r="B1246" s="31"/>
      <c r="C1246" s="32" t="s">
        <v>711</v>
      </c>
      <c r="D1246" s="71" t="s">
        <v>326</v>
      </c>
      <c r="E1246" s="66" t="str">
        <f t="array" ref="E1246">IF(D1246="", "", XLOOKUP(D1246, 'MASTER ITEM LIST'!A:A, 'MASTER ITEM LIST'!B:B, ""))</f>
        <v>EAGLE SANDPAPER #1200</v>
      </c>
      <c r="F1246" s="31"/>
      <c r="G1246" s="195" t="s">
        <v>34</v>
      </c>
      <c r="H1246" s="31">
        <v>2.0</v>
      </c>
      <c r="I1246" s="31" t="str">
        <f t="array" ref="I1246">IFERROR(XLOOKUP(D1246,'MASTER ITEM LIST'!A:A,'MASTER ITEM LIST'!D:D), "")</f>
        <v>PC/S</v>
      </c>
      <c r="J1246" s="34">
        <f t="shared" si="2"/>
        <v>25</v>
      </c>
      <c r="K1246" s="196">
        <v>50.0</v>
      </c>
      <c r="L1246" s="70" t="s">
        <v>42</v>
      </c>
    </row>
    <row r="1247" ht="22.5" customHeight="1">
      <c r="A1247" s="29">
        <v>46205.0</v>
      </c>
      <c r="B1247" s="31"/>
      <c r="C1247" s="32" t="s">
        <v>711</v>
      </c>
      <c r="D1247" s="71" t="s">
        <v>568</v>
      </c>
      <c r="E1247" s="66" t="str">
        <f t="array" ref="E1247">IF(D1247="", "", XLOOKUP(D1247, 'MASTER ITEM LIST'!A:A, 'MASTER ITEM LIST'!B:B, ""))</f>
        <v>NIPPON EXTREME QDU SILVER 4L</v>
      </c>
      <c r="F1247" s="31"/>
      <c r="G1247" s="195" t="s">
        <v>34</v>
      </c>
      <c r="H1247" s="31">
        <v>0.03125</v>
      </c>
      <c r="I1247" s="31" t="str">
        <f t="array" ref="I1247">IFERROR(XLOOKUP(D1247,'MASTER ITEM LIST'!A:A,'MASTER ITEM LIST'!D:D), "")</f>
        <v>GAL</v>
      </c>
      <c r="J1247" s="34">
        <f t="shared" si="2"/>
        <v>4800</v>
      </c>
      <c r="K1247" s="196">
        <v>150.0</v>
      </c>
      <c r="L1247" s="70" t="s">
        <v>42</v>
      </c>
    </row>
    <row r="1248" ht="22.5" customHeight="1">
      <c r="A1248" s="29">
        <v>46205.0</v>
      </c>
      <c r="B1248" s="31" t="s">
        <v>1757</v>
      </c>
      <c r="C1248" s="32" t="s">
        <v>212</v>
      </c>
      <c r="D1248" s="71" t="s">
        <v>926</v>
      </c>
      <c r="E1248" s="66" t="str">
        <f t="array" ref="E1248">IF(D1248="", "", XLOOKUP(D1248, 'MASTER ITEM LIST'!A:A, 'MASTER ITEM LIST'!B:B, ""))</f>
        <v>NAX NAT-1161 TTC LAVENDER MICA 1L</v>
      </c>
      <c r="F1248" s="31"/>
      <c r="G1248" s="195" t="s">
        <v>34</v>
      </c>
      <c r="H1248" s="31">
        <v>0.25</v>
      </c>
      <c r="I1248" s="31" t="str">
        <f t="array" ref="I1248">IFERROR(XLOOKUP(D1248,'MASTER ITEM LIST'!A:A,'MASTER ITEM LIST'!D:D), "")</f>
        <v>LITER</v>
      </c>
      <c r="J1248" s="34">
        <f t="shared" si="2"/>
        <v>1560</v>
      </c>
      <c r="K1248" s="196">
        <v>390.0</v>
      </c>
      <c r="L1248" s="70" t="s">
        <v>42</v>
      </c>
    </row>
    <row r="1249" ht="22.5" customHeight="1">
      <c r="A1249" s="29">
        <v>46206.0</v>
      </c>
      <c r="B1249" s="31"/>
      <c r="C1249" s="32" t="s">
        <v>711</v>
      </c>
      <c r="D1249" s="71" t="s">
        <v>220</v>
      </c>
      <c r="E1249" s="66" t="str">
        <f t="array" ref="E1249">IF(D1249="", "", XLOOKUP(D1249, 'MASTER ITEM LIST'!A:A, 'MASTER ITEM LIST'!B:B, ""))</f>
        <v>PREMILA MIXING 1L</v>
      </c>
      <c r="F1249" s="31" t="s">
        <v>1758</v>
      </c>
      <c r="G1249" s="195" t="s">
        <v>34</v>
      </c>
      <c r="H1249" s="31">
        <v>0.2</v>
      </c>
      <c r="I1249" s="31" t="str">
        <f t="array" ref="I1249">IFERROR(XLOOKUP(D1249,'MASTER ITEM LIST'!A:A,'MASTER ITEM LIST'!D:D), "")</f>
        <v>LITER</v>
      </c>
      <c r="J1249" s="34">
        <f t="shared" si="2"/>
        <v>2900</v>
      </c>
      <c r="K1249" s="196">
        <v>580.0</v>
      </c>
      <c r="L1249" s="70" t="s">
        <v>42</v>
      </c>
    </row>
    <row r="1250" ht="22.5" customHeight="1">
      <c r="A1250" s="29">
        <v>46206.0</v>
      </c>
      <c r="B1250" s="31"/>
      <c r="C1250" s="32" t="s">
        <v>711</v>
      </c>
      <c r="D1250" s="71" t="s">
        <v>674</v>
      </c>
      <c r="E1250" s="66" t="str">
        <f t="array" ref="E1250">IF(D1250="", "", XLOOKUP(D1250, 'MASTER ITEM LIST'!A:A, 'MASTER ITEM LIST'!B:B, ""))</f>
        <v>DOMINO BODY FILTER WITH HARDENER 1L</v>
      </c>
      <c r="F1250" s="31"/>
      <c r="G1250" s="195" t="s">
        <v>34</v>
      </c>
      <c r="H1250" s="31">
        <v>1.0</v>
      </c>
      <c r="I1250" s="31" t="str">
        <f t="array" ref="I1250">IFERROR(XLOOKUP(D1250,'MASTER ITEM LIST'!A:A,'MASTER ITEM LIST'!D:D), "")</f>
        <v>LITER</v>
      </c>
      <c r="J1250" s="34">
        <f t="shared" si="2"/>
        <v>220</v>
      </c>
      <c r="K1250" s="196">
        <v>220.0</v>
      </c>
      <c r="L1250" s="70" t="s">
        <v>42</v>
      </c>
    </row>
    <row r="1251" ht="22.5" customHeight="1">
      <c r="A1251" s="29">
        <v>46206.0</v>
      </c>
      <c r="B1251" s="31"/>
      <c r="C1251" s="32" t="s">
        <v>711</v>
      </c>
      <c r="D1251" s="71" t="s">
        <v>117</v>
      </c>
      <c r="E1251" s="66" t="str">
        <f t="array" ref="E1251">IF(D1251="", "", XLOOKUP(D1251, 'MASTER ITEM LIST'!A:A, 'MASTER ITEM LIST'!B:B, ""))</f>
        <v>EAGLE SANDPAPER #120</v>
      </c>
      <c r="F1251" s="31"/>
      <c r="G1251" s="195" t="s">
        <v>34</v>
      </c>
      <c r="H1251" s="31">
        <v>1.0</v>
      </c>
      <c r="I1251" s="31" t="str">
        <f t="array" ref="I1251">IFERROR(XLOOKUP(D1251,'MASTER ITEM LIST'!A:A,'MASTER ITEM LIST'!D:D), "")</f>
        <v>PC/S</v>
      </c>
      <c r="J1251" s="34">
        <f t="shared" si="2"/>
        <v>25</v>
      </c>
      <c r="K1251" s="196">
        <v>25.0</v>
      </c>
      <c r="L1251" s="70" t="s">
        <v>42</v>
      </c>
    </row>
    <row r="1252" ht="22.5" customHeight="1">
      <c r="A1252" s="29">
        <v>46206.0</v>
      </c>
      <c r="B1252" s="31"/>
      <c r="C1252" s="32" t="s">
        <v>711</v>
      </c>
      <c r="D1252" s="71" t="s">
        <v>432</v>
      </c>
      <c r="E1252" s="66" t="str">
        <f t="array" ref="E1252">IF(D1252="", "", XLOOKUP(D1252, 'MASTER ITEM LIST'!A:A, 'MASTER ITEM LIST'!B:B, ""))</f>
        <v>EAGLE SANDPAPER #600</v>
      </c>
      <c r="F1252" s="31"/>
      <c r="G1252" s="195" t="s">
        <v>34</v>
      </c>
      <c r="H1252" s="31">
        <v>1.0</v>
      </c>
      <c r="I1252" s="31" t="str">
        <f t="array" ref="I1252">IFERROR(XLOOKUP(D1252,'MASTER ITEM LIST'!A:A,'MASTER ITEM LIST'!D:D), "")</f>
        <v>PCS</v>
      </c>
      <c r="J1252" s="34">
        <f t="shared" si="2"/>
        <v>25</v>
      </c>
      <c r="K1252" s="196">
        <v>25.0</v>
      </c>
      <c r="L1252" s="70" t="s">
        <v>42</v>
      </c>
    </row>
    <row r="1253" ht="22.5" customHeight="1">
      <c r="A1253" s="29">
        <v>46206.0</v>
      </c>
      <c r="B1253" s="31" t="s">
        <v>1759</v>
      </c>
      <c r="C1253" s="32" t="s">
        <v>1537</v>
      </c>
      <c r="D1253" s="71" t="s">
        <v>161</v>
      </c>
      <c r="E1253" s="66" t="str">
        <f t="array" ref="E1253">IF(D1253="", "", XLOOKUP(D1253, 'MASTER ITEM LIST'!A:A, 'MASTER ITEM LIST'!B:B, ""))</f>
        <v>VULCASEAL</v>
      </c>
      <c r="F1253" s="31"/>
      <c r="G1253" s="195" t="s">
        <v>34</v>
      </c>
      <c r="H1253" s="31">
        <v>2.0</v>
      </c>
      <c r="I1253" s="31" t="str">
        <f t="array" ref="I1253">IFERROR(XLOOKUP(D1253,'MASTER ITEM LIST'!A:A,'MASTER ITEM LIST'!D:D), "")</f>
        <v>PCS</v>
      </c>
      <c r="J1253" s="34">
        <f t="shared" si="2"/>
        <v>100</v>
      </c>
      <c r="K1253" s="196">
        <v>200.0</v>
      </c>
      <c r="L1253" s="70" t="s">
        <v>42</v>
      </c>
    </row>
    <row r="1254" ht="22.5" customHeight="1">
      <c r="A1254" s="29">
        <v>46206.0</v>
      </c>
      <c r="B1254" s="31"/>
      <c r="C1254" s="32" t="s">
        <v>711</v>
      </c>
      <c r="D1254" s="71" t="s">
        <v>198</v>
      </c>
      <c r="E1254" s="66" t="str">
        <f t="array" ref="E1254">IF(D1254="", "", XLOOKUP(D1254, 'MASTER ITEM LIST'!A:A, 'MASTER ITEM LIST'!B:B, ""))</f>
        <v>EAGLE SANDPAPER #2000</v>
      </c>
      <c r="F1254" s="31"/>
      <c r="G1254" s="195" t="s">
        <v>34</v>
      </c>
      <c r="H1254" s="31">
        <v>2.0</v>
      </c>
      <c r="I1254" s="31" t="str">
        <f t="array" ref="I1254">IFERROR(XLOOKUP(D1254,'MASTER ITEM LIST'!A:A,'MASTER ITEM LIST'!D:D), "")</f>
        <v>PC/S</v>
      </c>
      <c r="J1254" s="34">
        <f t="shared" si="2"/>
        <v>35</v>
      </c>
      <c r="K1254" s="196">
        <v>70.0</v>
      </c>
      <c r="L1254" s="70" t="s">
        <v>42</v>
      </c>
    </row>
    <row r="1255" ht="22.5" customHeight="1">
      <c r="A1255" s="29">
        <v>46206.0</v>
      </c>
      <c r="B1255" s="31"/>
      <c r="C1255" s="32" t="s">
        <v>711</v>
      </c>
      <c r="D1255" s="71" t="s">
        <v>516</v>
      </c>
      <c r="E1255" s="66" t="str">
        <f t="array" ref="E1255">IF(D1255="", "", XLOOKUP(D1255, 'MASTER ITEM LIST'!A:A, 'MASTER ITEM LIST'!B:B, ""))</f>
        <v>EAGLE SANDPAPER #1500</v>
      </c>
      <c r="F1255" s="31"/>
      <c r="G1255" s="195" t="s">
        <v>34</v>
      </c>
      <c r="H1255" s="31">
        <v>2.0</v>
      </c>
      <c r="I1255" s="31" t="str">
        <f t="array" ref="I1255">IFERROR(XLOOKUP(D1255,'MASTER ITEM LIST'!A:A,'MASTER ITEM LIST'!D:D), "")</f>
        <v>PC/S</v>
      </c>
      <c r="J1255" s="34">
        <f t="shared" si="2"/>
        <v>35</v>
      </c>
      <c r="K1255" s="196">
        <v>70.0</v>
      </c>
      <c r="L1255" s="70" t="s">
        <v>42</v>
      </c>
    </row>
    <row r="1256" ht="22.5" customHeight="1">
      <c r="A1256" s="29">
        <v>46206.0</v>
      </c>
      <c r="B1256" s="31"/>
      <c r="C1256" s="32" t="s">
        <v>711</v>
      </c>
      <c r="D1256" s="71" t="s">
        <v>53</v>
      </c>
      <c r="E1256" s="66" t="str">
        <f t="array" ref="E1256">IF(D1256="", "", XLOOKUP(D1256, 'MASTER ITEM LIST'!A:A, 'MASTER ITEM LIST'!B:B, ""))</f>
        <v>NAX 108 CERAMIC 2K CLEAR WITH HARDENER 1L</v>
      </c>
      <c r="F1256" s="31"/>
      <c r="G1256" s="195" t="s">
        <v>1376</v>
      </c>
      <c r="H1256" s="31">
        <v>3.0</v>
      </c>
      <c r="I1256" s="31" t="str">
        <f t="array" ref="I1256">IFERROR(XLOOKUP(D1256,'MASTER ITEM LIST'!A:A,'MASTER ITEM LIST'!D:D), "")</f>
        <v>LITER</v>
      </c>
      <c r="J1256" s="34">
        <f t="shared" si="2"/>
        <v>750</v>
      </c>
      <c r="K1256" s="196">
        <v>2250.0</v>
      </c>
      <c r="L1256" s="70" t="s">
        <v>42</v>
      </c>
    </row>
    <row r="1257" ht="22.5" customHeight="1">
      <c r="A1257" s="29">
        <v>46206.0</v>
      </c>
      <c r="B1257" s="31"/>
      <c r="C1257" s="32" t="s">
        <v>711</v>
      </c>
      <c r="D1257" s="71" t="s">
        <v>90</v>
      </c>
      <c r="E1257" s="66" t="str">
        <f t="array" ref="E1257">IF(D1257="", "", XLOOKUP(D1257, 'MASTER ITEM LIST'!A:A, 'MASTER ITEM LIST'!B:B, ""))</f>
        <v>NAX SOB757 HIGH GRADE URETHANE THINNER 4L</v>
      </c>
      <c r="F1257" s="31"/>
      <c r="G1257" s="195" t="s">
        <v>1376</v>
      </c>
      <c r="H1257" s="31">
        <v>2.0</v>
      </c>
      <c r="I1257" s="31" t="str">
        <f t="array" ref="I1257">IFERROR(XLOOKUP(D1257,'MASTER ITEM LIST'!A:A,'MASTER ITEM LIST'!D:D), "")</f>
        <v>GAL</v>
      </c>
      <c r="J1257" s="34">
        <f t="shared" si="2"/>
        <v>780</v>
      </c>
      <c r="K1257" s="196">
        <v>1560.0</v>
      </c>
      <c r="L1257" s="70" t="s">
        <v>42</v>
      </c>
    </row>
    <row r="1258" ht="22.5" customHeight="1">
      <c r="A1258" s="29">
        <v>46206.0</v>
      </c>
      <c r="B1258" s="31"/>
      <c r="C1258" s="32" t="s">
        <v>711</v>
      </c>
      <c r="D1258" s="71" t="s">
        <v>233</v>
      </c>
      <c r="E1258" s="66" t="str">
        <f t="array" ref="E1258">IF(D1258="", "", XLOOKUP(D1258, 'MASTER ITEM LIST'!A:A, 'MASTER ITEM LIST'!B:B, ""))</f>
        <v>NAX ALPHA HB SPRAY FILLER GRAY WITH HARDENER 1L</v>
      </c>
      <c r="F1258" s="31"/>
      <c r="G1258" s="195" t="s">
        <v>1376</v>
      </c>
      <c r="H1258" s="31">
        <v>1.0</v>
      </c>
      <c r="I1258" s="31" t="str">
        <f t="array" ref="I1258">IFERROR(XLOOKUP(D1258,'MASTER ITEM LIST'!A:A,'MASTER ITEM LIST'!D:D), "")</f>
        <v>LITER</v>
      </c>
      <c r="J1258" s="34">
        <f t="shared" si="2"/>
        <v>590</v>
      </c>
      <c r="K1258" s="196">
        <v>590.0</v>
      </c>
      <c r="L1258" s="70" t="s">
        <v>42</v>
      </c>
    </row>
    <row r="1259" ht="22.5" customHeight="1">
      <c r="A1259" s="29">
        <v>46206.0</v>
      </c>
      <c r="B1259" s="31"/>
      <c r="C1259" s="32" t="s">
        <v>711</v>
      </c>
      <c r="D1259" s="71" t="s">
        <v>63</v>
      </c>
      <c r="E1259" s="66" t="str">
        <f t="array" ref="E1259">IF(D1259="", "", XLOOKUP(D1259, 'MASTER ITEM LIST'!A:A, 'MASTER ITEM LIST'!B:B, ""))</f>
        <v>OLD NEWS</v>
      </c>
      <c r="F1259" s="31"/>
      <c r="G1259" s="195" t="s">
        <v>1376</v>
      </c>
      <c r="H1259" s="31">
        <v>2.0</v>
      </c>
      <c r="I1259" s="31" t="str">
        <f t="array" ref="I1259">IFERROR(XLOOKUP(D1259,'MASTER ITEM LIST'!A:A,'MASTER ITEM LIST'!D:D), "")</f>
        <v>KG</v>
      </c>
      <c r="J1259" s="34">
        <f t="shared" si="2"/>
        <v>100</v>
      </c>
      <c r="K1259" s="196">
        <v>200.0</v>
      </c>
      <c r="L1259" s="70" t="s">
        <v>42</v>
      </c>
    </row>
    <row r="1260" ht="22.5" customHeight="1">
      <c r="A1260" s="29">
        <v>46206.0</v>
      </c>
      <c r="B1260" s="31"/>
      <c r="C1260" s="32" t="s">
        <v>711</v>
      </c>
      <c r="D1260" s="71" t="s">
        <v>117</v>
      </c>
      <c r="E1260" s="66" t="str">
        <f t="array" ref="E1260">IF(D1260="", "", XLOOKUP(D1260, 'MASTER ITEM LIST'!A:A, 'MASTER ITEM LIST'!B:B, ""))</f>
        <v>EAGLE SANDPAPER #120</v>
      </c>
      <c r="F1260" s="31"/>
      <c r="G1260" s="195" t="s">
        <v>1376</v>
      </c>
      <c r="H1260" s="31">
        <v>2.0</v>
      </c>
      <c r="I1260" s="31" t="str">
        <f t="array" ref="I1260">IFERROR(XLOOKUP(D1260,'MASTER ITEM LIST'!A:A,'MASTER ITEM LIST'!D:D), "")</f>
        <v>PC/S</v>
      </c>
      <c r="J1260" s="34">
        <f t="shared" si="2"/>
        <v>25</v>
      </c>
      <c r="K1260" s="196">
        <v>50.0</v>
      </c>
      <c r="L1260" s="70" t="s">
        <v>42</v>
      </c>
    </row>
    <row r="1261" ht="22.5" customHeight="1">
      <c r="A1261" s="29">
        <v>46206.0</v>
      </c>
      <c r="B1261" s="31"/>
      <c r="C1261" s="32" t="s">
        <v>711</v>
      </c>
      <c r="D1261" s="71" t="s">
        <v>548</v>
      </c>
      <c r="E1261" s="66" t="str">
        <f t="array" ref="E1261">IF(D1261="", "", XLOOKUP(D1261, 'MASTER ITEM LIST'!A:A, 'MASTER ITEM LIST'!B:B, ""))</f>
        <v>EAGLE SANDPAPER #240</v>
      </c>
      <c r="F1261" s="31"/>
      <c r="G1261" s="195" t="s">
        <v>1376</v>
      </c>
      <c r="H1261" s="31">
        <v>2.0</v>
      </c>
      <c r="I1261" s="31" t="str">
        <f t="array" ref="I1261">IFERROR(XLOOKUP(D1261,'MASTER ITEM LIST'!A:A,'MASTER ITEM LIST'!D:D), "")</f>
        <v>PC/S</v>
      </c>
      <c r="J1261" s="34">
        <f t="shared" si="2"/>
        <v>25</v>
      </c>
      <c r="K1261" s="196">
        <v>50.0</v>
      </c>
      <c r="L1261" s="70" t="s">
        <v>42</v>
      </c>
    </row>
    <row r="1262" ht="22.5" customHeight="1">
      <c r="A1262" s="29">
        <v>46206.0</v>
      </c>
      <c r="B1262" s="31"/>
      <c r="C1262" s="32" t="s">
        <v>711</v>
      </c>
      <c r="D1262" s="71" t="s">
        <v>432</v>
      </c>
      <c r="E1262" s="66" t="str">
        <f t="array" ref="E1262">IF(D1262="", "", XLOOKUP(D1262, 'MASTER ITEM LIST'!A:A, 'MASTER ITEM LIST'!B:B, ""))</f>
        <v>EAGLE SANDPAPER #600</v>
      </c>
      <c r="F1262" s="31"/>
      <c r="G1262" s="195" t="s">
        <v>1376</v>
      </c>
      <c r="H1262" s="31">
        <v>2.0</v>
      </c>
      <c r="I1262" s="31" t="str">
        <f t="array" ref="I1262">IFERROR(XLOOKUP(D1262,'MASTER ITEM LIST'!A:A,'MASTER ITEM LIST'!D:D), "")</f>
        <v>PCS</v>
      </c>
      <c r="J1262" s="34">
        <f t="shared" si="2"/>
        <v>25</v>
      </c>
      <c r="K1262" s="196">
        <v>50.0</v>
      </c>
      <c r="L1262" s="70" t="s">
        <v>42</v>
      </c>
    </row>
    <row r="1263" ht="22.5" customHeight="1">
      <c r="A1263" s="29">
        <v>46206.0</v>
      </c>
      <c r="B1263" s="31"/>
      <c r="C1263" s="32" t="s">
        <v>711</v>
      </c>
      <c r="D1263" s="71" t="s">
        <v>567</v>
      </c>
      <c r="E1263" s="66" t="str">
        <f t="array" ref="E1263">IF(D1263="", "", XLOOKUP(D1263, 'MASTER ITEM LIST'!A:A, 'MASTER ITEM LIST'!B:B, ""))</f>
        <v>EAGLE SANDPAPER #800</v>
      </c>
      <c r="F1263" s="31"/>
      <c r="G1263" s="195" t="s">
        <v>1376</v>
      </c>
      <c r="H1263" s="31">
        <v>2.0</v>
      </c>
      <c r="I1263" s="31" t="str">
        <f t="array" ref="I1263">IFERROR(XLOOKUP(D1263,'MASTER ITEM LIST'!A:A,'MASTER ITEM LIST'!D:D), "")</f>
        <v>PC/S</v>
      </c>
      <c r="J1263" s="34">
        <f t="shared" si="2"/>
        <v>25</v>
      </c>
      <c r="K1263" s="196">
        <v>50.0</v>
      </c>
      <c r="L1263" s="70" t="s">
        <v>42</v>
      </c>
    </row>
    <row r="1264" ht="22.5" customHeight="1">
      <c r="A1264" s="29">
        <v>46206.0</v>
      </c>
      <c r="B1264" s="31"/>
      <c r="C1264" s="32" t="s">
        <v>711</v>
      </c>
      <c r="D1264" s="71" t="s">
        <v>516</v>
      </c>
      <c r="E1264" s="66" t="str">
        <f t="array" ref="E1264">IF(D1264="", "", XLOOKUP(D1264, 'MASTER ITEM LIST'!A:A, 'MASTER ITEM LIST'!B:B, ""))</f>
        <v>EAGLE SANDPAPER #1500</v>
      </c>
      <c r="F1264" s="31"/>
      <c r="G1264" s="195" t="s">
        <v>1376</v>
      </c>
      <c r="H1264" s="31">
        <v>2.0</v>
      </c>
      <c r="I1264" s="31" t="str">
        <f t="array" ref="I1264">IFERROR(XLOOKUP(D1264,'MASTER ITEM LIST'!A:A,'MASTER ITEM LIST'!D:D), "")</f>
        <v>PC/S</v>
      </c>
      <c r="J1264" s="34">
        <f t="shared" si="2"/>
        <v>35</v>
      </c>
      <c r="K1264" s="196">
        <v>70.0</v>
      </c>
      <c r="L1264" s="70" t="s">
        <v>42</v>
      </c>
    </row>
    <row r="1265" ht="22.5" customHeight="1">
      <c r="A1265" s="29">
        <v>46206.0</v>
      </c>
      <c r="B1265" s="31"/>
      <c r="C1265" s="32" t="s">
        <v>711</v>
      </c>
      <c r="D1265" s="71" t="s">
        <v>198</v>
      </c>
      <c r="E1265" s="66" t="str">
        <f t="array" ref="E1265">IF(D1265="", "", XLOOKUP(D1265, 'MASTER ITEM LIST'!A:A, 'MASTER ITEM LIST'!B:B, ""))</f>
        <v>EAGLE SANDPAPER #2000</v>
      </c>
      <c r="F1265" s="31"/>
      <c r="G1265" s="195" t="s">
        <v>1376</v>
      </c>
      <c r="H1265" s="31">
        <v>2.0</v>
      </c>
      <c r="I1265" s="31" t="str">
        <f t="array" ref="I1265">IFERROR(XLOOKUP(D1265,'MASTER ITEM LIST'!A:A,'MASTER ITEM LIST'!D:D), "")</f>
        <v>PC/S</v>
      </c>
      <c r="J1265" s="34">
        <f t="shared" si="2"/>
        <v>35</v>
      </c>
      <c r="K1265" s="196">
        <v>70.0</v>
      </c>
      <c r="L1265" s="70" t="s">
        <v>42</v>
      </c>
    </row>
    <row r="1266" ht="22.5" customHeight="1">
      <c r="A1266" s="29">
        <v>46206.0</v>
      </c>
      <c r="B1266" s="31"/>
      <c r="C1266" s="32" t="s">
        <v>711</v>
      </c>
      <c r="D1266" s="71" t="s">
        <v>136</v>
      </c>
      <c r="E1266" s="66" t="str">
        <f t="array" ref="E1266">IF(D1266="", "", XLOOKUP(D1266, 'MASTER ITEM LIST'!A:A, 'MASTER ITEM LIST'!B:B, ""))</f>
        <v>CROCO MASKING TAPE 3/4 18MM (1X64)</v>
      </c>
      <c r="F1266" s="31"/>
      <c r="G1266" s="195" t="s">
        <v>1376</v>
      </c>
      <c r="H1266" s="31">
        <v>4.0</v>
      </c>
      <c r="I1266" s="31" t="str">
        <f t="array" ref="I1266">IFERROR(XLOOKUP(D1266,'MASTER ITEM LIST'!A:A,'MASTER ITEM LIST'!D:D), "")</f>
        <v>PC/S</v>
      </c>
      <c r="J1266" s="34">
        <f t="shared" si="2"/>
        <v>35</v>
      </c>
      <c r="K1266" s="196">
        <v>140.0</v>
      </c>
      <c r="L1266" s="70" t="s">
        <v>42</v>
      </c>
    </row>
    <row r="1267" ht="22.5" customHeight="1">
      <c r="A1267" s="29">
        <v>46206.0</v>
      </c>
      <c r="B1267" s="31"/>
      <c r="C1267" s="32" t="s">
        <v>711</v>
      </c>
      <c r="D1267" s="71" t="s">
        <v>410</v>
      </c>
      <c r="E1267" s="66" t="str">
        <f t="array" ref="E1267">IF(D1267="", "", XLOOKUP(D1267, 'MASTER ITEM LIST'!A:A, 'MASTER ITEM LIST'!B:B, ""))</f>
        <v>NAX NAX21 URETHANE HAEDENER</v>
      </c>
      <c r="F1267" s="31"/>
      <c r="G1267" s="195" t="s">
        <v>1376</v>
      </c>
      <c r="H1267" s="31">
        <v>1.0</v>
      </c>
      <c r="I1267" s="31" t="str">
        <f t="array" ref="I1267">IFERROR(XLOOKUP(D1267,'MASTER ITEM LIST'!A:A,'MASTER ITEM LIST'!D:D), "")</f>
        <v>CANS</v>
      </c>
      <c r="J1267" s="34">
        <f t="shared" si="2"/>
        <v>250</v>
      </c>
      <c r="K1267" s="196">
        <v>250.0</v>
      </c>
      <c r="L1267" s="70" t="s">
        <v>42</v>
      </c>
    </row>
    <row r="1268" ht="22.5" customHeight="1">
      <c r="A1268" s="29">
        <v>46206.0</v>
      </c>
      <c r="B1268" s="31"/>
      <c r="C1268" s="32" t="s">
        <v>711</v>
      </c>
      <c r="D1268" s="23" t="s">
        <v>31</v>
      </c>
      <c r="E1268" s="66" t="str">
        <f t="array" ref="E1268">IF(D1268="", "", XLOOKUP(D1268, 'MASTER ITEM LIST'!A:A, 'MASTER ITEM LIST'!B:B, ""))</f>
        <v>EXTREME QDU MIXING 1L</v>
      </c>
      <c r="F1268" s="31" t="s">
        <v>1760</v>
      </c>
      <c r="G1268" s="195" t="s">
        <v>1376</v>
      </c>
      <c r="H1268" s="31">
        <v>1.0</v>
      </c>
      <c r="I1268" s="31" t="str">
        <f t="array" ref="I1268">IFERROR(XLOOKUP(D1268,'MASTER ITEM LIST'!A:A,'MASTER ITEM LIST'!D:D), "")</f>
        <v>LITER</v>
      </c>
      <c r="J1268" s="34">
        <f t="shared" si="2"/>
        <v>610</v>
      </c>
      <c r="K1268" s="196">
        <v>610.0</v>
      </c>
      <c r="L1268" s="70" t="s">
        <v>42</v>
      </c>
    </row>
    <row r="1269" ht="22.5" customHeight="1">
      <c r="A1269" s="29">
        <v>46206.0</v>
      </c>
      <c r="B1269" s="31"/>
      <c r="C1269" s="32" t="s">
        <v>711</v>
      </c>
      <c r="D1269" s="71" t="s">
        <v>397</v>
      </c>
      <c r="E1269" s="66" t="str">
        <f t="array" ref="E1269">IF(D1269="", "", XLOOKUP(D1269, 'MASTER ITEM LIST'!A:A, 'MASTER ITEM LIST'!B:B, ""))</f>
        <v>NIPPON HS FILLER 1L</v>
      </c>
      <c r="F1269" s="31"/>
      <c r="G1269" s="195" t="s">
        <v>34</v>
      </c>
      <c r="H1269" s="31">
        <v>0.5</v>
      </c>
      <c r="I1269" s="31" t="str">
        <f t="array" ref="I1269">IFERROR(XLOOKUP(D1269,'MASTER ITEM LIST'!A:A,'MASTER ITEM LIST'!D:D), "")</f>
        <v>LITER</v>
      </c>
      <c r="J1269" s="34">
        <f t="shared" si="2"/>
        <v>800</v>
      </c>
      <c r="K1269" s="196">
        <v>400.0</v>
      </c>
      <c r="L1269" s="70" t="s">
        <v>42</v>
      </c>
    </row>
    <row r="1270" ht="22.5" customHeight="1">
      <c r="A1270" s="29">
        <v>46207.0</v>
      </c>
      <c r="B1270" s="31" t="s">
        <v>1761</v>
      </c>
      <c r="C1270" s="32" t="s">
        <v>1527</v>
      </c>
      <c r="D1270" s="71" t="s">
        <v>53</v>
      </c>
      <c r="E1270" s="66" t="str">
        <f t="array" ref="E1270">IF(D1270="", "", XLOOKUP(D1270, 'MASTER ITEM LIST'!A:A, 'MASTER ITEM LIST'!B:B, ""))</f>
        <v>NAX 108 CERAMIC 2K CLEAR WITH HARDENER 1L</v>
      </c>
      <c r="F1270" s="31"/>
      <c r="G1270" s="195" t="s">
        <v>34</v>
      </c>
      <c r="H1270" s="31">
        <v>4.0</v>
      </c>
      <c r="I1270" s="31" t="str">
        <f t="array" ref="I1270">IFERROR(XLOOKUP(D1270,'MASTER ITEM LIST'!A:A,'MASTER ITEM LIST'!D:D), "")</f>
        <v>LITER</v>
      </c>
      <c r="J1270" s="34">
        <f t="shared" si="2"/>
        <v>680</v>
      </c>
      <c r="K1270" s="196">
        <v>2720.0</v>
      </c>
      <c r="L1270" s="70" t="s">
        <v>42</v>
      </c>
    </row>
    <row r="1271" ht="22.5" customHeight="1">
      <c r="A1271" s="29">
        <v>46207.0</v>
      </c>
      <c r="B1271" s="31" t="s">
        <v>1762</v>
      </c>
      <c r="C1271" s="32" t="s">
        <v>219</v>
      </c>
      <c r="D1271" s="71" t="s">
        <v>220</v>
      </c>
      <c r="E1271" s="66" t="str">
        <f t="array" ref="E1271">IF(D1271="", "", XLOOKUP(D1271, 'MASTER ITEM LIST'!A:A, 'MASTER ITEM LIST'!B:B, ""))</f>
        <v>PREMILA MIXING 1L</v>
      </c>
      <c r="F1271" s="31" t="s">
        <v>1763</v>
      </c>
      <c r="G1271" s="195" t="s">
        <v>1376</v>
      </c>
      <c r="H1271" s="31">
        <v>0.2</v>
      </c>
      <c r="I1271" s="31" t="str">
        <f t="array" ref="I1271">IFERROR(XLOOKUP(D1271,'MASTER ITEM LIST'!A:A,'MASTER ITEM LIST'!D:D), "")</f>
        <v>LITER</v>
      </c>
      <c r="J1271" s="34">
        <f t="shared" si="2"/>
        <v>2600</v>
      </c>
      <c r="K1271" s="196">
        <v>520.0</v>
      </c>
      <c r="L1271" s="70" t="s">
        <v>42</v>
      </c>
    </row>
    <row r="1272" ht="22.5" customHeight="1">
      <c r="A1272" s="29">
        <v>46207.0</v>
      </c>
      <c r="B1272" s="31" t="s">
        <v>1764</v>
      </c>
      <c r="C1272" s="32" t="s">
        <v>1240</v>
      </c>
      <c r="D1272" s="71" t="s">
        <v>90</v>
      </c>
      <c r="E1272" s="66" t="str">
        <f t="array" ref="E1272">IF(D1272="", "", XLOOKUP(D1272, 'MASTER ITEM LIST'!A:A, 'MASTER ITEM LIST'!B:B, ""))</f>
        <v>NAX SOB757 HIGH GRADE URETHANE THINNER 4L</v>
      </c>
      <c r="F1272" s="31"/>
      <c r="G1272" s="195" t="s">
        <v>34</v>
      </c>
      <c r="H1272" s="31">
        <v>1.0</v>
      </c>
      <c r="I1272" s="31" t="str">
        <f t="array" ref="I1272">IFERROR(XLOOKUP(D1272,'MASTER ITEM LIST'!A:A,'MASTER ITEM LIST'!D:D), "")</f>
        <v>GAL</v>
      </c>
      <c r="J1272" s="34">
        <f t="shared" si="2"/>
        <v>800</v>
      </c>
      <c r="K1272" s="196">
        <v>800.0</v>
      </c>
      <c r="L1272" s="70" t="s">
        <v>42</v>
      </c>
    </row>
    <row r="1273" ht="22.5" customHeight="1">
      <c r="A1273" s="29">
        <v>46207.0</v>
      </c>
      <c r="B1273" s="31" t="s">
        <v>1764</v>
      </c>
      <c r="C1273" s="32" t="s">
        <v>1240</v>
      </c>
      <c r="D1273" s="71" t="s">
        <v>53</v>
      </c>
      <c r="E1273" s="66" t="str">
        <f t="array" ref="E1273">IF(D1273="", "", XLOOKUP(D1273, 'MASTER ITEM LIST'!A:A, 'MASTER ITEM LIST'!B:B, ""))</f>
        <v>NAX 108 CERAMIC 2K CLEAR WITH HARDENER 1L</v>
      </c>
      <c r="F1273" s="31"/>
      <c r="G1273" s="195" t="s">
        <v>34</v>
      </c>
      <c r="H1273" s="31">
        <v>1.0</v>
      </c>
      <c r="I1273" s="31" t="str">
        <f t="array" ref="I1273">IFERROR(XLOOKUP(D1273,'MASTER ITEM LIST'!A:A,'MASTER ITEM LIST'!D:D), "")</f>
        <v>LITER</v>
      </c>
      <c r="J1273" s="34">
        <f t="shared" si="2"/>
        <v>710</v>
      </c>
      <c r="K1273" s="196">
        <v>710.0</v>
      </c>
      <c r="L1273" s="70" t="s">
        <v>42</v>
      </c>
    </row>
    <row r="1274" ht="22.5" customHeight="1">
      <c r="A1274" s="29">
        <v>46207.0</v>
      </c>
      <c r="B1274" s="31" t="s">
        <v>1764</v>
      </c>
      <c r="C1274" s="32" t="s">
        <v>1240</v>
      </c>
      <c r="D1274" s="71" t="s">
        <v>520</v>
      </c>
      <c r="E1274" s="66" t="str">
        <f t="array" ref="E1274">IF(D1274="", "", XLOOKUP(D1274, 'MASTER ITEM LIST'!A:A, 'MASTER ITEM LIST'!B:B, ""))</f>
        <v>NIPPON ULTRA 8100T FD 2K CLEAR W/HARDENER 1L</v>
      </c>
      <c r="F1274" s="31"/>
      <c r="G1274" s="195" t="s">
        <v>34</v>
      </c>
      <c r="H1274" s="31">
        <v>1.0</v>
      </c>
      <c r="I1274" s="31" t="str">
        <f t="array" ref="I1274">IFERROR(XLOOKUP(D1274,'MASTER ITEM LIST'!A:A,'MASTER ITEM LIST'!D:D), "")</f>
        <v>LITER</v>
      </c>
      <c r="J1274" s="34">
        <f t="shared" si="2"/>
        <v>1900</v>
      </c>
      <c r="K1274" s="196">
        <v>1900.0</v>
      </c>
      <c r="L1274" s="70" t="s">
        <v>42</v>
      </c>
    </row>
    <row r="1275" ht="22.5" customHeight="1">
      <c r="A1275" s="29">
        <v>46207.0</v>
      </c>
      <c r="B1275" s="31"/>
      <c r="C1275" s="32" t="s">
        <v>711</v>
      </c>
      <c r="D1275" s="71" t="s">
        <v>737</v>
      </c>
      <c r="E1275" s="66" t="str">
        <f t="array" ref="E1275">IF(D1275="", "", XLOOKUP(D1275, 'MASTER ITEM LIST'!A:A, 'MASTER ITEM LIST'!B:B, ""))</f>
        <v>NAX NAT-1164 TTC BRIGHT GOLD MICA 1L</v>
      </c>
      <c r="F1275" s="31"/>
      <c r="G1275" s="195" t="s">
        <v>34</v>
      </c>
      <c r="H1275" s="31">
        <v>0.25</v>
      </c>
      <c r="I1275" s="31" t="str">
        <f t="array" ref="I1275">IFERROR(XLOOKUP(D1275,'MASTER ITEM LIST'!A:A,'MASTER ITEM LIST'!D:D), "")</f>
        <v>LITER</v>
      </c>
      <c r="J1275" s="34">
        <f t="shared" si="2"/>
        <v>1600</v>
      </c>
      <c r="K1275" s="196">
        <v>400.0</v>
      </c>
      <c r="L1275" s="70" t="s">
        <v>42</v>
      </c>
    </row>
    <row r="1276" ht="22.5" customHeight="1">
      <c r="A1276" s="29">
        <v>46207.0</v>
      </c>
      <c r="B1276" s="31" t="s">
        <v>1765</v>
      </c>
      <c r="C1276" s="32" t="s">
        <v>93</v>
      </c>
      <c r="D1276" s="71" t="s">
        <v>90</v>
      </c>
      <c r="E1276" s="66" t="str">
        <f t="array" ref="E1276">IF(D1276="", "", XLOOKUP(D1276, 'MASTER ITEM LIST'!A:A, 'MASTER ITEM LIST'!B:B, ""))</f>
        <v>NAX SOB757 HIGH GRADE URETHANE THINNER 4L</v>
      </c>
      <c r="F1276" s="31"/>
      <c r="G1276" s="195" t="s">
        <v>1376</v>
      </c>
      <c r="H1276" s="31">
        <v>1.0</v>
      </c>
      <c r="I1276" s="31" t="str">
        <f t="array" ref="I1276">IFERROR(XLOOKUP(D1276,'MASTER ITEM LIST'!A:A,'MASTER ITEM LIST'!D:D), "")</f>
        <v>GAL</v>
      </c>
      <c r="J1276" s="34">
        <f t="shared" si="2"/>
        <v>780</v>
      </c>
      <c r="K1276" s="196">
        <v>780.0</v>
      </c>
      <c r="L1276" s="70" t="s">
        <v>42</v>
      </c>
    </row>
    <row r="1277" ht="22.5" customHeight="1">
      <c r="A1277" s="29">
        <v>46209.0</v>
      </c>
      <c r="B1277" s="31" t="s">
        <v>1766</v>
      </c>
      <c r="C1277" s="32" t="s">
        <v>1539</v>
      </c>
      <c r="D1277" s="71" t="s">
        <v>779</v>
      </c>
      <c r="E1277" s="66" t="str">
        <f t="array" ref="E1277">IF(D1277="", "", XLOOKUP(D1277, 'MASTER ITEM LIST'!A:A, 'MASTER ITEM LIST'!B:B, ""))</f>
        <v>METALGUARD EPOXY PRIMER GRAY WITH HARDENER 4L</v>
      </c>
      <c r="F1277" s="31"/>
      <c r="G1277" s="195" t="s">
        <v>34</v>
      </c>
      <c r="H1277" s="31">
        <v>2.0</v>
      </c>
      <c r="I1277" s="31" t="str">
        <f t="array" ref="I1277">IFERROR(XLOOKUP(D1277,'MASTER ITEM LIST'!A:A,'MASTER ITEM LIST'!D:D), "")</f>
        <v>GAL</v>
      </c>
      <c r="J1277" s="34">
        <f t="shared" si="2"/>
        <v>1200</v>
      </c>
      <c r="K1277" s="196">
        <v>2400.0</v>
      </c>
      <c r="L1277" s="70" t="s">
        <v>42</v>
      </c>
    </row>
    <row r="1278" ht="22.5" customHeight="1">
      <c r="A1278" s="29">
        <v>46209.0</v>
      </c>
      <c r="B1278" s="31" t="s">
        <v>1766</v>
      </c>
      <c r="C1278" s="32" t="s">
        <v>1539</v>
      </c>
      <c r="D1278" s="71" t="s">
        <v>540</v>
      </c>
      <c r="E1278" s="66" t="str">
        <f t="array" ref="E1278">IF(D1278="", "", XLOOKUP(D1278, 'MASTER ITEM LIST'!A:A, 'MASTER ITEM LIST'!B:B, ""))</f>
        <v>NIPPON LACQUER THINNER 4L</v>
      </c>
      <c r="F1278" s="31"/>
      <c r="G1278" s="195" t="s">
        <v>34</v>
      </c>
      <c r="H1278" s="31">
        <v>2.0</v>
      </c>
      <c r="I1278" s="31" t="str">
        <f t="array" ref="I1278">IFERROR(XLOOKUP(D1278,'MASTER ITEM LIST'!A:A,'MASTER ITEM LIST'!D:D), "")</f>
        <v>GAL</v>
      </c>
      <c r="J1278" s="34">
        <f t="shared" si="2"/>
        <v>650</v>
      </c>
      <c r="K1278" s="196">
        <v>1300.0</v>
      </c>
      <c r="L1278" s="70" t="s">
        <v>42</v>
      </c>
    </row>
    <row r="1279" ht="22.5" customHeight="1">
      <c r="A1279" s="29">
        <v>46209.0</v>
      </c>
      <c r="B1279" s="31"/>
      <c r="C1279" s="32" t="s">
        <v>711</v>
      </c>
      <c r="D1279" s="71" t="s">
        <v>167</v>
      </c>
      <c r="E1279" s="66" t="str">
        <f t="array" ref="E1279">IF(D1279="", "", XLOOKUP(D1279, 'MASTER ITEM LIST'!A:A, 'MASTER ITEM LIST'!B:B, ""))</f>
        <v>NAX QDU MIX 1L</v>
      </c>
      <c r="F1279" s="31"/>
      <c r="G1279" s="195" t="s">
        <v>34</v>
      </c>
      <c r="H1279" s="31">
        <v>1.0</v>
      </c>
      <c r="I1279" s="31" t="str">
        <f t="array" ref="I1279">IFERROR(XLOOKUP(D1279,'MASTER ITEM LIST'!A:A,'MASTER ITEM LIST'!D:D), "")</f>
        <v>LITER</v>
      </c>
      <c r="J1279" s="34">
        <f t="shared" si="2"/>
        <v>1600</v>
      </c>
      <c r="K1279" s="196">
        <v>1600.0</v>
      </c>
      <c r="L1279" s="70" t="s">
        <v>42</v>
      </c>
    </row>
    <row r="1280" ht="22.5" customHeight="1">
      <c r="A1280" s="29">
        <v>46209.0</v>
      </c>
      <c r="B1280" s="31" t="s">
        <v>1767</v>
      </c>
      <c r="C1280" s="32" t="s">
        <v>1541</v>
      </c>
      <c r="D1280" s="71" t="s">
        <v>776</v>
      </c>
      <c r="E1280" s="66" t="str">
        <f t="array" ref="E1280">IF(D1280="", "", XLOOKUP(D1280, 'MASTER ITEM LIST'!A:A, 'MASTER ITEM LIST'!B:B, ""))</f>
        <v>METALGUARD EPOXY PRIMER BLACK WITH HARDENER 4L</v>
      </c>
      <c r="F1280" s="31"/>
      <c r="G1280" s="195" t="s">
        <v>34</v>
      </c>
      <c r="H1280" s="31">
        <v>1.0</v>
      </c>
      <c r="I1280" s="31" t="str">
        <f t="array" ref="I1280">IFERROR(XLOOKUP(D1280,'MASTER ITEM LIST'!A:A,'MASTER ITEM LIST'!D:D), "")</f>
        <v>GAL</v>
      </c>
      <c r="J1280" s="34">
        <f t="shared" si="2"/>
        <v>1200</v>
      </c>
      <c r="K1280" s="196">
        <v>1200.0</v>
      </c>
      <c r="L1280" s="70" t="s">
        <v>42</v>
      </c>
    </row>
    <row r="1281" ht="22.5" customHeight="1">
      <c r="A1281" s="29">
        <v>46209.0</v>
      </c>
      <c r="B1281" s="31" t="s">
        <v>1767</v>
      </c>
      <c r="C1281" s="32" t="s">
        <v>1541</v>
      </c>
      <c r="D1281" s="71" t="s">
        <v>779</v>
      </c>
      <c r="E1281" s="66" t="str">
        <f t="array" ref="E1281">IF(D1281="", "", XLOOKUP(D1281, 'MASTER ITEM LIST'!A:A, 'MASTER ITEM LIST'!B:B, ""))</f>
        <v>METALGUARD EPOXY PRIMER GRAY WITH HARDENER 4L</v>
      </c>
      <c r="F1281" s="31"/>
      <c r="G1281" s="195" t="s">
        <v>34</v>
      </c>
      <c r="H1281" s="31">
        <v>1.0</v>
      </c>
      <c r="I1281" s="31" t="str">
        <f t="array" ref="I1281">IFERROR(XLOOKUP(D1281,'MASTER ITEM LIST'!A:A,'MASTER ITEM LIST'!D:D), "")</f>
        <v>GAL</v>
      </c>
      <c r="J1281" s="34">
        <f t="shared" si="2"/>
        <v>1200</v>
      </c>
      <c r="K1281" s="196">
        <v>1200.0</v>
      </c>
      <c r="L1281" s="70" t="s">
        <v>42</v>
      </c>
    </row>
    <row r="1282" ht="22.5" customHeight="1">
      <c r="A1282" s="29">
        <v>46209.0</v>
      </c>
      <c r="B1282" s="31" t="s">
        <v>1767</v>
      </c>
      <c r="C1282" s="32" t="s">
        <v>1541</v>
      </c>
      <c r="D1282" s="71" t="s">
        <v>90</v>
      </c>
      <c r="E1282" s="66" t="str">
        <f t="array" ref="E1282">IF(D1282="", "", XLOOKUP(D1282, 'MASTER ITEM LIST'!A:A, 'MASTER ITEM LIST'!B:B, ""))</f>
        <v>NAX SOB757 HIGH GRADE URETHANE THINNER 4L</v>
      </c>
      <c r="F1282" s="31"/>
      <c r="G1282" s="195" t="s">
        <v>34</v>
      </c>
      <c r="H1282" s="31">
        <v>4.0</v>
      </c>
      <c r="I1282" s="31" t="str">
        <f t="array" ref="I1282">IFERROR(XLOOKUP(D1282,'MASTER ITEM LIST'!A:A,'MASTER ITEM LIST'!D:D), "")</f>
        <v>GAL</v>
      </c>
      <c r="J1282" s="34">
        <f t="shared" si="2"/>
        <v>780</v>
      </c>
      <c r="K1282" s="196">
        <v>3120.0</v>
      </c>
      <c r="L1282" s="70" t="s">
        <v>42</v>
      </c>
    </row>
    <row r="1283" ht="22.5" customHeight="1">
      <c r="A1283" s="29">
        <v>46209.0</v>
      </c>
      <c r="B1283" s="31" t="s">
        <v>1767</v>
      </c>
      <c r="C1283" s="32" t="s">
        <v>1541</v>
      </c>
      <c r="D1283" s="71" t="s">
        <v>909</v>
      </c>
      <c r="E1283" s="66" t="str">
        <f t="array" ref="E1283">IF(D1283="", "", XLOOKUP(D1283, 'MASTER ITEM LIST'!A:A, 'MASTER ITEM LIST'!B:B, ""))</f>
        <v>JAPAN PUTTY KNIFE #6</v>
      </c>
      <c r="F1283" s="31"/>
      <c r="G1283" s="195" t="s">
        <v>34</v>
      </c>
      <c r="H1283" s="31">
        <v>1.0</v>
      </c>
      <c r="I1283" s="31" t="str">
        <f t="array" ref="I1283">IFERROR(XLOOKUP(D1283,'MASTER ITEM LIST'!A:A,'MASTER ITEM LIST'!D:D), "")</f>
        <v>PC/S</v>
      </c>
      <c r="J1283" s="34">
        <f t="shared" si="2"/>
        <v>70</v>
      </c>
      <c r="K1283" s="196">
        <v>70.0</v>
      </c>
      <c r="L1283" s="70" t="s">
        <v>42</v>
      </c>
    </row>
    <row r="1284" ht="22.5" customHeight="1">
      <c r="A1284" s="29">
        <v>46209.0</v>
      </c>
      <c r="B1284" s="31" t="s">
        <v>1767</v>
      </c>
      <c r="C1284" s="32" t="s">
        <v>1541</v>
      </c>
      <c r="D1284" s="71" t="s">
        <v>246</v>
      </c>
      <c r="E1284" s="66" t="str">
        <f t="array" ref="E1284">IF(D1284="", "", XLOOKUP(D1284, 'MASTER ITEM LIST'!A:A, 'MASTER ITEM LIST'!B:B, ""))</f>
        <v>DOMINO BODY FILTER WITH HARDENER 4L</v>
      </c>
      <c r="F1284" s="31"/>
      <c r="G1284" s="195" t="s">
        <v>34</v>
      </c>
      <c r="H1284" s="31">
        <v>1.0</v>
      </c>
      <c r="I1284" s="31" t="str">
        <f t="array" ref="I1284">IFERROR(XLOOKUP(D1284,'MASTER ITEM LIST'!A:A,'MASTER ITEM LIST'!D:D), "")</f>
        <v>GAL</v>
      </c>
      <c r="J1284" s="34">
        <f t="shared" si="2"/>
        <v>740</v>
      </c>
      <c r="K1284" s="196">
        <v>740.0</v>
      </c>
      <c r="L1284" s="70" t="s">
        <v>42</v>
      </c>
    </row>
    <row r="1285" ht="22.5" customHeight="1">
      <c r="A1285" s="29">
        <v>46209.0</v>
      </c>
      <c r="B1285" s="31" t="s">
        <v>1767</v>
      </c>
      <c r="C1285" s="32" t="s">
        <v>1541</v>
      </c>
      <c r="D1285" s="71" t="s">
        <v>63</v>
      </c>
      <c r="E1285" s="66" t="str">
        <f t="array" ref="E1285">IF(D1285="", "", XLOOKUP(D1285, 'MASTER ITEM LIST'!A:A, 'MASTER ITEM LIST'!B:B, ""))</f>
        <v>OLD NEWS</v>
      </c>
      <c r="F1285" s="31"/>
      <c r="G1285" s="195" t="s">
        <v>34</v>
      </c>
      <c r="H1285" s="31">
        <v>2.0</v>
      </c>
      <c r="I1285" s="31" t="str">
        <f t="array" ref="I1285">IFERROR(XLOOKUP(D1285,'MASTER ITEM LIST'!A:A,'MASTER ITEM LIST'!D:D), "")</f>
        <v>KG</v>
      </c>
      <c r="J1285" s="34">
        <f t="shared" si="2"/>
        <v>100</v>
      </c>
      <c r="K1285" s="196">
        <v>200.0</v>
      </c>
      <c r="L1285" s="70" t="s">
        <v>42</v>
      </c>
    </row>
    <row r="1286" ht="22.5" customHeight="1">
      <c r="A1286" s="29">
        <v>46209.0</v>
      </c>
      <c r="B1286" s="31"/>
      <c r="C1286" s="32" t="s">
        <v>711</v>
      </c>
      <c r="D1286" s="71" t="s">
        <v>90</v>
      </c>
      <c r="E1286" s="66" t="str">
        <f t="array" ref="E1286">IF(D1286="", "", XLOOKUP(D1286, 'MASTER ITEM LIST'!A:A, 'MASTER ITEM LIST'!B:B, ""))</f>
        <v>NAX SOB757 HIGH GRADE URETHANE THINNER 4L</v>
      </c>
      <c r="F1286" s="31"/>
      <c r="G1286" s="195" t="s">
        <v>34</v>
      </c>
      <c r="H1286" s="31">
        <v>1.0</v>
      </c>
      <c r="I1286" s="31" t="str">
        <f t="array" ref="I1286">IFERROR(XLOOKUP(D1286,'MASTER ITEM LIST'!A:A,'MASTER ITEM LIST'!D:D), "")</f>
        <v>GAL</v>
      </c>
      <c r="J1286" s="34">
        <f t="shared" si="2"/>
        <v>780</v>
      </c>
      <c r="K1286" s="196">
        <v>780.0</v>
      </c>
      <c r="L1286" s="70" t="s">
        <v>42</v>
      </c>
    </row>
    <row r="1287" ht="22.5" customHeight="1">
      <c r="A1287" s="29">
        <v>46209.0</v>
      </c>
      <c r="B1287" s="31"/>
      <c r="C1287" s="32" t="s">
        <v>711</v>
      </c>
      <c r="D1287" s="71" t="s">
        <v>950</v>
      </c>
      <c r="E1287" s="66" t="str">
        <f t="array" ref="E1287">IF(D1287="", "", XLOOKUP(D1287, 'MASTER ITEM LIST'!A:A, 'MASTER ITEM LIST'!B:B, ""))</f>
        <v>DO IT URETHANE WHITE 4L</v>
      </c>
      <c r="F1287" s="31"/>
      <c r="G1287" s="195" t="s">
        <v>34</v>
      </c>
      <c r="H1287" s="31">
        <v>0.125</v>
      </c>
      <c r="I1287" s="31" t="str">
        <f t="array" ref="I1287">IFERROR(XLOOKUP(D1287,'MASTER ITEM LIST'!A:A,'MASTER ITEM LIST'!D:D), "")</f>
        <v>GAL/S</v>
      </c>
      <c r="J1287" s="34">
        <f t="shared" si="2"/>
        <v>2400</v>
      </c>
      <c r="K1287" s="196">
        <v>300.0</v>
      </c>
      <c r="L1287" s="70" t="s">
        <v>42</v>
      </c>
    </row>
    <row r="1288" ht="22.5" customHeight="1">
      <c r="A1288" s="29">
        <v>46209.0</v>
      </c>
      <c r="B1288" s="31"/>
      <c r="C1288" s="32" t="s">
        <v>711</v>
      </c>
      <c r="D1288" s="71" t="s">
        <v>516</v>
      </c>
      <c r="E1288" s="66" t="str">
        <f t="array" ref="E1288">IF(D1288="", "", XLOOKUP(D1288, 'MASTER ITEM LIST'!A:A, 'MASTER ITEM LIST'!B:B, ""))</f>
        <v>EAGLE SANDPAPER #1500</v>
      </c>
      <c r="F1288" s="31"/>
      <c r="G1288" s="195" t="s">
        <v>34</v>
      </c>
      <c r="H1288" s="31">
        <v>3.0</v>
      </c>
      <c r="I1288" s="31" t="str">
        <f t="array" ref="I1288">IFERROR(XLOOKUP(D1288,'MASTER ITEM LIST'!A:A,'MASTER ITEM LIST'!D:D), "")</f>
        <v>PC/S</v>
      </c>
      <c r="J1288" s="34">
        <f t="shared" si="2"/>
        <v>35</v>
      </c>
      <c r="K1288" s="196">
        <v>105.0</v>
      </c>
      <c r="L1288" s="70" t="s">
        <v>42</v>
      </c>
    </row>
    <row r="1289" ht="22.5" customHeight="1">
      <c r="A1289" s="29">
        <v>46209.0</v>
      </c>
      <c r="B1289" s="31" t="s">
        <v>1768</v>
      </c>
      <c r="C1289" s="32" t="s">
        <v>93</v>
      </c>
      <c r="D1289" s="71" t="s">
        <v>167</v>
      </c>
      <c r="E1289" s="66" t="str">
        <f t="array" ref="E1289">IF(D1289="", "", XLOOKUP(D1289, 'MASTER ITEM LIST'!A:A, 'MASTER ITEM LIST'!B:B, ""))</f>
        <v>NAX QDU MIX 1L</v>
      </c>
      <c r="F1289" s="31"/>
      <c r="G1289" s="195" t="s">
        <v>34</v>
      </c>
      <c r="H1289" s="31">
        <v>0.25</v>
      </c>
      <c r="I1289" s="31" t="str">
        <f t="array" ref="I1289">IFERROR(XLOOKUP(D1289,'MASTER ITEM LIST'!A:A,'MASTER ITEM LIST'!D:D), "")</f>
        <v>LITER</v>
      </c>
      <c r="J1289" s="34">
        <f t="shared" si="2"/>
        <v>1520</v>
      </c>
      <c r="K1289" s="196">
        <v>380.0</v>
      </c>
      <c r="L1289" s="70" t="s">
        <v>42</v>
      </c>
    </row>
    <row r="1290" ht="22.5" customHeight="1">
      <c r="A1290" s="29">
        <v>46210.0</v>
      </c>
      <c r="B1290" s="31"/>
      <c r="C1290" s="32" t="s">
        <v>711</v>
      </c>
      <c r="D1290" s="71" t="s">
        <v>426</v>
      </c>
      <c r="E1290" s="66" t="str">
        <f t="array" ref="E1290">IF(D1290="", "", XLOOKUP(D1290, 'MASTER ITEM LIST'!A:A, 'MASTER ITEM LIST'!B:B, ""))</f>
        <v>EAGLE SAND PAPER #320</v>
      </c>
      <c r="F1290" s="31"/>
      <c r="G1290" s="195" t="s">
        <v>34</v>
      </c>
      <c r="H1290" s="31">
        <v>6.0</v>
      </c>
      <c r="I1290" s="31" t="str">
        <f t="array" ref="I1290">IFERROR(XLOOKUP(D1290,'MASTER ITEM LIST'!A:A,'MASTER ITEM LIST'!D:D), "")</f>
        <v>PCS</v>
      </c>
      <c r="J1290" s="34">
        <f t="shared" si="2"/>
        <v>25</v>
      </c>
      <c r="K1290" s="196">
        <v>150.0</v>
      </c>
      <c r="L1290" s="70" t="s">
        <v>42</v>
      </c>
    </row>
    <row r="1291" ht="22.5" customHeight="1">
      <c r="A1291" s="29">
        <v>46210.0</v>
      </c>
      <c r="B1291" s="31"/>
      <c r="C1291" s="32" t="s">
        <v>711</v>
      </c>
      <c r="D1291" s="71" t="s">
        <v>674</v>
      </c>
      <c r="E1291" s="66" t="str">
        <f t="array" ref="E1291">IF(D1291="", "", XLOOKUP(D1291, 'MASTER ITEM LIST'!A:A, 'MASTER ITEM LIST'!B:B, ""))</f>
        <v>DOMINO BODY FILTER WITH HARDENER 1L</v>
      </c>
      <c r="F1291" s="31"/>
      <c r="G1291" s="195" t="s">
        <v>34</v>
      </c>
      <c r="H1291" s="31">
        <v>1.0</v>
      </c>
      <c r="I1291" s="31" t="str">
        <f t="array" ref="I1291">IFERROR(XLOOKUP(D1291,'MASTER ITEM LIST'!A:A,'MASTER ITEM LIST'!D:D), "")</f>
        <v>LITER</v>
      </c>
      <c r="J1291" s="34">
        <f t="shared" si="2"/>
        <v>230</v>
      </c>
      <c r="K1291" s="196">
        <v>230.0</v>
      </c>
      <c r="L1291" s="70" t="s">
        <v>42</v>
      </c>
    </row>
    <row r="1292" ht="22.5" customHeight="1">
      <c r="A1292" s="29">
        <v>46210.0</v>
      </c>
      <c r="B1292" s="31"/>
      <c r="C1292" s="32" t="s">
        <v>711</v>
      </c>
      <c r="D1292" s="71" t="s">
        <v>90</v>
      </c>
      <c r="E1292" s="66" t="str">
        <f t="array" ref="E1292">IF(D1292="", "", XLOOKUP(D1292, 'MASTER ITEM LIST'!A:A, 'MASTER ITEM LIST'!B:B, ""))</f>
        <v>NAX SOB757 HIGH GRADE URETHANE THINNER 4L</v>
      </c>
      <c r="F1292" s="31"/>
      <c r="G1292" s="195" t="s">
        <v>34</v>
      </c>
      <c r="H1292" s="31">
        <v>0.25</v>
      </c>
      <c r="I1292" s="31" t="str">
        <f t="array" ref="I1292">IFERROR(XLOOKUP(D1292,'MASTER ITEM LIST'!A:A,'MASTER ITEM LIST'!D:D), "")</f>
        <v>GAL</v>
      </c>
      <c r="J1292" s="34">
        <f t="shared" si="2"/>
        <v>800</v>
      </c>
      <c r="K1292" s="196">
        <v>200.0</v>
      </c>
      <c r="L1292" s="70" t="s">
        <v>42</v>
      </c>
    </row>
    <row r="1293" ht="22.5" customHeight="1">
      <c r="A1293" s="29">
        <v>46210.0</v>
      </c>
      <c r="B1293" s="31"/>
      <c r="C1293" s="32" t="s">
        <v>711</v>
      </c>
      <c r="D1293" s="71" t="s">
        <v>909</v>
      </c>
      <c r="E1293" s="66" t="str">
        <f t="array" ref="E1293">IF(D1293="", "", XLOOKUP(D1293, 'MASTER ITEM LIST'!A:A, 'MASTER ITEM LIST'!B:B, ""))</f>
        <v>JAPAN PUTTY KNIFE #6</v>
      </c>
      <c r="F1293" s="31"/>
      <c r="G1293" s="195" t="s">
        <v>34</v>
      </c>
      <c r="H1293" s="31">
        <v>1.0</v>
      </c>
      <c r="I1293" s="31" t="str">
        <f t="array" ref="I1293">IFERROR(XLOOKUP(D1293,'MASTER ITEM LIST'!A:A,'MASTER ITEM LIST'!D:D), "")</f>
        <v>PC/S</v>
      </c>
      <c r="J1293" s="34">
        <f t="shared" si="2"/>
        <v>70</v>
      </c>
      <c r="K1293" s="196">
        <v>70.0</v>
      </c>
      <c r="L1293" s="70" t="s">
        <v>42</v>
      </c>
    </row>
    <row r="1294" ht="22.5" customHeight="1">
      <c r="A1294" s="29">
        <v>46210.0</v>
      </c>
      <c r="B1294" s="31"/>
      <c r="C1294" s="32" t="s">
        <v>711</v>
      </c>
      <c r="D1294" s="71" t="s">
        <v>79</v>
      </c>
      <c r="E1294" s="66" t="str">
        <f t="array" ref="E1294">IF(D1294="", "", XLOOKUP(D1294, 'MASTER ITEM LIST'!A:A, 'MASTER ITEM LIST'!B:B, ""))</f>
        <v>CROCO MASKING TAPE 1/2 12MM (1X96)</v>
      </c>
      <c r="F1294" s="31"/>
      <c r="G1294" s="195" t="s">
        <v>34</v>
      </c>
      <c r="H1294" s="31">
        <v>2.0</v>
      </c>
      <c r="I1294" s="31" t="str">
        <f t="array" ref="I1294">IFERROR(XLOOKUP(D1294,'MASTER ITEM LIST'!A:A,'MASTER ITEM LIST'!D:D), "")</f>
        <v>PC/S</v>
      </c>
      <c r="J1294" s="34">
        <f t="shared" si="2"/>
        <v>25</v>
      </c>
      <c r="K1294" s="196">
        <v>50.0</v>
      </c>
      <c r="L1294" s="70" t="s">
        <v>42</v>
      </c>
    </row>
    <row r="1295" ht="22.5" customHeight="1">
      <c r="A1295" s="29">
        <v>46210.0</v>
      </c>
      <c r="B1295" s="31"/>
      <c r="C1295" s="32" t="s">
        <v>711</v>
      </c>
      <c r="D1295" s="71" t="s">
        <v>117</v>
      </c>
      <c r="E1295" s="66" t="str">
        <f t="array" ref="E1295">IF(D1295="", "", XLOOKUP(D1295, 'MASTER ITEM LIST'!A:A, 'MASTER ITEM LIST'!B:B, ""))</f>
        <v>EAGLE SANDPAPER #120</v>
      </c>
      <c r="F1295" s="31"/>
      <c r="G1295" s="195" t="s">
        <v>34</v>
      </c>
      <c r="H1295" s="31">
        <v>6.0</v>
      </c>
      <c r="I1295" s="31" t="str">
        <f t="array" ref="I1295">IFERROR(XLOOKUP(D1295,'MASTER ITEM LIST'!A:A,'MASTER ITEM LIST'!D:D), "")</f>
        <v>PC/S</v>
      </c>
      <c r="J1295" s="34">
        <f t="shared" si="2"/>
        <v>25</v>
      </c>
      <c r="K1295" s="196">
        <v>150.0</v>
      </c>
      <c r="L1295" s="70" t="s">
        <v>42</v>
      </c>
    </row>
    <row r="1296" ht="22.5" customHeight="1">
      <c r="A1296" s="29">
        <v>46210.0</v>
      </c>
      <c r="B1296" s="31"/>
      <c r="C1296" s="32" t="s">
        <v>711</v>
      </c>
      <c r="D1296" s="71" t="s">
        <v>432</v>
      </c>
      <c r="E1296" s="66" t="str">
        <f t="array" ref="E1296">IF(D1296="", "", XLOOKUP(D1296, 'MASTER ITEM LIST'!A:A, 'MASTER ITEM LIST'!B:B, ""))</f>
        <v>EAGLE SANDPAPER #600</v>
      </c>
      <c r="F1296" s="31"/>
      <c r="G1296" s="195" t="s">
        <v>34</v>
      </c>
      <c r="H1296" s="31">
        <v>6.0</v>
      </c>
      <c r="I1296" s="31" t="str">
        <f t="array" ref="I1296">IFERROR(XLOOKUP(D1296,'MASTER ITEM LIST'!A:A,'MASTER ITEM LIST'!D:D), "")</f>
        <v>PCS</v>
      </c>
      <c r="J1296" s="34">
        <f t="shared" si="2"/>
        <v>25</v>
      </c>
      <c r="K1296" s="196">
        <v>150.0</v>
      </c>
      <c r="L1296" s="70" t="s">
        <v>42</v>
      </c>
    </row>
    <row r="1297" ht="22.5" customHeight="1">
      <c r="A1297" s="29">
        <v>46210.0</v>
      </c>
      <c r="B1297" s="31"/>
      <c r="C1297" s="32" t="s">
        <v>711</v>
      </c>
      <c r="D1297" s="71" t="s">
        <v>864</v>
      </c>
      <c r="E1297" s="66" t="str">
        <f t="array" ref="E1297">IF(D1297="", "", XLOOKUP(D1297, 'MASTER ITEM LIST'!A:A, 'MASTER ITEM LIST'!B:B, ""))</f>
        <v>NIPPON FLEXI-SEAL 145 WHITE 5KG</v>
      </c>
      <c r="F1297" s="31"/>
      <c r="G1297" s="195" t="s">
        <v>34</v>
      </c>
      <c r="H1297" s="31">
        <v>1.0</v>
      </c>
      <c r="I1297" s="31" t="str">
        <f t="array" ref="I1297">IFERROR(XLOOKUP(D1297,'MASTER ITEM LIST'!A:A,'MASTER ITEM LIST'!D:D), "")</f>
        <v>5KG</v>
      </c>
      <c r="J1297" s="34">
        <f t="shared" si="2"/>
        <v>1800</v>
      </c>
      <c r="K1297" s="196">
        <v>1800.0</v>
      </c>
      <c r="L1297" s="70" t="s">
        <v>42</v>
      </c>
    </row>
    <row r="1298" ht="22.5" customHeight="1">
      <c r="A1298" s="29">
        <v>46210.0</v>
      </c>
      <c r="B1298" s="31"/>
      <c r="C1298" s="32" t="s">
        <v>711</v>
      </c>
      <c r="D1298" s="71" t="s">
        <v>922</v>
      </c>
      <c r="E1298" s="66" t="str">
        <f t="array" ref="E1298">IF(D1298="", "", XLOOKUP(D1298, 'MASTER ITEM LIST'!A:A, 'MASTER ITEM LIST'!B:B, ""))</f>
        <v>DO IT SHIELD ALL MULTI-PURPOSE WAX 250ML</v>
      </c>
      <c r="F1298" s="31"/>
      <c r="G1298" s="195" t="s">
        <v>34</v>
      </c>
      <c r="H1298" s="31">
        <v>1.0</v>
      </c>
      <c r="I1298" s="31" t="str">
        <f t="array" ref="I1298">IFERROR(XLOOKUP(D1298,'MASTER ITEM LIST'!A:A,'MASTER ITEM LIST'!D:D), "")</f>
        <v>BOT</v>
      </c>
      <c r="J1298" s="34">
        <f t="shared" si="2"/>
        <v>185</v>
      </c>
      <c r="K1298" s="196">
        <v>185.0</v>
      </c>
      <c r="L1298" s="70" t="s">
        <v>42</v>
      </c>
    </row>
    <row r="1299" ht="22.5" customHeight="1">
      <c r="A1299" s="29">
        <v>46210.0</v>
      </c>
      <c r="B1299" s="31"/>
      <c r="C1299" s="32" t="s">
        <v>711</v>
      </c>
      <c r="D1299" s="71" t="s">
        <v>160</v>
      </c>
      <c r="E1299" s="66" t="str">
        <f t="array" ref="E1299">IF(D1299="", "", XLOOKUP(D1299, 'MASTER ITEM LIST'!A:A, 'MASTER ITEM LIST'!B:B, ""))</f>
        <v>NAX 141 NAX MAXIMA URETHANE FD CLEAR WITH HARDENER 1L</v>
      </c>
      <c r="F1299" s="31"/>
      <c r="G1299" s="195" t="s">
        <v>34</v>
      </c>
      <c r="H1299" s="31">
        <v>2.0</v>
      </c>
      <c r="I1299" s="31" t="str">
        <f t="array" ref="I1299">IFERROR(XLOOKUP(D1299,'MASTER ITEM LIST'!A:A,'MASTER ITEM LIST'!D:D), "")</f>
        <v>LITER</v>
      </c>
      <c r="J1299" s="34">
        <f t="shared" si="2"/>
        <v>560</v>
      </c>
      <c r="K1299" s="196">
        <v>1120.0</v>
      </c>
      <c r="L1299" s="70" t="s">
        <v>42</v>
      </c>
    </row>
    <row r="1300" ht="22.5" customHeight="1">
      <c r="A1300" s="29">
        <v>46210.0</v>
      </c>
      <c r="B1300" s="31" t="s">
        <v>1769</v>
      </c>
      <c r="C1300" s="32" t="s">
        <v>93</v>
      </c>
      <c r="D1300" s="71" t="s">
        <v>326</v>
      </c>
      <c r="E1300" s="66" t="str">
        <f t="array" ref="E1300">IF(D1300="", "", XLOOKUP(D1300, 'MASTER ITEM LIST'!A:A, 'MASTER ITEM LIST'!B:B, ""))</f>
        <v>EAGLE SANDPAPER #1200</v>
      </c>
      <c r="F1300" s="31"/>
      <c r="G1300" s="195" t="s">
        <v>34</v>
      </c>
      <c r="H1300" s="31">
        <v>5.0</v>
      </c>
      <c r="I1300" s="31" t="str">
        <f t="array" ref="I1300">IFERROR(XLOOKUP(D1300,'MASTER ITEM LIST'!A:A,'MASTER ITEM LIST'!D:D), "")</f>
        <v>PC/S</v>
      </c>
      <c r="J1300" s="34">
        <f t="shared" si="2"/>
        <v>25</v>
      </c>
      <c r="K1300" s="196">
        <v>125.0</v>
      </c>
      <c r="L1300" s="70" t="s">
        <v>42</v>
      </c>
    </row>
    <row r="1301" ht="22.5" customHeight="1">
      <c r="A1301" s="29">
        <v>46210.0</v>
      </c>
      <c r="B1301" s="31" t="s">
        <v>1770</v>
      </c>
      <c r="C1301" s="32" t="s">
        <v>1343</v>
      </c>
      <c r="D1301" s="71" t="s">
        <v>246</v>
      </c>
      <c r="E1301" s="66" t="str">
        <f t="array" ref="E1301">IF(D1301="", "", XLOOKUP(D1301, 'MASTER ITEM LIST'!A:A, 'MASTER ITEM LIST'!B:B, ""))</f>
        <v>DOMINO BODY FILTER WITH HARDENER 4L</v>
      </c>
      <c r="F1301" s="31"/>
      <c r="G1301" s="195" t="s">
        <v>34</v>
      </c>
      <c r="H1301" s="31">
        <v>2.0</v>
      </c>
      <c r="I1301" s="31" t="str">
        <f t="array" ref="I1301">IFERROR(XLOOKUP(D1301,'MASTER ITEM LIST'!A:A,'MASTER ITEM LIST'!D:D), "")</f>
        <v>GAL</v>
      </c>
      <c r="J1301" s="34">
        <f t="shared" si="2"/>
        <v>640</v>
      </c>
      <c r="K1301" s="196">
        <v>1280.0</v>
      </c>
      <c r="L1301" s="70" t="s">
        <v>42</v>
      </c>
    </row>
    <row r="1302" ht="22.5" customHeight="1">
      <c r="A1302" s="29">
        <v>46210.0</v>
      </c>
      <c r="B1302" s="31" t="s">
        <v>1770</v>
      </c>
      <c r="C1302" s="32" t="s">
        <v>1343</v>
      </c>
      <c r="D1302" s="71" t="s">
        <v>415</v>
      </c>
      <c r="E1302" s="66" t="str">
        <f t="array" ref="E1302">IF(D1302="", "", XLOOKUP(D1302, 'MASTER ITEM LIST'!A:A, 'MASTER ITEM LIST'!B:B, ""))</f>
        <v>NAX PREMILA NP9700 HS 2K CLEAR WITH HARDENER 1L</v>
      </c>
      <c r="F1302" s="31"/>
      <c r="G1302" s="195" t="s">
        <v>34</v>
      </c>
      <c r="H1302" s="31">
        <v>1.0</v>
      </c>
      <c r="I1302" s="31" t="str">
        <f t="array" ref="I1302">IFERROR(XLOOKUP(D1302,'MASTER ITEM LIST'!A:A,'MASTER ITEM LIST'!D:D), "")</f>
        <v>LITER</v>
      </c>
      <c r="J1302" s="34">
        <f t="shared" si="2"/>
        <v>1600</v>
      </c>
      <c r="K1302" s="196">
        <v>1600.0</v>
      </c>
      <c r="L1302" s="70" t="s">
        <v>42</v>
      </c>
    </row>
    <row r="1303" ht="22.5" customHeight="1">
      <c r="A1303" s="29">
        <v>46210.0</v>
      </c>
      <c r="B1303" s="31"/>
      <c r="C1303" s="32" t="s">
        <v>711</v>
      </c>
      <c r="D1303" s="71" t="s">
        <v>233</v>
      </c>
      <c r="E1303" s="66" t="str">
        <f t="array" ref="E1303">IF(D1303="", "", XLOOKUP(D1303, 'MASTER ITEM LIST'!A:A, 'MASTER ITEM LIST'!B:B, ""))</f>
        <v>NAX ALPHA HB SPRAY FILLER GRAY WITH HARDENER 1L</v>
      </c>
      <c r="F1303" s="31"/>
      <c r="G1303" s="195" t="s">
        <v>34</v>
      </c>
      <c r="H1303" s="31">
        <v>0.25</v>
      </c>
      <c r="I1303" s="31" t="str">
        <f t="array" ref="I1303">IFERROR(XLOOKUP(D1303,'MASTER ITEM LIST'!A:A,'MASTER ITEM LIST'!D:D), "")</f>
        <v>LITER</v>
      </c>
      <c r="J1303" s="34">
        <f t="shared" si="2"/>
        <v>640</v>
      </c>
      <c r="K1303" s="196">
        <v>160.0</v>
      </c>
      <c r="L1303" s="70" t="s">
        <v>42</v>
      </c>
    </row>
    <row r="1304" ht="22.5" customHeight="1">
      <c r="A1304" s="29">
        <v>46210.0</v>
      </c>
      <c r="B1304" s="31"/>
      <c r="C1304" s="32" t="s">
        <v>711</v>
      </c>
      <c r="D1304" s="71" t="s">
        <v>220</v>
      </c>
      <c r="E1304" s="66" t="str">
        <f t="array" ref="E1304">IF(D1304="", "", XLOOKUP(D1304, 'MASTER ITEM LIST'!A:A, 'MASTER ITEM LIST'!B:B, ""))</f>
        <v>PREMILA MIXING 1L</v>
      </c>
      <c r="F1304" s="31" t="s">
        <v>1771</v>
      </c>
      <c r="G1304" s="195" t="s">
        <v>34</v>
      </c>
      <c r="H1304" s="31">
        <v>0.25</v>
      </c>
      <c r="I1304" s="31" t="str">
        <f t="array" ref="I1304">IFERROR(XLOOKUP(D1304,'MASTER ITEM LIST'!A:A,'MASTER ITEM LIST'!D:D), "")</f>
        <v>LITER</v>
      </c>
      <c r="J1304" s="34">
        <f t="shared" si="2"/>
        <v>2800</v>
      </c>
      <c r="K1304" s="196">
        <v>700.0</v>
      </c>
      <c r="L1304" s="70" t="s">
        <v>42</v>
      </c>
    </row>
    <row r="1305" ht="22.5" customHeight="1">
      <c r="A1305" s="29">
        <v>46210.0</v>
      </c>
      <c r="B1305" s="31"/>
      <c r="C1305" s="32" t="s">
        <v>711</v>
      </c>
      <c r="D1305" s="71" t="s">
        <v>90</v>
      </c>
      <c r="E1305" s="66" t="str">
        <f t="array" ref="E1305">IF(D1305="", "", XLOOKUP(D1305, 'MASTER ITEM LIST'!A:A, 'MASTER ITEM LIST'!B:B, ""))</f>
        <v>NAX SOB757 HIGH GRADE URETHANE THINNER 4L</v>
      </c>
      <c r="F1305" s="31"/>
      <c r="G1305" s="195" t="s">
        <v>34</v>
      </c>
      <c r="H1305" s="31">
        <v>0.25</v>
      </c>
      <c r="I1305" s="31" t="str">
        <f t="array" ref="I1305">IFERROR(XLOOKUP(D1305,'MASTER ITEM LIST'!A:A,'MASTER ITEM LIST'!D:D), "")</f>
        <v>GAL</v>
      </c>
      <c r="J1305" s="34">
        <f t="shared" si="2"/>
        <v>800</v>
      </c>
      <c r="K1305" s="196">
        <v>200.0</v>
      </c>
      <c r="L1305" s="70" t="s">
        <v>42</v>
      </c>
    </row>
    <row r="1306" ht="22.5" customHeight="1">
      <c r="A1306" s="29">
        <v>46210.0</v>
      </c>
      <c r="B1306" s="31"/>
      <c r="C1306" s="32" t="s">
        <v>711</v>
      </c>
      <c r="D1306" s="23" t="s">
        <v>31</v>
      </c>
      <c r="E1306" s="66" t="str">
        <f t="array" ref="E1306">IF(D1306="", "", XLOOKUP(D1306, 'MASTER ITEM LIST'!A:A, 'MASTER ITEM LIST'!B:B, ""))</f>
        <v>EXTREME QDU MIXING 1L</v>
      </c>
      <c r="F1306" s="31"/>
      <c r="G1306" s="195" t="s">
        <v>34</v>
      </c>
      <c r="H1306" s="31">
        <v>0.5</v>
      </c>
      <c r="I1306" s="31" t="str">
        <f t="array" ref="I1306">IFERROR(XLOOKUP(D1306,'MASTER ITEM LIST'!A:A,'MASTER ITEM LIST'!D:D), "")</f>
        <v>LITER</v>
      </c>
      <c r="J1306" s="34">
        <f t="shared" si="2"/>
        <v>700</v>
      </c>
      <c r="K1306" s="196">
        <v>350.0</v>
      </c>
      <c r="L1306" s="70" t="s">
        <v>42</v>
      </c>
    </row>
    <row r="1307" ht="22.5" customHeight="1">
      <c r="A1307" s="29">
        <v>46210.0</v>
      </c>
      <c r="B1307" s="31"/>
      <c r="C1307" s="32" t="s">
        <v>711</v>
      </c>
      <c r="D1307" s="23" t="s">
        <v>828</v>
      </c>
      <c r="E1307" s="66" t="str">
        <f t="array" ref="E1307">IF(D1307="", "", XLOOKUP(D1307, 'MASTER ITEM LIST'!A:A, 'MASTER ITEM LIST'!B:B, ""))</f>
        <v>NAX PP BUMPER PRIMER GRAY 1L</v>
      </c>
      <c r="F1307" s="31"/>
      <c r="G1307" s="195" t="s">
        <v>34</v>
      </c>
      <c r="H1307" s="31">
        <v>0.25</v>
      </c>
      <c r="I1307" s="31" t="str">
        <f t="array" ref="I1307">IFERROR(XLOOKUP(D1307,'MASTER ITEM LIST'!A:A,'MASTER ITEM LIST'!D:D), "")</f>
        <v>LITER</v>
      </c>
      <c r="J1307" s="34">
        <f t="shared" si="2"/>
        <v>880</v>
      </c>
      <c r="K1307" s="196">
        <v>220.0</v>
      </c>
      <c r="L1307" s="70" t="s">
        <v>42</v>
      </c>
    </row>
    <row r="1308" ht="22.5" customHeight="1">
      <c r="A1308" s="29">
        <v>46210.0</v>
      </c>
      <c r="B1308" s="31"/>
      <c r="C1308" s="32" t="s">
        <v>711</v>
      </c>
      <c r="D1308" s="71" t="s">
        <v>79</v>
      </c>
      <c r="E1308" s="66" t="str">
        <f t="array" ref="E1308">IF(D1308="", "", XLOOKUP(D1308, 'MASTER ITEM LIST'!A:A, 'MASTER ITEM LIST'!B:B, ""))</f>
        <v>CROCO MASKING TAPE 1/2 12MM (1X96)</v>
      </c>
      <c r="F1308" s="31"/>
      <c r="G1308" s="195" t="s">
        <v>34</v>
      </c>
      <c r="H1308" s="31">
        <v>2.0</v>
      </c>
      <c r="I1308" s="31" t="str">
        <f t="array" ref="I1308">IFERROR(XLOOKUP(D1308,'MASTER ITEM LIST'!A:A,'MASTER ITEM LIST'!D:D), "")</f>
        <v>PC/S</v>
      </c>
      <c r="J1308" s="34">
        <f t="shared" si="2"/>
        <v>25</v>
      </c>
      <c r="K1308" s="196">
        <v>50.0</v>
      </c>
      <c r="L1308" s="70" t="s">
        <v>42</v>
      </c>
    </row>
    <row r="1309" ht="22.5" customHeight="1">
      <c r="A1309" s="29">
        <v>46210.0</v>
      </c>
      <c r="B1309" s="31"/>
      <c r="C1309" s="32" t="s">
        <v>711</v>
      </c>
      <c r="D1309" s="71" t="s">
        <v>31</v>
      </c>
      <c r="E1309" s="66" t="str">
        <f t="array" ref="E1309">IF(D1309="", "", XLOOKUP(D1309, 'MASTER ITEM LIST'!A:A, 'MASTER ITEM LIST'!B:B, ""))</f>
        <v>EXTREME QDU MIXING 1L</v>
      </c>
      <c r="F1309" s="31"/>
      <c r="G1309" s="195" t="s">
        <v>34</v>
      </c>
      <c r="H1309" s="31">
        <v>0.25</v>
      </c>
      <c r="I1309" s="31" t="str">
        <f t="array" ref="I1309">IFERROR(XLOOKUP(D1309,'MASTER ITEM LIST'!A:A,'MASTER ITEM LIST'!D:D), "")</f>
        <v>LITER</v>
      </c>
      <c r="J1309" s="34">
        <f t="shared" si="2"/>
        <v>700</v>
      </c>
      <c r="K1309" s="196">
        <v>175.0</v>
      </c>
      <c r="L1309" s="70" t="s">
        <v>42</v>
      </c>
    </row>
    <row r="1310" ht="22.5" customHeight="1">
      <c r="A1310" s="29">
        <v>46211.0</v>
      </c>
      <c r="B1310" s="31" t="s">
        <v>1772</v>
      </c>
      <c r="C1310" s="32" t="s">
        <v>93</v>
      </c>
      <c r="D1310" s="71" t="s">
        <v>220</v>
      </c>
      <c r="E1310" s="66" t="str">
        <f t="array" ref="E1310">IF(D1310="", "", XLOOKUP(D1310, 'MASTER ITEM LIST'!A:A, 'MASTER ITEM LIST'!B:B, ""))</f>
        <v>PREMILA MIXING 1L</v>
      </c>
      <c r="F1310" s="31" t="s">
        <v>1751</v>
      </c>
      <c r="G1310" s="195" t="s">
        <v>34</v>
      </c>
      <c r="H1310" s="31">
        <v>0.125</v>
      </c>
      <c r="I1310" s="31" t="str">
        <f t="array" ref="I1310">IFERROR(XLOOKUP(D1310,'MASTER ITEM LIST'!A:A,'MASTER ITEM LIST'!D:D), "")</f>
        <v>LITER</v>
      </c>
      <c r="J1310" s="34">
        <f t="shared" si="2"/>
        <v>3040</v>
      </c>
      <c r="K1310" s="196">
        <v>380.0</v>
      </c>
      <c r="L1310" s="70" t="s">
        <v>42</v>
      </c>
    </row>
    <row r="1311" ht="22.5" customHeight="1">
      <c r="A1311" s="29">
        <v>46211.0</v>
      </c>
      <c r="B1311" s="31"/>
      <c r="C1311" s="32" t="s">
        <v>711</v>
      </c>
      <c r="D1311" s="71" t="s">
        <v>326</v>
      </c>
      <c r="E1311" s="66" t="str">
        <f t="array" ref="E1311">IF(D1311="", "", XLOOKUP(D1311, 'MASTER ITEM LIST'!A:A, 'MASTER ITEM LIST'!B:B, ""))</f>
        <v>EAGLE SANDPAPER #1200</v>
      </c>
      <c r="F1311" s="31"/>
      <c r="G1311" s="195" t="s">
        <v>34</v>
      </c>
      <c r="H1311" s="31">
        <v>2.0</v>
      </c>
      <c r="I1311" s="31" t="str">
        <f t="array" ref="I1311">IFERROR(XLOOKUP(D1311,'MASTER ITEM LIST'!A:A,'MASTER ITEM LIST'!D:D), "")</f>
        <v>PC/S</v>
      </c>
      <c r="J1311" s="34">
        <f t="shared" si="2"/>
        <v>25</v>
      </c>
      <c r="K1311" s="196">
        <v>50.0</v>
      </c>
      <c r="L1311" s="70" t="s">
        <v>42</v>
      </c>
    </row>
    <row r="1312" ht="22.5" customHeight="1">
      <c r="A1312" s="29">
        <v>46211.0</v>
      </c>
      <c r="B1312" s="31"/>
      <c r="C1312" s="32" t="s">
        <v>711</v>
      </c>
      <c r="D1312" s="71" t="s">
        <v>516</v>
      </c>
      <c r="E1312" s="66" t="str">
        <f t="array" ref="E1312">IF(D1312="", "", XLOOKUP(D1312, 'MASTER ITEM LIST'!A:A, 'MASTER ITEM LIST'!B:B, ""))</f>
        <v>EAGLE SANDPAPER #1500</v>
      </c>
      <c r="F1312" s="31"/>
      <c r="G1312" s="195" t="s">
        <v>34</v>
      </c>
      <c r="H1312" s="31">
        <v>2.0</v>
      </c>
      <c r="I1312" s="31" t="str">
        <f t="array" ref="I1312">IFERROR(XLOOKUP(D1312,'MASTER ITEM LIST'!A:A,'MASTER ITEM LIST'!D:D), "")</f>
        <v>PC/S</v>
      </c>
      <c r="J1312" s="34">
        <f t="shared" si="2"/>
        <v>35</v>
      </c>
      <c r="K1312" s="196">
        <v>70.0</v>
      </c>
      <c r="L1312" s="70" t="s">
        <v>42</v>
      </c>
    </row>
    <row r="1313" ht="22.5" customHeight="1">
      <c r="A1313" s="29">
        <v>46211.0</v>
      </c>
      <c r="B1313" s="31"/>
      <c r="C1313" s="32" t="s">
        <v>711</v>
      </c>
      <c r="D1313" s="71" t="s">
        <v>198</v>
      </c>
      <c r="E1313" s="66" t="str">
        <f t="array" ref="E1313">IF(D1313="", "", XLOOKUP(D1313, 'MASTER ITEM LIST'!A:A, 'MASTER ITEM LIST'!B:B, ""))</f>
        <v>EAGLE SANDPAPER #2000</v>
      </c>
      <c r="F1313" s="31"/>
      <c r="G1313" s="195" t="s">
        <v>34</v>
      </c>
      <c r="H1313" s="31">
        <v>1.0</v>
      </c>
      <c r="I1313" s="31" t="str">
        <f t="array" ref="I1313">IFERROR(XLOOKUP(D1313,'MASTER ITEM LIST'!A:A,'MASTER ITEM LIST'!D:D), "")</f>
        <v>PC/S</v>
      </c>
      <c r="J1313" s="34">
        <f t="shared" si="2"/>
        <v>35</v>
      </c>
      <c r="K1313" s="196">
        <v>35.0</v>
      </c>
      <c r="L1313" s="70" t="s">
        <v>42</v>
      </c>
    </row>
    <row r="1314" ht="22.5" customHeight="1">
      <c r="A1314" s="29">
        <v>46211.0</v>
      </c>
      <c r="B1314" s="31"/>
      <c r="C1314" s="32" t="s">
        <v>711</v>
      </c>
      <c r="D1314" s="71" t="s">
        <v>205</v>
      </c>
      <c r="E1314" s="66" t="str">
        <f t="array" ref="E1314">IF(D1314="", "", XLOOKUP(D1314, 'MASTER ITEM LIST'!A:A, 'MASTER ITEM LIST'!B:B, ""))</f>
        <v>TIMELESS PREMIUM LIQUID WAX 5OML</v>
      </c>
      <c r="F1314" s="31"/>
      <c r="G1314" s="195" t="s">
        <v>34</v>
      </c>
      <c r="H1314" s="31">
        <v>1.0</v>
      </c>
      <c r="I1314" s="31" t="str">
        <f t="array" ref="I1314">IFERROR(XLOOKUP(D1314,'MASTER ITEM LIST'!A:A,'MASTER ITEM LIST'!D:D), "")</f>
        <v>PC/S</v>
      </c>
      <c r="J1314" s="34">
        <f t="shared" si="2"/>
        <v>100</v>
      </c>
      <c r="K1314" s="196">
        <v>100.0</v>
      </c>
      <c r="L1314" s="70" t="s">
        <v>42</v>
      </c>
    </row>
    <row r="1315" ht="22.5" customHeight="1">
      <c r="A1315" s="29">
        <v>46211.0</v>
      </c>
      <c r="B1315" s="31" t="s">
        <v>1773</v>
      </c>
      <c r="C1315" s="32" t="s">
        <v>1543</v>
      </c>
      <c r="D1315" s="71" t="s">
        <v>1024</v>
      </c>
      <c r="E1315" s="66" t="str">
        <f t="array" ref="E1315">IF(D1315="", "", XLOOKUP(D1315, 'MASTER ITEM LIST'!A:A, 'MASTER ITEM LIST'!B:B, ""))</f>
        <v>FLAT WHITE ACRYLIC LATEX B-701 BOYSEN 4L</v>
      </c>
      <c r="F1315" s="31"/>
      <c r="G1315" s="195" t="s">
        <v>34</v>
      </c>
      <c r="H1315" s="31">
        <v>1.0</v>
      </c>
      <c r="I1315" s="31" t="str">
        <f t="array" ref="I1315">IFERROR(XLOOKUP(D1315,'MASTER ITEM LIST'!A:A,'MASTER ITEM LIST'!D:D), "")</f>
        <v>4L</v>
      </c>
      <c r="J1315" s="34">
        <f t="shared" si="2"/>
        <v>770</v>
      </c>
      <c r="K1315" s="196">
        <v>770.0</v>
      </c>
      <c r="L1315" s="70" t="s">
        <v>42</v>
      </c>
    </row>
    <row r="1316" ht="22.5" customHeight="1">
      <c r="A1316" s="29">
        <v>46211.0</v>
      </c>
      <c r="B1316" s="31" t="s">
        <v>1774</v>
      </c>
      <c r="C1316" s="32" t="s">
        <v>1545</v>
      </c>
      <c r="D1316" s="71" t="s">
        <v>676</v>
      </c>
      <c r="E1316" s="66" t="str">
        <f t="array" ref="E1316">IF(D1316="", "", XLOOKUP(D1316, 'MASTER ITEM LIST'!A:A, 'MASTER ITEM LIST'!B:B, ""))</f>
        <v>NIPPON ACRYLIC GLOSS THINNER 4L</v>
      </c>
      <c r="F1316" s="31"/>
      <c r="G1316" s="195" t="s">
        <v>34</v>
      </c>
      <c r="H1316" s="31">
        <v>2.0</v>
      </c>
      <c r="I1316" s="31" t="str">
        <f t="array" ref="I1316">IFERROR(XLOOKUP(D1316,'MASTER ITEM LIST'!A:A,'MASTER ITEM LIST'!D:D), "")</f>
        <v>GAL/S</v>
      </c>
      <c r="J1316" s="34">
        <f t="shared" si="2"/>
        <v>630</v>
      </c>
      <c r="K1316" s="196">
        <v>1260.0</v>
      </c>
      <c r="L1316" s="70" t="s">
        <v>42</v>
      </c>
    </row>
    <row r="1317" ht="22.5" customHeight="1">
      <c r="A1317" s="29">
        <v>46212.0</v>
      </c>
      <c r="B1317" s="31" t="s">
        <v>1775</v>
      </c>
      <c r="C1317" s="32" t="s">
        <v>1210</v>
      </c>
      <c r="D1317" s="71" t="s">
        <v>233</v>
      </c>
      <c r="E1317" s="66" t="str">
        <f t="array" ref="E1317">IF(D1317="", "", XLOOKUP(D1317, 'MASTER ITEM LIST'!A:A, 'MASTER ITEM LIST'!B:B, ""))</f>
        <v>NAX ALPHA HB SPRAY FILLER GRAY WITH HARDENER 1L</v>
      </c>
      <c r="F1317" s="31"/>
      <c r="G1317" s="195" t="s">
        <v>1211</v>
      </c>
      <c r="H1317" s="31">
        <v>4.0</v>
      </c>
      <c r="I1317" s="31" t="str">
        <f t="array" ref="I1317">IFERROR(XLOOKUP(D1317,'MASTER ITEM LIST'!A:A,'MASTER ITEM LIST'!D:D), "")</f>
        <v>LITER</v>
      </c>
      <c r="J1317" s="34">
        <f t="shared" si="2"/>
        <v>600</v>
      </c>
      <c r="K1317" s="196">
        <v>2400.0</v>
      </c>
      <c r="L1317" s="70" t="s">
        <v>1212</v>
      </c>
    </row>
    <row r="1318" ht="22.5" customHeight="1">
      <c r="A1318" s="29">
        <v>46212.0</v>
      </c>
      <c r="B1318" s="31" t="s">
        <v>1775</v>
      </c>
      <c r="C1318" s="32" t="s">
        <v>1210</v>
      </c>
      <c r="D1318" s="71" t="s">
        <v>117</v>
      </c>
      <c r="E1318" s="66" t="str">
        <f t="array" ref="E1318">IF(D1318="", "", XLOOKUP(D1318, 'MASTER ITEM LIST'!A:A, 'MASTER ITEM LIST'!B:B, ""))</f>
        <v>EAGLE SANDPAPER #120</v>
      </c>
      <c r="F1318" s="31"/>
      <c r="G1318" s="195" t="s">
        <v>1211</v>
      </c>
      <c r="H1318" s="31">
        <v>10.0</v>
      </c>
      <c r="I1318" s="31" t="str">
        <f t="array" ref="I1318">IFERROR(XLOOKUP(D1318,'MASTER ITEM LIST'!A:A,'MASTER ITEM LIST'!D:D), "")</f>
        <v>PC/S</v>
      </c>
      <c r="J1318" s="34">
        <f t="shared" si="2"/>
        <v>25</v>
      </c>
      <c r="K1318" s="196">
        <v>250.0</v>
      </c>
      <c r="L1318" s="70" t="s">
        <v>1212</v>
      </c>
    </row>
    <row r="1319" ht="22.5" customHeight="1">
      <c r="A1319" s="29">
        <v>46212.0</v>
      </c>
      <c r="B1319" s="31" t="s">
        <v>1775</v>
      </c>
      <c r="C1319" s="32" t="s">
        <v>1210</v>
      </c>
      <c r="D1319" s="71" t="s">
        <v>548</v>
      </c>
      <c r="E1319" s="66" t="str">
        <f t="array" ref="E1319">IF(D1319="", "", XLOOKUP(D1319, 'MASTER ITEM LIST'!A:A, 'MASTER ITEM LIST'!B:B, ""))</f>
        <v>EAGLE SANDPAPER #240</v>
      </c>
      <c r="F1319" s="31"/>
      <c r="G1319" s="195" t="s">
        <v>1211</v>
      </c>
      <c r="H1319" s="31">
        <v>10.0</v>
      </c>
      <c r="I1319" s="31" t="str">
        <f t="array" ref="I1319">IFERROR(XLOOKUP(D1319,'MASTER ITEM LIST'!A:A,'MASTER ITEM LIST'!D:D), "")</f>
        <v>PC/S</v>
      </c>
      <c r="J1319" s="34">
        <f t="shared" si="2"/>
        <v>25</v>
      </c>
      <c r="K1319" s="196">
        <v>250.0</v>
      </c>
      <c r="L1319" s="70" t="s">
        <v>1212</v>
      </c>
    </row>
    <row r="1320" ht="22.5" customHeight="1">
      <c r="A1320" s="29">
        <v>46212.0</v>
      </c>
      <c r="B1320" s="31" t="s">
        <v>1775</v>
      </c>
      <c r="C1320" s="32" t="s">
        <v>1210</v>
      </c>
      <c r="D1320" s="71" t="s">
        <v>326</v>
      </c>
      <c r="E1320" s="66" t="str">
        <f t="array" ref="E1320">IF(D1320="", "", XLOOKUP(D1320, 'MASTER ITEM LIST'!A:A, 'MASTER ITEM LIST'!B:B, ""))</f>
        <v>EAGLE SANDPAPER #1200</v>
      </c>
      <c r="F1320" s="31"/>
      <c r="G1320" s="195" t="s">
        <v>1211</v>
      </c>
      <c r="H1320" s="31">
        <v>6.0</v>
      </c>
      <c r="I1320" s="31" t="str">
        <f t="array" ref="I1320">IFERROR(XLOOKUP(D1320,'MASTER ITEM LIST'!A:A,'MASTER ITEM LIST'!D:D), "")</f>
        <v>PC/S</v>
      </c>
      <c r="J1320" s="34">
        <f t="shared" si="2"/>
        <v>25</v>
      </c>
      <c r="K1320" s="196">
        <v>150.0</v>
      </c>
      <c r="L1320" s="70" t="s">
        <v>1212</v>
      </c>
    </row>
    <row r="1321" ht="22.5" customHeight="1">
      <c r="A1321" s="29">
        <v>46212.0</v>
      </c>
      <c r="B1321" s="31" t="s">
        <v>1775</v>
      </c>
      <c r="C1321" s="32" t="s">
        <v>1210</v>
      </c>
      <c r="D1321" s="71" t="s">
        <v>198</v>
      </c>
      <c r="E1321" s="66" t="str">
        <f t="array" ref="E1321">IF(D1321="", "", XLOOKUP(D1321, 'MASTER ITEM LIST'!A:A, 'MASTER ITEM LIST'!B:B, ""))</f>
        <v>EAGLE SANDPAPER #2000</v>
      </c>
      <c r="F1321" s="31"/>
      <c r="G1321" s="195" t="s">
        <v>1211</v>
      </c>
      <c r="H1321" s="31">
        <v>6.0</v>
      </c>
      <c r="I1321" s="31" t="str">
        <f t="array" ref="I1321">IFERROR(XLOOKUP(D1321,'MASTER ITEM LIST'!A:A,'MASTER ITEM LIST'!D:D), "")</f>
        <v>PC/S</v>
      </c>
      <c r="J1321" s="34">
        <f t="shared" si="2"/>
        <v>35</v>
      </c>
      <c r="K1321" s="196">
        <v>210.0</v>
      </c>
      <c r="L1321" s="70" t="s">
        <v>1212</v>
      </c>
    </row>
    <row r="1322" ht="22.5" customHeight="1">
      <c r="A1322" s="29">
        <v>46212.0</v>
      </c>
      <c r="B1322" s="31" t="s">
        <v>1775</v>
      </c>
      <c r="C1322" s="32" t="s">
        <v>1210</v>
      </c>
      <c r="D1322" s="71" t="s">
        <v>90</v>
      </c>
      <c r="E1322" s="66" t="str">
        <f t="array" ref="E1322">IF(D1322="", "", XLOOKUP(D1322, 'MASTER ITEM LIST'!A:A, 'MASTER ITEM LIST'!B:B, ""))</f>
        <v>NAX SOB757 HIGH GRADE URETHANE THINNER 4L</v>
      </c>
      <c r="F1322" s="31"/>
      <c r="G1322" s="195" t="s">
        <v>1211</v>
      </c>
      <c r="H1322" s="31">
        <v>3.0</v>
      </c>
      <c r="I1322" s="31" t="str">
        <f t="array" ref="I1322">IFERROR(XLOOKUP(D1322,'MASTER ITEM LIST'!A:A,'MASTER ITEM LIST'!D:D), "")</f>
        <v>GAL</v>
      </c>
      <c r="J1322" s="34">
        <f t="shared" si="2"/>
        <v>800</v>
      </c>
      <c r="K1322" s="196">
        <v>2400.0</v>
      </c>
      <c r="L1322" s="70" t="s">
        <v>1212</v>
      </c>
    </row>
    <row r="1323" ht="22.5" customHeight="1">
      <c r="A1323" s="29">
        <v>46212.0</v>
      </c>
      <c r="B1323" s="31" t="s">
        <v>1775</v>
      </c>
      <c r="C1323" s="32" t="s">
        <v>1210</v>
      </c>
      <c r="D1323" s="71" t="s">
        <v>94</v>
      </c>
      <c r="E1323" s="66" t="str">
        <f t="array" ref="E1323">IF(D1323="", "", XLOOKUP(D1323, 'MASTER ITEM LIST'!A:A, 'MASTER ITEM LIST'!B:B, ""))</f>
        <v>NAX NAT-990 TTC BLACK 4L</v>
      </c>
      <c r="F1323" s="31"/>
      <c r="G1323" s="195" t="s">
        <v>1211</v>
      </c>
      <c r="H1323" s="31">
        <v>1.0</v>
      </c>
      <c r="I1323" s="31" t="str">
        <f t="array" ref="I1323">IFERROR(XLOOKUP(D1323,'MASTER ITEM LIST'!A:A,'MASTER ITEM LIST'!D:D), "")</f>
        <v>GAL</v>
      </c>
      <c r="J1323" s="34">
        <f t="shared" si="2"/>
        <v>1000</v>
      </c>
      <c r="K1323" s="196">
        <v>1000.0</v>
      </c>
      <c r="L1323" s="70" t="s">
        <v>1212</v>
      </c>
    </row>
    <row r="1324" ht="22.5" customHeight="1">
      <c r="A1324" s="29">
        <v>46212.0</v>
      </c>
      <c r="B1324" s="31" t="s">
        <v>1776</v>
      </c>
      <c r="C1324" s="32" t="s">
        <v>1210</v>
      </c>
      <c r="D1324" s="71" t="s">
        <v>67</v>
      </c>
      <c r="E1324" s="66" t="str">
        <f t="array" ref="E1324">IF(D1324="", "", XLOOKUP(D1324, 'MASTER ITEM LIST'!A:A, 'MASTER ITEM LIST'!B:B, ""))</f>
        <v>POLYGLOSS ANTI-CORROSSION</v>
      </c>
      <c r="F1324" s="31"/>
      <c r="G1324" s="195" t="s">
        <v>1211</v>
      </c>
      <c r="H1324" s="31">
        <v>1.0</v>
      </c>
      <c r="I1324" s="31" t="str">
        <f t="array" ref="I1324">IFERROR(XLOOKUP(D1324,'MASTER ITEM LIST'!A:A,'MASTER ITEM LIST'!D:D), "")</f>
        <v>LITER</v>
      </c>
      <c r="J1324" s="34">
        <f t="shared" si="2"/>
        <v>580</v>
      </c>
      <c r="K1324" s="196">
        <v>580.0</v>
      </c>
      <c r="L1324" s="70" t="s">
        <v>1212</v>
      </c>
    </row>
    <row r="1325" ht="22.5" customHeight="1">
      <c r="A1325" s="29">
        <v>46212.0</v>
      </c>
      <c r="B1325" s="31" t="s">
        <v>1776</v>
      </c>
      <c r="C1325" s="32" t="s">
        <v>1210</v>
      </c>
      <c r="D1325" s="71" t="s">
        <v>79</v>
      </c>
      <c r="E1325" s="66" t="str">
        <f t="array" ref="E1325">IF(D1325="", "", XLOOKUP(D1325, 'MASTER ITEM LIST'!A:A, 'MASTER ITEM LIST'!B:B, ""))</f>
        <v>CROCO MASKING TAPE 1/2 12MM (1X96)</v>
      </c>
      <c r="F1325" s="31"/>
      <c r="G1325" s="195" t="s">
        <v>1211</v>
      </c>
      <c r="H1325" s="31">
        <v>10.0</v>
      </c>
      <c r="I1325" s="31" t="str">
        <f t="array" ref="I1325">IFERROR(XLOOKUP(D1325,'MASTER ITEM LIST'!A:A,'MASTER ITEM LIST'!D:D), "")</f>
        <v>PC/S</v>
      </c>
      <c r="J1325" s="34">
        <f t="shared" si="2"/>
        <v>25</v>
      </c>
      <c r="K1325" s="196">
        <v>250.0</v>
      </c>
      <c r="L1325" s="70" t="s">
        <v>1212</v>
      </c>
    </row>
    <row r="1326" ht="22.5" customHeight="1">
      <c r="A1326" s="29">
        <v>46212.0</v>
      </c>
      <c r="B1326" s="31" t="s">
        <v>1776</v>
      </c>
      <c r="C1326" s="32" t="s">
        <v>1210</v>
      </c>
      <c r="D1326" s="71" t="s">
        <v>136</v>
      </c>
      <c r="E1326" s="66" t="str">
        <f t="array" ref="E1326">IF(D1326="", "", XLOOKUP(D1326, 'MASTER ITEM LIST'!A:A, 'MASTER ITEM LIST'!B:B, ""))</f>
        <v>CROCO MASKING TAPE 3/4 18MM (1X64)</v>
      </c>
      <c r="F1326" s="31"/>
      <c r="G1326" s="195" t="s">
        <v>1211</v>
      </c>
      <c r="H1326" s="31">
        <v>10.0</v>
      </c>
      <c r="I1326" s="31" t="str">
        <f t="array" ref="I1326">IFERROR(XLOOKUP(D1326,'MASTER ITEM LIST'!A:A,'MASTER ITEM LIST'!D:D), "")</f>
        <v>PC/S</v>
      </c>
      <c r="J1326" s="34">
        <f t="shared" si="2"/>
        <v>35</v>
      </c>
      <c r="K1326" s="196">
        <v>350.0</v>
      </c>
      <c r="L1326" s="70" t="s">
        <v>1212</v>
      </c>
    </row>
    <row r="1327" ht="22.5" customHeight="1">
      <c r="A1327" s="29">
        <v>46212.0</v>
      </c>
      <c r="B1327" s="31" t="s">
        <v>1776</v>
      </c>
      <c r="C1327" s="32" t="s">
        <v>1210</v>
      </c>
      <c r="D1327" s="71" t="s">
        <v>63</v>
      </c>
      <c r="E1327" s="66" t="str">
        <f t="array" ref="E1327">IF(D1327="", "", XLOOKUP(D1327, 'MASTER ITEM LIST'!A:A, 'MASTER ITEM LIST'!B:B, ""))</f>
        <v>OLD NEWS</v>
      </c>
      <c r="F1327" s="31"/>
      <c r="G1327" s="195" t="s">
        <v>1211</v>
      </c>
      <c r="H1327" s="31">
        <v>4.0</v>
      </c>
      <c r="I1327" s="31" t="str">
        <f t="array" ref="I1327">IFERROR(XLOOKUP(D1327,'MASTER ITEM LIST'!A:A,'MASTER ITEM LIST'!D:D), "")</f>
        <v>KG</v>
      </c>
      <c r="J1327" s="34">
        <f t="shared" si="2"/>
        <v>100</v>
      </c>
      <c r="K1327" s="196">
        <v>400.0</v>
      </c>
      <c r="L1327" s="70" t="s">
        <v>1212</v>
      </c>
    </row>
    <row r="1328" ht="22.5" customHeight="1">
      <c r="A1328" s="29">
        <v>46212.0</v>
      </c>
      <c r="B1328" s="31" t="s">
        <v>1776</v>
      </c>
      <c r="C1328" s="32" t="s">
        <v>1210</v>
      </c>
      <c r="D1328" s="71" t="s">
        <v>535</v>
      </c>
      <c r="E1328" s="66" t="str">
        <f t="array" ref="E1328">IF(D1328="", "", XLOOKUP(D1328, 'MASTER ITEM LIST'!A:A, 'MASTER ITEM LIST'!B:B, ""))</f>
        <v>FRANELLA CLOTH 1YARD</v>
      </c>
      <c r="F1328" s="31"/>
      <c r="G1328" s="195" t="s">
        <v>1211</v>
      </c>
      <c r="H1328" s="31">
        <v>2.0</v>
      </c>
      <c r="I1328" s="31" t="str">
        <f t="array" ref="I1328">IFERROR(XLOOKUP(D1328,'MASTER ITEM LIST'!A:A,'MASTER ITEM LIST'!D:D), "")</f>
        <v>1YRD</v>
      </c>
      <c r="J1328" s="34">
        <f t="shared" si="2"/>
        <v>100</v>
      </c>
      <c r="K1328" s="196">
        <v>200.0</v>
      </c>
      <c r="L1328" s="70" t="s">
        <v>1212</v>
      </c>
    </row>
    <row r="1329" ht="22.5" customHeight="1">
      <c r="A1329" s="29">
        <v>46212.0</v>
      </c>
      <c r="B1329" s="31" t="s">
        <v>1776</v>
      </c>
      <c r="C1329" s="32" t="s">
        <v>1210</v>
      </c>
      <c r="D1329" s="71" t="s">
        <v>674</v>
      </c>
      <c r="E1329" s="66" t="str">
        <f t="array" ref="E1329">IF(D1329="", "", XLOOKUP(D1329, 'MASTER ITEM LIST'!A:A, 'MASTER ITEM LIST'!B:B, ""))</f>
        <v>DOMINO BODY FILTER WITH HARDENER 1L</v>
      </c>
      <c r="F1329" s="31"/>
      <c r="G1329" s="195" t="s">
        <v>1211</v>
      </c>
      <c r="H1329" s="31">
        <v>2.0</v>
      </c>
      <c r="I1329" s="31" t="str">
        <f t="array" ref="I1329">IFERROR(XLOOKUP(D1329,'MASTER ITEM LIST'!A:A,'MASTER ITEM LIST'!D:D), "")</f>
        <v>LITER</v>
      </c>
      <c r="J1329" s="34">
        <f t="shared" si="2"/>
        <v>240</v>
      </c>
      <c r="K1329" s="196">
        <v>480.0</v>
      </c>
      <c r="L1329" s="70" t="s">
        <v>1212</v>
      </c>
    </row>
    <row r="1330" ht="22.5" customHeight="1">
      <c r="A1330" s="29">
        <v>46212.0</v>
      </c>
      <c r="B1330" s="31" t="s">
        <v>1776</v>
      </c>
      <c r="C1330" s="32" t="s">
        <v>1210</v>
      </c>
      <c r="D1330" s="71" t="s">
        <v>818</v>
      </c>
      <c r="E1330" s="66" t="str">
        <f t="array" ref="E1330">IF(D1330="", "", XLOOKUP(D1330, 'MASTER ITEM LIST'!A:A, 'MASTER ITEM LIST'!B:B, ""))</f>
        <v>NAX NAT-3974 QDU FLAT BLACK 1L</v>
      </c>
      <c r="F1330" s="31"/>
      <c r="G1330" s="195" t="s">
        <v>1211</v>
      </c>
      <c r="H1330" s="31">
        <v>1.0</v>
      </c>
      <c r="I1330" s="31" t="str">
        <f t="array" ref="I1330">IFERROR(XLOOKUP(D1330,'MASTER ITEM LIST'!A:A,'MASTER ITEM LIST'!D:D), "")</f>
        <v>LITER</v>
      </c>
      <c r="J1330" s="34">
        <f t="shared" si="2"/>
        <v>1100</v>
      </c>
      <c r="K1330" s="196">
        <v>1100.0</v>
      </c>
      <c r="L1330" s="70" t="s">
        <v>1212</v>
      </c>
    </row>
    <row r="1331" ht="22.5" customHeight="1">
      <c r="A1331" s="29">
        <v>46212.0</v>
      </c>
      <c r="B1331" s="31" t="s">
        <v>1777</v>
      </c>
      <c r="C1331" s="32" t="s">
        <v>1210</v>
      </c>
      <c r="D1331" s="71" t="s">
        <v>53</v>
      </c>
      <c r="E1331" s="66" t="str">
        <f t="array" ref="E1331">IF(D1331="", "", XLOOKUP(D1331, 'MASTER ITEM LIST'!A:A, 'MASTER ITEM LIST'!B:B, ""))</f>
        <v>NAX 108 CERAMIC 2K CLEAR WITH HARDENER 1L</v>
      </c>
      <c r="F1331" s="31"/>
      <c r="G1331" s="195" t="s">
        <v>1211</v>
      </c>
      <c r="H1331" s="31">
        <v>6.0</v>
      </c>
      <c r="I1331" s="31" t="str">
        <f t="array" ref="I1331">IFERROR(XLOOKUP(D1331,'MASTER ITEM LIST'!A:A,'MASTER ITEM LIST'!D:D), "")</f>
        <v>LITER</v>
      </c>
      <c r="J1331" s="34">
        <f t="shared" si="2"/>
        <v>710</v>
      </c>
      <c r="K1331" s="196">
        <v>4260.0</v>
      </c>
      <c r="L1331" s="70" t="s">
        <v>1212</v>
      </c>
    </row>
    <row r="1332" ht="22.5" customHeight="1">
      <c r="A1332" s="29">
        <v>46212.0</v>
      </c>
      <c r="B1332" s="31" t="s">
        <v>1777</v>
      </c>
      <c r="C1332" s="32" t="s">
        <v>1210</v>
      </c>
      <c r="D1332" s="71" t="s">
        <v>410</v>
      </c>
      <c r="E1332" s="66" t="str">
        <f t="array" ref="E1332">IF(D1332="", "", XLOOKUP(D1332, 'MASTER ITEM LIST'!A:A, 'MASTER ITEM LIST'!B:B, ""))</f>
        <v>NAX NAX21 URETHANE HAEDENER</v>
      </c>
      <c r="F1332" s="31"/>
      <c r="G1332" s="195" t="s">
        <v>1211</v>
      </c>
      <c r="H1332" s="31">
        <v>4.0</v>
      </c>
      <c r="I1332" s="31" t="str">
        <f t="array" ref="I1332">IFERROR(XLOOKUP(D1332,'MASTER ITEM LIST'!A:A,'MASTER ITEM LIST'!D:D), "")</f>
        <v>CANS</v>
      </c>
      <c r="J1332" s="34">
        <f t="shared" si="2"/>
        <v>280</v>
      </c>
      <c r="K1332" s="196">
        <v>1120.0</v>
      </c>
      <c r="L1332" s="70" t="s">
        <v>1212</v>
      </c>
    </row>
    <row r="1333" ht="22.5" customHeight="1">
      <c r="A1333" s="29">
        <v>46212.0</v>
      </c>
      <c r="B1333" s="31" t="s">
        <v>1777</v>
      </c>
      <c r="C1333" s="32" t="s">
        <v>1210</v>
      </c>
      <c r="D1333" s="71" t="s">
        <v>167</v>
      </c>
      <c r="E1333" s="66" t="str">
        <f t="array" ref="E1333">IF(D1333="", "", XLOOKUP(D1333, 'MASTER ITEM LIST'!A:A, 'MASTER ITEM LIST'!B:B, ""))</f>
        <v>NAX QDU MIX 1L</v>
      </c>
      <c r="F1333" s="31" t="s">
        <v>1255</v>
      </c>
      <c r="G1333" s="195" t="s">
        <v>1211</v>
      </c>
      <c r="H1333" s="31">
        <v>2.0</v>
      </c>
      <c r="I1333" s="31" t="str">
        <f t="array" ref="I1333">IFERROR(XLOOKUP(D1333,'MASTER ITEM LIST'!A:A,'MASTER ITEM LIST'!D:D), "")</f>
        <v>LITER</v>
      </c>
      <c r="J1333" s="34">
        <f t="shared" si="2"/>
        <v>1200</v>
      </c>
      <c r="K1333" s="196">
        <v>2400.0</v>
      </c>
      <c r="L1333" s="70" t="s">
        <v>1212</v>
      </c>
    </row>
    <row r="1334" ht="22.5" customHeight="1">
      <c r="A1334" s="29">
        <v>46212.0</v>
      </c>
      <c r="B1334" s="31" t="s">
        <v>1777</v>
      </c>
      <c r="C1334" s="32" t="s">
        <v>1210</v>
      </c>
      <c r="D1334" s="71" t="s">
        <v>220</v>
      </c>
      <c r="E1334" s="66" t="str">
        <f t="array" ref="E1334">IF(D1334="", "", XLOOKUP(D1334, 'MASTER ITEM LIST'!A:A, 'MASTER ITEM LIST'!B:B, ""))</f>
        <v>PREMILA MIXING 1L</v>
      </c>
      <c r="F1334" s="31" t="s">
        <v>1778</v>
      </c>
      <c r="G1334" s="195" t="s">
        <v>1211</v>
      </c>
      <c r="H1334" s="31">
        <v>2.0</v>
      </c>
      <c r="I1334" s="31" t="str">
        <f t="array" ref="I1334">IFERROR(XLOOKUP(D1334,'MASTER ITEM LIST'!A:A,'MASTER ITEM LIST'!D:D), "")</f>
        <v>LITER</v>
      </c>
      <c r="J1334" s="34">
        <f t="shared" si="2"/>
        <v>2400</v>
      </c>
      <c r="K1334" s="196">
        <v>4800.0</v>
      </c>
      <c r="L1334" s="70" t="s">
        <v>1212</v>
      </c>
    </row>
    <row r="1335" ht="22.5" customHeight="1">
      <c r="A1335" s="29">
        <v>46213.0</v>
      </c>
      <c r="B1335" s="31" t="s">
        <v>1779</v>
      </c>
      <c r="C1335" s="32" t="s">
        <v>93</v>
      </c>
      <c r="D1335" s="71" t="s">
        <v>117</v>
      </c>
      <c r="E1335" s="66" t="str">
        <f t="array" ref="E1335">IF(D1335="", "", XLOOKUP(D1335, 'MASTER ITEM LIST'!A:A, 'MASTER ITEM LIST'!B:B, ""))</f>
        <v>EAGLE SANDPAPER #120</v>
      </c>
      <c r="F1335" s="31"/>
      <c r="G1335" s="195" t="s">
        <v>34</v>
      </c>
      <c r="H1335" s="31">
        <v>5.0</v>
      </c>
      <c r="I1335" s="31" t="str">
        <f t="array" ref="I1335">IFERROR(XLOOKUP(D1335,'MASTER ITEM LIST'!A:A,'MASTER ITEM LIST'!D:D), "")</f>
        <v>PC/S</v>
      </c>
      <c r="J1335" s="34">
        <f t="shared" si="2"/>
        <v>25</v>
      </c>
      <c r="K1335" s="196">
        <v>125.0</v>
      </c>
      <c r="L1335" s="70" t="s">
        <v>42</v>
      </c>
    </row>
    <row r="1336" ht="22.5" customHeight="1">
      <c r="A1336" s="29">
        <v>46213.0</v>
      </c>
      <c r="B1336" s="31" t="s">
        <v>1779</v>
      </c>
      <c r="C1336" s="32" t="s">
        <v>93</v>
      </c>
      <c r="D1336" s="71" t="s">
        <v>548</v>
      </c>
      <c r="E1336" s="66" t="str">
        <f t="array" ref="E1336">IF(D1336="", "", XLOOKUP(D1336, 'MASTER ITEM LIST'!A:A, 'MASTER ITEM LIST'!B:B, ""))</f>
        <v>EAGLE SANDPAPER #240</v>
      </c>
      <c r="F1336" s="31"/>
      <c r="G1336" s="195" t="s">
        <v>34</v>
      </c>
      <c r="H1336" s="31">
        <v>5.0</v>
      </c>
      <c r="I1336" s="31" t="str">
        <f t="array" ref="I1336">IFERROR(XLOOKUP(D1336,'MASTER ITEM LIST'!A:A,'MASTER ITEM LIST'!D:D), "")</f>
        <v>PC/S</v>
      </c>
      <c r="J1336" s="34">
        <f t="shared" si="2"/>
        <v>25</v>
      </c>
      <c r="K1336" s="196">
        <v>125.0</v>
      </c>
      <c r="L1336" s="70" t="s">
        <v>42</v>
      </c>
    </row>
    <row r="1337" ht="22.5" customHeight="1">
      <c r="A1337" s="29">
        <v>46213.0</v>
      </c>
      <c r="B1337" s="31" t="s">
        <v>1779</v>
      </c>
      <c r="C1337" s="32" t="s">
        <v>93</v>
      </c>
      <c r="D1337" s="71" t="s">
        <v>432</v>
      </c>
      <c r="E1337" s="66" t="str">
        <f t="array" ref="E1337">IF(D1337="", "", XLOOKUP(D1337, 'MASTER ITEM LIST'!A:A, 'MASTER ITEM LIST'!B:B, ""))</f>
        <v>EAGLE SANDPAPER #600</v>
      </c>
      <c r="F1337" s="31"/>
      <c r="G1337" s="195" t="s">
        <v>34</v>
      </c>
      <c r="H1337" s="31">
        <v>5.0</v>
      </c>
      <c r="I1337" s="31" t="str">
        <f t="array" ref="I1337">IFERROR(XLOOKUP(D1337,'MASTER ITEM LIST'!A:A,'MASTER ITEM LIST'!D:D), "")</f>
        <v>PCS</v>
      </c>
      <c r="J1337" s="34">
        <f t="shared" si="2"/>
        <v>25</v>
      </c>
      <c r="K1337" s="196">
        <v>125.0</v>
      </c>
      <c r="L1337" s="70" t="s">
        <v>42</v>
      </c>
    </row>
    <row r="1338" ht="22.5" customHeight="1">
      <c r="A1338" s="29">
        <v>46213.0</v>
      </c>
      <c r="B1338" s="31" t="s">
        <v>1779</v>
      </c>
      <c r="C1338" s="32" t="s">
        <v>93</v>
      </c>
      <c r="D1338" s="71" t="s">
        <v>326</v>
      </c>
      <c r="E1338" s="66" t="str">
        <f t="array" ref="E1338">IF(D1338="", "", XLOOKUP(D1338, 'MASTER ITEM LIST'!A:A, 'MASTER ITEM LIST'!B:B, ""))</f>
        <v>EAGLE SANDPAPER #1200</v>
      </c>
      <c r="F1338" s="31"/>
      <c r="G1338" s="195" t="s">
        <v>34</v>
      </c>
      <c r="H1338" s="31">
        <v>5.0</v>
      </c>
      <c r="I1338" s="31" t="str">
        <f t="array" ref="I1338">IFERROR(XLOOKUP(D1338,'MASTER ITEM LIST'!A:A,'MASTER ITEM LIST'!D:D), "")</f>
        <v>PC/S</v>
      </c>
      <c r="J1338" s="34">
        <f t="shared" si="2"/>
        <v>25</v>
      </c>
      <c r="K1338" s="196">
        <v>125.0</v>
      </c>
      <c r="L1338" s="70" t="s">
        <v>42</v>
      </c>
    </row>
    <row r="1339" ht="22.5" customHeight="1">
      <c r="A1339" s="29">
        <v>46213.0</v>
      </c>
      <c r="B1339" s="31" t="s">
        <v>1779</v>
      </c>
      <c r="C1339" s="32" t="s">
        <v>93</v>
      </c>
      <c r="D1339" s="71" t="s">
        <v>818</v>
      </c>
      <c r="E1339" s="66" t="str">
        <f t="array" ref="E1339">IF(D1339="", "", XLOOKUP(D1339, 'MASTER ITEM LIST'!A:A, 'MASTER ITEM LIST'!B:B, ""))</f>
        <v>NAX NAT-3974 QDU FLAT BLACK 1L</v>
      </c>
      <c r="F1339" s="31" t="s">
        <v>48</v>
      </c>
      <c r="G1339" s="195" t="s">
        <v>34</v>
      </c>
      <c r="H1339" s="31">
        <v>0.25</v>
      </c>
      <c r="I1339" s="31" t="str">
        <f t="array" ref="I1339">IFERROR(XLOOKUP(D1339,'MASTER ITEM LIST'!A:A,'MASTER ITEM LIST'!D:D), "")</f>
        <v>LITER</v>
      </c>
      <c r="J1339" s="34">
        <f t="shared" si="2"/>
        <v>1200</v>
      </c>
      <c r="K1339" s="196">
        <v>300.0</v>
      </c>
      <c r="L1339" s="70" t="s">
        <v>42</v>
      </c>
    </row>
    <row r="1340" ht="22.5" customHeight="1">
      <c r="A1340" s="29">
        <v>46213.0</v>
      </c>
      <c r="B1340" s="31" t="s">
        <v>1780</v>
      </c>
      <c r="C1340" s="32" t="s">
        <v>1547</v>
      </c>
      <c r="D1340" s="71" t="s">
        <v>1033</v>
      </c>
      <c r="E1340" s="66" t="str">
        <f t="array" ref="E1340">IF(D1340="", "", XLOOKUP(D1340, 'MASTER ITEM LIST'!A:A, 'MASTER ITEM LIST'!B:B, ""))</f>
        <v>CUMI SUPREME FLOOR SANDING 80</v>
      </c>
      <c r="F1340" s="31"/>
      <c r="G1340" s="195" t="s">
        <v>34</v>
      </c>
      <c r="H1340" s="31">
        <v>3.0</v>
      </c>
      <c r="I1340" s="31" t="str">
        <f t="array" ref="I1340">IFERROR(XLOOKUP(D1340,'MASTER ITEM LIST'!A:A,'MASTER ITEM LIST'!D:D), "")</f>
        <v>FT</v>
      </c>
      <c r="J1340" s="34">
        <f t="shared" si="2"/>
        <v>95</v>
      </c>
      <c r="K1340" s="196">
        <v>285.0</v>
      </c>
      <c r="L1340" s="70" t="s">
        <v>42</v>
      </c>
    </row>
    <row r="1341" ht="22.5" customHeight="1">
      <c r="A1341" s="29">
        <v>46213.0</v>
      </c>
      <c r="B1341" s="31" t="s">
        <v>1780</v>
      </c>
      <c r="C1341" s="32" t="s">
        <v>1547</v>
      </c>
      <c r="D1341" s="71" t="s">
        <v>1082</v>
      </c>
      <c r="E1341" s="66" t="str">
        <f t="array" ref="E1341">IF(D1341="", "", XLOOKUP(D1341, 'MASTER ITEM LIST'!A:A, 'MASTER ITEM LIST'!B:B, ""))</f>
        <v>ACRYTEX PRIMER WHITE B-1705 BOYSEN 4L</v>
      </c>
      <c r="F1341" s="31"/>
      <c r="G1341" s="195" t="s">
        <v>34</v>
      </c>
      <c r="H1341" s="31">
        <v>2.0</v>
      </c>
      <c r="I1341" s="31" t="str">
        <f t="array" ref="I1341">IFERROR(XLOOKUP(D1341,'MASTER ITEM LIST'!A:A,'MASTER ITEM LIST'!D:D), "")</f>
        <v>4L</v>
      </c>
      <c r="J1341" s="34">
        <f t="shared" si="2"/>
        <v>1160</v>
      </c>
      <c r="K1341" s="196">
        <v>2320.0</v>
      </c>
      <c r="L1341" s="70" t="s">
        <v>42</v>
      </c>
    </row>
    <row r="1342" ht="22.5" customHeight="1">
      <c r="A1342" s="29">
        <v>46213.0</v>
      </c>
      <c r="B1342" s="31" t="s">
        <v>1780</v>
      </c>
      <c r="C1342" s="32" t="s">
        <v>1547</v>
      </c>
      <c r="D1342" s="71" t="s">
        <v>1187</v>
      </c>
      <c r="E1342" s="66" t="str">
        <f t="array" ref="E1342">IF(D1342="", "", XLOOKUP(D1342, 'MASTER ITEM LIST'!A:A, 'MASTER ITEM LIST'!B:B, ""))</f>
        <v>LATEXNP,ALPHA CROMA,DAVIES,BOYSEN,WC 15L</v>
      </c>
      <c r="F1342" s="31"/>
      <c r="G1342" s="195" t="s">
        <v>34</v>
      </c>
      <c r="H1342" s="31">
        <v>1.0</v>
      </c>
      <c r="I1342" s="31" t="str">
        <f t="array" ref="I1342">IFERROR(XLOOKUP(D1342,'MASTER ITEM LIST'!A:A,'MASTER ITEM LIST'!D:D), "")</f>
        <v>PAIL</v>
      </c>
      <c r="J1342" s="34">
        <f t="shared" si="2"/>
        <v>3200</v>
      </c>
      <c r="K1342" s="196">
        <v>3200.0</v>
      </c>
      <c r="L1342" s="70" t="s">
        <v>42</v>
      </c>
    </row>
    <row r="1343" ht="22.5" customHeight="1">
      <c r="A1343" s="29">
        <v>46214.0</v>
      </c>
      <c r="B1343" s="31" t="s">
        <v>1781</v>
      </c>
      <c r="C1343" s="32" t="s">
        <v>1240</v>
      </c>
      <c r="D1343" s="71" t="s">
        <v>167</v>
      </c>
      <c r="E1343" s="66" t="str">
        <f t="array" ref="E1343">IF(D1343="", "", XLOOKUP(D1343, 'MASTER ITEM LIST'!A:A, 'MASTER ITEM LIST'!B:B, ""))</f>
        <v>NAX QDU MIX 1L</v>
      </c>
      <c r="F1343" s="31" t="s">
        <v>1782</v>
      </c>
      <c r="G1343" s="195" t="s">
        <v>1376</v>
      </c>
      <c r="H1343" s="31">
        <v>1.5</v>
      </c>
      <c r="I1343" s="31" t="str">
        <f t="array" ref="I1343">IFERROR(XLOOKUP(D1343,'MASTER ITEM LIST'!A:A,'MASTER ITEM LIST'!D:D), "")</f>
        <v>LITER</v>
      </c>
      <c r="J1343" s="34">
        <f t="shared" si="2"/>
        <v>1000</v>
      </c>
      <c r="K1343" s="196">
        <v>1500.0</v>
      </c>
      <c r="L1343" s="70" t="s">
        <v>42</v>
      </c>
    </row>
    <row r="1344" ht="22.5" customHeight="1">
      <c r="A1344" s="29">
        <v>46214.0</v>
      </c>
      <c r="B1344" s="31" t="s">
        <v>1781</v>
      </c>
      <c r="C1344" s="32" t="s">
        <v>1240</v>
      </c>
      <c r="D1344" s="71" t="s">
        <v>53</v>
      </c>
      <c r="E1344" s="66" t="str">
        <f t="array" ref="E1344">IF(D1344="", "", XLOOKUP(D1344, 'MASTER ITEM LIST'!A:A, 'MASTER ITEM LIST'!B:B, ""))</f>
        <v>NAX 108 CERAMIC 2K CLEAR WITH HARDENER 1L</v>
      </c>
      <c r="F1344" s="31"/>
      <c r="G1344" s="195" t="s">
        <v>1376</v>
      </c>
      <c r="H1344" s="31">
        <v>1.0</v>
      </c>
      <c r="I1344" s="31" t="str">
        <f t="array" ref="I1344">IFERROR(XLOOKUP(D1344,'MASTER ITEM LIST'!A:A,'MASTER ITEM LIST'!D:D), "")</f>
        <v>LITER</v>
      </c>
      <c r="J1344" s="34">
        <f t="shared" si="2"/>
        <v>710</v>
      </c>
      <c r="K1344" s="196">
        <v>710.0</v>
      </c>
      <c r="L1344" s="70" t="s">
        <v>42</v>
      </c>
    </row>
    <row r="1345" ht="22.5" customHeight="1">
      <c r="A1345" s="29">
        <v>46214.0</v>
      </c>
      <c r="B1345" s="31" t="s">
        <v>1781</v>
      </c>
      <c r="C1345" s="32" t="s">
        <v>1240</v>
      </c>
      <c r="D1345" s="71" t="s">
        <v>63</v>
      </c>
      <c r="E1345" s="66" t="str">
        <f t="array" ref="E1345">IF(D1345="", "", XLOOKUP(D1345, 'MASTER ITEM LIST'!A:A, 'MASTER ITEM LIST'!B:B, ""))</f>
        <v>OLD NEWS</v>
      </c>
      <c r="F1345" s="31"/>
      <c r="G1345" s="195" t="s">
        <v>1376</v>
      </c>
      <c r="H1345" s="31">
        <v>2.0</v>
      </c>
      <c r="I1345" s="31" t="str">
        <f t="array" ref="I1345">IFERROR(XLOOKUP(D1345,'MASTER ITEM LIST'!A:A,'MASTER ITEM LIST'!D:D), "")</f>
        <v>KG</v>
      </c>
      <c r="J1345" s="34">
        <f t="shared" si="2"/>
        <v>100</v>
      </c>
      <c r="K1345" s="196">
        <v>200.0</v>
      </c>
      <c r="L1345" s="70" t="s">
        <v>42</v>
      </c>
    </row>
    <row r="1346" ht="22.5" customHeight="1">
      <c r="A1346" s="29">
        <v>46214.0</v>
      </c>
      <c r="B1346" s="31" t="s">
        <v>1781</v>
      </c>
      <c r="C1346" s="32" t="s">
        <v>1240</v>
      </c>
      <c r="D1346" s="71" t="s">
        <v>703</v>
      </c>
      <c r="E1346" s="66" t="str">
        <f t="array" ref="E1346">IF(D1346="", "", XLOOKUP(D1346, 'MASTER ITEM LIST'!A:A, 'MASTER ITEM LIST'!B:B, ""))</f>
        <v>NAX SOD145 SOLVENT NAPTHA/DEGREASER 4L</v>
      </c>
      <c r="F1346" s="31"/>
      <c r="G1346" s="195" t="s">
        <v>1376</v>
      </c>
      <c r="H1346" s="31">
        <v>1.0</v>
      </c>
      <c r="I1346" s="31" t="str">
        <f t="array" ref="I1346">IFERROR(XLOOKUP(D1346,'MASTER ITEM LIST'!A:A,'MASTER ITEM LIST'!D:D), "")</f>
        <v>GAL</v>
      </c>
      <c r="J1346" s="34">
        <f t="shared" si="2"/>
        <v>930</v>
      </c>
      <c r="K1346" s="196">
        <v>930.0</v>
      </c>
      <c r="L1346" s="70" t="s">
        <v>42</v>
      </c>
    </row>
    <row r="1347" ht="22.5" customHeight="1">
      <c r="A1347" s="29">
        <v>46214.0</v>
      </c>
      <c r="B1347" s="31" t="s">
        <v>1781</v>
      </c>
      <c r="C1347" s="32" t="s">
        <v>1240</v>
      </c>
      <c r="D1347" s="71" t="s">
        <v>108</v>
      </c>
      <c r="E1347" s="66" t="str">
        <f t="array" ref="E1347">IF(D1347="", "", XLOOKUP(D1347, 'MASTER ITEM LIST'!A:A, 'MASTER ITEM LIST'!B:B, ""))</f>
        <v>URETHANE MIXING POLYGLOSS, DO IT 1L</v>
      </c>
      <c r="F1347" s="31" t="s">
        <v>1783</v>
      </c>
      <c r="G1347" s="195" t="s">
        <v>1376</v>
      </c>
      <c r="H1347" s="31">
        <v>0.5</v>
      </c>
      <c r="I1347" s="31" t="str">
        <f t="array" ref="I1347">IFERROR(XLOOKUP(D1347,'MASTER ITEM LIST'!A:A,'MASTER ITEM LIST'!D:D), "")</f>
        <v>LITER</v>
      </c>
      <c r="J1347" s="34">
        <f t="shared" si="2"/>
        <v>700</v>
      </c>
      <c r="K1347" s="196">
        <v>350.0</v>
      </c>
      <c r="L1347" s="70" t="s">
        <v>42</v>
      </c>
    </row>
    <row r="1348" ht="22.5" customHeight="1">
      <c r="A1348" s="29">
        <v>46214.0</v>
      </c>
      <c r="B1348" s="31" t="s">
        <v>1781</v>
      </c>
      <c r="C1348" s="32" t="s">
        <v>1240</v>
      </c>
      <c r="D1348" s="71" t="s">
        <v>117</v>
      </c>
      <c r="E1348" s="66" t="str">
        <f t="array" ref="E1348">IF(D1348="", "", XLOOKUP(D1348, 'MASTER ITEM LIST'!A:A, 'MASTER ITEM LIST'!B:B, ""))</f>
        <v>EAGLE SANDPAPER #120</v>
      </c>
      <c r="F1348" s="31"/>
      <c r="G1348" s="195" t="s">
        <v>1376</v>
      </c>
      <c r="H1348" s="31">
        <v>5.0</v>
      </c>
      <c r="I1348" s="31" t="str">
        <f t="array" ref="I1348">IFERROR(XLOOKUP(D1348,'MASTER ITEM LIST'!A:A,'MASTER ITEM LIST'!D:D), "")</f>
        <v>PC/S</v>
      </c>
      <c r="J1348" s="34">
        <f t="shared" si="2"/>
        <v>25</v>
      </c>
      <c r="K1348" s="196">
        <v>125.0</v>
      </c>
      <c r="L1348" s="70" t="s">
        <v>42</v>
      </c>
    </row>
    <row r="1349" ht="22.5" customHeight="1">
      <c r="A1349" s="29">
        <v>46214.0</v>
      </c>
      <c r="B1349" s="31" t="s">
        <v>1781</v>
      </c>
      <c r="C1349" s="32" t="s">
        <v>1240</v>
      </c>
      <c r="D1349" s="71" t="s">
        <v>548</v>
      </c>
      <c r="E1349" s="66" t="str">
        <f t="array" ref="E1349">IF(D1349="", "", XLOOKUP(D1349, 'MASTER ITEM LIST'!A:A, 'MASTER ITEM LIST'!B:B, ""))</f>
        <v>EAGLE SANDPAPER #240</v>
      </c>
      <c r="F1349" s="31"/>
      <c r="G1349" s="195" t="s">
        <v>1376</v>
      </c>
      <c r="H1349" s="31">
        <v>5.0</v>
      </c>
      <c r="I1349" s="31" t="str">
        <f t="array" ref="I1349">IFERROR(XLOOKUP(D1349,'MASTER ITEM LIST'!A:A,'MASTER ITEM LIST'!D:D), "")</f>
        <v>PC/S</v>
      </c>
      <c r="J1349" s="34">
        <f t="shared" si="2"/>
        <v>25</v>
      </c>
      <c r="K1349" s="196">
        <v>125.0</v>
      </c>
      <c r="L1349" s="70" t="s">
        <v>42</v>
      </c>
    </row>
    <row r="1350" ht="22.5" customHeight="1">
      <c r="A1350" s="29">
        <v>46214.0</v>
      </c>
      <c r="B1350" s="31" t="s">
        <v>1781</v>
      </c>
      <c r="C1350" s="32" t="s">
        <v>1240</v>
      </c>
      <c r="D1350" s="71" t="s">
        <v>198</v>
      </c>
      <c r="E1350" s="66" t="str">
        <f t="array" ref="E1350">IF(D1350="", "", XLOOKUP(D1350, 'MASTER ITEM LIST'!A:A, 'MASTER ITEM LIST'!B:B, ""))</f>
        <v>EAGLE SANDPAPER #2000</v>
      </c>
      <c r="F1350" s="31"/>
      <c r="G1350" s="195" t="s">
        <v>1376</v>
      </c>
      <c r="H1350" s="31">
        <v>5.0</v>
      </c>
      <c r="I1350" s="31" t="str">
        <f t="array" ref="I1350">IFERROR(XLOOKUP(D1350,'MASTER ITEM LIST'!A:A,'MASTER ITEM LIST'!D:D), "")</f>
        <v>PC/S</v>
      </c>
      <c r="J1350" s="34">
        <f t="shared" si="2"/>
        <v>35</v>
      </c>
      <c r="K1350" s="196">
        <v>175.0</v>
      </c>
      <c r="L1350" s="70" t="s">
        <v>42</v>
      </c>
    </row>
    <row r="1351" ht="22.5" customHeight="1">
      <c r="A1351" s="29">
        <v>46214.0</v>
      </c>
      <c r="B1351" s="31" t="s">
        <v>1781</v>
      </c>
      <c r="C1351" s="32" t="s">
        <v>1240</v>
      </c>
      <c r="D1351" s="71" t="s">
        <v>516</v>
      </c>
      <c r="E1351" s="66" t="str">
        <f t="array" ref="E1351">IF(D1351="", "", XLOOKUP(D1351, 'MASTER ITEM LIST'!A:A, 'MASTER ITEM LIST'!B:B, ""))</f>
        <v>EAGLE SANDPAPER #1500</v>
      </c>
      <c r="F1351" s="31"/>
      <c r="G1351" s="195" t="s">
        <v>1376</v>
      </c>
      <c r="H1351" s="31">
        <v>3.0</v>
      </c>
      <c r="I1351" s="31" t="str">
        <f t="array" ref="I1351">IFERROR(XLOOKUP(D1351,'MASTER ITEM LIST'!A:A,'MASTER ITEM LIST'!D:D), "")</f>
        <v>PC/S</v>
      </c>
      <c r="J1351" s="34">
        <f t="shared" si="2"/>
        <v>58.33333333</v>
      </c>
      <c r="K1351" s="196">
        <v>175.0</v>
      </c>
      <c r="L1351" s="70" t="s">
        <v>42</v>
      </c>
    </row>
    <row r="1352" ht="22.5" customHeight="1">
      <c r="A1352" s="29">
        <v>46214.0</v>
      </c>
      <c r="B1352" s="31" t="s">
        <v>1781</v>
      </c>
      <c r="C1352" s="32" t="s">
        <v>1240</v>
      </c>
      <c r="D1352" s="71" t="s">
        <v>432</v>
      </c>
      <c r="E1352" s="66" t="str">
        <f t="array" ref="E1352">IF(D1352="", "", XLOOKUP(D1352, 'MASTER ITEM LIST'!A:A, 'MASTER ITEM LIST'!B:B, ""))</f>
        <v>EAGLE SANDPAPER #600</v>
      </c>
      <c r="F1352" s="31"/>
      <c r="G1352" s="195" t="s">
        <v>1376</v>
      </c>
      <c r="H1352" s="31">
        <v>3.0</v>
      </c>
      <c r="I1352" s="31" t="str">
        <f t="array" ref="I1352">IFERROR(XLOOKUP(D1352,'MASTER ITEM LIST'!A:A,'MASTER ITEM LIST'!D:D), "")</f>
        <v>PCS</v>
      </c>
      <c r="J1352" s="34">
        <f t="shared" si="2"/>
        <v>25</v>
      </c>
      <c r="K1352" s="196">
        <v>75.0</v>
      </c>
      <c r="L1352" s="70" t="s">
        <v>42</v>
      </c>
    </row>
    <row r="1353" ht="22.5" customHeight="1">
      <c r="A1353" s="29">
        <v>46214.0</v>
      </c>
      <c r="B1353" s="31" t="s">
        <v>1781</v>
      </c>
      <c r="C1353" s="32" t="s">
        <v>1240</v>
      </c>
      <c r="D1353" s="71" t="s">
        <v>942</v>
      </c>
      <c r="E1353" s="66" t="str">
        <f t="array" ref="E1353">IF(D1353="", "", XLOOKUP(D1353, 'MASTER ITEM LIST'!A:A, 'MASTER ITEM LIST'!B:B, ""))</f>
        <v>EAGLE SANDPAPER #1000</v>
      </c>
      <c r="F1353" s="31"/>
      <c r="G1353" s="195" t="s">
        <v>1376</v>
      </c>
      <c r="H1353" s="31">
        <v>3.0</v>
      </c>
      <c r="I1353" s="31" t="str">
        <f t="array" ref="I1353">IFERROR(XLOOKUP(D1353,'MASTER ITEM LIST'!A:A,'MASTER ITEM LIST'!D:D), "")</f>
        <v>PC/S</v>
      </c>
      <c r="J1353" s="34">
        <f t="shared" si="2"/>
        <v>25</v>
      </c>
      <c r="K1353" s="196">
        <v>75.0</v>
      </c>
      <c r="L1353" s="70" t="s">
        <v>42</v>
      </c>
    </row>
    <row r="1354" ht="22.5" customHeight="1">
      <c r="A1354" s="29">
        <v>46216.0</v>
      </c>
      <c r="B1354" s="31"/>
      <c r="C1354" s="32" t="s">
        <v>711</v>
      </c>
      <c r="D1354" s="198" t="str">
        <f t="array" ref="D1354">IF(E1354="", "", XLOOKUP(E1354, 'MASTER ITEM LIST'!B:B, 'MASTER ITEM LIST'!A:A, "Code Not Found"))</f>
        <v>NAXQDUMIX-1L</v>
      </c>
      <c r="E1354" s="199" t="s">
        <v>1161</v>
      </c>
      <c r="F1354" s="31" t="s">
        <v>1760</v>
      </c>
      <c r="G1354" s="195" t="s">
        <v>34</v>
      </c>
      <c r="H1354" s="31">
        <v>1.0</v>
      </c>
      <c r="I1354" s="31" t="str">
        <f t="array" ref="I1354">IFERROR(XLOOKUP(D1354,'MASTER ITEM LIST'!A:A,'MASTER ITEM LIST'!D:D), "")</f>
        <v>LITER</v>
      </c>
      <c r="J1354" s="34">
        <f t="shared" si="2"/>
        <v>250</v>
      </c>
      <c r="K1354" s="196">
        <v>250.0</v>
      </c>
      <c r="L1354" s="70" t="s">
        <v>42</v>
      </c>
    </row>
    <row r="1355" ht="22.5" customHeight="1">
      <c r="A1355" s="29">
        <v>46216.0</v>
      </c>
      <c r="B1355" s="31" t="s">
        <v>1784</v>
      </c>
      <c r="C1355" s="32" t="s">
        <v>1551</v>
      </c>
      <c r="D1355" s="198" t="str">
        <f t="array" ref="D1355">IF(E1355="", "", XLOOKUP(E1355, 'MASTER ITEM LIST'!B:B, 'MASTER ITEM LIST'!A:A, "Code Not Found"))</f>
        <v>EA240</v>
      </c>
      <c r="E1355" s="199" t="s">
        <v>1044</v>
      </c>
      <c r="F1355" s="31"/>
      <c r="G1355" s="195" t="s">
        <v>34</v>
      </c>
      <c r="H1355" s="31">
        <v>2.0</v>
      </c>
      <c r="I1355" s="31" t="str">
        <f t="array" ref="I1355">IFERROR(XLOOKUP(D1355,'MASTER ITEM LIST'!A:A,'MASTER ITEM LIST'!D:D), "")</f>
        <v>PC/S</v>
      </c>
      <c r="J1355" s="34">
        <f t="shared" si="2"/>
        <v>25</v>
      </c>
      <c r="K1355" s="196">
        <v>50.0</v>
      </c>
      <c r="L1355" s="70" t="s">
        <v>42</v>
      </c>
    </row>
    <row r="1356" ht="22.5" customHeight="1">
      <c r="A1356" s="29">
        <v>46216.0</v>
      </c>
      <c r="B1356" s="31" t="s">
        <v>1784</v>
      </c>
      <c r="C1356" s="32" t="s">
        <v>1551</v>
      </c>
      <c r="D1356" s="198" t="str">
        <f t="array" ref="D1356">IF(E1356="", "", XLOOKUP(E1356, 'MASTER ITEM LIST'!B:B, 'MASTER ITEM LIST'!A:A, "Code Not Found"))</f>
        <v>EA600</v>
      </c>
      <c r="E1356" s="199" t="s">
        <v>1041</v>
      </c>
      <c r="F1356" s="31"/>
      <c r="G1356" s="195" t="s">
        <v>34</v>
      </c>
      <c r="H1356" s="31">
        <v>2.0</v>
      </c>
      <c r="I1356" s="31" t="str">
        <f t="array" ref="I1356">IFERROR(XLOOKUP(D1356,'MASTER ITEM LIST'!A:A,'MASTER ITEM LIST'!D:D), "")</f>
        <v>PCS</v>
      </c>
      <c r="J1356" s="34">
        <f t="shared" si="2"/>
        <v>25</v>
      </c>
      <c r="K1356" s="196">
        <v>50.0</v>
      </c>
      <c r="L1356" s="70" t="s">
        <v>42</v>
      </c>
    </row>
    <row r="1357" ht="22.5" customHeight="1">
      <c r="A1357" s="29">
        <v>46216.0</v>
      </c>
      <c r="B1357" s="31" t="s">
        <v>1784</v>
      </c>
      <c r="C1357" s="32" t="s">
        <v>1551</v>
      </c>
      <c r="D1357" s="198" t="str">
        <f t="array" ref="D1357">IF(E1357="", "", XLOOKUP(E1357, 'MASTER ITEM LIST'!B:B, 'MASTER ITEM LIST'!A:A, "Code Not Found"))</f>
        <v>EA1000</v>
      </c>
      <c r="E1357" s="199" t="s">
        <v>1049</v>
      </c>
      <c r="F1357" s="31"/>
      <c r="G1357" s="195" t="s">
        <v>34</v>
      </c>
      <c r="H1357" s="31">
        <v>2.0</v>
      </c>
      <c r="I1357" s="31" t="str">
        <f t="array" ref="I1357">IFERROR(XLOOKUP(D1357,'MASTER ITEM LIST'!A:A,'MASTER ITEM LIST'!D:D), "")</f>
        <v>PC/S</v>
      </c>
      <c r="J1357" s="34">
        <f t="shared" si="2"/>
        <v>25</v>
      </c>
      <c r="K1357" s="196">
        <v>50.0</v>
      </c>
      <c r="L1357" s="70" t="s">
        <v>42</v>
      </c>
    </row>
    <row r="1358" ht="22.5" customHeight="1">
      <c r="A1358" s="29">
        <v>46216.0</v>
      </c>
      <c r="B1358" s="31" t="s">
        <v>1784</v>
      </c>
      <c r="C1358" s="32" t="s">
        <v>1551</v>
      </c>
      <c r="D1358" s="198" t="str">
        <f t="array" ref="D1358">IF(E1358="", "", XLOOKUP(E1358, 'MASTER ITEM LIST'!B:B, 'MASTER ITEM LIST'!A:A, "Code Not Found"))</f>
        <v>CRO-MT3/4</v>
      </c>
      <c r="E1358" s="199" t="s">
        <v>1103</v>
      </c>
      <c r="F1358" s="31"/>
      <c r="G1358" s="195" t="s">
        <v>34</v>
      </c>
      <c r="H1358" s="31">
        <v>3.0</v>
      </c>
      <c r="I1358" s="31" t="str">
        <f t="array" ref="I1358">IFERROR(XLOOKUP(D1358,'MASTER ITEM LIST'!A:A,'MASTER ITEM LIST'!D:D), "")</f>
        <v>PC/S</v>
      </c>
      <c r="J1358" s="34">
        <f t="shared" si="2"/>
        <v>35</v>
      </c>
      <c r="K1358" s="196">
        <v>105.0</v>
      </c>
      <c r="L1358" s="70" t="s">
        <v>42</v>
      </c>
    </row>
    <row r="1359" ht="22.5" customHeight="1">
      <c r="A1359" s="29">
        <v>46216.0</v>
      </c>
      <c r="B1359" s="31" t="s">
        <v>1784</v>
      </c>
      <c r="C1359" s="32" t="s">
        <v>1551</v>
      </c>
      <c r="D1359" s="198" t="str">
        <f t="array" ref="D1359">IF(E1359="", "", XLOOKUP(E1359, 'MASTER ITEM LIST'!B:B, 'MASTER ITEM LIST'!A:A, "Code Not Found"))</f>
        <v>MSC</v>
      </c>
      <c r="E1359" s="199" t="s">
        <v>518</v>
      </c>
      <c r="F1359" s="31"/>
      <c r="G1359" s="195" t="s">
        <v>34</v>
      </c>
      <c r="H1359" s="31">
        <v>1.0</v>
      </c>
      <c r="I1359" s="31" t="str">
        <f t="array" ref="I1359">IFERROR(XLOOKUP(D1359,'MASTER ITEM LIST'!A:A,'MASTER ITEM LIST'!D:D), "")</f>
        <v>KG</v>
      </c>
      <c r="J1359" s="34">
        <f t="shared" si="2"/>
        <v>100</v>
      </c>
      <c r="K1359" s="196">
        <v>100.0</v>
      </c>
      <c r="L1359" s="70" t="s">
        <v>42</v>
      </c>
    </row>
    <row r="1360" ht="22.5" customHeight="1">
      <c r="A1360" s="29">
        <v>46216.0</v>
      </c>
      <c r="B1360" s="31" t="s">
        <v>1785</v>
      </c>
      <c r="C1360" s="32" t="s">
        <v>1549</v>
      </c>
      <c r="D1360" s="198" t="str">
        <f t="array" ref="D1360">IF(E1360="", "", XLOOKUP(E1360, 'MASTER ITEM LIST'!B:B, 'MASTER ITEM LIST'!A:A, "Code Not Found"))</f>
        <v>2B-PB#3</v>
      </c>
      <c r="E1360" s="199" t="s">
        <v>1148</v>
      </c>
      <c r="F1360" s="31"/>
      <c r="G1360" s="195" t="s">
        <v>34</v>
      </c>
      <c r="H1360" s="31">
        <v>2.0</v>
      </c>
      <c r="I1360" s="31" t="str">
        <f t="array" ref="I1360">IFERROR(XLOOKUP(D1360,'MASTER ITEM LIST'!A:A,'MASTER ITEM LIST'!D:D), "")</f>
        <v>PC/S</v>
      </c>
      <c r="J1360" s="34">
        <f t="shared" si="2"/>
        <v>90</v>
      </c>
      <c r="K1360" s="196">
        <v>180.0</v>
      </c>
      <c r="L1360" s="70" t="s">
        <v>42</v>
      </c>
    </row>
    <row r="1361" ht="22.5" customHeight="1">
      <c r="A1361" s="29">
        <v>46216.0</v>
      </c>
      <c r="B1361" s="31" t="s">
        <v>1786</v>
      </c>
      <c r="C1361" s="32" t="s">
        <v>1551</v>
      </c>
      <c r="D1361" s="198" t="str">
        <f t="array" ref="D1361">IF(E1361="", "", XLOOKUP(E1361, 'MASTER ITEM LIST'!B:B, 'MASTER ITEM LIST'!A:A, "Code Not Found"))</f>
        <v>PREMILAMIX-1L</v>
      </c>
      <c r="E1361" s="199" t="s">
        <v>1151</v>
      </c>
      <c r="F1361" s="31"/>
      <c r="G1361" s="195" t="s">
        <v>34</v>
      </c>
      <c r="H1361" s="31">
        <v>0.25</v>
      </c>
      <c r="I1361" s="31" t="str">
        <f t="array" ref="I1361">IFERROR(XLOOKUP(D1361,'MASTER ITEM LIST'!A:A,'MASTER ITEM LIST'!D:D), "")</f>
        <v>LITER</v>
      </c>
      <c r="J1361" s="34">
        <f t="shared" si="2"/>
        <v>2400</v>
      </c>
      <c r="K1361" s="196">
        <v>600.0</v>
      </c>
      <c r="L1361" s="70" t="s">
        <v>42</v>
      </c>
    </row>
    <row r="1362" ht="22.5" customHeight="1">
      <c r="A1362" s="29">
        <v>46216.0</v>
      </c>
      <c r="B1362" s="31" t="s">
        <v>1786</v>
      </c>
      <c r="C1362" s="32" t="s">
        <v>1551</v>
      </c>
      <c r="D1362" s="198" t="str">
        <f t="array" ref="D1362">IF(E1362="", "", XLOOKUP(E1362, 'MASTER ITEM LIST'!B:B, 'MASTER ITEM LIST'!A:A, "Code Not Found"))</f>
        <v>SOB757</v>
      </c>
      <c r="E1362" s="199" t="s">
        <v>91</v>
      </c>
      <c r="F1362" s="31"/>
      <c r="G1362" s="195" t="s">
        <v>34</v>
      </c>
      <c r="H1362" s="31">
        <v>0.5</v>
      </c>
      <c r="I1362" s="31" t="str">
        <f t="array" ref="I1362">IFERROR(XLOOKUP(D1362,'MASTER ITEM LIST'!A:A,'MASTER ITEM LIST'!D:D), "")</f>
        <v>GAL</v>
      </c>
      <c r="J1362" s="34">
        <f t="shared" si="2"/>
        <v>800</v>
      </c>
      <c r="K1362" s="196">
        <v>400.0</v>
      </c>
      <c r="L1362" s="70" t="s">
        <v>42</v>
      </c>
    </row>
    <row r="1363" ht="22.5" customHeight="1">
      <c r="A1363" s="29">
        <v>46216.0</v>
      </c>
      <c r="B1363" s="31" t="s">
        <v>1786</v>
      </c>
      <c r="C1363" s="32" t="s">
        <v>1551</v>
      </c>
      <c r="D1363" s="198" t="str">
        <f t="array" ref="D1363">IF(E1363="", "", XLOOKUP(E1363, 'MASTER ITEM LIST'!B:B, 'MASTER ITEM LIST'!A:A, "Code Not Found"))</f>
        <v>CRO-MT3/4</v>
      </c>
      <c r="E1363" s="199" t="s">
        <v>1103</v>
      </c>
      <c r="F1363" s="31"/>
      <c r="G1363" s="195" t="s">
        <v>34</v>
      </c>
      <c r="H1363" s="31">
        <v>4.0</v>
      </c>
      <c r="I1363" s="31" t="str">
        <f t="array" ref="I1363">IFERROR(XLOOKUP(D1363,'MASTER ITEM LIST'!A:A,'MASTER ITEM LIST'!D:D), "")</f>
        <v>PC/S</v>
      </c>
      <c r="J1363" s="34">
        <f t="shared" si="2"/>
        <v>35</v>
      </c>
      <c r="K1363" s="196">
        <v>140.0</v>
      </c>
      <c r="L1363" s="70" t="s">
        <v>42</v>
      </c>
    </row>
    <row r="1364" ht="22.5" customHeight="1">
      <c r="A1364" s="29">
        <v>46216.0</v>
      </c>
      <c r="B1364" s="31" t="s">
        <v>1786</v>
      </c>
      <c r="C1364" s="32" t="s">
        <v>1551</v>
      </c>
      <c r="D1364" s="198" t="str">
        <f t="array" ref="D1364">IF(E1364="", "", XLOOKUP(E1364, 'MASTER ITEM LIST'!B:B, 'MASTER ITEM LIST'!A:A, "Code Not Found"))</f>
        <v>PRI1680</v>
      </c>
      <c r="E1364" s="199" t="s">
        <v>1152</v>
      </c>
      <c r="F1364" s="31"/>
      <c r="G1364" s="195" t="s">
        <v>34</v>
      </c>
      <c r="H1364" s="31">
        <v>0.25</v>
      </c>
      <c r="I1364" s="31" t="str">
        <f t="array" ref="I1364">IFERROR(XLOOKUP(D1364,'MASTER ITEM LIST'!A:A,'MASTER ITEM LIST'!D:D), "")</f>
        <v>LITER</v>
      </c>
      <c r="J1364" s="34">
        <f t="shared" si="2"/>
        <v>1000</v>
      </c>
      <c r="K1364" s="196">
        <v>250.0</v>
      </c>
      <c r="L1364" s="70" t="s">
        <v>42</v>
      </c>
    </row>
    <row r="1365" ht="22.5" customHeight="1">
      <c r="A1365" s="29">
        <v>46216.0</v>
      </c>
      <c r="B1365" s="31" t="s">
        <v>1786</v>
      </c>
      <c r="C1365" s="32" t="s">
        <v>1551</v>
      </c>
      <c r="D1365" s="198" t="str">
        <f t="array" ref="D1365">IF(E1365="", "", XLOOKUP(E1365, 'MASTER ITEM LIST'!B:B, 'MASTER ITEM LIST'!A:A, "Code Not Found"))</f>
        <v>EA120</v>
      </c>
      <c r="E1365" s="199" t="s">
        <v>1048</v>
      </c>
      <c r="F1365" s="31"/>
      <c r="G1365" s="195" t="s">
        <v>34</v>
      </c>
      <c r="H1365" s="31">
        <v>4.0</v>
      </c>
      <c r="I1365" s="31" t="str">
        <f t="array" ref="I1365">IFERROR(XLOOKUP(D1365,'MASTER ITEM LIST'!A:A,'MASTER ITEM LIST'!D:D), "")</f>
        <v>PC/S</v>
      </c>
      <c r="J1365" s="34">
        <f t="shared" si="2"/>
        <v>25</v>
      </c>
      <c r="K1365" s="196">
        <v>100.0</v>
      </c>
      <c r="L1365" s="70" t="s">
        <v>42</v>
      </c>
    </row>
    <row r="1366" ht="22.5" customHeight="1">
      <c r="A1366" s="29">
        <v>46216.0</v>
      </c>
      <c r="B1366" s="31" t="s">
        <v>1786</v>
      </c>
      <c r="C1366" s="32" t="s">
        <v>1551</v>
      </c>
      <c r="D1366" s="198" t="str">
        <f t="array" ref="D1366">IF(E1366="", "", XLOOKUP(E1366, 'MASTER ITEM LIST'!B:B, 'MASTER ITEM LIST'!A:A, "Code Not Found"))</f>
        <v>EA240</v>
      </c>
      <c r="E1366" s="199" t="s">
        <v>1044</v>
      </c>
      <c r="F1366" s="31"/>
      <c r="G1366" s="195" t="s">
        <v>34</v>
      </c>
      <c r="H1366" s="31">
        <v>2.0</v>
      </c>
      <c r="I1366" s="31" t="str">
        <f t="array" ref="I1366">IFERROR(XLOOKUP(D1366,'MASTER ITEM LIST'!A:A,'MASTER ITEM LIST'!D:D), "")</f>
        <v>PC/S</v>
      </c>
      <c r="J1366" s="34">
        <f t="shared" si="2"/>
        <v>25</v>
      </c>
      <c r="K1366" s="196">
        <v>50.0</v>
      </c>
      <c r="L1366" s="70" t="s">
        <v>42</v>
      </c>
    </row>
    <row r="1367" ht="22.5" customHeight="1">
      <c r="A1367" s="29">
        <v>46216.0</v>
      </c>
      <c r="B1367" s="31" t="s">
        <v>1786</v>
      </c>
      <c r="C1367" s="32" t="s">
        <v>1551</v>
      </c>
      <c r="D1367" s="198" t="str">
        <f t="array" ref="D1367">IF(E1367="", "", XLOOKUP(E1367, 'MASTER ITEM LIST'!B:B, 'MASTER ITEM LIST'!A:A, "Code Not Found"))</f>
        <v>EA1500</v>
      </c>
      <c r="E1367" s="199" t="s">
        <v>1039</v>
      </c>
      <c r="F1367" s="31"/>
      <c r="G1367" s="195" t="s">
        <v>34</v>
      </c>
      <c r="H1367" s="31">
        <v>2.0</v>
      </c>
      <c r="I1367" s="31" t="str">
        <f t="array" ref="I1367">IFERROR(XLOOKUP(D1367,'MASTER ITEM LIST'!A:A,'MASTER ITEM LIST'!D:D), "")</f>
        <v>PC/S</v>
      </c>
      <c r="J1367" s="34">
        <f t="shared" si="2"/>
        <v>35</v>
      </c>
      <c r="K1367" s="196">
        <v>70.0</v>
      </c>
      <c r="L1367" s="70" t="s">
        <v>42</v>
      </c>
    </row>
    <row r="1368" ht="22.5" customHeight="1">
      <c r="A1368" s="29">
        <v>46216.0</v>
      </c>
      <c r="B1368" s="31" t="s">
        <v>1786</v>
      </c>
      <c r="C1368" s="32" t="s">
        <v>1551</v>
      </c>
      <c r="D1368" s="198" t="str">
        <f t="array" ref="D1368">IF(E1368="", "", XLOOKUP(E1368, 'MASTER ITEM LIST'!B:B, 'MASTER ITEM LIST'!A:A, "Code Not Found"))</f>
        <v>EA2000</v>
      </c>
      <c r="E1368" s="199" t="s">
        <v>1045</v>
      </c>
      <c r="F1368" s="31"/>
      <c r="G1368" s="195" t="s">
        <v>34</v>
      </c>
      <c r="H1368" s="31">
        <v>2.0</v>
      </c>
      <c r="I1368" s="31" t="str">
        <f t="array" ref="I1368">IFERROR(XLOOKUP(D1368,'MASTER ITEM LIST'!A:A,'MASTER ITEM LIST'!D:D), "")</f>
        <v>PC/S</v>
      </c>
      <c r="J1368" s="34">
        <f t="shared" si="2"/>
        <v>35</v>
      </c>
      <c r="K1368" s="196">
        <v>70.0</v>
      </c>
      <c r="L1368" s="70" t="s">
        <v>42</v>
      </c>
    </row>
    <row r="1369" ht="22.5" customHeight="1">
      <c r="A1369" s="29">
        <v>46216.0</v>
      </c>
      <c r="B1369" s="31" t="s">
        <v>1786</v>
      </c>
      <c r="C1369" s="32" t="s">
        <v>1551</v>
      </c>
      <c r="D1369" s="198" t="str">
        <f t="array" ref="D1369">IF(E1369="", "", XLOOKUP(E1369, 'MASTER ITEM LIST'!B:B, 'MASTER ITEM LIST'!A:A, "Code Not Found"))</f>
        <v>EA1000</v>
      </c>
      <c r="E1369" s="199" t="s">
        <v>1049</v>
      </c>
      <c r="F1369" s="31"/>
      <c r="G1369" s="195" t="s">
        <v>34</v>
      </c>
      <c r="H1369" s="31">
        <v>2.0</v>
      </c>
      <c r="I1369" s="31" t="str">
        <f t="array" ref="I1369">IFERROR(XLOOKUP(D1369,'MASTER ITEM LIST'!A:A,'MASTER ITEM LIST'!D:D), "")</f>
        <v>PC/S</v>
      </c>
      <c r="J1369" s="34">
        <f t="shared" si="2"/>
        <v>25</v>
      </c>
      <c r="K1369" s="196">
        <v>50.0</v>
      </c>
      <c r="L1369" s="70" t="s">
        <v>42</v>
      </c>
    </row>
    <row r="1370" ht="22.5" customHeight="1">
      <c r="A1370" s="29">
        <v>46216.0</v>
      </c>
      <c r="B1370" s="31"/>
      <c r="C1370" s="32" t="s">
        <v>711</v>
      </c>
      <c r="D1370" s="198" t="str">
        <f t="array" ref="D1370">IF(E1370="", "", XLOOKUP(E1370, 'MASTER ITEM LIST'!B:B, 'MASTER ITEM LIST'!A:A, "Code Not Found"))</f>
        <v>UTMIX-4L</v>
      </c>
      <c r="E1370" s="199" t="s">
        <v>1169</v>
      </c>
      <c r="F1370" s="31"/>
      <c r="G1370" s="195" t="s">
        <v>34</v>
      </c>
      <c r="H1370" s="31">
        <v>1.0</v>
      </c>
      <c r="I1370" s="31" t="str">
        <f t="array" ref="I1370">IFERROR(XLOOKUP(D1370,'MASTER ITEM LIST'!A:A,'MASTER ITEM LIST'!D:D), "")</f>
        <v>GALON</v>
      </c>
      <c r="J1370" s="34">
        <f t="shared" si="2"/>
        <v>2400</v>
      </c>
      <c r="K1370" s="196">
        <v>2400.0</v>
      </c>
      <c r="L1370" s="70" t="s">
        <v>42</v>
      </c>
    </row>
    <row r="1371" ht="22.5" customHeight="1">
      <c r="A1371" s="29">
        <v>46216.0</v>
      </c>
      <c r="B1371" s="31"/>
      <c r="C1371" s="32" t="s">
        <v>711</v>
      </c>
      <c r="D1371" s="198" t="str">
        <f t="array" ref="D1371">IF(E1371="", "", XLOOKUP(E1371, 'MASTER ITEM LIST'!B:B, 'MASTER ITEM LIST'!A:A, "Code Not Found"))</f>
        <v>UTMIX-4L</v>
      </c>
      <c r="E1371" s="199" t="s">
        <v>1169</v>
      </c>
      <c r="F1371" s="31"/>
      <c r="G1371" s="195" t="s">
        <v>34</v>
      </c>
      <c r="H1371" s="31">
        <v>1.0</v>
      </c>
      <c r="I1371" s="31" t="str">
        <f t="array" ref="I1371">IFERROR(XLOOKUP(D1371,'MASTER ITEM LIST'!A:A,'MASTER ITEM LIST'!D:D), "")</f>
        <v>GALON</v>
      </c>
      <c r="J1371" s="34">
        <f t="shared" si="2"/>
        <v>4400</v>
      </c>
      <c r="K1371" s="196">
        <v>4400.0</v>
      </c>
      <c r="L1371" s="70" t="s">
        <v>42</v>
      </c>
    </row>
    <row r="1372" ht="22.5" customHeight="1">
      <c r="A1372" s="29">
        <v>46216.0</v>
      </c>
      <c r="B1372" s="31" t="s">
        <v>1787</v>
      </c>
      <c r="C1372" s="32" t="s">
        <v>1210</v>
      </c>
      <c r="D1372" s="198" t="str">
        <f t="array" ref="D1372">IF(E1372="", "", XLOOKUP(E1372, 'MASTER ITEM LIST'!B:B, 'MASTER ITEM LIST'!A:A, "Code Not Found"))</f>
        <v>PREMILAMIX-1L</v>
      </c>
      <c r="E1372" s="199" t="s">
        <v>1151</v>
      </c>
      <c r="F1372" s="31" t="s">
        <v>1788</v>
      </c>
      <c r="G1372" s="195" t="s">
        <v>1211</v>
      </c>
      <c r="H1372" s="31">
        <v>0.25</v>
      </c>
      <c r="I1372" s="31" t="str">
        <f t="array" ref="I1372">IFERROR(XLOOKUP(D1372,'MASTER ITEM LIST'!A:A,'MASTER ITEM LIST'!D:D), "")</f>
        <v>LITER</v>
      </c>
      <c r="J1372" s="34">
        <f t="shared" si="2"/>
        <v>2960</v>
      </c>
      <c r="K1372" s="196">
        <v>740.0</v>
      </c>
      <c r="L1372" s="70" t="s">
        <v>1212</v>
      </c>
    </row>
    <row r="1373" ht="22.5" customHeight="1">
      <c r="A1373" s="29">
        <v>46216.0</v>
      </c>
      <c r="B1373" s="31" t="s">
        <v>1787</v>
      </c>
      <c r="C1373" s="32" t="s">
        <v>1210</v>
      </c>
      <c r="D1373" s="198" t="str">
        <f t="array" ref="D1373">IF(E1373="", "", XLOOKUP(E1373, 'MASTER ITEM LIST'!B:B, 'MASTER ITEM LIST'!A:A, "Code Not Found"))</f>
        <v>NAX108</v>
      </c>
      <c r="E1373" s="199" t="s">
        <v>960</v>
      </c>
      <c r="F1373" s="31"/>
      <c r="G1373" s="195" t="s">
        <v>1211</v>
      </c>
      <c r="H1373" s="31">
        <v>0.5</v>
      </c>
      <c r="I1373" s="31" t="str">
        <f t="array" ref="I1373">IFERROR(XLOOKUP(D1373,'MASTER ITEM LIST'!A:A,'MASTER ITEM LIST'!D:D), "")</f>
        <v>LITER</v>
      </c>
      <c r="J1373" s="34">
        <f t="shared" si="2"/>
        <v>720</v>
      </c>
      <c r="K1373" s="196">
        <v>360.0</v>
      </c>
      <c r="L1373" s="70" t="s">
        <v>1212</v>
      </c>
    </row>
    <row r="1374" ht="22.5" customHeight="1">
      <c r="A1374" s="29">
        <v>46216.0</v>
      </c>
      <c r="B1374" s="31" t="s">
        <v>1787</v>
      </c>
      <c r="C1374" s="32" t="s">
        <v>1210</v>
      </c>
      <c r="D1374" s="198" t="str">
        <f t="array" ref="D1374">IF(E1374="", "", XLOOKUP(E1374, 'MASTER ITEM LIST'!B:B, 'MASTER ITEM LIST'!A:A, "Code Not Found"))</f>
        <v>SOB757</v>
      </c>
      <c r="E1374" s="199" t="s">
        <v>91</v>
      </c>
      <c r="F1374" s="31"/>
      <c r="G1374" s="195" t="s">
        <v>1211</v>
      </c>
      <c r="H1374" s="31">
        <v>0.25</v>
      </c>
      <c r="I1374" s="31" t="str">
        <f t="array" ref="I1374">IFERROR(XLOOKUP(D1374,'MASTER ITEM LIST'!A:A,'MASTER ITEM LIST'!D:D), "")</f>
        <v>GAL</v>
      </c>
      <c r="J1374" s="34">
        <f t="shared" si="2"/>
        <v>800</v>
      </c>
      <c r="K1374" s="196">
        <v>200.0</v>
      </c>
      <c r="L1374" s="70" t="s">
        <v>1212</v>
      </c>
    </row>
    <row r="1375" ht="22.5" customHeight="1">
      <c r="A1375" s="29">
        <v>46217.0</v>
      </c>
      <c r="B1375" s="31" t="s">
        <v>1789</v>
      </c>
      <c r="C1375" s="32" t="s">
        <v>1553</v>
      </c>
      <c r="D1375" s="198" t="str">
        <f t="array" ref="D1375">IF(E1375="", "", XLOOKUP(E1375, 'MASTER ITEM LIST'!B:B, 'MASTER ITEM LIST'!A:A, "Code Not Found"))</f>
        <v>Code Not Found</v>
      </c>
      <c r="E1375" s="199" t="s">
        <v>1790</v>
      </c>
      <c r="F1375" s="31"/>
      <c r="G1375" s="195" t="s">
        <v>34</v>
      </c>
      <c r="H1375" s="31">
        <v>1.0</v>
      </c>
      <c r="I1375" s="31" t="str">
        <f t="array" ref="I1375">IFERROR(XLOOKUP(D1375,'MASTER ITEM LIST'!A:A,'MASTER ITEM LIST'!D:D), "")</f>
        <v/>
      </c>
      <c r="J1375" s="34">
        <f t="shared" si="2"/>
        <v>1800</v>
      </c>
      <c r="K1375" s="196">
        <v>1800.0</v>
      </c>
      <c r="L1375" s="70" t="s">
        <v>42</v>
      </c>
    </row>
    <row r="1376" ht="22.5" customHeight="1">
      <c r="A1376" s="29">
        <v>46217.0</v>
      </c>
      <c r="B1376" s="31" t="s">
        <v>1789</v>
      </c>
      <c r="C1376" s="32" t="s">
        <v>1553</v>
      </c>
      <c r="D1376" s="198" t="str">
        <f t="array" ref="D1376">IF(E1376="", "", XLOOKUP(E1376, 'MASTER ITEM LIST'!B:B, 'MASTER ITEM LIST'!A:A, "Code Not Found"))</f>
        <v>2B-#7</v>
      </c>
      <c r="E1376" s="199" t="s">
        <v>1145</v>
      </c>
      <c r="F1376" s="31"/>
      <c r="G1376" s="195" t="s">
        <v>34</v>
      </c>
      <c r="H1376" s="31">
        <v>1.0</v>
      </c>
      <c r="I1376" s="31" t="str">
        <f t="array" ref="I1376">IFERROR(XLOOKUP(D1376,'MASTER ITEM LIST'!A:A,'MASTER ITEM LIST'!D:D), "")</f>
        <v>PC/S</v>
      </c>
      <c r="J1376" s="34">
        <f t="shared" si="2"/>
        <v>85</v>
      </c>
      <c r="K1376" s="196">
        <v>85.0</v>
      </c>
      <c r="L1376" s="70" t="s">
        <v>42</v>
      </c>
    </row>
    <row r="1377" ht="22.5" customHeight="1">
      <c r="A1377" s="29">
        <v>46217.0</v>
      </c>
      <c r="B1377" s="31" t="s">
        <v>1789</v>
      </c>
      <c r="C1377" s="32" t="s">
        <v>1553</v>
      </c>
      <c r="D1377" s="198" t="str">
        <f t="array" ref="D1377">IF(E1377="", "", XLOOKUP(E1377, 'MASTER ITEM LIST'!B:B, 'MASTER ITEM LIST'!A:A, "Code Not Found"))</f>
        <v>2B-PB-1 1/2</v>
      </c>
      <c r="E1377" s="199" t="s">
        <v>1167</v>
      </c>
      <c r="F1377" s="31"/>
      <c r="G1377" s="195" t="s">
        <v>34</v>
      </c>
      <c r="H1377" s="31">
        <v>2.0</v>
      </c>
      <c r="I1377" s="31" t="str">
        <f t="array" ref="I1377">IFERROR(XLOOKUP(D1377,'MASTER ITEM LIST'!A:A,'MASTER ITEM LIST'!D:D), "")</f>
        <v>PC/S</v>
      </c>
      <c r="J1377" s="34">
        <f t="shared" si="2"/>
        <v>35</v>
      </c>
      <c r="K1377" s="196">
        <v>70.0</v>
      </c>
      <c r="L1377" s="70" t="s">
        <v>42</v>
      </c>
    </row>
    <row r="1378" ht="22.5" customHeight="1">
      <c r="A1378" s="29">
        <v>46217.0</v>
      </c>
      <c r="B1378" s="31" t="s">
        <v>1789</v>
      </c>
      <c r="C1378" s="32" t="s">
        <v>1553</v>
      </c>
      <c r="D1378" s="198" t="str">
        <f t="array" ref="D1378">IF(E1378="", "", XLOOKUP(E1378, 'MASTER ITEM LIST'!B:B, 'MASTER ITEM LIST'!A:A, "Code Not Found"))</f>
        <v>NAS535</v>
      </c>
      <c r="E1378" s="199" t="s">
        <v>677</v>
      </c>
      <c r="F1378" s="31"/>
      <c r="G1378" s="195" t="s">
        <v>34</v>
      </c>
      <c r="H1378" s="31">
        <v>1.0</v>
      </c>
      <c r="I1378" s="31" t="str">
        <f t="array" ref="I1378">IFERROR(XLOOKUP(D1378,'MASTER ITEM LIST'!A:A,'MASTER ITEM LIST'!D:D), "")</f>
        <v>GAL/S</v>
      </c>
      <c r="J1378" s="34">
        <f t="shared" si="2"/>
        <v>650</v>
      </c>
      <c r="K1378" s="196">
        <v>650.0</v>
      </c>
      <c r="L1378" s="70" t="s">
        <v>42</v>
      </c>
    </row>
    <row r="1379" ht="22.5" customHeight="1">
      <c r="A1379" s="29">
        <v>46217.0</v>
      </c>
      <c r="B1379" s="31"/>
      <c r="C1379" s="32" t="s">
        <v>711</v>
      </c>
      <c r="D1379" s="198" t="str">
        <f t="array" ref="D1379">IF(E1379="", "", XLOOKUP(E1379, 'MASTER ITEM LIST'!B:B, 'MASTER ITEM LIST'!A:A, "Code Not Found"))</f>
        <v>NP9700</v>
      </c>
      <c r="E1379" s="88" t="s">
        <v>709</v>
      </c>
      <c r="F1379" s="31"/>
      <c r="G1379" s="195" t="s">
        <v>34</v>
      </c>
      <c r="H1379" s="31">
        <v>0.5</v>
      </c>
      <c r="I1379" s="31" t="str">
        <f t="array" ref="I1379">IFERROR(XLOOKUP(D1379,'MASTER ITEM LIST'!A:A,'MASTER ITEM LIST'!D:D), "")</f>
        <v>LITER</v>
      </c>
      <c r="J1379" s="34">
        <f t="shared" si="2"/>
        <v>1600</v>
      </c>
      <c r="K1379" s="196">
        <v>800.0</v>
      </c>
      <c r="L1379" s="70" t="s">
        <v>42</v>
      </c>
    </row>
    <row r="1380" ht="22.5" customHeight="1">
      <c r="A1380" s="29">
        <v>46217.0</v>
      </c>
      <c r="B1380" s="31"/>
      <c r="C1380" s="32" t="s">
        <v>711</v>
      </c>
      <c r="D1380" s="198" t="str">
        <f t="array" ref="D1380">IF(E1380="", "", XLOOKUP(E1380, 'MASTER ITEM LIST'!B:B, 'MASTER ITEM LIST'!A:A, "Code Not Found"))</f>
        <v>PREMILAMIX-1L</v>
      </c>
      <c r="E1380" s="199" t="s">
        <v>1151</v>
      </c>
      <c r="F1380" s="31"/>
      <c r="G1380" s="195" t="s">
        <v>34</v>
      </c>
      <c r="H1380" s="31">
        <v>0.125</v>
      </c>
      <c r="I1380" s="31" t="str">
        <f t="array" ref="I1380">IFERROR(XLOOKUP(D1380,'MASTER ITEM LIST'!A:A,'MASTER ITEM LIST'!D:D), "")</f>
        <v>LITER</v>
      </c>
      <c r="J1380" s="34">
        <f t="shared" si="2"/>
        <v>2560</v>
      </c>
      <c r="K1380" s="196">
        <v>320.0</v>
      </c>
      <c r="L1380" s="70" t="s">
        <v>42</v>
      </c>
    </row>
    <row r="1381" ht="22.5" customHeight="1">
      <c r="A1381" s="29">
        <v>46217.0</v>
      </c>
      <c r="B1381" s="31" t="s">
        <v>1791</v>
      </c>
      <c r="C1381" s="32" t="s">
        <v>93</v>
      </c>
      <c r="D1381" s="198" t="str">
        <f t="array" ref="D1381">IF(E1381="", "", XLOOKUP(E1381, 'MASTER ITEM LIST'!B:B, 'MASTER ITEM LIST'!A:A, "Code Not Found"))</f>
        <v>SOB757</v>
      </c>
      <c r="E1381" s="199" t="s">
        <v>91</v>
      </c>
      <c r="F1381" s="31"/>
      <c r="G1381" s="195" t="s">
        <v>1376</v>
      </c>
      <c r="H1381" s="31">
        <v>1.0</v>
      </c>
      <c r="I1381" s="31" t="str">
        <f t="array" ref="I1381">IFERROR(XLOOKUP(D1381,'MASTER ITEM LIST'!A:A,'MASTER ITEM LIST'!D:D), "")</f>
        <v>GAL</v>
      </c>
      <c r="J1381" s="34">
        <f t="shared" si="2"/>
        <v>780</v>
      </c>
      <c r="K1381" s="196">
        <v>780.0</v>
      </c>
      <c r="L1381" s="70" t="s">
        <v>42</v>
      </c>
    </row>
    <row r="1382" ht="22.5" customHeight="1">
      <c r="A1382" s="29">
        <v>46217.0</v>
      </c>
      <c r="B1382" s="31" t="s">
        <v>1791</v>
      </c>
      <c r="C1382" s="32" t="s">
        <v>93</v>
      </c>
      <c r="D1382" s="198" t="str">
        <f t="array" ref="D1382">IF(E1382="", "", XLOOKUP(E1382, 'MASTER ITEM LIST'!B:B, 'MASTER ITEM LIST'!A:A, "Code Not Found"))</f>
        <v>NAX108</v>
      </c>
      <c r="E1382" s="199" t="s">
        <v>960</v>
      </c>
      <c r="F1382" s="31"/>
      <c r="G1382" s="195" t="s">
        <v>1376</v>
      </c>
      <c r="H1382" s="31">
        <v>1.0</v>
      </c>
      <c r="I1382" s="31" t="str">
        <f t="array" ref="I1382">IFERROR(XLOOKUP(D1382,'MASTER ITEM LIST'!A:A,'MASTER ITEM LIST'!D:D), "")</f>
        <v>LITER</v>
      </c>
      <c r="J1382" s="34">
        <f t="shared" si="2"/>
        <v>680</v>
      </c>
      <c r="K1382" s="196">
        <v>680.0</v>
      </c>
      <c r="L1382" s="70" t="s">
        <v>42</v>
      </c>
    </row>
    <row r="1383" ht="22.5" customHeight="1">
      <c r="A1383" s="29">
        <v>46217.0</v>
      </c>
      <c r="B1383" s="31" t="s">
        <v>1791</v>
      </c>
      <c r="C1383" s="32" t="s">
        <v>93</v>
      </c>
      <c r="D1383" s="198" t="str">
        <f t="array" ref="D1383">IF(E1383="", "", XLOOKUP(E1383, 'MASTER ITEM LIST'!B:B, 'MASTER ITEM LIST'!A:A, "Code Not Found"))</f>
        <v>NAXQDUMIX-1L</v>
      </c>
      <c r="E1383" s="199" t="s">
        <v>1161</v>
      </c>
      <c r="F1383" s="31" t="s">
        <v>1792</v>
      </c>
      <c r="G1383" s="195" t="s">
        <v>1376</v>
      </c>
      <c r="H1383" s="31">
        <v>0.5</v>
      </c>
      <c r="I1383" s="31" t="str">
        <f t="array" ref="I1383">IFERROR(XLOOKUP(D1383,'MASTER ITEM LIST'!A:A,'MASTER ITEM LIST'!D:D), "")</f>
        <v>LITER</v>
      </c>
      <c r="J1383" s="34">
        <f t="shared" si="2"/>
        <v>1600</v>
      </c>
      <c r="K1383" s="196">
        <v>800.0</v>
      </c>
      <c r="L1383" s="70" t="s">
        <v>42</v>
      </c>
    </row>
    <row r="1384" ht="22.5" customHeight="1">
      <c r="A1384" s="29">
        <v>46217.0</v>
      </c>
      <c r="B1384" s="31" t="s">
        <v>1791</v>
      </c>
      <c r="C1384" s="32" t="s">
        <v>93</v>
      </c>
      <c r="D1384" s="198" t="str">
        <f t="array" ref="D1384">IF(E1384="", "", XLOOKUP(E1384, 'MASTER ITEM LIST'!B:B, 'MASTER ITEM LIST'!A:A, "Code Not Found"))</f>
        <v>PREMILAMIX-1L</v>
      </c>
      <c r="E1384" s="199" t="s">
        <v>1151</v>
      </c>
      <c r="F1384" s="31" t="s">
        <v>1793</v>
      </c>
      <c r="G1384" s="195" t="s">
        <v>1376</v>
      </c>
      <c r="H1384" s="31">
        <v>0.5</v>
      </c>
      <c r="I1384" s="31" t="str">
        <f t="array" ref="I1384">IFERROR(XLOOKUP(D1384,'MASTER ITEM LIST'!A:A,'MASTER ITEM LIST'!D:D), "")</f>
        <v>LITER</v>
      </c>
      <c r="J1384" s="34">
        <f t="shared" si="2"/>
        <v>2900</v>
      </c>
      <c r="K1384" s="196">
        <v>1450.0</v>
      </c>
      <c r="L1384" s="70" t="s">
        <v>42</v>
      </c>
    </row>
    <row r="1385" ht="22.5" customHeight="1">
      <c r="A1385" s="29">
        <v>46217.0</v>
      </c>
      <c r="B1385" s="31" t="s">
        <v>1794</v>
      </c>
      <c r="C1385" s="32" t="s">
        <v>1555</v>
      </c>
      <c r="D1385" s="198" t="str">
        <f t="array" ref="D1385">IF(E1385="", "", XLOOKUP(E1385, 'MASTER ITEM LIST'!B:B, 'MASTER ITEM LIST'!A:A, "Code Not Found"))</f>
        <v>EXTREMEMIX-1L</v>
      </c>
      <c r="E1385" s="199" t="s">
        <v>1164</v>
      </c>
      <c r="F1385" s="31"/>
      <c r="G1385" s="195" t="s">
        <v>34</v>
      </c>
      <c r="H1385" s="31">
        <v>3.0</v>
      </c>
      <c r="I1385" s="31" t="str">
        <f t="array" ref="I1385">IFERROR(XLOOKUP(D1385,'MASTER ITEM LIST'!A:A,'MASTER ITEM LIST'!D:D), "")</f>
        <v>LITER</v>
      </c>
      <c r="J1385" s="34">
        <f t="shared" si="2"/>
        <v>650</v>
      </c>
      <c r="K1385" s="196">
        <v>1950.0</v>
      </c>
      <c r="L1385" s="70" t="s">
        <v>42</v>
      </c>
    </row>
    <row r="1386" ht="22.5" customHeight="1">
      <c r="A1386" s="29">
        <v>46217.0</v>
      </c>
      <c r="B1386" s="31" t="s">
        <v>1794</v>
      </c>
      <c r="C1386" s="32" t="s">
        <v>1555</v>
      </c>
      <c r="D1386" s="198" t="str">
        <f t="array" ref="D1386">IF(E1386="", "", XLOOKUP(E1386, 'MASTER ITEM LIST'!B:B, 'MASTER ITEM LIST'!A:A, "Code Not Found"))</f>
        <v>NAX108</v>
      </c>
      <c r="E1386" s="199" t="s">
        <v>960</v>
      </c>
      <c r="F1386" s="31"/>
      <c r="G1386" s="195" t="s">
        <v>34</v>
      </c>
      <c r="H1386" s="31">
        <v>2.0</v>
      </c>
      <c r="I1386" s="31" t="str">
        <f t="array" ref="I1386">IFERROR(XLOOKUP(D1386,'MASTER ITEM LIST'!A:A,'MASTER ITEM LIST'!D:D), "")</f>
        <v>LITER</v>
      </c>
      <c r="J1386" s="34">
        <f t="shared" si="2"/>
        <v>680</v>
      </c>
      <c r="K1386" s="196">
        <v>1360.0</v>
      </c>
      <c r="L1386" s="70" t="s">
        <v>42</v>
      </c>
    </row>
    <row r="1387" ht="22.5" customHeight="1">
      <c r="A1387" s="29">
        <v>46217.0</v>
      </c>
      <c r="B1387" s="31" t="s">
        <v>1794</v>
      </c>
      <c r="C1387" s="32" t="s">
        <v>1555</v>
      </c>
      <c r="D1387" s="198" t="str">
        <f t="array" ref="D1387">IF(E1387="", "", XLOOKUP(E1387, 'MASTER ITEM LIST'!B:B, 'MASTER ITEM LIST'!A:A, "Code Not Found"))</f>
        <v>PRI3634</v>
      </c>
      <c r="E1387" s="199" t="s">
        <v>956</v>
      </c>
      <c r="F1387" s="31"/>
      <c r="G1387" s="195" t="s">
        <v>34</v>
      </c>
      <c r="H1387" s="31">
        <v>1.0</v>
      </c>
      <c r="I1387" s="31" t="str">
        <f t="array" ref="I1387">IFERROR(XLOOKUP(D1387,'MASTER ITEM LIST'!A:A,'MASTER ITEM LIST'!D:D), "")</f>
        <v>LITER</v>
      </c>
      <c r="J1387" s="34">
        <f t="shared" si="2"/>
        <v>600</v>
      </c>
      <c r="K1387" s="196">
        <v>600.0</v>
      </c>
      <c r="L1387" s="70" t="s">
        <v>42</v>
      </c>
    </row>
    <row r="1388" ht="22.5" customHeight="1">
      <c r="A1388" s="29">
        <v>46217.0</v>
      </c>
      <c r="B1388" s="31" t="s">
        <v>1794</v>
      </c>
      <c r="C1388" s="32" t="s">
        <v>1555</v>
      </c>
      <c r="D1388" s="198" t="str">
        <f t="array" ref="D1388">IF(E1388="", "", XLOOKUP(E1388, 'MASTER ITEM LIST'!B:B, 'MASTER ITEM LIST'!A:A, "Code Not Found"))</f>
        <v>CRO-MT3/4</v>
      </c>
      <c r="E1388" s="199" t="s">
        <v>1103</v>
      </c>
      <c r="F1388" s="31"/>
      <c r="G1388" s="195" t="s">
        <v>34</v>
      </c>
      <c r="H1388" s="31">
        <v>2.0</v>
      </c>
      <c r="I1388" s="31" t="str">
        <f t="array" ref="I1388">IFERROR(XLOOKUP(D1388,'MASTER ITEM LIST'!A:A,'MASTER ITEM LIST'!D:D), "")</f>
        <v>PC/S</v>
      </c>
      <c r="J1388" s="34">
        <f t="shared" si="2"/>
        <v>35</v>
      </c>
      <c r="K1388" s="196">
        <v>70.0</v>
      </c>
      <c r="L1388" s="70" t="s">
        <v>42</v>
      </c>
    </row>
    <row r="1389" ht="22.5" customHeight="1">
      <c r="A1389" s="29">
        <v>46217.0</v>
      </c>
      <c r="B1389" s="31" t="s">
        <v>1794</v>
      </c>
      <c r="C1389" s="32" t="s">
        <v>1555</v>
      </c>
      <c r="D1389" s="198" t="str">
        <f t="array" ref="D1389">IF(E1389="", "", XLOOKUP(E1389, 'MASTER ITEM LIST'!B:B, 'MASTER ITEM LIST'!A:A, "Code Not Found"))</f>
        <v>EA120</v>
      </c>
      <c r="E1389" s="199" t="s">
        <v>1048</v>
      </c>
      <c r="F1389" s="31"/>
      <c r="G1389" s="195" t="s">
        <v>34</v>
      </c>
      <c r="H1389" s="31">
        <v>10.0</v>
      </c>
      <c r="I1389" s="31" t="str">
        <f t="array" ref="I1389">IFERROR(XLOOKUP(D1389,'MASTER ITEM LIST'!A:A,'MASTER ITEM LIST'!D:D), "")</f>
        <v>PC/S</v>
      </c>
      <c r="J1389" s="34">
        <f t="shared" si="2"/>
        <v>25</v>
      </c>
      <c r="K1389" s="196">
        <v>250.0</v>
      </c>
      <c r="L1389" s="70" t="s">
        <v>42</v>
      </c>
    </row>
    <row r="1390" ht="22.5" customHeight="1">
      <c r="A1390" s="29">
        <v>46217.0</v>
      </c>
      <c r="B1390" s="31" t="s">
        <v>1794</v>
      </c>
      <c r="C1390" s="32" t="s">
        <v>1555</v>
      </c>
      <c r="D1390" s="198" t="str">
        <f t="array" ref="D1390">IF(E1390="", "", XLOOKUP(E1390, 'MASTER ITEM LIST'!B:B, 'MASTER ITEM LIST'!A:A, "Code Not Found"))</f>
        <v>EA240</v>
      </c>
      <c r="E1390" s="199" t="s">
        <v>1044</v>
      </c>
      <c r="F1390" s="31"/>
      <c r="G1390" s="195" t="s">
        <v>34</v>
      </c>
      <c r="H1390" s="31">
        <v>10.0</v>
      </c>
      <c r="I1390" s="31" t="str">
        <f t="array" ref="I1390">IFERROR(XLOOKUP(D1390,'MASTER ITEM LIST'!A:A,'MASTER ITEM LIST'!D:D), "")</f>
        <v>PC/S</v>
      </c>
      <c r="J1390" s="34">
        <f t="shared" si="2"/>
        <v>25</v>
      </c>
      <c r="K1390" s="196">
        <v>250.0</v>
      </c>
      <c r="L1390" s="70" t="s">
        <v>42</v>
      </c>
    </row>
    <row r="1391" ht="22.5" customHeight="1">
      <c r="A1391" s="29">
        <v>46217.0</v>
      </c>
      <c r="B1391" s="31"/>
      <c r="C1391" s="32" t="s">
        <v>711</v>
      </c>
      <c r="D1391" s="198" t="str">
        <f t="array" ref="D1391">IF(E1391="", "", XLOOKUP(E1391, 'MASTER ITEM LIST'!B:B, 'MASTER ITEM LIST'!A:A, "Code Not Found"))</f>
        <v>EXTREMEMIX-1L</v>
      </c>
      <c r="E1391" s="199" t="s">
        <v>1164</v>
      </c>
      <c r="F1391" s="31"/>
      <c r="G1391" s="195" t="s">
        <v>1376</v>
      </c>
      <c r="H1391" s="31">
        <v>0.5</v>
      </c>
      <c r="I1391" s="31" t="str">
        <f t="array" ref="I1391">IFERROR(XLOOKUP(D1391,'MASTER ITEM LIST'!A:A,'MASTER ITEM LIST'!D:D), "")</f>
        <v>LITER</v>
      </c>
      <c r="J1391" s="34">
        <f t="shared" si="2"/>
        <v>640</v>
      </c>
      <c r="K1391" s="196">
        <v>320.0</v>
      </c>
      <c r="L1391" s="70" t="s">
        <v>42</v>
      </c>
    </row>
    <row r="1392" ht="22.5" customHeight="1">
      <c r="A1392" s="29">
        <v>46217.0</v>
      </c>
      <c r="B1392" s="31"/>
      <c r="C1392" s="32" t="s">
        <v>711</v>
      </c>
      <c r="D1392" s="198" t="str">
        <f t="array" ref="D1392">IF(E1392="", "", XLOOKUP(E1392, 'MASTER ITEM LIST'!B:B, 'MASTER ITEM LIST'!A:A, "Code Not Found"))</f>
        <v>PREMILAMIX-1L</v>
      </c>
      <c r="E1392" s="199" t="s">
        <v>1151</v>
      </c>
      <c r="F1392" s="31" t="s">
        <v>1795</v>
      </c>
      <c r="G1392" s="195" t="s">
        <v>1376</v>
      </c>
      <c r="H1392" s="31">
        <v>0.125</v>
      </c>
      <c r="I1392" s="31" t="str">
        <f t="array" ref="I1392">IFERROR(XLOOKUP(D1392,'MASTER ITEM LIST'!A:A,'MASTER ITEM LIST'!D:D), "")</f>
        <v>LITER</v>
      </c>
      <c r="J1392" s="34">
        <f t="shared" si="2"/>
        <v>2400</v>
      </c>
      <c r="K1392" s="196">
        <v>300.0</v>
      </c>
      <c r="L1392" s="70" t="s">
        <v>42</v>
      </c>
    </row>
    <row r="1393" ht="22.5" customHeight="1">
      <c r="A1393" s="29">
        <v>46217.0</v>
      </c>
      <c r="B1393" s="31" t="s">
        <v>1796</v>
      </c>
      <c r="C1393" s="32" t="s">
        <v>1210</v>
      </c>
      <c r="D1393" s="198" t="str">
        <f t="array" ref="D1393">IF(E1393="", "", XLOOKUP(E1393, 'MASTER ITEM LIST'!B:B, 'MASTER ITEM LIST'!A:A, "Code Not Found"))</f>
        <v>PREMILAMIX-1L</v>
      </c>
      <c r="E1393" s="199" t="s">
        <v>1151</v>
      </c>
      <c r="F1393" s="31" t="s">
        <v>1249</v>
      </c>
      <c r="G1393" s="195" t="s">
        <v>1211</v>
      </c>
      <c r="H1393" s="31">
        <v>0.5</v>
      </c>
      <c r="I1393" s="31" t="str">
        <f t="array" ref="I1393">IFERROR(XLOOKUP(D1393,'MASTER ITEM LIST'!A:A,'MASTER ITEM LIST'!D:D), "")</f>
        <v>LITER</v>
      </c>
      <c r="J1393" s="34">
        <f t="shared" si="2"/>
        <v>2900</v>
      </c>
      <c r="K1393" s="196">
        <v>1450.0</v>
      </c>
      <c r="L1393" s="70" t="s">
        <v>1212</v>
      </c>
    </row>
    <row r="1394" ht="22.5" customHeight="1">
      <c r="A1394" s="29">
        <v>46217.0</v>
      </c>
      <c r="B1394" s="31" t="s">
        <v>1796</v>
      </c>
      <c r="C1394" s="32" t="s">
        <v>1210</v>
      </c>
      <c r="D1394" s="198" t="str">
        <f t="array" ref="D1394">IF(E1394="", "", XLOOKUP(E1394, 'MASTER ITEM LIST'!B:B, 'MASTER ITEM LIST'!A:A, "Code Not Found"))</f>
        <v>NAX108</v>
      </c>
      <c r="E1394" s="199" t="s">
        <v>960</v>
      </c>
      <c r="F1394" s="31"/>
      <c r="G1394" s="195" t="s">
        <v>1211</v>
      </c>
      <c r="H1394" s="31">
        <v>1.0</v>
      </c>
      <c r="I1394" s="31" t="str">
        <f t="array" ref="I1394">IFERROR(XLOOKUP(D1394,'MASTER ITEM LIST'!A:A,'MASTER ITEM LIST'!D:D), "")</f>
        <v>LITER</v>
      </c>
      <c r="J1394" s="34">
        <f t="shared" si="2"/>
        <v>710</v>
      </c>
      <c r="K1394" s="196">
        <v>710.0</v>
      </c>
      <c r="L1394" s="70" t="s">
        <v>1212</v>
      </c>
    </row>
    <row r="1395" ht="22.5" customHeight="1">
      <c r="A1395" s="29">
        <v>46217.0</v>
      </c>
      <c r="B1395" s="31" t="s">
        <v>1796</v>
      </c>
      <c r="C1395" s="32" t="s">
        <v>1210</v>
      </c>
      <c r="D1395" s="198" t="str">
        <f t="array" ref="D1395">IF(E1395="", "", XLOOKUP(E1395, 'MASTER ITEM LIST'!B:B, 'MASTER ITEM LIST'!A:A, "Code Not Found"))</f>
        <v>EA320</v>
      </c>
      <c r="E1395" s="199" t="s">
        <v>1050</v>
      </c>
      <c r="F1395" s="31"/>
      <c r="G1395" s="195" t="s">
        <v>1211</v>
      </c>
      <c r="H1395" s="31">
        <v>5.0</v>
      </c>
      <c r="I1395" s="31" t="str">
        <f t="array" ref="I1395">IFERROR(XLOOKUP(D1395,'MASTER ITEM LIST'!A:A,'MASTER ITEM LIST'!D:D), "")</f>
        <v>PCS</v>
      </c>
      <c r="J1395" s="34">
        <f t="shared" si="2"/>
        <v>25</v>
      </c>
      <c r="K1395" s="196">
        <v>125.0</v>
      </c>
      <c r="L1395" s="70" t="s">
        <v>1212</v>
      </c>
    </row>
    <row r="1396" ht="22.5" customHeight="1">
      <c r="A1396" s="29">
        <v>46217.0</v>
      </c>
      <c r="B1396" s="31" t="s">
        <v>1796</v>
      </c>
      <c r="C1396" s="32" t="s">
        <v>1210</v>
      </c>
      <c r="D1396" s="198" t="str">
        <f t="array" ref="D1396">IF(E1396="", "", XLOOKUP(E1396, 'MASTER ITEM LIST'!B:B, 'MASTER ITEM LIST'!A:A, "Code Not Found"))</f>
        <v>CRO-MT3/4</v>
      </c>
      <c r="E1396" s="199" t="s">
        <v>1103</v>
      </c>
      <c r="F1396" s="31"/>
      <c r="G1396" s="195" t="s">
        <v>1211</v>
      </c>
      <c r="H1396" s="31">
        <v>2.0</v>
      </c>
      <c r="I1396" s="31" t="str">
        <f t="array" ref="I1396">IFERROR(XLOOKUP(D1396,'MASTER ITEM LIST'!A:A,'MASTER ITEM LIST'!D:D), "")</f>
        <v>PC/S</v>
      </c>
      <c r="J1396" s="34">
        <f t="shared" si="2"/>
        <v>35</v>
      </c>
      <c r="K1396" s="196">
        <v>70.0</v>
      </c>
      <c r="L1396" s="70" t="s">
        <v>1212</v>
      </c>
    </row>
    <row r="1397" ht="22.5" customHeight="1">
      <c r="A1397" s="29">
        <v>46217.0</v>
      </c>
      <c r="B1397" s="31" t="s">
        <v>1796</v>
      </c>
      <c r="C1397" s="32" t="s">
        <v>1210</v>
      </c>
      <c r="D1397" s="198" t="str">
        <f t="array" ref="D1397">IF(E1397="", "", XLOOKUP(E1397, 'MASTER ITEM LIST'!B:B, 'MASTER ITEM LIST'!A:A, "Code Not Found"))</f>
        <v>SOB757</v>
      </c>
      <c r="E1397" s="199" t="s">
        <v>91</v>
      </c>
      <c r="F1397" s="31"/>
      <c r="G1397" s="195" t="s">
        <v>1211</v>
      </c>
      <c r="H1397" s="31">
        <v>0.25</v>
      </c>
      <c r="I1397" s="31" t="str">
        <f t="array" ref="I1397">IFERROR(XLOOKUP(D1397,'MASTER ITEM LIST'!A:A,'MASTER ITEM LIST'!D:D), "")</f>
        <v>GAL</v>
      </c>
      <c r="J1397" s="34">
        <f t="shared" si="2"/>
        <v>800</v>
      </c>
      <c r="K1397" s="196">
        <v>200.0</v>
      </c>
      <c r="L1397" s="70" t="s">
        <v>1212</v>
      </c>
    </row>
    <row r="1398" ht="22.5" customHeight="1">
      <c r="A1398" s="29">
        <v>46218.0</v>
      </c>
      <c r="B1398" s="31" t="s">
        <v>1797</v>
      </c>
      <c r="C1398" s="32" t="s">
        <v>1547</v>
      </c>
      <c r="D1398" s="198" t="str">
        <f t="array" ref="D1398">IF(E1398="", "", XLOOKUP(E1398, 'MASTER ITEM LIST'!B:B, 'MASTER ITEM LIST'!A:A, "Code Not Found"))</f>
        <v>ACRYPRIMER-4L</v>
      </c>
      <c r="E1398" s="199" t="s">
        <v>1194</v>
      </c>
      <c r="F1398" s="31"/>
      <c r="G1398" s="195" t="s">
        <v>34</v>
      </c>
      <c r="H1398" s="31">
        <v>1.0</v>
      </c>
      <c r="I1398" s="31" t="str">
        <f t="array" ref="I1398">IFERROR(XLOOKUP(D1398,'MASTER ITEM LIST'!A:A,'MASTER ITEM LIST'!D:D), "")</f>
        <v>GALON</v>
      </c>
      <c r="J1398" s="34">
        <f t="shared" si="2"/>
        <v>1100</v>
      </c>
      <c r="K1398" s="196">
        <v>1100.0</v>
      </c>
      <c r="L1398" s="70" t="s">
        <v>42</v>
      </c>
    </row>
    <row r="1399" ht="22.5" customHeight="1">
      <c r="A1399" s="29">
        <v>46218.0</v>
      </c>
      <c r="B1399" s="31" t="s">
        <v>1797</v>
      </c>
      <c r="C1399" s="32" t="s">
        <v>1547</v>
      </c>
      <c r="D1399" s="198" t="str">
        <f t="array" ref="D1399">IF(E1399="", "", XLOOKUP(E1399, 'MASTER ITEM LIST'!B:B, 'MASTER ITEM LIST'!A:A, "Code Not Found"))</f>
        <v>LATEXMIX-15L</v>
      </c>
      <c r="E1399" s="88" t="s">
        <v>1188</v>
      </c>
      <c r="F1399" s="31"/>
      <c r="G1399" s="195" t="s">
        <v>34</v>
      </c>
      <c r="H1399" s="31">
        <v>1.0</v>
      </c>
      <c r="I1399" s="31" t="str">
        <f t="array" ref="I1399">IFERROR(XLOOKUP(D1399,'MASTER ITEM LIST'!A:A,'MASTER ITEM LIST'!D:D), "")</f>
        <v>PAIL</v>
      </c>
      <c r="J1399" s="34">
        <f t="shared" si="2"/>
        <v>3200</v>
      </c>
      <c r="K1399" s="196">
        <v>3200.0</v>
      </c>
      <c r="L1399" s="70" t="s">
        <v>42</v>
      </c>
    </row>
    <row r="1400" ht="22.5" customHeight="1">
      <c r="A1400" s="29">
        <v>46218.0</v>
      </c>
      <c r="B1400" s="31"/>
      <c r="C1400" s="32" t="s">
        <v>711</v>
      </c>
      <c r="D1400" s="198" t="str">
        <f t="array" ref="D1400">IF(E1400="", "", XLOOKUP(E1400, 'MASTER ITEM LIST'!B:B, 'MASTER ITEM LIST'!A:A, "Code Not Found"))</f>
        <v>NP9700</v>
      </c>
      <c r="E1400" s="88" t="s">
        <v>709</v>
      </c>
      <c r="F1400" s="31"/>
      <c r="G1400" s="195" t="s">
        <v>34</v>
      </c>
      <c r="H1400" s="31">
        <v>1.0</v>
      </c>
      <c r="I1400" s="31" t="str">
        <f t="array" ref="I1400">IFERROR(XLOOKUP(D1400,'MASTER ITEM LIST'!A:A,'MASTER ITEM LIST'!D:D), "")</f>
        <v>LITER</v>
      </c>
      <c r="J1400" s="34">
        <f t="shared" si="2"/>
        <v>1600</v>
      </c>
      <c r="K1400" s="196">
        <v>1600.0</v>
      </c>
      <c r="L1400" s="70" t="s">
        <v>42</v>
      </c>
    </row>
    <row r="1401" ht="22.5" customHeight="1">
      <c r="A1401" s="29">
        <v>46218.0</v>
      </c>
      <c r="B1401" s="31"/>
      <c r="C1401" s="32" t="s">
        <v>711</v>
      </c>
      <c r="D1401" s="198" t="str">
        <f t="array" ref="D1401">IF(E1401="", "", XLOOKUP(E1401, 'MASTER ITEM LIST'!B:B, 'MASTER ITEM LIST'!A:A, "Code Not Found"))</f>
        <v>EXTREMEMIX-1L</v>
      </c>
      <c r="E1401" s="199" t="s">
        <v>1164</v>
      </c>
      <c r="F1401" s="31"/>
      <c r="G1401" s="195" t="s">
        <v>34</v>
      </c>
      <c r="H1401" s="31">
        <v>0.5</v>
      </c>
      <c r="I1401" s="31" t="str">
        <f t="array" ref="I1401">IFERROR(XLOOKUP(D1401,'MASTER ITEM LIST'!A:A,'MASTER ITEM LIST'!D:D), "")</f>
        <v>LITER</v>
      </c>
      <c r="J1401" s="34">
        <f t="shared" si="2"/>
        <v>700</v>
      </c>
      <c r="K1401" s="196">
        <v>350.0</v>
      </c>
      <c r="L1401" s="70" t="s">
        <v>42</v>
      </c>
    </row>
    <row r="1402" ht="22.5" customHeight="1">
      <c r="A1402" s="29">
        <v>46218.0</v>
      </c>
      <c r="B1402" s="31"/>
      <c r="C1402" s="32" t="s">
        <v>711</v>
      </c>
      <c r="D1402" s="198" t="str">
        <f t="array" ref="D1402">IF(E1402="", "", XLOOKUP(E1402, 'MASTER ITEM LIST'!B:B, 'MASTER ITEM LIST'!A:A, "Code Not Found"))</f>
        <v>NAXQDUMIX-1L</v>
      </c>
      <c r="E1402" s="199" t="s">
        <v>1161</v>
      </c>
      <c r="F1402" s="31"/>
      <c r="G1402" s="195" t="s">
        <v>34</v>
      </c>
      <c r="H1402" s="31">
        <v>0.25</v>
      </c>
      <c r="I1402" s="31" t="str">
        <f t="array" ref="I1402">IFERROR(XLOOKUP(D1402,'MASTER ITEM LIST'!A:A,'MASTER ITEM LIST'!D:D), "")</f>
        <v>LITER</v>
      </c>
      <c r="J1402" s="34">
        <f t="shared" si="2"/>
        <v>1400</v>
      </c>
      <c r="K1402" s="196">
        <v>350.0</v>
      </c>
      <c r="L1402" s="70" t="s">
        <v>42</v>
      </c>
    </row>
    <row r="1403" ht="22.5" customHeight="1">
      <c r="A1403" s="29">
        <v>46218.0</v>
      </c>
      <c r="B1403" s="31"/>
      <c r="C1403" s="32" t="s">
        <v>711</v>
      </c>
      <c r="D1403" s="198" t="str">
        <f t="array" ref="D1403">IF(E1403="", "", XLOOKUP(E1403, 'MASTER ITEM LIST'!B:B, 'MASTER ITEM LIST'!A:A, "Code Not Found"))</f>
        <v>PREMILAMIX-1L</v>
      </c>
      <c r="E1403" s="199" t="s">
        <v>1151</v>
      </c>
      <c r="F1403" s="31" t="s">
        <v>1747</v>
      </c>
      <c r="G1403" s="195" t="s">
        <v>34</v>
      </c>
      <c r="H1403" s="31">
        <v>0.25</v>
      </c>
      <c r="I1403" s="31" t="str">
        <f t="array" ref="I1403">IFERROR(XLOOKUP(D1403,'MASTER ITEM LIST'!A:A,'MASTER ITEM LIST'!D:D), "")</f>
        <v>LITER</v>
      </c>
      <c r="J1403" s="34">
        <f t="shared" si="2"/>
        <v>2400</v>
      </c>
      <c r="K1403" s="196">
        <v>600.0</v>
      </c>
      <c r="L1403" s="70" t="s">
        <v>42</v>
      </c>
    </row>
    <row r="1404" ht="22.5" customHeight="1">
      <c r="A1404" s="29">
        <v>46218.0</v>
      </c>
      <c r="B1404" s="31"/>
      <c r="C1404" s="32" t="s">
        <v>711</v>
      </c>
      <c r="D1404" s="198" t="str">
        <f t="array" ref="D1404">IF(E1404="", "", XLOOKUP(E1404, 'MASTER ITEM LIST'!B:B, 'MASTER ITEM LIST'!A:A, "Code Not Found"))</f>
        <v>NAX108</v>
      </c>
      <c r="E1404" s="199" t="s">
        <v>960</v>
      </c>
      <c r="F1404" s="31"/>
      <c r="G1404" s="195" t="s">
        <v>34</v>
      </c>
      <c r="H1404" s="31">
        <v>0.25</v>
      </c>
      <c r="I1404" s="31" t="str">
        <f t="array" ref="I1404">IFERROR(XLOOKUP(D1404,'MASTER ITEM LIST'!A:A,'MASTER ITEM LIST'!D:D), "")</f>
        <v>LITER</v>
      </c>
      <c r="J1404" s="34">
        <f t="shared" si="2"/>
        <v>760</v>
      </c>
      <c r="K1404" s="196">
        <v>190.0</v>
      </c>
      <c r="L1404" s="70" t="s">
        <v>42</v>
      </c>
    </row>
    <row r="1405" ht="22.5" customHeight="1">
      <c r="A1405" s="29">
        <v>46219.0</v>
      </c>
      <c r="B1405" s="31" t="s">
        <v>1798</v>
      </c>
      <c r="C1405" s="32" t="s">
        <v>1240</v>
      </c>
      <c r="D1405" s="198" t="str">
        <f t="array" ref="D1405">IF(E1405="", "", XLOOKUP(E1405, 'MASTER ITEM LIST'!B:B, 'MASTER ITEM LIST'!A:A, "Code Not Found"))</f>
        <v>SOD145</v>
      </c>
      <c r="E1405" s="199" t="s">
        <v>704</v>
      </c>
      <c r="F1405" s="31"/>
      <c r="G1405" s="195" t="s">
        <v>34</v>
      </c>
      <c r="H1405" s="31">
        <v>1.0</v>
      </c>
      <c r="I1405" s="31" t="str">
        <f t="array" ref="I1405">IFERROR(XLOOKUP(D1405,'MASTER ITEM LIST'!A:A,'MASTER ITEM LIST'!D:D), "")</f>
        <v>GAL</v>
      </c>
      <c r="J1405" s="34">
        <f t="shared" si="2"/>
        <v>1000</v>
      </c>
      <c r="K1405" s="196">
        <v>1000.0</v>
      </c>
      <c r="L1405" s="70" t="s">
        <v>42</v>
      </c>
    </row>
    <row r="1406" ht="22.5" customHeight="1">
      <c r="A1406" s="29">
        <v>46219.0</v>
      </c>
      <c r="B1406" s="31"/>
      <c r="C1406" s="32" t="s">
        <v>711</v>
      </c>
      <c r="D1406" s="198" t="str">
        <f t="array" ref="D1406">IF(E1406="", "", XLOOKUP(E1406, 'MASTER ITEM LIST'!B:B, 'MASTER ITEM LIST'!A:A, "Code Not Found"))</f>
        <v>SOB757</v>
      </c>
      <c r="E1406" s="199" t="s">
        <v>91</v>
      </c>
      <c r="F1406" s="31"/>
      <c r="G1406" s="195" t="s">
        <v>34</v>
      </c>
      <c r="H1406" s="31">
        <v>1.0</v>
      </c>
      <c r="I1406" s="31" t="str">
        <f t="array" ref="I1406">IFERROR(XLOOKUP(D1406,'MASTER ITEM LIST'!A:A,'MASTER ITEM LIST'!D:D), "")</f>
        <v>GAL</v>
      </c>
      <c r="J1406" s="34">
        <f t="shared" si="2"/>
        <v>750</v>
      </c>
      <c r="K1406" s="196">
        <v>750.0</v>
      </c>
      <c r="L1406" s="70" t="s">
        <v>42</v>
      </c>
    </row>
    <row r="1407" ht="22.5" customHeight="1">
      <c r="A1407" s="29">
        <v>46219.0</v>
      </c>
      <c r="B1407" s="31"/>
      <c r="C1407" s="32" t="s">
        <v>711</v>
      </c>
      <c r="D1407" s="198" t="str">
        <f t="array" ref="D1407">IF(E1407="", "", XLOOKUP(E1407, 'MASTER ITEM LIST'!B:B, 'MASTER ITEM LIST'!A:A, "Code Not Found"))</f>
        <v>NAXQDUMIX-1L</v>
      </c>
      <c r="E1407" s="199" t="s">
        <v>1161</v>
      </c>
      <c r="F1407" s="31"/>
      <c r="G1407" s="195" t="s">
        <v>34</v>
      </c>
      <c r="H1407" s="31">
        <v>0.25</v>
      </c>
      <c r="I1407" s="31" t="str">
        <f t="array" ref="I1407">IFERROR(XLOOKUP(D1407,'MASTER ITEM LIST'!A:A,'MASTER ITEM LIST'!D:D), "")</f>
        <v>LITER</v>
      </c>
      <c r="J1407" s="34">
        <f t="shared" si="2"/>
        <v>1040</v>
      </c>
      <c r="K1407" s="196">
        <v>260.0</v>
      </c>
      <c r="L1407" s="70" t="s">
        <v>42</v>
      </c>
    </row>
    <row r="1408" ht="22.5" customHeight="1">
      <c r="A1408" s="29">
        <v>46219.0</v>
      </c>
      <c r="B1408" s="31"/>
      <c r="C1408" s="32" t="s">
        <v>711</v>
      </c>
      <c r="D1408" s="198" t="str">
        <f t="array" ref="D1408">IF(E1408="", "", XLOOKUP(E1408, 'MASTER ITEM LIST'!B:B, 'MASTER ITEM LIST'!A:A, "Code Not Found"))</f>
        <v>NAT1164</v>
      </c>
      <c r="E1408" s="199" t="s">
        <v>924</v>
      </c>
      <c r="F1408" s="31"/>
      <c r="G1408" s="195" t="s">
        <v>34</v>
      </c>
      <c r="H1408" s="31">
        <v>0.125</v>
      </c>
      <c r="I1408" s="31" t="str">
        <f t="array" ref="I1408">IFERROR(XLOOKUP(D1408,'MASTER ITEM LIST'!A:A,'MASTER ITEM LIST'!D:D), "")</f>
        <v>LITER</v>
      </c>
      <c r="J1408" s="34">
        <f t="shared" si="2"/>
        <v>1760</v>
      </c>
      <c r="K1408" s="196">
        <v>220.0</v>
      </c>
      <c r="L1408" s="70" t="s">
        <v>42</v>
      </c>
    </row>
    <row r="1409" ht="22.5" customHeight="1">
      <c r="A1409" s="29">
        <v>46219.0</v>
      </c>
      <c r="B1409" s="31"/>
      <c r="C1409" s="32" t="s">
        <v>711</v>
      </c>
      <c r="D1409" s="198" t="str">
        <f t="array" ref="D1409">IF(E1409="", "", XLOOKUP(E1409, 'MASTER ITEM LIST'!B:B, 'MASTER ITEM LIST'!A:A, "Code Not Found"))</f>
        <v>EXTREMEMIX-1L</v>
      </c>
      <c r="E1409" s="199" t="s">
        <v>1164</v>
      </c>
      <c r="F1409" s="31"/>
      <c r="G1409" s="195" t="s">
        <v>34</v>
      </c>
      <c r="H1409" s="31">
        <v>0.25</v>
      </c>
      <c r="I1409" s="31" t="str">
        <f t="array" ref="I1409">IFERROR(XLOOKUP(D1409,'MASTER ITEM LIST'!A:A,'MASTER ITEM LIST'!D:D), "")</f>
        <v>LITER</v>
      </c>
      <c r="J1409" s="34">
        <f t="shared" si="2"/>
        <v>880</v>
      </c>
      <c r="K1409" s="196">
        <v>220.0</v>
      </c>
      <c r="L1409" s="70" t="s">
        <v>42</v>
      </c>
    </row>
    <row r="1410" ht="22.5" customHeight="1">
      <c r="A1410" s="29">
        <v>46219.0</v>
      </c>
      <c r="B1410" s="31"/>
      <c r="C1410" s="32" t="s">
        <v>711</v>
      </c>
      <c r="D1410" s="198" t="str">
        <f t="array" ref="D1410">IF(E1410="", "", XLOOKUP(E1410, 'MASTER ITEM LIST'!B:B, 'MASTER ITEM LIST'!A:A, "Code Not Found"))</f>
        <v>SOB757</v>
      </c>
      <c r="E1410" s="199" t="s">
        <v>91</v>
      </c>
      <c r="F1410" s="31"/>
      <c r="G1410" s="195" t="s">
        <v>34</v>
      </c>
      <c r="H1410" s="31">
        <v>0.5</v>
      </c>
      <c r="I1410" s="31" t="str">
        <f t="array" ref="I1410">IFERROR(XLOOKUP(D1410,'MASTER ITEM LIST'!A:A,'MASTER ITEM LIST'!D:D), "")</f>
        <v>GAL</v>
      </c>
      <c r="J1410" s="34">
        <f t="shared" si="2"/>
        <v>800</v>
      </c>
      <c r="K1410" s="196">
        <v>400.0</v>
      </c>
      <c r="L1410" s="70" t="s">
        <v>42</v>
      </c>
    </row>
    <row r="1411" ht="22.5" customHeight="1">
      <c r="A1411" s="29">
        <v>46219.0</v>
      </c>
      <c r="B1411" s="31"/>
      <c r="C1411" s="32" t="s">
        <v>711</v>
      </c>
      <c r="D1411" s="198" t="str">
        <f t="array" ref="D1411">IF(E1411="", "", XLOOKUP(E1411, 'MASTER ITEM LIST'!B:B, 'MASTER ITEM LIST'!A:A, "Code Not Found"))</f>
        <v>EA240</v>
      </c>
      <c r="E1411" s="199" t="s">
        <v>1044</v>
      </c>
      <c r="F1411" s="31"/>
      <c r="G1411" s="195" t="s">
        <v>34</v>
      </c>
      <c r="H1411" s="31">
        <v>2.0</v>
      </c>
      <c r="I1411" s="31" t="str">
        <f t="array" ref="I1411">IFERROR(XLOOKUP(D1411,'MASTER ITEM LIST'!A:A,'MASTER ITEM LIST'!D:D), "")</f>
        <v>PC/S</v>
      </c>
      <c r="J1411" s="34">
        <f t="shared" si="2"/>
        <v>25</v>
      </c>
      <c r="K1411" s="196">
        <v>50.0</v>
      </c>
      <c r="L1411" s="70" t="s">
        <v>42</v>
      </c>
    </row>
    <row r="1412" ht="22.5" customHeight="1">
      <c r="A1412" s="29">
        <v>46219.0</v>
      </c>
      <c r="B1412" s="31"/>
      <c r="C1412" s="32" t="s">
        <v>711</v>
      </c>
      <c r="D1412" s="198" t="str">
        <f t="array" ref="D1412">IF(E1412="", "", XLOOKUP(E1412, 'MASTER ITEM LIST'!B:B, 'MASTER ITEM LIST'!A:A, "Code Not Found"))</f>
        <v>EA2000</v>
      </c>
      <c r="E1412" s="199" t="s">
        <v>1045</v>
      </c>
      <c r="F1412" s="31"/>
      <c r="G1412" s="195" t="s">
        <v>34</v>
      </c>
      <c r="H1412" s="31">
        <v>1.0</v>
      </c>
      <c r="I1412" s="31" t="str">
        <f t="array" ref="I1412">IFERROR(XLOOKUP(D1412,'MASTER ITEM LIST'!A:A,'MASTER ITEM LIST'!D:D), "")</f>
        <v>PC/S</v>
      </c>
      <c r="J1412" s="34">
        <f t="shared" si="2"/>
        <v>35</v>
      </c>
      <c r="K1412" s="196">
        <v>35.0</v>
      </c>
      <c r="L1412" s="70" t="s">
        <v>42</v>
      </c>
    </row>
    <row r="1413" ht="22.5" customHeight="1">
      <c r="A1413" s="29">
        <v>46219.0</v>
      </c>
      <c r="B1413" s="31" t="s">
        <v>1799</v>
      </c>
      <c r="C1413" s="32" t="s">
        <v>93</v>
      </c>
      <c r="D1413" s="198" t="str">
        <f t="array" ref="D1413">IF(E1413="", "", XLOOKUP(E1413, 'MASTER ITEM LIST'!B:B, 'MASTER ITEM LIST'!A:A, "Code Not Found"))</f>
        <v>MSC</v>
      </c>
      <c r="E1413" s="199" t="s">
        <v>518</v>
      </c>
      <c r="F1413" s="31"/>
      <c r="G1413" s="195" t="s">
        <v>34</v>
      </c>
      <c r="H1413" s="31">
        <v>1.0</v>
      </c>
      <c r="I1413" s="31" t="str">
        <f t="array" ref="I1413">IFERROR(XLOOKUP(D1413,'MASTER ITEM LIST'!A:A,'MASTER ITEM LIST'!D:D), "")</f>
        <v>KG</v>
      </c>
      <c r="J1413" s="34">
        <f t="shared" si="2"/>
        <v>100</v>
      </c>
      <c r="K1413" s="196">
        <v>100.0</v>
      </c>
      <c r="L1413" s="70" t="s">
        <v>42</v>
      </c>
    </row>
    <row r="1414" ht="22.5" customHeight="1">
      <c r="A1414" s="29">
        <v>46220.0</v>
      </c>
      <c r="B1414" s="31" t="s">
        <v>1800</v>
      </c>
      <c r="C1414" s="32" t="s">
        <v>1557</v>
      </c>
      <c r="D1414" s="198" t="str">
        <f t="array" ref="D1414">IF(E1414="", "", XLOOKUP(E1414, 'MASTER ITEM LIST'!B:B, 'MASTER ITEM LIST'!A:A, "Code Not Found"))</f>
        <v>PRI1680</v>
      </c>
      <c r="E1414" s="199" t="s">
        <v>1152</v>
      </c>
      <c r="F1414" s="31"/>
      <c r="G1414" s="195" t="s">
        <v>34</v>
      </c>
      <c r="H1414" s="31">
        <v>0.25</v>
      </c>
      <c r="I1414" s="31" t="str">
        <f t="array" ref="I1414">IFERROR(XLOOKUP(D1414,'MASTER ITEM LIST'!A:A,'MASTER ITEM LIST'!D:D), "")</f>
        <v>LITER</v>
      </c>
      <c r="J1414" s="34">
        <f t="shared" si="2"/>
        <v>880</v>
      </c>
      <c r="K1414" s="196">
        <v>220.0</v>
      </c>
      <c r="L1414" s="70" t="s">
        <v>42</v>
      </c>
    </row>
    <row r="1415" ht="22.5" customHeight="1">
      <c r="A1415" s="29">
        <v>46220.0</v>
      </c>
      <c r="B1415" s="31" t="s">
        <v>1800</v>
      </c>
      <c r="C1415" s="32" t="s">
        <v>1557</v>
      </c>
      <c r="D1415" s="198" t="str">
        <f t="array" ref="D1415">IF(E1415="", "", XLOOKUP(E1415, 'MASTER ITEM LIST'!B:B, 'MASTER ITEM LIST'!A:A, "Code Not Found"))</f>
        <v>EXTREMEMIX-1L</v>
      </c>
      <c r="E1415" s="199" t="s">
        <v>1164</v>
      </c>
      <c r="F1415" s="31"/>
      <c r="G1415" s="195" t="s">
        <v>34</v>
      </c>
      <c r="H1415" s="31">
        <v>0.5</v>
      </c>
      <c r="I1415" s="31" t="str">
        <f t="array" ref="I1415">IFERROR(XLOOKUP(D1415,'MASTER ITEM LIST'!A:A,'MASTER ITEM LIST'!D:D), "")</f>
        <v>LITER</v>
      </c>
      <c r="J1415" s="34">
        <f t="shared" si="2"/>
        <v>700</v>
      </c>
      <c r="K1415" s="196">
        <v>350.0</v>
      </c>
      <c r="L1415" s="70" t="s">
        <v>42</v>
      </c>
    </row>
    <row r="1416" ht="22.5" customHeight="1">
      <c r="A1416" s="29">
        <v>46220.0</v>
      </c>
      <c r="B1416" s="31"/>
      <c r="C1416" s="32" t="s">
        <v>711</v>
      </c>
      <c r="D1416" s="198" t="str">
        <f t="array" ref="D1416">IF(E1416="", "", XLOOKUP(E1416, 'MASTER ITEM LIST'!B:B, 'MASTER ITEM LIST'!A:A, "Code Not Found"))</f>
        <v>NAXQDUMIX-1L</v>
      </c>
      <c r="E1416" s="199" t="s">
        <v>1161</v>
      </c>
      <c r="F1416" s="31"/>
      <c r="G1416" s="195" t="s">
        <v>34</v>
      </c>
      <c r="H1416" s="31">
        <v>0.125</v>
      </c>
      <c r="I1416" s="31" t="str">
        <f t="array" ref="I1416">IFERROR(XLOOKUP(D1416,'MASTER ITEM LIST'!A:A,'MASTER ITEM LIST'!D:D), "")</f>
        <v>LITER</v>
      </c>
      <c r="J1416" s="34">
        <f t="shared" si="2"/>
        <v>1600</v>
      </c>
      <c r="K1416" s="196">
        <v>200.0</v>
      </c>
      <c r="L1416" s="70" t="s">
        <v>42</v>
      </c>
    </row>
    <row r="1417" ht="22.5" customHeight="1">
      <c r="A1417" s="29">
        <v>46220.0</v>
      </c>
      <c r="B1417" s="31"/>
      <c r="C1417" s="32" t="s">
        <v>711</v>
      </c>
      <c r="D1417" s="198" t="str">
        <f t="array" ref="D1417">IF(E1417="", "", XLOOKUP(E1417, 'MASTER ITEM LIST'!B:B, 'MASTER ITEM LIST'!A:A, "Code Not Found"))</f>
        <v>HS-1L</v>
      </c>
      <c r="E1417" s="199" t="s">
        <v>545</v>
      </c>
      <c r="F1417" s="31"/>
      <c r="G1417" s="195" t="s">
        <v>34</v>
      </c>
      <c r="H1417" s="31">
        <v>0.5</v>
      </c>
      <c r="I1417" s="31" t="str">
        <f t="array" ref="I1417">IFERROR(XLOOKUP(D1417,'MASTER ITEM LIST'!A:A,'MASTER ITEM LIST'!D:D), "")</f>
        <v>LITER</v>
      </c>
      <c r="J1417" s="34">
        <f t="shared" si="2"/>
        <v>860</v>
      </c>
      <c r="K1417" s="196">
        <v>430.0</v>
      </c>
      <c r="L1417" s="70" t="s">
        <v>42</v>
      </c>
    </row>
    <row r="1418" ht="22.5" customHeight="1">
      <c r="A1418" s="29">
        <v>46220.0</v>
      </c>
      <c r="B1418" s="31"/>
      <c r="C1418" s="32" t="s">
        <v>711</v>
      </c>
      <c r="D1418" s="198" t="str">
        <f t="array" ref="D1418">IF(E1418="", "", XLOOKUP(E1418, 'MASTER ITEM LIST'!B:B, 'MASTER ITEM LIST'!A:A, "Code Not Found"))</f>
        <v>NAX108</v>
      </c>
      <c r="E1418" s="199" t="s">
        <v>960</v>
      </c>
      <c r="F1418" s="31"/>
      <c r="G1418" s="195" t="s">
        <v>34</v>
      </c>
      <c r="H1418" s="31">
        <v>0.5</v>
      </c>
      <c r="I1418" s="31" t="str">
        <f t="array" ref="I1418">IFERROR(XLOOKUP(D1418,'MASTER ITEM LIST'!A:A,'MASTER ITEM LIST'!D:D), "")</f>
        <v>LITER</v>
      </c>
      <c r="J1418" s="34">
        <f t="shared" si="2"/>
        <v>700</v>
      </c>
      <c r="K1418" s="196">
        <v>350.0</v>
      </c>
      <c r="L1418" s="70" t="s">
        <v>42</v>
      </c>
    </row>
    <row r="1419" ht="22.5" customHeight="1">
      <c r="A1419" s="29">
        <v>46220.0</v>
      </c>
      <c r="B1419" s="31"/>
      <c r="C1419" s="32" t="s">
        <v>711</v>
      </c>
      <c r="D1419" s="198" t="str">
        <f t="array" ref="D1419">IF(E1419="", "", XLOOKUP(E1419, 'MASTER ITEM LIST'!B:B, 'MASTER ITEM LIST'!A:A, "Code Not Found"))</f>
        <v>SOB757</v>
      </c>
      <c r="E1419" s="199" t="s">
        <v>91</v>
      </c>
      <c r="F1419" s="31"/>
      <c r="G1419" s="195" t="s">
        <v>34</v>
      </c>
      <c r="H1419" s="31">
        <v>0.5</v>
      </c>
      <c r="I1419" s="31" t="str">
        <f t="array" ref="I1419">IFERROR(XLOOKUP(D1419,'MASTER ITEM LIST'!A:A,'MASTER ITEM LIST'!D:D), "")</f>
        <v>GAL</v>
      </c>
      <c r="J1419" s="34">
        <f t="shared" si="2"/>
        <v>760</v>
      </c>
      <c r="K1419" s="196">
        <v>380.0</v>
      </c>
      <c r="L1419" s="70" t="s">
        <v>42</v>
      </c>
    </row>
    <row r="1420" ht="22.5" customHeight="1">
      <c r="A1420" s="29">
        <v>46220.0</v>
      </c>
      <c r="B1420" s="31"/>
      <c r="C1420" s="32" t="s">
        <v>711</v>
      </c>
      <c r="D1420" s="198" t="str">
        <f t="array" ref="D1420">IF(E1420="", "", XLOOKUP(E1420, 'MASTER ITEM LIST'!B:B, 'MASTER ITEM LIST'!A:A, "Code Not Found"))</f>
        <v>EA400</v>
      </c>
      <c r="E1420" s="199" t="s">
        <v>1043</v>
      </c>
      <c r="F1420" s="31"/>
      <c r="G1420" s="195" t="s">
        <v>34</v>
      </c>
      <c r="H1420" s="31">
        <v>2.0</v>
      </c>
      <c r="I1420" s="31" t="str">
        <f t="array" ref="I1420">IFERROR(XLOOKUP(D1420,'MASTER ITEM LIST'!A:A,'MASTER ITEM LIST'!D:D), "")</f>
        <v>PC/S</v>
      </c>
      <c r="J1420" s="34">
        <f t="shared" si="2"/>
        <v>25</v>
      </c>
      <c r="K1420" s="196">
        <v>50.0</v>
      </c>
      <c r="L1420" s="70" t="s">
        <v>42</v>
      </c>
    </row>
    <row r="1421" ht="22.5" customHeight="1">
      <c r="A1421" s="29">
        <v>46220.0</v>
      </c>
      <c r="B1421" s="31"/>
      <c r="C1421" s="32" t="s">
        <v>711</v>
      </c>
      <c r="D1421" s="198" t="str">
        <f t="array" ref="D1421">IF(E1421="", "", XLOOKUP(E1421, 'MASTER ITEM LIST'!B:B, 'MASTER ITEM LIST'!A:A, "Code Not Found"))</f>
        <v>EA800</v>
      </c>
      <c r="E1421" s="199" t="s">
        <v>1040</v>
      </c>
      <c r="F1421" s="31"/>
      <c r="G1421" s="195" t="s">
        <v>34</v>
      </c>
      <c r="H1421" s="31">
        <v>1.0</v>
      </c>
      <c r="I1421" s="31" t="str">
        <f t="array" ref="I1421">IFERROR(XLOOKUP(D1421,'MASTER ITEM LIST'!A:A,'MASTER ITEM LIST'!D:D), "")</f>
        <v>PC/S</v>
      </c>
      <c r="J1421" s="34">
        <f t="shared" si="2"/>
        <v>25</v>
      </c>
      <c r="K1421" s="196">
        <v>25.0</v>
      </c>
      <c r="L1421" s="70" t="s">
        <v>42</v>
      </c>
    </row>
    <row r="1422" ht="22.5" customHeight="1">
      <c r="A1422" s="29">
        <v>46220.0</v>
      </c>
      <c r="B1422" s="31"/>
      <c r="C1422" s="32" t="s">
        <v>711</v>
      </c>
      <c r="D1422" s="198" t="str">
        <f t="array" ref="D1422">IF(E1422="", "", XLOOKUP(E1422, 'MASTER ITEM LIST'!B:B, 'MASTER ITEM LIST'!A:A, "Code Not Found"))</f>
        <v>EA60</v>
      </c>
      <c r="E1422" s="199" t="s">
        <v>1042</v>
      </c>
      <c r="F1422" s="31"/>
      <c r="G1422" s="195" t="s">
        <v>34</v>
      </c>
      <c r="H1422" s="31">
        <v>2.0</v>
      </c>
      <c r="I1422" s="31" t="str">
        <f t="array" ref="I1422">IFERROR(XLOOKUP(D1422,'MASTER ITEM LIST'!A:A,'MASTER ITEM LIST'!D:D), "")</f>
        <v>PC/S</v>
      </c>
      <c r="J1422" s="34">
        <f t="shared" si="2"/>
        <v>40</v>
      </c>
      <c r="K1422" s="196">
        <v>80.0</v>
      </c>
      <c r="L1422" s="70" t="s">
        <v>42</v>
      </c>
    </row>
    <row r="1423" ht="22.5" customHeight="1">
      <c r="A1423" s="29">
        <v>46220.0</v>
      </c>
      <c r="B1423" s="31"/>
      <c r="C1423" s="32" t="s">
        <v>711</v>
      </c>
      <c r="D1423" s="198" t="str">
        <f t="array" ref="D1423">IF(E1423="", "", XLOOKUP(E1423, 'MASTER ITEM LIST'!B:B, 'MASTER ITEM LIST'!A:A, "Code Not Found"))</f>
        <v>EA120</v>
      </c>
      <c r="E1423" s="199" t="s">
        <v>1048</v>
      </c>
      <c r="F1423" s="31"/>
      <c r="G1423" s="195" t="s">
        <v>34</v>
      </c>
      <c r="H1423" s="31">
        <v>2.0</v>
      </c>
      <c r="I1423" s="31" t="str">
        <f t="array" ref="I1423">IFERROR(XLOOKUP(D1423,'MASTER ITEM LIST'!A:A,'MASTER ITEM LIST'!D:D), "")</f>
        <v>PC/S</v>
      </c>
      <c r="J1423" s="34">
        <f t="shared" si="2"/>
        <v>25</v>
      </c>
      <c r="K1423" s="196">
        <v>50.0</v>
      </c>
      <c r="L1423" s="70" t="s">
        <v>42</v>
      </c>
    </row>
    <row r="1424" ht="22.5" customHeight="1">
      <c r="A1424" s="29">
        <v>46220.0</v>
      </c>
      <c r="B1424" s="31"/>
      <c r="C1424" s="32" t="s">
        <v>711</v>
      </c>
      <c r="D1424" s="198" t="str">
        <f t="array" ref="D1424">IF(E1424="", "", XLOOKUP(E1424, 'MASTER ITEM LIST'!B:B, 'MASTER ITEM LIST'!A:A, "Code Not Found"))</f>
        <v>CRO-MT1/2</v>
      </c>
      <c r="E1424" s="199" t="s">
        <v>1105</v>
      </c>
      <c r="F1424" s="31"/>
      <c r="G1424" s="195" t="s">
        <v>34</v>
      </c>
      <c r="H1424" s="31">
        <v>4.0</v>
      </c>
      <c r="I1424" s="31" t="str">
        <f t="array" ref="I1424">IFERROR(XLOOKUP(D1424,'MASTER ITEM LIST'!A:A,'MASTER ITEM LIST'!D:D), "")</f>
        <v>PC/S</v>
      </c>
      <c r="J1424" s="34">
        <f t="shared" si="2"/>
        <v>25</v>
      </c>
      <c r="K1424" s="196">
        <v>100.0</v>
      </c>
      <c r="L1424" s="70" t="s">
        <v>42</v>
      </c>
    </row>
    <row r="1425" ht="22.5" customHeight="1">
      <c r="A1425" s="29">
        <v>46220.0</v>
      </c>
      <c r="B1425" s="31"/>
      <c r="C1425" s="32" t="s">
        <v>711</v>
      </c>
      <c r="D1425" s="198" t="str">
        <f t="array" ref="D1425">IF(E1425="", "", XLOOKUP(E1425, 'MASTER ITEM LIST'!B:B, 'MASTER ITEM LIST'!A:A, "Code Not Found"))</f>
        <v>CRO-MT3/4</v>
      </c>
      <c r="E1425" s="199" t="s">
        <v>1103</v>
      </c>
      <c r="F1425" s="31"/>
      <c r="G1425" s="195" t="s">
        <v>34</v>
      </c>
      <c r="H1425" s="31">
        <v>1.0</v>
      </c>
      <c r="I1425" s="31" t="str">
        <f t="array" ref="I1425">IFERROR(XLOOKUP(D1425,'MASTER ITEM LIST'!A:A,'MASTER ITEM LIST'!D:D), "")</f>
        <v>PC/S</v>
      </c>
      <c r="J1425" s="34">
        <f t="shared" si="2"/>
        <v>35</v>
      </c>
      <c r="K1425" s="196">
        <v>35.0</v>
      </c>
      <c r="L1425" s="70" t="s">
        <v>42</v>
      </c>
    </row>
    <row r="1426" ht="22.5" customHeight="1">
      <c r="A1426" s="29">
        <v>46220.0</v>
      </c>
      <c r="B1426" s="31" t="s">
        <v>1801</v>
      </c>
      <c r="C1426" s="32" t="s">
        <v>93</v>
      </c>
      <c r="D1426" s="198" t="str">
        <f t="array" ref="D1426">IF(E1426="", "", XLOOKUP(E1426, 'MASTER ITEM LIST'!B:B, 'MASTER ITEM LIST'!A:A, "Code Not Found"))</f>
        <v>NAXQDUMIX-1L</v>
      </c>
      <c r="E1426" s="199" t="s">
        <v>1161</v>
      </c>
      <c r="F1426" s="31"/>
      <c r="G1426" s="195" t="s">
        <v>1376</v>
      </c>
      <c r="H1426" s="31">
        <v>0.25</v>
      </c>
      <c r="I1426" s="31" t="str">
        <f t="array" ref="I1426">IFERROR(XLOOKUP(D1426,'MASTER ITEM LIST'!A:A,'MASTER ITEM LIST'!D:D), "")</f>
        <v>LITER</v>
      </c>
      <c r="J1426" s="34">
        <f t="shared" si="2"/>
        <v>1800</v>
      </c>
      <c r="K1426" s="196">
        <v>450.0</v>
      </c>
      <c r="L1426" s="70" t="s">
        <v>42</v>
      </c>
    </row>
    <row r="1427" ht="22.5" customHeight="1">
      <c r="A1427" s="29">
        <v>46221.0</v>
      </c>
      <c r="B1427" s="31" t="s">
        <v>1802</v>
      </c>
      <c r="C1427" s="32" t="s">
        <v>1240</v>
      </c>
      <c r="D1427" s="198" t="str">
        <f t="array" ref="D1427">IF(E1427="", "", XLOOKUP(E1427, 'MASTER ITEM LIST'!B:B, 'MASTER ITEM LIST'!A:A, "Code Not Found"))</f>
        <v>NAX108</v>
      </c>
      <c r="E1427" s="199" t="s">
        <v>960</v>
      </c>
      <c r="F1427" s="31"/>
      <c r="G1427" s="195" t="s">
        <v>1376</v>
      </c>
      <c r="H1427" s="31">
        <v>1.0</v>
      </c>
      <c r="I1427" s="31" t="str">
        <f t="array" ref="I1427">IFERROR(XLOOKUP(D1427,'MASTER ITEM LIST'!A:A,'MASTER ITEM LIST'!D:D), "")</f>
        <v>LITER</v>
      </c>
      <c r="J1427" s="34">
        <f t="shared" si="2"/>
        <v>710</v>
      </c>
      <c r="K1427" s="196">
        <v>710.0</v>
      </c>
      <c r="L1427" s="70" t="s">
        <v>42</v>
      </c>
    </row>
    <row r="1428" ht="22.5" customHeight="1">
      <c r="A1428" s="29">
        <v>46221.0</v>
      </c>
      <c r="B1428" s="31" t="s">
        <v>1802</v>
      </c>
      <c r="C1428" s="32" t="s">
        <v>1240</v>
      </c>
      <c r="D1428" s="198" t="str">
        <f t="array" ref="D1428">IF(E1428="", "", XLOOKUP(E1428, 'MASTER ITEM LIST'!B:B, 'MASTER ITEM LIST'!A:A, "Code Not Found"))</f>
        <v>SOB757</v>
      </c>
      <c r="E1428" s="199" t="s">
        <v>91</v>
      </c>
      <c r="F1428" s="31"/>
      <c r="G1428" s="195" t="s">
        <v>1376</v>
      </c>
      <c r="H1428" s="31">
        <v>1.0</v>
      </c>
      <c r="I1428" s="31" t="str">
        <f t="array" ref="I1428">IFERROR(XLOOKUP(D1428,'MASTER ITEM LIST'!A:A,'MASTER ITEM LIST'!D:D), "")</f>
        <v>GAL</v>
      </c>
      <c r="J1428" s="34">
        <f t="shared" si="2"/>
        <v>780</v>
      </c>
      <c r="K1428" s="196">
        <v>780.0</v>
      </c>
      <c r="L1428" s="70" t="s">
        <v>42</v>
      </c>
    </row>
    <row r="1429" ht="22.5" customHeight="1">
      <c r="A1429" s="29">
        <v>46221.0</v>
      </c>
      <c r="B1429" s="31" t="s">
        <v>1802</v>
      </c>
      <c r="C1429" s="32" t="s">
        <v>1240</v>
      </c>
      <c r="D1429" s="198" t="str">
        <f t="array" ref="D1429">IF(E1429="", "", XLOOKUP(E1429, 'MASTER ITEM LIST'!B:B, 'MASTER ITEM LIST'!A:A, "Code Not Found"))</f>
        <v>EA2000</v>
      </c>
      <c r="E1429" s="199" t="s">
        <v>1045</v>
      </c>
      <c r="F1429" s="31"/>
      <c r="G1429" s="195" t="s">
        <v>1376</v>
      </c>
      <c r="H1429" s="31">
        <v>5.0</v>
      </c>
      <c r="I1429" s="31" t="str">
        <f t="array" ref="I1429">IFERROR(XLOOKUP(D1429,'MASTER ITEM LIST'!A:A,'MASTER ITEM LIST'!D:D), "")</f>
        <v>PC/S</v>
      </c>
      <c r="J1429" s="34">
        <f t="shared" si="2"/>
        <v>35</v>
      </c>
      <c r="K1429" s="196">
        <v>175.0</v>
      </c>
      <c r="L1429" s="70" t="s">
        <v>42</v>
      </c>
    </row>
    <row r="1430" ht="22.5" customHeight="1">
      <c r="A1430" s="29">
        <v>46221.0</v>
      </c>
      <c r="B1430" s="31" t="s">
        <v>1802</v>
      </c>
      <c r="C1430" s="32" t="s">
        <v>1240</v>
      </c>
      <c r="D1430" s="198" t="str">
        <f t="array" ref="D1430">IF(E1430="", "", XLOOKUP(E1430, 'MASTER ITEM LIST'!B:B, 'MASTER ITEM LIST'!A:A, "Code Not Found"))</f>
        <v>EA1200</v>
      </c>
      <c r="E1430" s="199" t="s">
        <v>1047</v>
      </c>
      <c r="F1430" s="31"/>
      <c r="G1430" s="195" t="s">
        <v>1376</v>
      </c>
      <c r="H1430" s="31">
        <v>5.0</v>
      </c>
      <c r="I1430" s="31" t="str">
        <f t="array" ref="I1430">IFERROR(XLOOKUP(D1430,'MASTER ITEM LIST'!A:A,'MASTER ITEM LIST'!D:D), "")</f>
        <v>PC/S</v>
      </c>
      <c r="J1430" s="34">
        <f t="shared" si="2"/>
        <v>25</v>
      </c>
      <c r="K1430" s="196">
        <v>125.0</v>
      </c>
      <c r="L1430" s="70" t="s">
        <v>42</v>
      </c>
    </row>
    <row r="1431" ht="22.5" customHeight="1">
      <c r="A1431" s="29">
        <v>46221.0</v>
      </c>
      <c r="B1431" s="31" t="s">
        <v>1802</v>
      </c>
      <c r="C1431" s="32" t="s">
        <v>1240</v>
      </c>
      <c r="D1431" s="198" t="str">
        <f t="array" ref="D1431">IF(E1431="", "", XLOOKUP(E1431, 'MASTER ITEM LIST'!B:B, 'MASTER ITEM LIST'!A:A, "Code Not Found"))</f>
        <v>EA1000</v>
      </c>
      <c r="E1431" s="199" t="s">
        <v>1049</v>
      </c>
      <c r="F1431" s="31"/>
      <c r="G1431" s="195" t="s">
        <v>1376</v>
      </c>
      <c r="H1431" s="31">
        <v>5.0</v>
      </c>
      <c r="I1431" s="31" t="str">
        <f t="array" ref="I1431">IFERROR(XLOOKUP(D1431,'MASTER ITEM LIST'!A:A,'MASTER ITEM LIST'!D:D), "")</f>
        <v>PC/S</v>
      </c>
      <c r="J1431" s="34">
        <f t="shared" si="2"/>
        <v>25</v>
      </c>
      <c r="K1431" s="196">
        <v>125.0</v>
      </c>
      <c r="L1431" s="70" t="s">
        <v>42</v>
      </c>
    </row>
    <row r="1432" ht="22.5" customHeight="1">
      <c r="A1432" s="29">
        <v>46221.0</v>
      </c>
      <c r="B1432" s="31" t="s">
        <v>1802</v>
      </c>
      <c r="C1432" s="32" t="s">
        <v>1240</v>
      </c>
      <c r="D1432" s="198" t="str">
        <f t="array" ref="D1432">IF(E1432="", "", XLOOKUP(E1432, 'MASTER ITEM LIST'!B:B, 'MASTER ITEM LIST'!A:A, "Code Not Found"))</f>
        <v>EA60</v>
      </c>
      <c r="E1432" s="199" t="s">
        <v>1042</v>
      </c>
      <c r="F1432" s="31"/>
      <c r="G1432" s="195" t="s">
        <v>1376</v>
      </c>
      <c r="H1432" s="31">
        <v>5.0</v>
      </c>
      <c r="I1432" s="31" t="str">
        <f t="array" ref="I1432">IFERROR(XLOOKUP(D1432,'MASTER ITEM LIST'!A:A,'MASTER ITEM LIST'!D:D), "")</f>
        <v>PC/S</v>
      </c>
      <c r="J1432" s="34">
        <f t="shared" si="2"/>
        <v>40</v>
      </c>
      <c r="K1432" s="196">
        <v>200.0</v>
      </c>
      <c r="L1432" s="140" t="s">
        <v>42</v>
      </c>
    </row>
    <row r="1433" ht="22.5" customHeight="1">
      <c r="A1433" s="29">
        <v>46221.0</v>
      </c>
      <c r="B1433" s="31" t="s">
        <v>1802</v>
      </c>
      <c r="C1433" s="32" t="s">
        <v>1240</v>
      </c>
      <c r="D1433" s="198" t="str">
        <f t="array" ref="D1433">IF(E1433="", "", XLOOKUP(E1433, 'MASTER ITEM LIST'!B:B, 'MASTER ITEM LIST'!A:A, "Code Not Found"))</f>
        <v>EA120</v>
      </c>
      <c r="E1433" s="199" t="s">
        <v>1048</v>
      </c>
      <c r="F1433" s="31"/>
      <c r="G1433" s="195" t="s">
        <v>1376</v>
      </c>
      <c r="H1433" s="31">
        <v>5.0</v>
      </c>
      <c r="I1433" s="31" t="str">
        <f t="array" ref="I1433">IFERROR(XLOOKUP(D1433,'MASTER ITEM LIST'!A:A,'MASTER ITEM LIST'!D:D), "")</f>
        <v>PC/S</v>
      </c>
      <c r="J1433" s="34">
        <f t="shared" si="2"/>
        <v>25</v>
      </c>
      <c r="K1433" s="196">
        <v>125.0</v>
      </c>
      <c r="L1433" s="70" t="s">
        <v>42</v>
      </c>
    </row>
    <row r="1434" ht="22.5" customHeight="1">
      <c r="A1434" s="29">
        <v>46221.0</v>
      </c>
      <c r="B1434" s="31" t="s">
        <v>1802</v>
      </c>
      <c r="C1434" s="32" t="s">
        <v>1240</v>
      </c>
      <c r="D1434" s="198" t="str">
        <f t="array" ref="D1434">IF(E1434="", "", XLOOKUP(E1434, 'MASTER ITEM LIST'!B:B, 'MASTER ITEM LIST'!A:A, "Code Not Found"))</f>
        <v>EA240</v>
      </c>
      <c r="E1434" s="199" t="s">
        <v>1044</v>
      </c>
      <c r="F1434" s="31"/>
      <c r="G1434" s="195" t="s">
        <v>1376</v>
      </c>
      <c r="H1434" s="31">
        <v>5.0</v>
      </c>
      <c r="I1434" s="31" t="str">
        <f t="array" ref="I1434">IFERROR(XLOOKUP(D1434,'MASTER ITEM LIST'!A:A,'MASTER ITEM LIST'!D:D), "")</f>
        <v>PC/S</v>
      </c>
      <c r="J1434" s="34">
        <f t="shared" si="2"/>
        <v>25</v>
      </c>
      <c r="K1434" s="196">
        <v>125.0</v>
      </c>
      <c r="L1434" s="70" t="s">
        <v>42</v>
      </c>
    </row>
    <row r="1435" ht="22.5" customHeight="1">
      <c r="A1435" s="29">
        <v>46221.0</v>
      </c>
      <c r="B1435" s="31" t="s">
        <v>1802</v>
      </c>
      <c r="C1435" s="32" t="s">
        <v>1240</v>
      </c>
      <c r="D1435" s="198" t="str">
        <f t="array" ref="D1435">IF(E1435="", "", XLOOKUP(E1435, 'MASTER ITEM LIST'!B:B, 'MASTER ITEM LIST'!A:A, "Code Not Found"))</f>
        <v>PREMILAMIX-1L</v>
      </c>
      <c r="E1435" s="199" t="s">
        <v>1151</v>
      </c>
      <c r="F1435" s="31" t="s">
        <v>1803</v>
      </c>
      <c r="G1435" s="195" t="s">
        <v>1376</v>
      </c>
      <c r="H1435" s="31">
        <v>0.5</v>
      </c>
      <c r="I1435" s="31" t="str">
        <f t="array" ref="I1435">IFERROR(XLOOKUP(D1435,'MASTER ITEM LIST'!A:A,'MASTER ITEM LIST'!D:D), "")</f>
        <v>LITER</v>
      </c>
      <c r="J1435" s="34">
        <f t="shared" si="2"/>
        <v>2600</v>
      </c>
      <c r="K1435" s="196">
        <v>1300.0</v>
      </c>
      <c r="L1435" s="70" t="s">
        <v>42</v>
      </c>
    </row>
    <row r="1436" ht="22.5" customHeight="1">
      <c r="A1436" s="29">
        <v>46221.0</v>
      </c>
      <c r="B1436" s="31" t="s">
        <v>1804</v>
      </c>
      <c r="C1436" s="32" t="s">
        <v>93</v>
      </c>
      <c r="D1436" s="198" t="str">
        <f t="array" ref="D1436">IF(E1436="", "", XLOOKUP(E1436, 'MASTER ITEM LIST'!B:B, 'MASTER ITEM LIST'!A:A, "Code Not Found"))</f>
        <v>SOB757</v>
      </c>
      <c r="E1436" s="199" t="s">
        <v>91</v>
      </c>
      <c r="F1436" s="31"/>
      <c r="G1436" s="195" t="s">
        <v>34</v>
      </c>
      <c r="H1436" s="31">
        <v>1.0</v>
      </c>
      <c r="I1436" s="31" t="str">
        <f t="array" ref="I1436">IFERROR(XLOOKUP(D1436,'MASTER ITEM LIST'!A:A,'MASTER ITEM LIST'!D:D), "")</f>
        <v>GAL</v>
      </c>
      <c r="J1436" s="34">
        <f t="shared" si="2"/>
        <v>780</v>
      </c>
      <c r="K1436" s="196">
        <v>780.0</v>
      </c>
      <c r="L1436" s="70" t="s">
        <v>42</v>
      </c>
    </row>
    <row r="1437" ht="22.5" customHeight="1">
      <c r="A1437" s="29">
        <v>46221.0</v>
      </c>
      <c r="B1437" s="31" t="s">
        <v>1804</v>
      </c>
      <c r="C1437" s="32" t="s">
        <v>93</v>
      </c>
      <c r="D1437" s="198" t="str">
        <f t="array" ref="D1437">IF(E1437="", "", XLOOKUP(E1437, 'MASTER ITEM LIST'!B:B, 'MASTER ITEM LIST'!A:A, "Code Not Found"))</f>
        <v>TOBF-4L</v>
      </c>
      <c r="E1437" s="199" t="s">
        <v>192</v>
      </c>
      <c r="F1437" s="31"/>
      <c r="G1437" s="195" t="s">
        <v>34</v>
      </c>
      <c r="H1437" s="31">
        <v>1.0</v>
      </c>
      <c r="I1437" s="31" t="str">
        <f t="array" ref="I1437">IFERROR(XLOOKUP(D1437,'MASTER ITEM LIST'!A:A,'MASTER ITEM LIST'!D:D), "")</f>
        <v>GAL</v>
      </c>
      <c r="J1437" s="34">
        <f t="shared" si="2"/>
        <v>790</v>
      </c>
      <c r="K1437" s="196">
        <v>790.0</v>
      </c>
      <c r="L1437" s="70" t="s">
        <v>42</v>
      </c>
    </row>
    <row r="1438" ht="22.5" customHeight="1">
      <c r="A1438" s="29">
        <v>46221.0</v>
      </c>
      <c r="B1438" s="31" t="s">
        <v>1805</v>
      </c>
      <c r="C1438" s="32" t="s">
        <v>1555</v>
      </c>
      <c r="D1438" s="198" t="str">
        <f t="array" ref="D1438">IF(E1438="", "", XLOOKUP(E1438, 'MASTER ITEM LIST'!B:B, 'MASTER ITEM LIST'!A:A, "Code Not Found"))</f>
        <v>SOB757</v>
      </c>
      <c r="E1438" s="199" t="s">
        <v>91</v>
      </c>
      <c r="F1438" s="31"/>
      <c r="G1438" s="195" t="s">
        <v>34</v>
      </c>
      <c r="H1438" s="31">
        <v>1.0</v>
      </c>
      <c r="I1438" s="31" t="str">
        <f t="array" ref="I1438">IFERROR(XLOOKUP(D1438,'MASTER ITEM LIST'!A:A,'MASTER ITEM LIST'!D:D), "")</f>
        <v>GAL</v>
      </c>
      <c r="J1438" s="34">
        <f t="shared" si="2"/>
        <v>750</v>
      </c>
      <c r="K1438" s="196">
        <v>750.0</v>
      </c>
      <c r="L1438" s="70" t="s">
        <v>42</v>
      </c>
    </row>
    <row r="1439" ht="22.5" customHeight="1">
      <c r="A1439" s="29">
        <v>46221.0</v>
      </c>
      <c r="B1439" s="31" t="s">
        <v>1806</v>
      </c>
      <c r="C1439" s="32" t="s">
        <v>1559</v>
      </c>
      <c r="D1439" s="198" t="str">
        <f t="array" ref="D1439">IF(E1439="", "", XLOOKUP(E1439, 'MASTER ITEM LIST'!B:B, 'MASTER ITEM LIST'!A:A, "Code Not Found"))</f>
        <v>PLQDRB-4L</v>
      </c>
      <c r="E1439" s="199" t="s">
        <v>467</v>
      </c>
      <c r="F1439" s="31"/>
      <c r="G1439" s="195" t="s">
        <v>34</v>
      </c>
      <c r="H1439" s="31">
        <v>2.0</v>
      </c>
      <c r="I1439" s="31" t="str">
        <f t="array" ref="I1439">IFERROR(XLOOKUP(D1439,'MASTER ITEM LIST'!A:A,'MASTER ITEM LIST'!D:D), "")</f>
        <v>GAL</v>
      </c>
      <c r="J1439" s="34">
        <f t="shared" si="2"/>
        <v>900</v>
      </c>
      <c r="K1439" s="196">
        <v>1800.0</v>
      </c>
      <c r="L1439" s="70" t="s">
        <v>42</v>
      </c>
    </row>
    <row r="1440" ht="22.5" customHeight="1">
      <c r="A1440" s="29">
        <v>46221.0</v>
      </c>
      <c r="B1440" s="31" t="s">
        <v>1806</v>
      </c>
      <c r="C1440" s="32" t="s">
        <v>1559</v>
      </c>
      <c r="D1440" s="198" t="str">
        <f t="array" ref="D1440">IF(E1440="", "", XLOOKUP(E1440, 'MASTER ITEM LIST'!B:B, 'MASTER ITEM LIST'!A:A, "Code Not Found"))</f>
        <v>NMPREDOX-GAL</v>
      </c>
      <c r="E1440" s="199" t="s">
        <v>538</v>
      </c>
      <c r="F1440" s="31"/>
      <c r="G1440" s="195" t="s">
        <v>34</v>
      </c>
      <c r="H1440" s="31">
        <v>1.0</v>
      </c>
      <c r="I1440" s="31" t="str">
        <f t="array" ref="I1440">IFERROR(XLOOKUP(D1440,'MASTER ITEM LIST'!A:A,'MASTER ITEM LIST'!D:D), "")</f>
        <v>GAL</v>
      </c>
      <c r="J1440" s="34">
        <f t="shared" si="2"/>
        <v>780</v>
      </c>
      <c r="K1440" s="196">
        <v>780.0</v>
      </c>
      <c r="L1440" s="70" t="s">
        <v>42</v>
      </c>
    </row>
    <row r="1441" ht="22.5" customHeight="1">
      <c r="A1441" s="29">
        <v>46221.0</v>
      </c>
      <c r="B1441" s="31" t="s">
        <v>1807</v>
      </c>
      <c r="C1441" s="32" t="s">
        <v>1561</v>
      </c>
      <c r="D1441" s="198" t="str">
        <f t="array" ref="D1441">IF(E1441="", "", XLOOKUP(E1441, 'MASTER ITEM LIST'!B:B, 'MASTER ITEM LIST'!A:A, "Code Not Found"))</f>
        <v>DV400-WHITE-4L</v>
      </c>
      <c r="E1441" s="199" t="s">
        <v>1081</v>
      </c>
      <c r="F1441" s="31"/>
      <c r="G1441" s="195" t="s">
        <v>34</v>
      </c>
      <c r="H1441" s="31">
        <v>1.0</v>
      </c>
      <c r="I1441" s="31" t="str">
        <f t="array" ref="I1441">IFERROR(XLOOKUP(D1441,'MASTER ITEM LIST'!A:A,'MASTER ITEM LIST'!D:D), "")</f>
        <v>GALON</v>
      </c>
      <c r="J1441" s="34">
        <f t="shared" si="2"/>
        <v>1120</v>
      </c>
      <c r="K1441" s="196">
        <v>1120.0</v>
      </c>
      <c r="L1441" s="70" t="s">
        <v>42</v>
      </c>
    </row>
    <row r="1442" ht="22.5" customHeight="1">
      <c r="A1442" s="29">
        <v>46221.0</v>
      </c>
      <c r="B1442" s="31" t="s">
        <v>1808</v>
      </c>
      <c r="C1442" s="32" t="s">
        <v>1563</v>
      </c>
      <c r="D1442" s="198" t="str">
        <f t="array" ref="D1442">IF(E1442="", "", XLOOKUP(E1442, 'MASTER ITEM LIST'!B:B, 'MASTER ITEM LIST'!A:A, "Code Not Found"))</f>
        <v>DCF701-1L</v>
      </c>
      <c r="E1442" s="199" t="s">
        <v>650</v>
      </c>
      <c r="F1442" s="31"/>
      <c r="G1442" s="195" t="s">
        <v>34</v>
      </c>
      <c r="H1442" s="31">
        <v>2.0</v>
      </c>
      <c r="I1442" s="31" t="str">
        <f t="array" ref="I1442">IFERROR(XLOOKUP(D1442,'MASTER ITEM LIST'!A:A,'MASTER ITEM LIST'!D:D), "")</f>
        <v>LITER</v>
      </c>
      <c r="J1442" s="34">
        <f t="shared" si="2"/>
        <v>230</v>
      </c>
      <c r="K1442" s="196">
        <v>460.0</v>
      </c>
      <c r="L1442" s="70" t="s">
        <v>42</v>
      </c>
    </row>
    <row r="1443" ht="22.5" customHeight="1">
      <c r="A1443" s="29">
        <v>46221.0</v>
      </c>
      <c r="B1443" s="31"/>
      <c r="C1443" s="32" t="s">
        <v>711</v>
      </c>
      <c r="D1443" s="198" t="str">
        <f t="array" ref="D1443">IF(E1443="", "", XLOOKUP(E1443, 'MASTER ITEM LIST'!B:B, 'MASTER ITEM LIST'!A:A, "Code Not Found"))</f>
        <v>HS-1L</v>
      </c>
      <c r="E1443" s="199" t="s">
        <v>545</v>
      </c>
      <c r="F1443" s="31"/>
      <c r="G1443" s="195" t="s">
        <v>1376</v>
      </c>
      <c r="H1443" s="31">
        <v>0.5</v>
      </c>
      <c r="I1443" s="31" t="str">
        <f t="array" ref="I1443">IFERROR(XLOOKUP(D1443,'MASTER ITEM LIST'!A:A,'MASTER ITEM LIST'!D:D), "")</f>
        <v>LITER</v>
      </c>
      <c r="J1443" s="34">
        <f t="shared" si="2"/>
        <v>840</v>
      </c>
      <c r="K1443" s="196">
        <v>420.0</v>
      </c>
      <c r="L1443" s="70" t="s">
        <v>42</v>
      </c>
    </row>
    <row r="1444" ht="22.5" customHeight="1">
      <c r="A1444" s="29">
        <v>46221.0</v>
      </c>
      <c r="B1444" s="31"/>
      <c r="C1444" s="32" t="s">
        <v>711</v>
      </c>
      <c r="D1444" s="198" t="str">
        <f t="array" ref="D1444">IF(E1444="", "", XLOOKUP(E1444, 'MASTER ITEM LIST'!B:B, 'MASTER ITEM LIST'!A:A, "Code Not Found"))</f>
        <v>NAX108</v>
      </c>
      <c r="E1444" s="199" t="s">
        <v>960</v>
      </c>
      <c r="F1444" s="31"/>
      <c r="G1444" s="195" t="s">
        <v>1376</v>
      </c>
      <c r="H1444" s="31">
        <v>1.75</v>
      </c>
      <c r="I1444" s="31" t="str">
        <f t="array" ref="I1444">IFERROR(XLOOKUP(D1444,'MASTER ITEM LIST'!A:A,'MASTER ITEM LIST'!D:D), "")</f>
        <v>LITER</v>
      </c>
      <c r="J1444" s="34">
        <f t="shared" si="2"/>
        <v>680</v>
      </c>
      <c r="K1444" s="196">
        <v>1190.0</v>
      </c>
      <c r="L1444" s="70" t="s">
        <v>42</v>
      </c>
    </row>
    <row r="1445" ht="22.5" customHeight="1">
      <c r="A1445" s="29">
        <v>46221.0</v>
      </c>
      <c r="B1445" s="31"/>
      <c r="C1445" s="32" t="s">
        <v>711</v>
      </c>
      <c r="D1445" s="198" t="str">
        <f t="array" ref="D1445">IF(E1445="", "", XLOOKUP(E1445, 'MASTER ITEM LIST'!B:B, 'MASTER ITEM LIST'!A:A, "Code Not Found"))</f>
        <v>EA240</v>
      </c>
      <c r="E1445" s="199" t="s">
        <v>1044</v>
      </c>
      <c r="F1445" s="31"/>
      <c r="G1445" s="195" t="s">
        <v>1376</v>
      </c>
      <c r="H1445" s="31">
        <v>1.0</v>
      </c>
      <c r="I1445" s="31" t="str">
        <f t="array" ref="I1445">IFERROR(XLOOKUP(D1445,'MASTER ITEM LIST'!A:A,'MASTER ITEM LIST'!D:D), "")</f>
        <v>PC/S</v>
      </c>
      <c r="J1445" s="34">
        <f t="shared" si="2"/>
        <v>25</v>
      </c>
      <c r="K1445" s="196">
        <v>25.0</v>
      </c>
      <c r="L1445" s="70" t="s">
        <v>42</v>
      </c>
    </row>
    <row r="1446" ht="22.5" customHeight="1">
      <c r="A1446" s="29">
        <v>46221.0</v>
      </c>
      <c r="B1446" s="31"/>
      <c r="C1446" s="32" t="s">
        <v>711</v>
      </c>
      <c r="D1446" s="198" t="str">
        <f t="array" ref="D1446">IF(E1446="", "", XLOOKUP(E1446, 'MASTER ITEM LIST'!B:B, 'MASTER ITEM LIST'!A:A, "Code Not Found"))</f>
        <v>EA400</v>
      </c>
      <c r="E1446" s="199" t="s">
        <v>1043</v>
      </c>
      <c r="F1446" s="31"/>
      <c r="G1446" s="195" t="s">
        <v>1376</v>
      </c>
      <c r="H1446" s="31">
        <v>2.0</v>
      </c>
      <c r="I1446" s="31" t="str">
        <f t="array" ref="I1446">IFERROR(XLOOKUP(D1446,'MASTER ITEM LIST'!A:A,'MASTER ITEM LIST'!D:D), "")</f>
        <v>PC/S</v>
      </c>
      <c r="J1446" s="34">
        <f t="shared" si="2"/>
        <v>25</v>
      </c>
      <c r="K1446" s="196">
        <v>50.0</v>
      </c>
      <c r="L1446" s="70" t="s">
        <v>42</v>
      </c>
    </row>
    <row r="1447" ht="22.5" customHeight="1">
      <c r="A1447" s="29">
        <v>46221.0</v>
      </c>
      <c r="B1447" s="31"/>
      <c r="C1447" s="32" t="s">
        <v>711</v>
      </c>
      <c r="D1447" s="198" t="str">
        <f t="array" ref="D1447">IF(E1447="", "", XLOOKUP(E1447, 'MASTER ITEM LIST'!B:B, 'MASTER ITEM LIST'!A:A, "Code Not Found"))</f>
        <v>EA800</v>
      </c>
      <c r="E1447" s="199" t="s">
        <v>1040</v>
      </c>
      <c r="F1447" s="31"/>
      <c r="G1447" s="195" t="s">
        <v>1376</v>
      </c>
      <c r="H1447" s="31">
        <v>1.0</v>
      </c>
      <c r="I1447" s="31" t="str">
        <f t="array" ref="I1447">IFERROR(XLOOKUP(D1447,'MASTER ITEM LIST'!A:A,'MASTER ITEM LIST'!D:D), "")</f>
        <v>PC/S</v>
      </c>
      <c r="J1447" s="34">
        <f t="shared" si="2"/>
        <v>25</v>
      </c>
      <c r="K1447" s="196">
        <v>25.0</v>
      </c>
      <c r="L1447" s="70" t="s">
        <v>42</v>
      </c>
    </row>
    <row r="1448" ht="22.5" customHeight="1">
      <c r="A1448" s="29">
        <v>46221.0</v>
      </c>
      <c r="B1448" s="31"/>
      <c r="C1448" s="32" t="s">
        <v>711</v>
      </c>
      <c r="D1448" s="198" t="str">
        <f t="array" ref="D1448">IF(E1448="", "", XLOOKUP(E1448, 'MASTER ITEM LIST'!B:B, 'MASTER ITEM LIST'!A:A, "Code Not Found"))</f>
        <v>UTMIX-4L</v>
      </c>
      <c r="E1448" s="199" t="s">
        <v>1169</v>
      </c>
      <c r="F1448" s="31"/>
      <c r="G1448" s="195" t="s">
        <v>1376</v>
      </c>
      <c r="H1448" s="31">
        <v>0.125</v>
      </c>
      <c r="I1448" s="31" t="str">
        <f t="array" ref="I1448">IFERROR(XLOOKUP(D1448,'MASTER ITEM LIST'!A:A,'MASTER ITEM LIST'!D:D), "")</f>
        <v>GALON</v>
      </c>
      <c r="J1448" s="34">
        <f t="shared" si="2"/>
        <v>2800</v>
      </c>
      <c r="K1448" s="196">
        <v>350.0</v>
      </c>
      <c r="L1448" s="70" t="s">
        <v>42</v>
      </c>
    </row>
    <row r="1449" ht="22.5" customHeight="1">
      <c r="A1449" s="29">
        <v>46223.0</v>
      </c>
      <c r="B1449" s="31"/>
      <c r="C1449" s="32" t="s">
        <v>711</v>
      </c>
      <c r="D1449" s="198" t="str">
        <f t="array" ref="D1449">IF(E1449="", "", XLOOKUP(E1449, 'MASTER ITEM LIST'!B:B, 'MASTER ITEM LIST'!A:A, "Code Not Found"))</f>
        <v>DOITUH</v>
      </c>
      <c r="E1449" s="199" t="s">
        <v>1186</v>
      </c>
      <c r="F1449" s="31"/>
      <c r="G1449" s="195" t="s">
        <v>1376</v>
      </c>
      <c r="H1449" s="31">
        <v>1.0</v>
      </c>
      <c r="I1449" s="31" t="str">
        <f t="array" ref="I1449">IFERROR(XLOOKUP(D1449,'MASTER ITEM LIST'!A:A,'MASTER ITEM LIST'!D:D), "")</f>
        <v>CAN</v>
      </c>
      <c r="J1449" s="34">
        <f t="shared" si="2"/>
        <v>290</v>
      </c>
      <c r="K1449" s="196">
        <v>290.0</v>
      </c>
      <c r="L1449" s="70" t="s">
        <v>42</v>
      </c>
    </row>
    <row r="1450" ht="22.5" customHeight="1">
      <c r="A1450" s="29">
        <v>46223.0</v>
      </c>
      <c r="B1450" s="31"/>
      <c r="C1450" s="32" t="s">
        <v>711</v>
      </c>
      <c r="D1450" s="198" t="str">
        <f t="array" ref="D1450">IF(E1450="", "", XLOOKUP(E1450, 'MASTER ITEM LIST'!B:B, 'MASTER ITEM LIST'!A:A, "Code Not Found"))</f>
        <v>UTMIX-1L</v>
      </c>
      <c r="E1450" s="199" t="s">
        <v>109</v>
      </c>
      <c r="F1450" s="31"/>
      <c r="G1450" s="195" t="s">
        <v>1376</v>
      </c>
      <c r="H1450" s="31">
        <v>1.0</v>
      </c>
      <c r="I1450" s="31" t="str">
        <f t="array" ref="I1450">IFERROR(XLOOKUP(D1450,'MASTER ITEM LIST'!A:A,'MASTER ITEM LIST'!D:D), "")</f>
        <v>LITER</v>
      </c>
      <c r="J1450" s="34">
        <f t="shared" si="2"/>
        <v>650</v>
      </c>
      <c r="K1450" s="196">
        <v>650.0</v>
      </c>
      <c r="L1450" s="70" t="s">
        <v>42</v>
      </c>
    </row>
    <row r="1451" ht="22.5" customHeight="1">
      <c r="A1451" s="29">
        <v>46223.0</v>
      </c>
      <c r="B1451" s="31"/>
      <c r="C1451" s="32" t="s">
        <v>711</v>
      </c>
      <c r="D1451" s="198" t="str">
        <f t="array" ref="D1451">IF(E1451="", "", XLOOKUP(E1451, 'MASTER ITEM LIST'!B:B, 'MASTER ITEM LIST'!A:A, "Code Not Found"))</f>
        <v>DOMBF-1L</v>
      </c>
      <c r="E1451" s="199" t="s">
        <v>1065</v>
      </c>
      <c r="F1451" s="31"/>
      <c r="G1451" s="195" t="s">
        <v>34</v>
      </c>
      <c r="H1451" s="31">
        <v>1.0</v>
      </c>
      <c r="I1451" s="31" t="str">
        <f t="array" ref="I1451">IFERROR(XLOOKUP(D1451,'MASTER ITEM LIST'!A:A,'MASTER ITEM LIST'!D:D), "")</f>
        <v>LITER</v>
      </c>
      <c r="J1451" s="34">
        <f t="shared" si="2"/>
        <v>220</v>
      </c>
      <c r="K1451" s="196">
        <v>220.0</v>
      </c>
      <c r="L1451" s="70" t="s">
        <v>42</v>
      </c>
    </row>
    <row r="1452" ht="22.5" customHeight="1">
      <c r="A1452" s="29">
        <v>46223.0</v>
      </c>
      <c r="B1452" s="31"/>
      <c r="C1452" s="32" t="s">
        <v>711</v>
      </c>
      <c r="D1452" s="198" t="str">
        <f t="array" ref="D1452">IF(E1452="", "", XLOOKUP(E1452, 'MASTER ITEM LIST'!B:B, 'MASTER ITEM LIST'!A:A, "Code Not Found"))</f>
        <v>2B-PB-1 1/2</v>
      </c>
      <c r="E1452" s="199" t="s">
        <v>1167</v>
      </c>
      <c r="F1452" s="31"/>
      <c r="G1452" s="195" t="s">
        <v>34</v>
      </c>
      <c r="H1452" s="31">
        <v>1.0</v>
      </c>
      <c r="I1452" s="31" t="str">
        <f t="array" ref="I1452">IFERROR(XLOOKUP(D1452,'MASTER ITEM LIST'!A:A,'MASTER ITEM LIST'!D:D), "")</f>
        <v>PC/S</v>
      </c>
      <c r="J1452" s="34">
        <f t="shared" si="2"/>
        <v>35</v>
      </c>
      <c r="K1452" s="196">
        <v>35.0</v>
      </c>
      <c r="L1452" s="70" t="s">
        <v>42</v>
      </c>
    </row>
    <row r="1453" ht="22.5" customHeight="1">
      <c r="A1453" s="29">
        <v>46223.0</v>
      </c>
      <c r="B1453" s="31"/>
      <c r="C1453" s="32" t="s">
        <v>711</v>
      </c>
      <c r="D1453" s="198" t="str">
        <f t="array" ref="D1453">IF(E1453="", "", XLOOKUP(E1453, 'MASTER ITEM LIST'!B:B, 'MASTER ITEM LIST'!A:A, "Code Not Found"))</f>
        <v>UNOLT-BOT</v>
      </c>
      <c r="E1453" s="199" t="s">
        <v>178</v>
      </c>
      <c r="F1453" s="31"/>
      <c r="G1453" s="195" t="s">
        <v>34</v>
      </c>
      <c r="H1453" s="31">
        <v>1.0</v>
      </c>
      <c r="I1453" s="31" t="str">
        <f t="array" ref="I1453">IFERROR(XLOOKUP(D1453,'MASTER ITEM LIST'!A:A,'MASTER ITEM LIST'!D:D), "")</f>
        <v>BOT</v>
      </c>
      <c r="J1453" s="34">
        <f t="shared" si="2"/>
        <v>75</v>
      </c>
      <c r="K1453" s="196">
        <v>75.0</v>
      </c>
      <c r="L1453" s="70" t="s">
        <v>42</v>
      </c>
    </row>
    <row r="1454" ht="22.5" customHeight="1">
      <c r="A1454" s="29">
        <v>46223.0</v>
      </c>
      <c r="B1454" s="31"/>
      <c r="C1454" s="32" t="s">
        <v>711</v>
      </c>
      <c r="D1454" s="198" t="str">
        <f t="array" ref="D1454">IF(E1454="", "", XLOOKUP(E1454, 'MASTER ITEM LIST'!B:B, 'MASTER ITEM LIST'!A:A, "Code Not Found"))</f>
        <v>QDEMIX-1L</v>
      </c>
      <c r="E1454" s="199" t="s">
        <v>135</v>
      </c>
      <c r="F1454" s="31"/>
      <c r="G1454" s="195" t="s">
        <v>34</v>
      </c>
      <c r="H1454" s="31">
        <v>1.0</v>
      </c>
      <c r="I1454" s="31" t="str">
        <f t="array" ref="I1454">IFERROR(XLOOKUP(D1454,'MASTER ITEM LIST'!A:A,'MASTER ITEM LIST'!D:D), "")</f>
        <v>LITER</v>
      </c>
      <c r="J1454" s="34">
        <f t="shared" si="2"/>
        <v>280</v>
      </c>
      <c r="K1454" s="196">
        <v>280.0</v>
      </c>
      <c r="L1454" s="70" t="s">
        <v>42</v>
      </c>
    </row>
    <row r="1455" ht="22.5" customHeight="1">
      <c r="A1455" s="29">
        <v>46223.0</v>
      </c>
      <c r="B1455" s="31" t="s">
        <v>1809</v>
      </c>
      <c r="C1455" s="32" t="s">
        <v>1210</v>
      </c>
      <c r="D1455" s="198" t="str">
        <f t="array" ref="D1455">IF(E1455="", "", XLOOKUP(E1455, 'MASTER ITEM LIST'!B:B, 'MASTER ITEM LIST'!A:A, "Code Not Found"))</f>
        <v>PREMILAMIX-1L</v>
      </c>
      <c r="E1455" s="199" t="s">
        <v>1151</v>
      </c>
      <c r="F1455" s="31" t="s">
        <v>1810</v>
      </c>
      <c r="G1455" s="195" t="s">
        <v>1211</v>
      </c>
      <c r="H1455" s="31">
        <v>0.5</v>
      </c>
      <c r="I1455" s="31" t="str">
        <f t="array" ref="I1455">IFERROR(XLOOKUP(D1455,'MASTER ITEM LIST'!A:A,'MASTER ITEM LIST'!D:D), "")</f>
        <v>LITER</v>
      </c>
      <c r="J1455" s="34">
        <f t="shared" si="2"/>
        <v>2900</v>
      </c>
      <c r="K1455" s="196">
        <v>1450.0</v>
      </c>
      <c r="L1455" s="70" t="s">
        <v>1212</v>
      </c>
    </row>
    <row r="1456" ht="22.5" customHeight="1">
      <c r="A1456" s="29">
        <v>46223.0</v>
      </c>
      <c r="B1456" s="31" t="s">
        <v>1809</v>
      </c>
      <c r="C1456" s="32" t="s">
        <v>1210</v>
      </c>
      <c r="D1456" s="198" t="str">
        <f t="array" ref="D1456">IF(E1456="", "", XLOOKUP(E1456, 'MASTER ITEM LIST'!B:B, 'MASTER ITEM LIST'!A:A, "Code Not Found"))</f>
        <v>SOB757</v>
      </c>
      <c r="E1456" s="199" t="s">
        <v>91</v>
      </c>
      <c r="F1456" s="31"/>
      <c r="G1456" s="195" t="s">
        <v>1211</v>
      </c>
      <c r="H1456" s="31">
        <v>0.25</v>
      </c>
      <c r="I1456" s="31" t="str">
        <f t="array" ref="I1456">IFERROR(XLOOKUP(D1456,'MASTER ITEM LIST'!A:A,'MASTER ITEM LIST'!D:D), "")</f>
        <v>GAL</v>
      </c>
      <c r="J1456" s="34">
        <f t="shared" si="2"/>
        <v>800</v>
      </c>
      <c r="K1456" s="196">
        <v>200.0</v>
      </c>
      <c r="L1456" s="70" t="s">
        <v>1212</v>
      </c>
    </row>
    <row r="1457" ht="22.5" customHeight="1">
      <c r="A1457" s="29">
        <v>46223.0</v>
      </c>
      <c r="B1457" s="31" t="s">
        <v>1809</v>
      </c>
      <c r="C1457" s="32" t="s">
        <v>1210</v>
      </c>
      <c r="D1457" s="198" t="str">
        <f t="array" ref="D1457">IF(E1457="", "", XLOOKUP(E1457, 'MASTER ITEM LIST'!B:B, 'MASTER ITEM LIST'!A:A, "Code Not Found"))</f>
        <v>EA320</v>
      </c>
      <c r="E1457" s="199" t="s">
        <v>1050</v>
      </c>
      <c r="F1457" s="31"/>
      <c r="G1457" s="195" t="s">
        <v>1211</v>
      </c>
      <c r="H1457" s="31">
        <v>3.0</v>
      </c>
      <c r="I1457" s="31" t="str">
        <f t="array" ref="I1457">IFERROR(XLOOKUP(D1457,'MASTER ITEM LIST'!A:A,'MASTER ITEM LIST'!D:D), "")</f>
        <v>PCS</v>
      </c>
      <c r="J1457" s="34">
        <f t="shared" si="2"/>
        <v>25</v>
      </c>
      <c r="K1457" s="196">
        <v>75.0</v>
      </c>
      <c r="L1457" s="70" t="s">
        <v>1212</v>
      </c>
    </row>
    <row r="1458" ht="22.5" customHeight="1">
      <c r="A1458" s="29">
        <v>46223.0</v>
      </c>
      <c r="B1458" s="31" t="s">
        <v>1809</v>
      </c>
      <c r="C1458" s="32" t="s">
        <v>1210</v>
      </c>
      <c r="D1458" s="198" t="str">
        <f t="array" ref="D1458">IF(E1458="", "", XLOOKUP(E1458, 'MASTER ITEM LIST'!B:B, 'MASTER ITEM LIST'!A:A, "Code Not Found"))</f>
        <v>PRI1680</v>
      </c>
      <c r="E1458" s="199" t="s">
        <v>1152</v>
      </c>
      <c r="F1458" s="31"/>
      <c r="G1458" s="195" t="s">
        <v>1211</v>
      </c>
      <c r="H1458" s="31">
        <v>0.5</v>
      </c>
      <c r="I1458" s="31" t="str">
        <f t="array" ref="I1458">IFERROR(XLOOKUP(D1458,'MASTER ITEM LIST'!A:A,'MASTER ITEM LIST'!D:D), "")</f>
        <v>LITER</v>
      </c>
      <c r="J1458" s="34">
        <f t="shared" si="2"/>
        <v>840</v>
      </c>
      <c r="K1458" s="196">
        <v>420.0</v>
      </c>
      <c r="L1458" s="70" t="s">
        <v>1212</v>
      </c>
    </row>
    <row r="1459" ht="22.5" customHeight="1">
      <c r="A1459" s="29">
        <v>46223.0</v>
      </c>
      <c r="B1459" s="31"/>
      <c r="C1459" s="32" t="s">
        <v>711</v>
      </c>
      <c r="D1459" s="198" t="str">
        <f t="array" ref="D1459">IF(E1459="", "", XLOOKUP(E1459, 'MASTER ITEM LIST'!B:B, 'MASTER ITEM LIST'!A:A, "Code Not Found"))</f>
        <v>UTMIX-1L</v>
      </c>
      <c r="E1459" s="199" t="s">
        <v>109</v>
      </c>
      <c r="F1459" s="31"/>
      <c r="G1459" s="195" t="s">
        <v>34</v>
      </c>
      <c r="H1459" s="31">
        <v>1.0</v>
      </c>
      <c r="I1459" s="31" t="str">
        <f t="array" ref="I1459">IFERROR(XLOOKUP(D1459,'MASTER ITEM LIST'!A:A,'MASTER ITEM LIST'!D:D), "")</f>
        <v>LITER</v>
      </c>
      <c r="J1459" s="34">
        <f t="shared" si="2"/>
        <v>700</v>
      </c>
      <c r="K1459" s="196">
        <v>700.0</v>
      </c>
      <c r="L1459" s="70" t="s">
        <v>42</v>
      </c>
    </row>
    <row r="1460" ht="22.5" customHeight="1">
      <c r="A1460" s="29">
        <v>46223.0</v>
      </c>
      <c r="B1460" s="31"/>
      <c r="C1460" s="32" t="s">
        <v>711</v>
      </c>
      <c r="D1460" s="198" t="str">
        <f t="array" ref="D1460">IF(E1460="", "", XLOOKUP(E1460, 'MASTER ITEM LIST'!B:B, 'MASTER ITEM LIST'!A:A, "Code Not Found"))</f>
        <v>DOITUH</v>
      </c>
      <c r="E1460" s="199" t="s">
        <v>1186</v>
      </c>
      <c r="F1460" s="31"/>
      <c r="G1460" s="195" t="s">
        <v>34</v>
      </c>
      <c r="H1460" s="31">
        <v>1.0</v>
      </c>
      <c r="I1460" s="31" t="str">
        <f t="array" ref="I1460">IFERROR(XLOOKUP(D1460,'MASTER ITEM LIST'!A:A,'MASTER ITEM LIST'!D:D), "")</f>
        <v>CAN</v>
      </c>
      <c r="J1460" s="34">
        <f t="shared" si="2"/>
        <v>290</v>
      </c>
      <c r="K1460" s="196">
        <v>290.0</v>
      </c>
      <c r="L1460" s="70" t="s">
        <v>42</v>
      </c>
    </row>
    <row r="1461" ht="22.5" customHeight="1">
      <c r="A1461" s="29">
        <v>46223.0</v>
      </c>
      <c r="B1461" s="31"/>
      <c r="C1461" s="32" t="s">
        <v>711</v>
      </c>
      <c r="D1461" s="198" t="str">
        <f t="array" ref="D1461">IF(E1461="", "", XLOOKUP(E1461, 'MASTER ITEM LIST'!B:B, 'MASTER ITEM LIST'!A:A, "Code Not Found"))</f>
        <v>UNOLT-BOT</v>
      </c>
      <c r="E1461" s="199" t="s">
        <v>178</v>
      </c>
      <c r="F1461" s="31"/>
      <c r="G1461" s="195" t="s">
        <v>34</v>
      </c>
      <c r="H1461" s="31">
        <v>2.0</v>
      </c>
      <c r="I1461" s="31" t="str">
        <f t="array" ref="I1461">IFERROR(XLOOKUP(D1461,'MASTER ITEM LIST'!A:A,'MASTER ITEM LIST'!D:D), "")</f>
        <v>BOT</v>
      </c>
      <c r="J1461" s="34">
        <f t="shared" si="2"/>
        <v>75</v>
      </c>
      <c r="K1461" s="196">
        <v>150.0</v>
      </c>
      <c r="L1461" s="70" t="s">
        <v>42</v>
      </c>
    </row>
    <row r="1462" ht="22.5" customHeight="1">
      <c r="A1462" s="29">
        <v>46223.0</v>
      </c>
      <c r="B1462" s="31"/>
      <c r="C1462" s="32" t="s">
        <v>711</v>
      </c>
      <c r="D1462" s="198" t="str">
        <f t="array" ref="D1462">IF(E1462="", "", XLOOKUP(E1462, 'MASTER ITEM LIST'!B:B, 'MASTER ITEM LIST'!A:A, "Code Not Found"))</f>
        <v>DCF701-5L</v>
      </c>
      <c r="E1462" s="199" t="s">
        <v>647</v>
      </c>
      <c r="F1462" s="31"/>
      <c r="G1462" s="195" t="s">
        <v>34</v>
      </c>
      <c r="H1462" s="31">
        <v>1.0</v>
      </c>
      <c r="I1462" s="31" t="str">
        <f t="array" ref="I1462">IFERROR(XLOOKUP(D1462,'MASTER ITEM LIST'!A:A,'MASTER ITEM LIST'!D:D), "")</f>
        <v>GAL</v>
      </c>
      <c r="J1462" s="34">
        <f t="shared" si="2"/>
        <v>930</v>
      </c>
      <c r="K1462" s="196">
        <v>930.0</v>
      </c>
      <c r="L1462" s="70" t="s">
        <v>42</v>
      </c>
    </row>
    <row r="1463" ht="22.5" customHeight="1">
      <c r="A1463" s="29">
        <v>46223.0</v>
      </c>
      <c r="B1463" s="31"/>
      <c r="C1463" s="32" t="s">
        <v>711</v>
      </c>
      <c r="D1463" s="198" t="str">
        <f t="array" ref="D1463">IF(E1463="", "", XLOOKUP(E1463, 'MASTER ITEM LIST'!B:B, 'MASTER ITEM LIST'!A:A, "Code Not Found"))</f>
        <v>PLQDB-4L</v>
      </c>
      <c r="E1463" s="199" t="s">
        <v>485</v>
      </c>
      <c r="F1463" s="31"/>
      <c r="G1463" s="195" t="s">
        <v>34</v>
      </c>
      <c r="H1463" s="31">
        <v>1.0</v>
      </c>
      <c r="I1463" s="31" t="str">
        <f t="array" ref="I1463">IFERROR(XLOOKUP(D1463,'MASTER ITEM LIST'!A:A,'MASTER ITEM LIST'!D:D), "")</f>
        <v>GAL</v>
      </c>
      <c r="J1463" s="34">
        <f t="shared" si="2"/>
        <v>880</v>
      </c>
      <c r="K1463" s="196">
        <v>880.0</v>
      </c>
      <c r="L1463" s="70" t="s">
        <v>42</v>
      </c>
    </row>
    <row r="1464" ht="22.5" customHeight="1">
      <c r="A1464" s="29">
        <v>46224.0</v>
      </c>
      <c r="B1464" s="31" t="s">
        <v>1811</v>
      </c>
      <c r="C1464" s="32" t="s">
        <v>1215</v>
      </c>
      <c r="D1464" s="198" t="str">
        <f t="array" ref="D1464">IF(E1464="", "", XLOOKUP(E1464, 'MASTER ITEM LIST'!B:B, 'MASTER ITEM LIST'!A:A, "Code Not Found"))</f>
        <v>PREMILAMIX-1L</v>
      </c>
      <c r="E1464" s="199" t="s">
        <v>1151</v>
      </c>
      <c r="F1464" s="31" t="s">
        <v>1812</v>
      </c>
      <c r="G1464" s="195" t="s">
        <v>1211</v>
      </c>
      <c r="H1464" s="31">
        <v>0.25</v>
      </c>
      <c r="I1464" s="31" t="str">
        <f t="array" ref="I1464">IFERROR(XLOOKUP(D1464,'MASTER ITEM LIST'!A:A,'MASTER ITEM LIST'!D:D), "")</f>
        <v>LITER</v>
      </c>
      <c r="J1464" s="34">
        <f t="shared" si="2"/>
        <v>2700</v>
      </c>
      <c r="K1464" s="196">
        <v>675.0</v>
      </c>
      <c r="L1464" s="70" t="s">
        <v>1217</v>
      </c>
    </row>
    <row r="1465" ht="22.5" customHeight="1">
      <c r="A1465" s="29">
        <v>46224.0</v>
      </c>
      <c r="B1465" s="31" t="s">
        <v>1811</v>
      </c>
      <c r="C1465" s="32" t="s">
        <v>1215</v>
      </c>
      <c r="D1465" s="198" t="str">
        <f t="array" ref="D1465">IF(E1465="", "", XLOOKUP(E1465, 'MASTER ITEM LIST'!B:B, 'MASTER ITEM LIST'!A:A, "Code Not Found"))</f>
        <v>PREMILAMIX-1L</v>
      </c>
      <c r="E1465" s="199" t="s">
        <v>1151</v>
      </c>
      <c r="F1465" s="31" t="s">
        <v>1813</v>
      </c>
      <c r="G1465" s="195" t="s">
        <v>1211</v>
      </c>
      <c r="H1465" s="31">
        <v>0.75</v>
      </c>
      <c r="I1465" s="31" t="str">
        <f t="array" ref="I1465">IFERROR(XLOOKUP(D1465,'MASTER ITEM LIST'!A:A,'MASTER ITEM LIST'!D:D), "")</f>
        <v>LITER</v>
      </c>
      <c r="J1465" s="34">
        <f t="shared" si="2"/>
        <v>2500</v>
      </c>
      <c r="K1465" s="196">
        <v>1875.0</v>
      </c>
      <c r="L1465" s="70" t="s">
        <v>1217</v>
      </c>
    </row>
    <row r="1466" ht="22.5" customHeight="1">
      <c r="A1466" s="29">
        <v>46224.0</v>
      </c>
      <c r="B1466" s="31" t="s">
        <v>1814</v>
      </c>
      <c r="C1466" s="32" t="s">
        <v>1565</v>
      </c>
      <c r="D1466" s="198" t="str">
        <f t="array" ref="D1466">IF(E1466="", "", XLOOKUP(E1466, 'MASTER ITEM LIST'!B:B, 'MASTER ITEM LIST'!A:A, "Code Not Found"))</f>
        <v>MEG3001R-1L</v>
      </c>
      <c r="E1466" s="199" t="s">
        <v>966</v>
      </c>
      <c r="F1466" s="31"/>
      <c r="G1466" s="195" t="s">
        <v>34</v>
      </c>
      <c r="H1466" s="31">
        <v>1.0</v>
      </c>
      <c r="I1466" s="31" t="str">
        <f t="array" ref="I1466">IFERROR(XLOOKUP(D1466,'MASTER ITEM LIST'!A:A,'MASTER ITEM LIST'!D:D), "")</f>
        <v>LITER</v>
      </c>
      <c r="J1466" s="34">
        <f t="shared" si="2"/>
        <v>280</v>
      </c>
      <c r="K1466" s="196">
        <v>280.0</v>
      </c>
      <c r="L1466" s="70" t="s">
        <v>42</v>
      </c>
    </row>
    <row r="1467" ht="22.5" customHeight="1">
      <c r="A1467" s="29">
        <v>46224.0</v>
      </c>
      <c r="B1467" s="31" t="s">
        <v>1814</v>
      </c>
      <c r="C1467" s="32" t="s">
        <v>1565</v>
      </c>
      <c r="D1467" s="198" t="str">
        <f t="array" ref="D1467">IF(E1467="", "", XLOOKUP(E1467, 'MASTER ITEM LIST'!B:B, 'MASTER ITEM LIST'!A:A, "Code Not Found"))</f>
        <v>NAX108</v>
      </c>
      <c r="E1467" s="199" t="s">
        <v>960</v>
      </c>
      <c r="F1467" s="31"/>
      <c r="G1467" s="195" t="s">
        <v>34</v>
      </c>
      <c r="H1467" s="31">
        <v>1.0</v>
      </c>
      <c r="I1467" s="31" t="str">
        <f t="array" ref="I1467">IFERROR(XLOOKUP(D1467,'MASTER ITEM LIST'!A:A,'MASTER ITEM LIST'!D:D), "")</f>
        <v>LITER</v>
      </c>
      <c r="J1467" s="34">
        <f t="shared" si="2"/>
        <v>650</v>
      </c>
      <c r="K1467" s="196">
        <v>650.0</v>
      </c>
      <c r="L1467" s="70" t="s">
        <v>42</v>
      </c>
    </row>
    <row r="1468" ht="22.5" customHeight="1">
      <c r="A1468" s="29">
        <v>46224.0</v>
      </c>
      <c r="B1468" s="31" t="s">
        <v>1814</v>
      </c>
      <c r="C1468" s="32" t="s">
        <v>1565</v>
      </c>
      <c r="D1468" s="198" t="str">
        <f t="array" ref="D1468">IF(E1468="", "", XLOOKUP(E1468, 'MASTER ITEM LIST'!B:B, 'MASTER ITEM LIST'!A:A, "Code Not Found"))</f>
        <v>SOB757</v>
      </c>
      <c r="E1468" s="199" t="s">
        <v>91</v>
      </c>
      <c r="F1468" s="31"/>
      <c r="G1468" s="195" t="s">
        <v>34</v>
      </c>
      <c r="H1468" s="31">
        <v>2.0</v>
      </c>
      <c r="I1468" s="31" t="str">
        <f t="array" ref="I1468">IFERROR(XLOOKUP(D1468,'MASTER ITEM LIST'!A:A,'MASTER ITEM LIST'!D:D), "")</f>
        <v>GAL</v>
      </c>
      <c r="J1468" s="34">
        <f t="shared" si="2"/>
        <v>750</v>
      </c>
      <c r="K1468" s="196">
        <v>1500.0</v>
      </c>
      <c r="L1468" s="70" t="s">
        <v>42</v>
      </c>
    </row>
    <row r="1469" ht="22.5" customHeight="1">
      <c r="A1469" s="29">
        <v>46224.0</v>
      </c>
      <c r="B1469" s="31" t="s">
        <v>1814</v>
      </c>
      <c r="C1469" s="32" t="s">
        <v>1565</v>
      </c>
      <c r="D1469" s="198" t="str">
        <f t="array" ref="D1469">IF(E1469="", "", XLOOKUP(E1469, 'MASTER ITEM LIST'!B:B, 'MASTER ITEM LIST'!A:A, "Code Not Found"))</f>
        <v>EXTREMEMIX-4L</v>
      </c>
      <c r="E1469" s="199" t="s">
        <v>1163</v>
      </c>
      <c r="F1469" s="31"/>
      <c r="G1469" s="195" t="s">
        <v>34</v>
      </c>
      <c r="H1469" s="31">
        <v>0.625</v>
      </c>
      <c r="I1469" s="31" t="str">
        <f t="array" ref="I1469">IFERROR(XLOOKUP(D1469,'MASTER ITEM LIST'!A:A,'MASTER ITEM LIST'!D:D), "")</f>
        <v>GALON</v>
      </c>
      <c r="J1469" s="34">
        <f t="shared" si="2"/>
        <v>2800</v>
      </c>
      <c r="K1469" s="196">
        <v>1750.0</v>
      </c>
      <c r="L1469" s="70" t="s">
        <v>42</v>
      </c>
    </row>
    <row r="1470" ht="22.5" customHeight="1">
      <c r="A1470" s="29">
        <v>46224.0</v>
      </c>
      <c r="B1470" s="31" t="s">
        <v>1814</v>
      </c>
      <c r="C1470" s="32" t="s">
        <v>1565</v>
      </c>
      <c r="D1470" s="198" t="str">
        <f t="array" ref="D1470">IF(E1470="", "", XLOOKUP(E1470, 'MASTER ITEM LIST'!B:B, 'MASTER ITEM LIST'!A:A, "Code Not Found"))</f>
        <v>MSC</v>
      </c>
      <c r="E1470" s="199" t="s">
        <v>518</v>
      </c>
      <c r="F1470" s="31"/>
      <c r="G1470" s="195" t="s">
        <v>34</v>
      </c>
      <c r="H1470" s="31">
        <v>1.0</v>
      </c>
      <c r="I1470" s="31" t="str">
        <f t="array" ref="I1470">IFERROR(XLOOKUP(D1470,'MASTER ITEM LIST'!A:A,'MASTER ITEM LIST'!D:D), "")</f>
        <v>KG</v>
      </c>
      <c r="J1470" s="34">
        <f t="shared" si="2"/>
        <v>100</v>
      </c>
      <c r="K1470" s="196">
        <v>100.0</v>
      </c>
      <c r="L1470" s="70" t="s">
        <v>42</v>
      </c>
    </row>
    <row r="1471" ht="22.5" customHeight="1">
      <c r="A1471" s="29">
        <v>46224.0</v>
      </c>
      <c r="B1471" s="31" t="s">
        <v>1814</v>
      </c>
      <c r="C1471" s="32" t="s">
        <v>1565</v>
      </c>
      <c r="D1471" s="198" t="str">
        <f t="array" ref="D1471">IF(E1471="", "", XLOOKUP(E1471, 'MASTER ITEM LIST'!B:B, 'MASTER ITEM LIST'!A:A, "Code Not Found"))</f>
        <v>CRO-MT3/4</v>
      </c>
      <c r="E1471" s="199" t="s">
        <v>1103</v>
      </c>
      <c r="F1471" s="31"/>
      <c r="G1471" s="195" t="s">
        <v>34</v>
      </c>
      <c r="H1471" s="31">
        <v>5.0</v>
      </c>
      <c r="I1471" s="31" t="str">
        <f t="array" ref="I1471">IFERROR(XLOOKUP(D1471,'MASTER ITEM LIST'!A:A,'MASTER ITEM LIST'!D:D), "")</f>
        <v>PC/S</v>
      </c>
      <c r="J1471" s="34">
        <f t="shared" si="2"/>
        <v>35</v>
      </c>
      <c r="K1471" s="196">
        <v>175.0</v>
      </c>
      <c r="L1471" s="70" t="s">
        <v>42</v>
      </c>
    </row>
    <row r="1472" ht="22.5" customHeight="1">
      <c r="A1472" s="29">
        <v>46224.0</v>
      </c>
      <c r="B1472" s="31"/>
      <c r="C1472" s="32" t="s">
        <v>711</v>
      </c>
      <c r="D1472" s="198" t="str">
        <f t="array" ref="D1472">IF(E1472="", "", XLOOKUP(E1472, 'MASTER ITEM LIST'!B:B, 'MASTER ITEM LIST'!A:A, "Code Not Found"))</f>
        <v>EA240</v>
      </c>
      <c r="E1472" s="199" t="s">
        <v>1044</v>
      </c>
      <c r="F1472" s="31"/>
      <c r="G1472" s="195" t="s">
        <v>1376</v>
      </c>
      <c r="H1472" s="31">
        <v>1.0</v>
      </c>
      <c r="I1472" s="31" t="str">
        <f t="array" ref="I1472">IFERROR(XLOOKUP(D1472,'MASTER ITEM LIST'!A:A,'MASTER ITEM LIST'!D:D), "")</f>
        <v>PC/S</v>
      </c>
      <c r="J1472" s="34">
        <f t="shared" si="2"/>
        <v>25</v>
      </c>
      <c r="K1472" s="196">
        <v>25.0</v>
      </c>
      <c r="L1472" s="70" t="s">
        <v>42</v>
      </c>
    </row>
    <row r="1473" ht="22.5" customHeight="1">
      <c r="A1473" s="29">
        <v>46224.0</v>
      </c>
      <c r="B1473" s="31"/>
      <c r="C1473" s="32" t="s">
        <v>711</v>
      </c>
      <c r="D1473" s="198" t="str">
        <f t="array" ref="D1473">IF(E1473="", "", XLOOKUP(E1473, 'MASTER ITEM LIST'!B:B, 'MASTER ITEM LIST'!A:A, "Code Not Found"))</f>
        <v>EA320</v>
      </c>
      <c r="E1473" s="199" t="s">
        <v>1050</v>
      </c>
      <c r="F1473" s="31"/>
      <c r="G1473" s="195" t="s">
        <v>1376</v>
      </c>
      <c r="H1473" s="31">
        <v>1.0</v>
      </c>
      <c r="I1473" s="31" t="str">
        <f t="array" ref="I1473">IFERROR(XLOOKUP(D1473,'MASTER ITEM LIST'!A:A,'MASTER ITEM LIST'!D:D), "")</f>
        <v>PCS</v>
      </c>
      <c r="J1473" s="34">
        <f t="shared" si="2"/>
        <v>25</v>
      </c>
      <c r="K1473" s="196">
        <v>25.0</v>
      </c>
      <c r="L1473" s="70" t="s">
        <v>42</v>
      </c>
    </row>
    <row r="1474" ht="22.5" customHeight="1">
      <c r="A1474" s="29">
        <v>46224.0</v>
      </c>
      <c r="B1474" s="31"/>
      <c r="C1474" s="32" t="s">
        <v>711</v>
      </c>
      <c r="D1474" s="198" t="str">
        <f t="array" ref="D1474">IF(E1474="", "", XLOOKUP(E1474, 'MASTER ITEM LIST'!B:B, 'MASTER ITEM LIST'!A:A, "Code Not Found"))</f>
        <v>EA600</v>
      </c>
      <c r="E1474" s="199" t="s">
        <v>1041</v>
      </c>
      <c r="F1474" s="31"/>
      <c r="G1474" s="195" t="s">
        <v>1376</v>
      </c>
      <c r="H1474" s="31">
        <v>1.0</v>
      </c>
      <c r="I1474" s="31" t="str">
        <f t="array" ref="I1474">IFERROR(XLOOKUP(D1474,'MASTER ITEM LIST'!A:A,'MASTER ITEM LIST'!D:D), "")</f>
        <v>PCS</v>
      </c>
      <c r="J1474" s="34">
        <f t="shared" si="2"/>
        <v>25</v>
      </c>
      <c r="K1474" s="196">
        <v>25.0</v>
      </c>
      <c r="L1474" s="70" t="s">
        <v>42</v>
      </c>
    </row>
    <row r="1475" ht="22.5" customHeight="1">
      <c r="A1475" s="29">
        <v>46224.0</v>
      </c>
      <c r="B1475" s="31"/>
      <c r="C1475" s="32" t="s">
        <v>711</v>
      </c>
      <c r="D1475" s="198" t="str">
        <f t="array" ref="D1475">IF(E1475="", "", XLOOKUP(E1475, 'MASTER ITEM LIST'!B:B, 'MASTER ITEM LIST'!A:A, "Code Not Found"))</f>
        <v>EXTREMEMIX-1L</v>
      </c>
      <c r="E1475" s="199" t="s">
        <v>1164</v>
      </c>
      <c r="F1475" s="31"/>
      <c r="G1475" s="195" t="s">
        <v>1376</v>
      </c>
      <c r="H1475" s="31">
        <v>0.5</v>
      </c>
      <c r="I1475" s="31" t="str">
        <f t="array" ref="I1475">IFERROR(XLOOKUP(D1475,'MASTER ITEM LIST'!A:A,'MASTER ITEM LIST'!D:D), "")</f>
        <v>LITER</v>
      </c>
      <c r="J1475" s="34">
        <f t="shared" si="2"/>
        <v>700</v>
      </c>
      <c r="K1475" s="196">
        <v>350.0</v>
      </c>
      <c r="L1475" s="70" t="s">
        <v>42</v>
      </c>
    </row>
    <row r="1476" ht="22.5" customHeight="1">
      <c r="A1476" s="29">
        <v>46224.0</v>
      </c>
      <c r="B1476" s="31"/>
      <c r="C1476" s="32" t="s">
        <v>711</v>
      </c>
      <c r="D1476" s="198" t="str">
        <f t="array" ref="D1476">IF(E1476="", "", XLOOKUP(E1476, 'MASTER ITEM LIST'!B:B, 'MASTER ITEM LIST'!A:A, "Code Not Found"))</f>
        <v>SOB757</v>
      </c>
      <c r="E1476" s="199" t="s">
        <v>91</v>
      </c>
      <c r="F1476" s="31"/>
      <c r="G1476" s="195" t="s">
        <v>1376</v>
      </c>
      <c r="H1476" s="31">
        <v>0.0625</v>
      </c>
      <c r="I1476" s="31" t="str">
        <f t="array" ref="I1476">IFERROR(XLOOKUP(D1476,'MASTER ITEM LIST'!A:A,'MASTER ITEM LIST'!D:D), "")</f>
        <v>GAL</v>
      </c>
      <c r="J1476" s="34">
        <f t="shared" si="2"/>
        <v>960</v>
      </c>
      <c r="K1476" s="196">
        <v>60.0</v>
      </c>
      <c r="L1476" s="70" t="s">
        <v>42</v>
      </c>
    </row>
    <row r="1477" ht="22.5" customHeight="1">
      <c r="A1477" s="29">
        <v>46224.0</v>
      </c>
      <c r="B1477" s="31"/>
      <c r="C1477" s="32" t="s">
        <v>711</v>
      </c>
      <c r="D1477" s="198" t="str">
        <f t="array" ref="D1477">IF(E1477="", "", XLOOKUP(E1477, 'MASTER ITEM LIST'!B:B, 'MASTER ITEM LIST'!A:A, "Code Not Found"))</f>
        <v>PG888-4L</v>
      </c>
      <c r="E1477" s="199" t="s">
        <v>455</v>
      </c>
      <c r="F1477" s="31"/>
      <c r="G1477" s="195" t="s">
        <v>34</v>
      </c>
      <c r="H1477" s="31">
        <v>2.0</v>
      </c>
      <c r="I1477" s="31" t="str">
        <f t="array" ref="I1477">IFERROR(XLOOKUP(D1477,'MASTER ITEM LIST'!A:A,'MASTER ITEM LIST'!D:D), "")</f>
        <v>GALON</v>
      </c>
      <c r="J1477" s="34">
        <f t="shared" si="2"/>
        <v>1000</v>
      </c>
      <c r="K1477" s="196">
        <v>2000.0</v>
      </c>
      <c r="L1477" s="70" t="s">
        <v>42</v>
      </c>
    </row>
    <row r="1478" ht="22.5" customHeight="1">
      <c r="A1478" s="29">
        <v>46224.0</v>
      </c>
      <c r="B1478" s="31"/>
      <c r="C1478" s="32" t="s">
        <v>711</v>
      </c>
      <c r="D1478" s="198" t="str">
        <f t="array" ref="D1478">IF(E1478="", "", XLOOKUP(E1478, 'MASTER ITEM LIST'!B:B, 'MASTER ITEM LIST'!A:A, "Code Not Found"))</f>
        <v>EA1000</v>
      </c>
      <c r="E1478" s="199" t="s">
        <v>1049</v>
      </c>
      <c r="F1478" s="31"/>
      <c r="G1478" s="195" t="s">
        <v>1376</v>
      </c>
      <c r="H1478" s="31">
        <v>1.0</v>
      </c>
      <c r="I1478" s="31" t="str">
        <f t="array" ref="I1478">IFERROR(XLOOKUP(D1478,'MASTER ITEM LIST'!A:A,'MASTER ITEM LIST'!D:D), "")</f>
        <v>PC/S</v>
      </c>
      <c r="J1478" s="34">
        <f t="shared" si="2"/>
        <v>25</v>
      </c>
      <c r="K1478" s="196">
        <v>25.0</v>
      </c>
      <c r="L1478" s="70" t="s">
        <v>42</v>
      </c>
    </row>
    <row r="1479" ht="22.5" customHeight="1">
      <c r="A1479" s="29">
        <v>46225.0</v>
      </c>
      <c r="B1479" s="31"/>
      <c r="C1479" s="32" t="s">
        <v>711</v>
      </c>
      <c r="D1479" s="198" t="str">
        <f t="array" ref="D1479">IF(E1479="", "", XLOOKUP(E1479, 'MASTER ITEM LIST'!B:B, 'MASTER ITEM LIST'!A:A, "Code Not Found"))</f>
        <v>PLYZGBLK-48</v>
      </c>
      <c r="E1479" s="199" t="s">
        <v>376</v>
      </c>
      <c r="F1479" s="31"/>
      <c r="G1479" s="195" t="s">
        <v>34</v>
      </c>
      <c r="H1479" s="31">
        <v>2.0</v>
      </c>
      <c r="I1479" s="31" t="str">
        <f t="array" ref="I1479">IFERROR(XLOOKUP(D1479,'MASTER ITEM LIST'!A:A,'MASTER ITEM LIST'!D:D), "")</f>
        <v>CAN</v>
      </c>
      <c r="J1479" s="34">
        <f t="shared" si="2"/>
        <v>140</v>
      </c>
      <c r="K1479" s="196">
        <v>280.0</v>
      </c>
      <c r="L1479" s="70" t="s">
        <v>42</v>
      </c>
    </row>
    <row r="1480" ht="22.5" customHeight="1">
      <c r="A1480" s="29">
        <v>46225.0</v>
      </c>
      <c r="B1480" s="31"/>
      <c r="C1480" s="32" t="s">
        <v>711</v>
      </c>
      <c r="D1480" s="198" t="str">
        <f t="array" ref="D1480">IF(E1480="", "", XLOOKUP(E1480, 'MASTER ITEM LIST'!B:B, 'MASTER ITEM LIST'!A:A, "Code Not Found"))</f>
        <v>PREMILAMIX-1L</v>
      </c>
      <c r="E1480" s="199" t="s">
        <v>1151</v>
      </c>
      <c r="F1480" s="31" t="s">
        <v>1815</v>
      </c>
      <c r="G1480" s="195" t="s">
        <v>34</v>
      </c>
      <c r="H1480" s="31">
        <v>0.25</v>
      </c>
      <c r="I1480" s="31" t="str">
        <f t="array" ref="I1480">IFERROR(XLOOKUP(D1480,'MASTER ITEM LIST'!A:A,'MASTER ITEM LIST'!D:D), "")</f>
        <v>LITER</v>
      </c>
      <c r="J1480" s="34">
        <f t="shared" si="2"/>
        <v>2000</v>
      </c>
      <c r="K1480" s="196">
        <v>500.0</v>
      </c>
      <c r="L1480" s="70" t="s">
        <v>42</v>
      </c>
    </row>
    <row r="1481" ht="22.5" customHeight="1">
      <c r="A1481" s="29">
        <v>46225.0</v>
      </c>
      <c r="B1481" s="31"/>
      <c r="C1481" s="32" t="s">
        <v>711</v>
      </c>
      <c r="D1481" s="198" t="str">
        <f t="array" ref="D1481">IF(E1481="", "", XLOOKUP(E1481, 'MASTER ITEM LIST'!B:B, 'MASTER ITEM LIST'!A:A, "Code Not Found"))</f>
        <v>CRO-MT3/4</v>
      </c>
      <c r="E1481" s="199" t="s">
        <v>1103</v>
      </c>
      <c r="F1481" s="31"/>
      <c r="G1481" s="195" t="s">
        <v>34</v>
      </c>
      <c r="H1481" s="31">
        <v>3.0</v>
      </c>
      <c r="I1481" s="31" t="str">
        <f t="array" ref="I1481">IFERROR(XLOOKUP(D1481,'MASTER ITEM LIST'!A:A,'MASTER ITEM LIST'!D:D), "")</f>
        <v>PC/S</v>
      </c>
      <c r="J1481" s="34">
        <f t="shared" si="2"/>
        <v>35</v>
      </c>
      <c r="K1481" s="196">
        <v>105.0</v>
      </c>
      <c r="L1481" s="70" t="s">
        <v>42</v>
      </c>
    </row>
    <row r="1482" ht="22.5" customHeight="1">
      <c r="A1482" s="29">
        <v>46225.0</v>
      </c>
      <c r="B1482" s="31"/>
      <c r="C1482" s="32" t="s">
        <v>711</v>
      </c>
      <c r="D1482" s="198" t="str">
        <f t="array" ref="D1482">IF(E1482="", "", XLOOKUP(E1482, 'MASTER ITEM LIST'!B:B, 'MASTER ITEM LIST'!A:A, "Code Not Found"))</f>
        <v>PREMILAMIX-1L</v>
      </c>
      <c r="E1482" s="199" t="s">
        <v>1151</v>
      </c>
      <c r="F1482" s="31" t="s">
        <v>1816</v>
      </c>
      <c r="G1482" s="195" t="s">
        <v>34</v>
      </c>
      <c r="H1482" s="31">
        <v>0.2</v>
      </c>
      <c r="I1482" s="31" t="str">
        <f t="array" ref="I1482">IFERROR(XLOOKUP(D1482,'MASTER ITEM LIST'!A:A,'MASTER ITEM LIST'!D:D), "")</f>
        <v>LITER</v>
      </c>
      <c r="J1482" s="34">
        <f t="shared" si="2"/>
        <v>2500</v>
      </c>
      <c r="K1482" s="196">
        <v>500.0</v>
      </c>
      <c r="L1482" s="70" t="s">
        <v>42</v>
      </c>
    </row>
    <row r="1483" ht="22.5" customHeight="1">
      <c r="A1483" s="29">
        <v>46225.0</v>
      </c>
      <c r="B1483" s="31"/>
      <c r="C1483" s="32" t="s">
        <v>711</v>
      </c>
      <c r="D1483" s="198" t="str">
        <f t="array" ref="D1483">IF(E1483="", "", XLOOKUP(E1483, 'MASTER ITEM LIST'!B:B, 'MASTER ITEM LIST'!A:A, "Code Not Found"))</f>
        <v>MSC</v>
      </c>
      <c r="E1483" s="199" t="s">
        <v>518</v>
      </c>
      <c r="F1483" s="31"/>
      <c r="G1483" s="195" t="s">
        <v>34</v>
      </c>
      <c r="H1483" s="31">
        <v>2.0</v>
      </c>
      <c r="I1483" s="31" t="str">
        <f t="array" ref="I1483">IFERROR(XLOOKUP(D1483,'MASTER ITEM LIST'!A:A,'MASTER ITEM LIST'!D:D), "")</f>
        <v>KG</v>
      </c>
      <c r="J1483" s="34">
        <f t="shared" si="2"/>
        <v>100</v>
      </c>
      <c r="K1483" s="196">
        <v>200.0</v>
      </c>
      <c r="L1483" s="70" t="s">
        <v>42</v>
      </c>
    </row>
    <row r="1484" ht="22.5" customHeight="1">
      <c r="A1484" s="29">
        <v>46225.0</v>
      </c>
      <c r="B1484" s="31"/>
      <c r="C1484" s="32" t="s">
        <v>711</v>
      </c>
      <c r="D1484" s="198" t="str">
        <f t="array" ref="D1484">IF(E1484="", "", XLOOKUP(E1484, 'MASTER ITEM LIST'!B:B, 'MASTER ITEM LIST'!A:A, "Code Not Found"))</f>
        <v>TOBF-1L</v>
      </c>
      <c r="E1484" s="199" t="s">
        <v>196</v>
      </c>
      <c r="F1484" s="31"/>
      <c r="G1484" s="195" t="s">
        <v>34</v>
      </c>
      <c r="H1484" s="31">
        <v>1.0</v>
      </c>
      <c r="I1484" s="31" t="str">
        <f t="array" ref="I1484">IFERROR(XLOOKUP(D1484,'MASTER ITEM LIST'!A:A,'MASTER ITEM LIST'!D:D), "")</f>
        <v>LTR</v>
      </c>
      <c r="J1484" s="34">
        <f t="shared" si="2"/>
        <v>240</v>
      </c>
      <c r="K1484" s="196">
        <v>240.0</v>
      </c>
      <c r="L1484" s="70" t="s">
        <v>42</v>
      </c>
    </row>
    <row r="1485" ht="22.5" customHeight="1">
      <c r="A1485" s="29">
        <v>46225.0</v>
      </c>
      <c r="B1485" s="31"/>
      <c r="C1485" s="32" t="s">
        <v>711</v>
      </c>
      <c r="D1485" s="198" t="str">
        <f t="array" ref="D1485">IF(E1485="", "", XLOOKUP(E1485, 'MASTER ITEM LIST'!B:B, 'MASTER ITEM LIST'!A:A, "Code Not Found"))</f>
        <v>EXTREMEMIX-1L</v>
      </c>
      <c r="E1485" s="199" t="s">
        <v>1164</v>
      </c>
      <c r="F1485" s="31"/>
      <c r="G1485" s="195" t="s">
        <v>34</v>
      </c>
      <c r="H1485" s="31">
        <v>1.0</v>
      </c>
      <c r="I1485" s="31" t="str">
        <f t="array" ref="I1485">IFERROR(XLOOKUP(D1485,'MASTER ITEM LIST'!A:A,'MASTER ITEM LIST'!D:D), "")</f>
        <v>LITER</v>
      </c>
      <c r="J1485" s="34">
        <f t="shared" si="2"/>
        <v>700</v>
      </c>
      <c r="K1485" s="196">
        <v>700.0</v>
      </c>
      <c r="L1485" s="70" t="s">
        <v>42</v>
      </c>
    </row>
    <row r="1486" ht="22.5" customHeight="1">
      <c r="A1486" s="29">
        <v>46225.0</v>
      </c>
      <c r="B1486" s="31"/>
      <c r="C1486" s="32" t="s">
        <v>711</v>
      </c>
      <c r="D1486" s="198" t="str">
        <f t="array" ref="D1486">IF(E1486="", "", XLOOKUP(E1486, 'MASTER ITEM LIST'!B:B, 'MASTER ITEM LIST'!A:A, "Code Not Found"))</f>
        <v>SOB757</v>
      </c>
      <c r="E1486" s="199" t="s">
        <v>91</v>
      </c>
      <c r="F1486" s="31"/>
      <c r="G1486" s="195" t="s">
        <v>34</v>
      </c>
      <c r="H1486" s="31">
        <v>1.0</v>
      </c>
      <c r="I1486" s="31" t="str">
        <f t="array" ref="I1486">IFERROR(XLOOKUP(D1486,'MASTER ITEM LIST'!A:A,'MASTER ITEM LIST'!D:D), "")</f>
        <v>GAL</v>
      </c>
      <c r="J1486" s="34">
        <f t="shared" si="2"/>
        <v>750</v>
      </c>
      <c r="K1486" s="196">
        <v>750.0</v>
      </c>
      <c r="L1486" s="70" t="s">
        <v>42</v>
      </c>
    </row>
    <row r="1487" ht="22.5" customHeight="1">
      <c r="A1487" s="29">
        <v>46225.0</v>
      </c>
      <c r="B1487" s="31"/>
      <c r="C1487" s="32" t="s">
        <v>711</v>
      </c>
      <c r="D1487" s="198" t="str">
        <f t="array" ref="D1487">IF(E1487="", "", XLOOKUP(E1487, 'MASTER ITEM LIST'!B:B, 'MASTER ITEM LIST'!A:A, "Code Not Found"))</f>
        <v>NAX141</v>
      </c>
      <c r="E1487" s="199" t="s">
        <v>959</v>
      </c>
      <c r="F1487" s="31"/>
      <c r="G1487" s="195" t="s">
        <v>34</v>
      </c>
      <c r="H1487" s="31">
        <v>4.0</v>
      </c>
      <c r="I1487" s="31" t="str">
        <f t="array" ref="I1487">IFERROR(XLOOKUP(D1487,'MASTER ITEM LIST'!A:A,'MASTER ITEM LIST'!D:D), "")</f>
        <v>LITER</v>
      </c>
      <c r="J1487" s="34">
        <f t="shared" si="2"/>
        <v>580</v>
      </c>
      <c r="K1487" s="196">
        <v>2320.0</v>
      </c>
      <c r="L1487" s="70" t="s">
        <v>42</v>
      </c>
    </row>
    <row r="1488" ht="22.5" customHeight="1">
      <c r="A1488" s="29">
        <v>46225.0</v>
      </c>
      <c r="B1488" s="31"/>
      <c r="C1488" s="32" t="s">
        <v>711</v>
      </c>
      <c r="D1488" s="198" t="str">
        <f t="array" ref="D1488">IF(E1488="", "", XLOOKUP(E1488, 'MASTER ITEM LIST'!B:B, 'MASTER ITEM LIST'!A:A, "Code Not Found"))</f>
        <v>DOMBF-4L</v>
      </c>
      <c r="E1488" s="199" t="s">
        <v>1064</v>
      </c>
      <c r="F1488" s="31"/>
      <c r="G1488" s="195" t="s">
        <v>34</v>
      </c>
      <c r="H1488" s="31">
        <v>1.0</v>
      </c>
      <c r="I1488" s="31" t="str">
        <f t="array" ref="I1488">IFERROR(XLOOKUP(D1488,'MASTER ITEM LIST'!A:A,'MASTER ITEM LIST'!D:D), "")</f>
        <v>GAL</v>
      </c>
      <c r="J1488" s="34">
        <f t="shared" si="2"/>
        <v>650</v>
      </c>
      <c r="K1488" s="196">
        <v>650.0</v>
      </c>
      <c r="L1488" s="70" t="s">
        <v>42</v>
      </c>
    </row>
    <row r="1489" ht="22.5" customHeight="1">
      <c r="A1489" s="29">
        <v>46225.0</v>
      </c>
      <c r="B1489" s="31"/>
      <c r="C1489" s="32" t="s">
        <v>711</v>
      </c>
      <c r="D1489" s="198" t="str">
        <f t="array" ref="D1489">IF(E1489="", "", XLOOKUP(E1489, 'MASTER ITEM LIST'!B:B, 'MASTER ITEM LIST'!A:A, "Code Not Found"))</f>
        <v>NAS535</v>
      </c>
      <c r="E1489" s="199" t="s">
        <v>677</v>
      </c>
      <c r="F1489" s="31"/>
      <c r="G1489" s="195" t="s">
        <v>34</v>
      </c>
      <c r="H1489" s="31">
        <v>1.0</v>
      </c>
      <c r="I1489" s="31" t="str">
        <f t="array" ref="I1489">IFERROR(XLOOKUP(D1489,'MASTER ITEM LIST'!A:A,'MASTER ITEM LIST'!D:D), "")</f>
        <v>GAL/S</v>
      </c>
      <c r="J1489" s="34">
        <f t="shared" si="2"/>
        <v>630</v>
      </c>
      <c r="K1489" s="196">
        <v>630.0</v>
      </c>
      <c r="L1489" s="70" t="s">
        <v>42</v>
      </c>
    </row>
    <row r="1490" ht="22.5" customHeight="1">
      <c r="A1490" s="29">
        <v>46225.0</v>
      </c>
      <c r="B1490" s="31"/>
      <c r="C1490" s="32" t="s">
        <v>711</v>
      </c>
      <c r="D1490" s="198" t="str">
        <f t="array" ref="D1490">IF(E1490="", "", XLOOKUP(E1490, 'MASTER ITEM LIST'!B:B, 'MASTER ITEM LIST'!A:A, "Code Not Found"))</f>
        <v>EA120</v>
      </c>
      <c r="E1490" s="199" t="s">
        <v>1048</v>
      </c>
      <c r="F1490" s="31"/>
      <c r="G1490" s="195" t="s">
        <v>34</v>
      </c>
      <c r="H1490" s="31">
        <v>2.0</v>
      </c>
      <c r="I1490" s="31" t="str">
        <f t="array" ref="I1490">IFERROR(XLOOKUP(D1490,'MASTER ITEM LIST'!A:A,'MASTER ITEM LIST'!D:D), "")</f>
        <v>PC/S</v>
      </c>
      <c r="J1490" s="34">
        <f t="shared" si="2"/>
        <v>25</v>
      </c>
      <c r="K1490" s="196">
        <v>50.0</v>
      </c>
      <c r="L1490" s="70" t="s">
        <v>42</v>
      </c>
    </row>
    <row r="1491" ht="22.5" customHeight="1">
      <c r="A1491" s="29">
        <v>46225.0</v>
      </c>
      <c r="B1491" s="31"/>
      <c r="C1491" s="32" t="s">
        <v>711</v>
      </c>
      <c r="D1491" s="198" t="str">
        <f t="array" ref="D1491">IF(E1491="", "", XLOOKUP(E1491, 'MASTER ITEM LIST'!B:B, 'MASTER ITEM LIST'!A:A, "Code Not Found"))</f>
        <v>EA240</v>
      </c>
      <c r="E1491" s="199" t="s">
        <v>1044</v>
      </c>
      <c r="F1491" s="31"/>
      <c r="G1491" s="195" t="s">
        <v>34</v>
      </c>
      <c r="H1491" s="31">
        <v>1.0</v>
      </c>
      <c r="I1491" s="31" t="str">
        <f t="array" ref="I1491">IFERROR(XLOOKUP(D1491,'MASTER ITEM LIST'!A:A,'MASTER ITEM LIST'!D:D), "")</f>
        <v>PC/S</v>
      </c>
      <c r="J1491" s="34">
        <f t="shared" si="2"/>
        <v>25</v>
      </c>
      <c r="K1491" s="196">
        <v>25.0</v>
      </c>
      <c r="L1491" s="70" t="s">
        <v>42</v>
      </c>
    </row>
    <row r="1492" ht="22.5" customHeight="1">
      <c r="A1492" s="29">
        <v>46225.0</v>
      </c>
      <c r="B1492" s="31"/>
      <c r="C1492" s="32" t="s">
        <v>711</v>
      </c>
      <c r="D1492" s="198" t="str">
        <f t="array" ref="D1492">IF(E1492="", "", XLOOKUP(E1492, 'MASTER ITEM LIST'!B:B, 'MASTER ITEM LIST'!A:A, "Code Not Found"))</f>
        <v>EA320</v>
      </c>
      <c r="E1492" s="199" t="s">
        <v>1050</v>
      </c>
      <c r="F1492" s="31"/>
      <c r="G1492" s="195" t="s">
        <v>34</v>
      </c>
      <c r="H1492" s="31">
        <v>1.0</v>
      </c>
      <c r="I1492" s="31" t="str">
        <f t="array" ref="I1492">IFERROR(XLOOKUP(D1492,'MASTER ITEM LIST'!A:A,'MASTER ITEM LIST'!D:D), "")</f>
        <v>PCS</v>
      </c>
      <c r="J1492" s="34">
        <f t="shared" si="2"/>
        <v>25</v>
      </c>
      <c r="K1492" s="196">
        <v>25.0</v>
      </c>
      <c r="L1492" s="70" t="s">
        <v>42</v>
      </c>
    </row>
    <row r="1493" ht="22.5" customHeight="1">
      <c r="A1493" s="29">
        <v>46225.0</v>
      </c>
      <c r="B1493" s="31"/>
      <c r="C1493" s="32" t="s">
        <v>711</v>
      </c>
      <c r="D1493" s="198" t="str">
        <f t="array" ref="D1493">IF(E1493="", "", XLOOKUP(E1493, 'MASTER ITEM LIST'!B:B, 'MASTER ITEM LIST'!A:A, "Code Not Found"))</f>
        <v>NAXQDUMIX-1L</v>
      </c>
      <c r="E1493" s="199" t="s">
        <v>1161</v>
      </c>
      <c r="F1493" s="31"/>
      <c r="G1493" s="195" t="s">
        <v>34</v>
      </c>
      <c r="H1493" s="31">
        <v>0.5</v>
      </c>
      <c r="I1493" s="31" t="str">
        <f t="array" ref="I1493">IFERROR(XLOOKUP(D1493,'MASTER ITEM LIST'!A:A,'MASTER ITEM LIST'!D:D), "")</f>
        <v>LITER</v>
      </c>
      <c r="J1493" s="34">
        <f t="shared" si="2"/>
        <v>1400</v>
      </c>
      <c r="K1493" s="196">
        <v>700.0</v>
      </c>
      <c r="L1493" s="70" t="s">
        <v>42</v>
      </c>
    </row>
    <row r="1494" ht="22.5" customHeight="1">
      <c r="A1494" s="29">
        <v>46226.0</v>
      </c>
      <c r="B1494" s="31" t="s">
        <v>1817</v>
      </c>
      <c r="C1494" s="32" t="s">
        <v>1567</v>
      </c>
      <c r="D1494" s="198" t="str">
        <f t="array" ref="D1494">IF(E1494="", "", XLOOKUP(E1494, 'MASTER ITEM LIST'!B:B, 'MASTER ITEM LIST'!A:A, "Code Not Found"))</f>
        <v>EA1500</v>
      </c>
      <c r="E1494" s="199" t="s">
        <v>1039</v>
      </c>
      <c r="F1494" s="31"/>
      <c r="G1494" s="195" t="s">
        <v>34</v>
      </c>
      <c r="H1494" s="31">
        <v>1.0</v>
      </c>
      <c r="I1494" s="31" t="str">
        <f t="array" ref="I1494">IFERROR(XLOOKUP(D1494,'MASTER ITEM LIST'!A:A,'MASTER ITEM LIST'!D:D), "")</f>
        <v>PC/S</v>
      </c>
      <c r="J1494" s="34">
        <f t="shared" si="2"/>
        <v>25</v>
      </c>
      <c r="K1494" s="196">
        <v>25.0</v>
      </c>
      <c r="L1494" s="70" t="s">
        <v>42</v>
      </c>
    </row>
    <row r="1495" ht="22.5" customHeight="1">
      <c r="A1495" s="29">
        <v>46226.0</v>
      </c>
      <c r="B1495" s="31" t="s">
        <v>1817</v>
      </c>
      <c r="C1495" s="32" t="s">
        <v>1567</v>
      </c>
      <c r="D1495" s="198" t="str">
        <f t="array" ref="D1495">IF(E1495="", "", XLOOKUP(E1495, 'MASTER ITEM LIST'!B:B, 'MASTER ITEM LIST'!A:A, "Code Not Found"))</f>
        <v>EA2000</v>
      </c>
      <c r="E1495" s="199" t="s">
        <v>1045</v>
      </c>
      <c r="F1495" s="31"/>
      <c r="G1495" s="195" t="s">
        <v>34</v>
      </c>
      <c r="H1495" s="31">
        <v>1.0</v>
      </c>
      <c r="I1495" s="31" t="str">
        <f t="array" ref="I1495">IFERROR(XLOOKUP(D1495,'MASTER ITEM LIST'!A:A,'MASTER ITEM LIST'!D:D), "")</f>
        <v>PC/S</v>
      </c>
      <c r="J1495" s="34">
        <f t="shared" si="2"/>
        <v>25</v>
      </c>
      <c r="K1495" s="196">
        <v>25.0</v>
      </c>
      <c r="L1495" s="70" t="s">
        <v>42</v>
      </c>
    </row>
    <row r="1496" ht="22.5" customHeight="1">
      <c r="A1496" s="29">
        <v>46226.0</v>
      </c>
      <c r="B1496" s="31" t="s">
        <v>1817</v>
      </c>
      <c r="C1496" s="32" t="s">
        <v>1567</v>
      </c>
      <c r="D1496" s="198" t="str">
        <f t="array" ref="D1496">IF(E1496="", "", XLOOKUP(E1496, 'MASTER ITEM LIST'!B:B, 'MASTER ITEM LIST'!A:A, "Code Not Found"))</f>
        <v>EA120</v>
      </c>
      <c r="E1496" s="199" t="s">
        <v>1048</v>
      </c>
      <c r="F1496" s="31"/>
      <c r="G1496" s="195" t="s">
        <v>34</v>
      </c>
      <c r="H1496" s="31">
        <v>1.0</v>
      </c>
      <c r="I1496" s="31" t="str">
        <f t="array" ref="I1496">IFERROR(XLOOKUP(D1496,'MASTER ITEM LIST'!A:A,'MASTER ITEM LIST'!D:D), "")</f>
        <v>PC/S</v>
      </c>
      <c r="J1496" s="34">
        <f t="shared" si="2"/>
        <v>25</v>
      </c>
      <c r="K1496" s="196">
        <v>25.0</v>
      </c>
      <c r="L1496" s="70" t="s">
        <v>42</v>
      </c>
    </row>
    <row r="1497" ht="22.5" customHeight="1">
      <c r="A1497" s="29">
        <v>46226.0</v>
      </c>
      <c r="B1497" s="31" t="s">
        <v>1817</v>
      </c>
      <c r="C1497" s="32" t="s">
        <v>1567</v>
      </c>
      <c r="D1497" s="198" t="str">
        <f t="array" ref="D1497">IF(E1497="", "", XLOOKUP(E1497, 'MASTER ITEM LIST'!B:B, 'MASTER ITEM LIST'!A:A, "Code Not Found"))</f>
        <v>EA800</v>
      </c>
      <c r="E1497" s="199" t="s">
        <v>1040</v>
      </c>
      <c r="F1497" s="31"/>
      <c r="G1497" s="195" t="s">
        <v>34</v>
      </c>
      <c r="H1497" s="31">
        <v>1.0</v>
      </c>
      <c r="I1497" s="31" t="str">
        <f t="array" ref="I1497">IFERROR(XLOOKUP(D1497,'MASTER ITEM LIST'!A:A,'MASTER ITEM LIST'!D:D), "")</f>
        <v>PC/S</v>
      </c>
      <c r="J1497" s="34">
        <f t="shared" si="2"/>
        <v>25</v>
      </c>
      <c r="K1497" s="196">
        <v>25.0</v>
      </c>
      <c r="L1497" s="70" t="s">
        <v>42</v>
      </c>
    </row>
    <row r="1498" ht="22.5" customHeight="1">
      <c r="A1498" s="29">
        <v>46226.0</v>
      </c>
      <c r="B1498" s="31" t="s">
        <v>1817</v>
      </c>
      <c r="C1498" s="32" t="s">
        <v>1567</v>
      </c>
      <c r="D1498" s="198" t="str">
        <f t="array" ref="D1498">IF(E1498="", "", XLOOKUP(E1498, 'MASTER ITEM LIST'!B:B, 'MASTER ITEM LIST'!A:A, "Code Not Found"))</f>
        <v>PREMILAMIX-1L</v>
      </c>
      <c r="E1498" s="199" t="s">
        <v>1151</v>
      </c>
      <c r="F1498" s="31" t="s">
        <v>1818</v>
      </c>
      <c r="G1498" s="195" t="s">
        <v>34</v>
      </c>
      <c r="H1498" s="31">
        <v>0.25</v>
      </c>
      <c r="I1498" s="31" t="str">
        <f t="array" ref="I1498">IFERROR(XLOOKUP(D1498,'MASTER ITEM LIST'!A:A,'MASTER ITEM LIST'!D:D), "")</f>
        <v>LITER</v>
      </c>
      <c r="J1498" s="34">
        <f t="shared" si="2"/>
        <v>2400</v>
      </c>
      <c r="K1498" s="196">
        <v>600.0</v>
      </c>
      <c r="L1498" s="70" t="s">
        <v>42</v>
      </c>
    </row>
    <row r="1499" ht="22.5" customHeight="1">
      <c r="A1499" s="29">
        <v>46226.0</v>
      </c>
      <c r="B1499" s="31" t="s">
        <v>1817</v>
      </c>
      <c r="C1499" s="32" t="s">
        <v>1567</v>
      </c>
      <c r="D1499" s="198" t="str">
        <f t="array" ref="D1499">IF(E1499="", "", XLOOKUP(E1499, 'MASTER ITEM LIST'!B:B, 'MASTER ITEM LIST'!A:A, "Code Not Found"))</f>
        <v>NAT3974</v>
      </c>
      <c r="E1499" s="199" t="s">
        <v>885</v>
      </c>
      <c r="F1499" s="31"/>
      <c r="G1499" s="195" t="s">
        <v>34</v>
      </c>
      <c r="H1499" s="31">
        <v>0.25</v>
      </c>
      <c r="I1499" s="31" t="str">
        <f t="array" ref="I1499">IFERROR(XLOOKUP(D1499,'MASTER ITEM LIST'!A:A,'MASTER ITEM LIST'!D:D), "")</f>
        <v>LITER</v>
      </c>
      <c r="J1499" s="34">
        <f t="shared" si="2"/>
        <v>1120</v>
      </c>
      <c r="K1499" s="196">
        <v>280.0</v>
      </c>
      <c r="L1499" s="70" t="s">
        <v>42</v>
      </c>
    </row>
    <row r="1500" ht="22.5" customHeight="1">
      <c r="A1500" s="29">
        <v>46226.0</v>
      </c>
      <c r="B1500" s="31" t="s">
        <v>1817</v>
      </c>
      <c r="C1500" s="32" t="s">
        <v>1567</v>
      </c>
      <c r="D1500" s="198" t="str">
        <f t="array" ref="D1500">IF(E1500="", "", XLOOKUP(E1500, 'MASTER ITEM LIST'!B:B, 'MASTER ITEM LIST'!A:A, "Code Not Found"))</f>
        <v>CRO-MT3/4</v>
      </c>
      <c r="E1500" s="199" t="s">
        <v>1103</v>
      </c>
      <c r="F1500" s="31"/>
      <c r="G1500" s="195" t="s">
        <v>34</v>
      </c>
      <c r="H1500" s="31">
        <v>1.0</v>
      </c>
      <c r="I1500" s="31" t="str">
        <f t="array" ref="I1500">IFERROR(XLOOKUP(D1500,'MASTER ITEM LIST'!A:A,'MASTER ITEM LIST'!D:D), "")</f>
        <v>PC/S</v>
      </c>
      <c r="J1500" s="34">
        <f t="shared" si="2"/>
        <v>35</v>
      </c>
      <c r="K1500" s="196">
        <v>35.0</v>
      </c>
      <c r="L1500" s="70" t="s">
        <v>42</v>
      </c>
    </row>
    <row r="1501" ht="22.5" customHeight="1">
      <c r="A1501" s="29">
        <v>46226.0</v>
      </c>
      <c r="B1501" s="31" t="s">
        <v>1819</v>
      </c>
      <c r="C1501" s="32" t="s">
        <v>1567</v>
      </c>
      <c r="D1501" s="198" t="str">
        <f t="array" ref="D1501">IF(E1501="", "", XLOOKUP(E1501, 'MASTER ITEM LIST'!B:B, 'MASTER ITEM LIST'!A:A, "Code Not Found"))</f>
        <v>MSC</v>
      </c>
      <c r="E1501" s="199" t="s">
        <v>518</v>
      </c>
      <c r="F1501" s="31"/>
      <c r="G1501" s="195" t="s">
        <v>34</v>
      </c>
      <c r="H1501" s="31">
        <v>0.5</v>
      </c>
      <c r="I1501" s="31" t="str">
        <f t="array" ref="I1501">IFERROR(XLOOKUP(D1501,'MASTER ITEM LIST'!A:A,'MASTER ITEM LIST'!D:D), "")</f>
        <v>KG</v>
      </c>
      <c r="J1501" s="34">
        <f t="shared" si="2"/>
        <v>90</v>
      </c>
      <c r="K1501" s="196">
        <v>45.0</v>
      </c>
      <c r="L1501" s="70" t="s">
        <v>42</v>
      </c>
    </row>
    <row r="1502" ht="22.5" customHeight="1">
      <c r="A1502" s="29">
        <v>46226.0</v>
      </c>
      <c r="B1502" s="31"/>
      <c r="C1502" s="32" t="s">
        <v>711</v>
      </c>
      <c r="D1502" s="198" t="str">
        <f t="array" ref="D1502">IF(E1502="", "", XLOOKUP(E1502, 'MASTER ITEM LIST'!B:B, 'MASTER ITEM LIST'!A:A, "Code Not Found"))</f>
        <v>CUMIFS-100</v>
      </c>
      <c r="E1502" s="199" t="s">
        <v>1102</v>
      </c>
      <c r="F1502" s="31"/>
      <c r="G1502" s="195" t="s">
        <v>34</v>
      </c>
      <c r="H1502" s="31">
        <v>2.0</v>
      </c>
      <c r="I1502" s="31" t="str">
        <f t="array" ref="I1502">IFERROR(XLOOKUP(D1502,'MASTER ITEM LIST'!A:A,'MASTER ITEM LIST'!D:D), "")</f>
        <v>FT</v>
      </c>
      <c r="J1502" s="34">
        <f t="shared" si="2"/>
        <v>95</v>
      </c>
      <c r="K1502" s="196">
        <v>190.0</v>
      </c>
      <c r="L1502" s="70" t="s">
        <v>42</v>
      </c>
    </row>
    <row r="1503" ht="22.5" customHeight="1">
      <c r="A1503" s="29">
        <v>46226.0</v>
      </c>
      <c r="B1503" s="31"/>
      <c r="C1503" s="32" t="s">
        <v>711</v>
      </c>
      <c r="D1503" s="198" t="str">
        <f t="array" ref="D1503">IF(E1503="", "", XLOOKUP(E1503, 'MASTER ITEM LIST'!B:B, 'MASTER ITEM LIST'!A:A, "Code Not Found"))</f>
        <v>PLYZMTB-47</v>
      </c>
      <c r="E1503" s="199" t="s">
        <v>1198</v>
      </c>
      <c r="F1503" s="31"/>
      <c r="G1503" s="195" t="s">
        <v>34</v>
      </c>
      <c r="H1503" s="31">
        <v>1.0</v>
      </c>
      <c r="I1503" s="31" t="str">
        <f t="array" ref="I1503">IFERROR(XLOOKUP(D1503,'MASTER ITEM LIST'!A:A,'MASTER ITEM LIST'!D:D), "")</f>
        <v>CAN</v>
      </c>
      <c r="J1503" s="34">
        <f t="shared" si="2"/>
        <v>145</v>
      </c>
      <c r="K1503" s="196">
        <v>145.0</v>
      </c>
      <c r="L1503" s="70" t="s">
        <v>42</v>
      </c>
    </row>
    <row r="1504" ht="22.5" customHeight="1">
      <c r="A1504" s="29">
        <v>46226.0</v>
      </c>
      <c r="B1504" s="31"/>
      <c r="C1504" s="32" t="s">
        <v>711</v>
      </c>
      <c r="D1504" s="198" t="str">
        <f t="array" ref="D1504">IF(E1504="", "", XLOOKUP(E1504, 'MASTER ITEM LIST'!B:B, 'MASTER ITEM LIST'!A:A, "Code Not Found"))</f>
        <v>SOB757</v>
      </c>
      <c r="E1504" s="199" t="s">
        <v>91</v>
      </c>
      <c r="F1504" s="31"/>
      <c r="G1504" s="195" t="s">
        <v>34</v>
      </c>
      <c r="H1504" s="31">
        <v>0.25</v>
      </c>
      <c r="I1504" s="31" t="str">
        <f t="array" ref="I1504">IFERROR(XLOOKUP(D1504,'MASTER ITEM LIST'!A:A,'MASTER ITEM LIST'!D:D), "")</f>
        <v>GAL</v>
      </c>
      <c r="J1504" s="34">
        <f t="shared" si="2"/>
        <v>800</v>
      </c>
      <c r="K1504" s="196">
        <v>200.0</v>
      </c>
      <c r="L1504" s="70" t="s">
        <v>42</v>
      </c>
    </row>
    <row r="1505" ht="22.5" customHeight="1">
      <c r="A1505" s="29">
        <v>46226.0</v>
      </c>
      <c r="B1505" s="31"/>
      <c r="C1505" s="32" t="s">
        <v>711</v>
      </c>
      <c r="D1505" s="198" t="str">
        <f t="array" ref="D1505">IF(E1505="", "", XLOOKUP(E1505, 'MASTER ITEM LIST'!B:B, 'MASTER ITEM LIST'!A:A, "Code Not Found"))</f>
        <v>EXTREMEMIX-1L</v>
      </c>
      <c r="E1505" s="199" t="s">
        <v>1164</v>
      </c>
      <c r="F1505" s="31"/>
      <c r="G1505" s="195" t="s">
        <v>34</v>
      </c>
      <c r="H1505" s="31">
        <v>0.25</v>
      </c>
      <c r="I1505" s="31" t="str">
        <f t="array" ref="I1505">IFERROR(XLOOKUP(D1505,'MASTER ITEM LIST'!A:A,'MASTER ITEM LIST'!D:D), "")</f>
        <v>LITER</v>
      </c>
      <c r="J1505" s="34">
        <f t="shared" si="2"/>
        <v>800</v>
      </c>
      <c r="K1505" s="196">
        <v>200.0</v>
      </c>
      <c r="L1505" s="70" t="s">
        <v>42</v>
      </c>
    </row>
    <row r="1506" ht="22.5" customHeight="1">
      <c r="A1506" s="29">
        <v>46226.0</v>
      </c>
      <c r="B1506" s="31"/>
      <c r="C1506" s="32" t="s">
        <v>711</v>
      </c>
      <c r="D1506" s="198" t="str">
        <f t="array" ref="D1506">IF(E1506="", "", XLOOKUP(E1506, 'MASTER ITEM LIST'!B:B, 'MASTER ITEM LIST'!A:A, "Code Not Found"))</f>
        <v>CRO-MT3/4</v>
      </c>
      <c r="E1506" s="199" t="s">
        <v>1103</v>
      </c>
      <c r="F1506" s="31"/>
      <c r="G1506" s="195" t="s">
        <v>34</v>
      </c>
      <c r="H1506" s="31">
        <v>2.0</v>
      </c>
      <c r="I1506" s="31" t="str">
        <f t="array" ref="I1506">IFERROR(XLOOKUP(D1506,'MASTER ITEM LIST'!A:A,'MASTER ITEM LIST'!D:D), "")</f>
        <v>PC/S</v>
      </c>
      <c r="J1506" s="34">
        <f t="shared" si="2"/>
        <v>35</v>
      </c>
      <c r="K1506" s="196">
        <v>70.0</v>
      </c>
      <c r="L1506" s="70" t="s">
        <v>42</v>
      </c>
    </row>
    <row r="1507" ht="22.5" customHeight="1">
      <c r="A1507" s="29">
        <v>46226.0</v>
      </c>
      <c r="B1507" s="31"/>
      <c r="C1507" s="32" t="s">
        <v>711</v>
      </c>
      <c r="D1507" s="198" t="str">
        <f t="array" ref="D1507">IF(E1507="", "", XLOOKUP(E1507, 'MASTER ITEM LIST'!B:B, 'MASTER ITEM LIST'!A:A, "Code Not Found"))</f>
        <v>EA600</v>
      </c>
      <c r="E1507" s="199" t="s">
        <v>1041</v>
      </c>
      <c r="F1507" s="31"/>
      <c r="G1507" s="195" t="s">
        <v>34</v>
      </c>
      <c r="H1507" s="31">
        <v>1.0</v>
      </c>
      <c r="I1507" s="31" t="str">
        <f t="array" ref="I1507">IFERROR(XLOOKUP(D1507,'MASTER ITEM LIST'!A:A,'MASTER ITEM LIST'!D:D), "")</f>
        <v>PCS</v>
      </c>
      <c r="J1507" s="34">
        <f t="shared" si="2"/>
        <v>25</v>
      </c>
      <c r="K1507" s="196">
        <v>25.0</v>
      </c>
      <c r="L1507" s="70" t="s">
        <v>42</v>
      </c>
    </row>
    <row r="1508" ht="22.5" customHeight="1">
      <c r="A1508" s="29">
        <v>46226.0</v>
      </c>
      <c r="B1508" s="31"/>
      <c r="C1508" s="32" t="s">
        <v>711</v>
      </c>
      <c r="D1508" s="198" t="str">
        <f t="array" ref="D1508">IF(E1508="", "", XLOOKUP(E1508, 'MASTER ITEM LIST'!B:B, 'MASTER ITEM LIST'!A:A, "Code Not Found"))</f>
        <v>PG888-4L</v>
      </c>
      <c r="E1508" s="199" t="s">
        <v>455</v>
      </c>
      <c r="F1508" s="31"/>
      <c r="G1508" s="195" t="s">
        <v>34</v>
      </c>
      <c r="H1508" s="31">
        <v>0.125</v>
      </c>
      <c r="I1508" s="31" t="str">
        <f t="array" ref="I1508">IFERROR(XLOOKUP(D1508,'MASTER ITEM LIST'!A:A,'MASTER ITEM LIST'!D:D), "")</f>
        <v>GALON</v>
      </c>
      <c r="J1508" s="34">
        <f t="shared" si="2"/>
        <v>3840</v>
      </c>
      <c r="K1508" s="196">
        <v>480.0</v>
      </c>
      <c r="L1508" s="70" t="s">
        <v>42</v>
      </c>
    </row>
    <row r="1509" ht="22.5" customHeight="1">
      <c r="A1509" s="29">
        <v>46226.0</v>
      </c>
      <c r="B1509" s="31"/>
      <c r="C1509" s="32" t="s">
        <v>711</v>
      </c>
      <c r="D1509" s="198" t="str">
        <f t="array" ref="D1509">IF(E1509="", "", XLOOKUP(E1509, 'MASTER ITEM LIST'!B:B, 'MASTER ITEM LIST'!A:A, "Code Not Found"))</f>
        <v>2B-PB#3</v>
      </c>
      <c r="E1509" s="199" t="s">
        <v>1148</v>
      </c>
      <c r="F1509" s="31"/>
      <c r="G1509" s="195" t="s">
        <v>34</v>
      </c>
      <c r="H1509" s="31">
        <v>1.0</v>
      </c>
      <c r="I1509" s="31" t="str">
        <f t="array" ref="I1509">IFERROR(XLOOKUP(D1509,'MASTER ITEM LIST'!A:A,'MASTER ITEM LIST'!D:D), "")</f>
        <v>PC/S</v>
      </c>
      <c r="J1509" s="34">
        <f t="shared" si="2"/>
        <v>90</v>
      </c>
      <c r="K1509" s="196">
        <v>90.0</v>
      </c>
      <c r="L1509" s="70" t="s">
        <v>42</v>
      </c>
    </row>
    <row r="1510" ht="22.5" customHeight="1">
      <c r="A1510" s="29">
        <v>46226.0</v>
      </c>
      <c r="B1510" s="31"/>
      <c r="C1510" s="32" t="s">
        <v>711</v>
      </c>
      <c r="D1510" s="198" t="str">
        <f t="array" ref="D1510">IF(E1510="", "", XLOOKUP(E1510, 'MASTER ITEM LIST'!B:B, 'MASTER ITEM LIST'!A:A, "Code Not Found"))</f>
        <v>SOB757</v>
      </c>
      <c r="E1510" s="199" t="s">
        <v>91</v>
      </c>
      <c r="F1510" s="31"/>
      <c r="G1510" s="195" t="s">
        <v>34</v>
      </c>
      <c r="H1510" s="31">
        <v>1.0</v>
      </c>
      <c r="I1510" s="31" t="str">
        <f t="array" ref="I1510">IFERROR(XLOOKUP(D1510,'MASTER ITEM LIST'!A:A,'MASTER ITEM LIST'!D:D), "")</f>
        <v>GAL</v>
      </c>
      <c r="J1510" s="34">
        <f t="shared" si="2"/>
        <v>650</v>
      </c>
      <c r="K1510" s="196">
        <v>650.0</v>
      </c>
      <c r="L1510" s="70" t="s">
        <v>42</v>
      </c>
    </row>
    <row r="1511" ht="22.5" customHeight="1">
      <c r="A1511" s="29">
        <v>46226.0</v>
      </c>
      <c r="B1511" s="31"/>
      <c r="C1511" s="32" t="s">
        <v>711</v>
      </c>
      <c r="D1511" s="198" t="str">
        <f t="array" ref="D1511">IF(E1511="", "", XLOOKUP(E1511, 'MASTER ITEM LIST'!B:B, 'MASTER ITEM LIST'!A:A, "Code Not Found"))</f>
        <v>PG888-4L</v>
      </c>
      <c r="E1511" s="199" t="s">
        <v>455</v>
      </c>
      <c r="F1511" s="31"/>
      <c r="G1511" s="195" t="s">
        <v>34</v>
      </c>
      <c r="H1511" s="31">
        <v>0.75</v>
      </c>
      <c r="I1511" s="31" t="str">
        <f t="array" ref="I1511">IFERROR(XLOOKUP(D1511,'MASTER ITEM LIST'!A:A,'MASTER ITEM LIST'!D:D), "")</f>
        <v>GALON</v>
      </c>
      <c r="J1511" s="34">
        <f t="shared" si="2"/>
        <v>4800</v>
      </c>
      <c r="K1511" s="196">
        <v>3600.0</v>
      </c>
      <c r="L1511" s="70" t="s">
        <v>42</v>
      </c>
    </row>
    <row r="1512" ht="22.5" customHeight="1">
      <c r="A1512" s="29">
        <v>46227.0</v>
      </c>
      <c r="B1512" s="31"/>
      <c r="C1512" s="32" t="s">
        <v>711</v>
      </c>
      <c r="D1512" s="198" t="str">
        <f t="array" ref="D1512">IF(E1512="", "", XLOOKUP(E1512, 'MASTER ITEM LIST'!B:B, 'MASTER ITEM LIST'!A:A, "Code Not Found"))</f>
        <v>NF145W-5KG</v>
      </c>
      <c r="E1512" s="199" t="s">
        <v>1150</v>
      </c>
      <c r="F1512" s="31"/>
      <c r="G1512" s="195" t="s">
        <v>34</v>
      </c>
      <c r="H1512" s="31">
        <v>1.0</v>
      </c>
      <c r="I1512" s="31" t="str">
        <f t="array" ref="I1512">IFERROR(XLOOKUP(D1512,'MASTER ITEM LIST'!A:A,'MASTER ITEM LIST'!D:D), "")</f>
        <v>5KG</v>
      </c>
      <c r="J1512" s="34">
        <f t="shared" si="2"/>
        <v>1800</v>
      </c>
      <c r="K1512" s="196">
        <v>1800.0</v>
      </c>
      <c r="L1512" s="70" t="s">
        <v>42</v>
      </c>
    </row>
    <row r="1513" ht="22.5" customHeight="1">
      <c r="A1513" s="29">
        <v>46227.0</v>
      </c>
      <c r="B1513" s="31" t="s">
        <v>1820</v>
      </c>
      <c r="C1513" s="32" t="s">
        <v>93</v>
      </c>
      <c r="D1513" s="198" t="str">
        <f t="array" ref="D1513">IF(E1513="", "", XLOOKUP(E1513, 'MASTER ITEM LIST'!B:B, 'MASTER ITEM LIST'!A:A, "Code Not Found"))</f>
        <v>EA2000</v>
      </c>
      <c r="E1513" s="199" t="s">
        <v>1045</v>
      </c>
      <c r="F1513" s="31"/>
      <c r="G1513" s="195" t="s">
        <v>34</v>
      </c>
      <c r="H1513" s="31">
        <v>3.0</v>
      </c>
      <c r="I1513" s="31" t="str">
        <f t="array" ref="I1513">IFERROR(XLOOKUP(D1513,'MASTER ITEM LIST'!A:A,'MASTER ITEM LIST'!D:D), "")</f>
        <v>PC/S</v>
      </c>
      <c r="J1513" s="34">
        <f t="shared" si="2"/>
        <v>35</v>
      </c>
      <c r="K1513" s="196">
        <v>105.0</v>
      </c>
      <c r="L1513" s="70" t="s">
        <v>42</v>
      </c>
    </row>
    <row r="1514" ht="22.5" customHeight="1">
      <c r="A1514" s="29">
        <v>46227.0</v>
      </c>
      <c r="B1514" s="31" t="s">
        <v>1820</v>
      </c>
      <c r="C1514" s="32" t="s">
        <v>93</v>
      </c>
      <c r="D1514" s="198" t="str">
        <f t="array" ref="D1514">IF(E1514="", "", XLOOKUP(E1514, 'MASTER ITEM LIST'!B:B, 'MASTER ITEM LIST'!A:A, "Code Not Found"))</f>
        <v>EA1200</v>
      </c>
      <c r="E1514" s="199" t="s">
        <v>1047</v>
      </c>
      <c r="F1514" s="31"/>
      <c r="G1514" s="195" t="s">
        <v>34</v>
      </c>
      <c r="H1514" s="31">
        <v>2.0</v>
      </c>
      <c r="I1514" s="31" t="str">
        <f t="array" ref="I1514">IFERROR(XLOOKUP(D1514,'MASTER ITEM LIST'!A:A,'MASTER ITEM LIST'!D:D), "")</f>
        <v>PC/S</v>
      </c>
      <c r="J1514" s="34">
        <f t="shared" si="2"/>
        <v>25</v>
      </c>
      <c r="K1514" s="196">
        <v>50.0</v>
      </c>
      <c r="L1514" s="70" t="s">
        <v>42</v>
      </c>
    </row>
    <row r="1515" ht="22.5" customHeight="1">
      <c r="A1515" s="29">
        <v>46227.0</v>
      </c>
      <c r="B1515" s="31"/>
      <c r="C1515" s="32" t="s">
        <v>711</v>
      </c>
      <c r="D1515" s="198" t="str">
        <f t="array" ref="D1515">IF(E1515="", "", XLOOKUP(E1515, 'MASTER ITEM LIST'!B:B, 'MASTER ITEM LIST'!A:A, "Code Not Found"))</f>
        <v>EA240</v>
      </c>
      <c r="E1515" s="199" t="s">
        <v>1044</v>
      </c>
      <c r="F1515" s="31"/>
      <c r="G1515" s="195" t="s">
        <v>34</v>
      </c>
      <c r="H1515" s="31">
        <v>6.0</v>
      </c>
      <c r="I1515" s="31" t="str">
        <f t="array" ref="I1515">IFERROR(XLOOKUP(D1515,'MASTER ITEM LIST'!A:A,'MASTER ITEM LIST'!D:D), "")</f>
        <v>PC/S</v>
      </c>
      <c r="J1515" s="34">
        <f t="shared" si="2"/>
        <v>25</v>
      </c>
      <c r="K1515" s="196">
        <v>150.0</v>
      </c>
      <c r="L1515" s="70" t="s">
        <v>42</v>
      </c>
    </row>
    <row r="1516" ht="22.5" customHeight="1">
      <c r="A1516" s="29">
        <v>46227.0</v>
      </c>
      <c r="B1516" s="31"/>
      <c r="C1516" s="32" t="s">
        <v>711</v>
      </c>
      <c r="D1516" s="198" t="str">
        <f t="array" ref="D1516">IF(E1516="", "", XLOOKUP(E1516, 'MASTER ITEM LIST'!B:B, 'MASTER ITEM LIST'!A:A, "Code Not Found"))</f>
        <v>PREMILAMIX-1L</v>
      </c>
      <c r="E1516" s="199" t="s">
        <v>1151</v>
      </c>
      <c r="F1516" s="31" t="s">
        <v>1821</v>
      </c>
      <c r="G1516" s="195" t="s">
        <v>34</v>
      </c>
      <c r="H1516" s="31">
        <v>0.125</v>
      </c>
      <c r="I1516" s="31" t="str">
        <f t="array" ref="I1516">IFERROR(XLOOKUP(D1516,'MASTER ITEM LIST'!A:A,'MASTER ITEM LIST'!D:D), "")</f>
        <v>LITER</v>
      </c>
      <c r="J1516" s="34">
        <f t="shared" si="2"/>
        <v>2800</v>
      </c>
      <c r="K1516" s="196">
        <v>350.0</v>
      </c>
      <c r="L1516" s="70" t="s">
        <v>42</v>
      </c>
    </row>
    <row r="1517" ht="22.5" customHeight="1">
      <c r="A1517" s="29">
        <v>46227.0</v>
      </c>
      <c r="B1517" s="31" t="s">
        <v>1822</v>
      </c>
      <c r="C1517" s="32" t="s">
        <v>93</v>
      </c>
      <c r="D1517" s="198" t="str">
        <f t="array" ref="D1517">IF(E1517="", "", XLOOKUP(E1517, 'MASTER ITEM LIST'!B:B, 'MASTER ITEM LIST'!A:A, "Code Not Found"))</f>
        <v>PREMILAMIX-1L</v>
      </c>
      <c r="E1517" s="199" t="s">
        <v>1151</v>
      </c>
      <c r="F1517" s="31" t="s">
        <v>1823</v>
      </c>
      <c r="G1517" s="195" t="s">
        <v>1376</v>
      </c>
      <c r="H1517" s="31">
        <v>0.5</v>
      </c>
      <c r="I1517" s="31" t="str">
        <f t="array" ref="I1517">IFERROR(XLOOKUP(D1517,'MASTER ITEM LIST'!A:A,'MASTER ITEM LIST'!D:D), "")</f>
        <v>LITER</v>
      </c>
      <c r="J1517" s="34">
        <f t="shared" si="2"/>
        <v>2600</v>
      </c>
      <c r="K1517" s="196">
        <v>1300.0</v>
      </c>
      <c r="L1517" s="70" t="s">
        <v>42</v>
      </c>
    </row>
    <row r="1518" ht="22.5" customHeight="1">
      <c r="A1518" s="29">
        <v>46227.0</v>
      </c>
      <c r="B1518" s="31" t="s">
        <v>1822</v>
      </c>
      <c r="C1518" s="32" t="s">
        <v>93</v>
      </c>
      <c r="D1518" s="198" t="str">
        <f t="array" ref="D1518">IF(E1518="", "", XLOOKUP(E1518, 'MASTER ITEM LIST'!B:B, 'MASTER ITEM LIST'!A:A, "Code Not Found"))</f>
        <v>EXTREMEMIX-1L</v>
      </c>
      <c r="E1518" s="199" t="s">
        <v>1164</v>
      </c>
      <c r="F1518" s="31"/>
      <c r="G1518" s="195" t="s">
        <v>1376</v>
      </c>
      <c r="H1518" s="31">
        <v>1.0</v>
      </c>
      <c r="I1518" s="31" t="str">
        <f t="array" ref="I1518">IFERROR(XLOOKUP(D1518,'MASTER ITEM LIST'!A:A,'MASTER ITEM LIST'!D:D), "")</f>
        <v>LITER</v>
      </c>
      <c r="J1518" s="34">
        <f t="shared" si="2"/>
        <v>750</v>
      </c>
      <c r="K1518" s="196">
        <v>750.0</v>
      </c>
      <c r="L1518" s="70" t="s">
        <v>42</v>
      </c>
    </row>
    <row r="1519" ht="22.5" customHeight="1">
      <c r="A1519" s="29">
        <v>46227.0</v>
      </c>
      <c r="B1519" s="31" t="s">
        <v>1822</v>
      </c>
      <c r="C1519" s="32" t="s">
        <v>93</v>
      </c>
      <c r="D1519" s="198" t="str">
        <f t="array" ref="D1519">IF(E1519="", "", XLOOKUP(E1519, 'MASTER ITEM LIST'!B:B, 'MASTER ITEM LIST'!A:A, "Code Not Found"))</f>
        <v>NAX108</v>
      </c>
      <c r="E1519" s="199" t="s">
        <v>960</v>
      </c>
      <c r="F1519" s="31"/>
      <c r="G1519" s="195" t="s">
        <v>1376</v>
      </c>
      <c r="H1519" s="31">
        <v>2.0</v>
      </c>
      <c r="I1519" s="31" t="str">
        <f t="array" ref="I1519">IFERROR(XLOOKUP(D1519,'MASTER ITEM LIST'!A:A,'MASTER ITEM LIST'!D:D), "")</f>
        <v>LITER</v>
      </c>
      <c r="J1519" s="34">
        <f t="shared" si="2"/>
        <v>680</v>
      </c>
      <c r="K1519" s="196">
        <v>1360.0</v>
      </c>
      <c r="L1519" s="70" t="s">
        <v>42</v>
      </c>
    </row>
    <row r="1520" ht="22.5" customHeight="1">
      <c r="A1520" s="29">
        <v>46227.0</v>
      </c>
      <c r="B1520" s="31" t="s">
        <v>1824</v>
      </c>
      <c r="C1520" s="32" t="s">
        <v>1210</v>
      </c>
      <c r="D1520" s="198" t="str">
        <f t="array" ref="D1520">IF(E1520="", "", XLOOKUP(E1520, 'MASTER ITEM LIST'!B:B, 'MASTER ITEM LIST'!A:A, "Code Not Found"))</f>
        <v>PREMILAMIX-1L</v>
      </c>
      <c r="E1520" s="199" t="s">
        <v>1151</v>
      </c>
      <c r="F1520" s="31" t="s">
        <v>1825</v>
      </c>
      <c r="G1520" s="195" t="s">
        <v>1211</v>
      </c>
      <c r="H1520" s="31">
        <v>1.0</v>
      </c>
      <c r="I1520" s="31" t="str">
        <f t="array" ref="I1520">IFERROR(XLOOKUP(D1520,'MASTER ITEM LIST'!A:A,'MASTER ITEM LIST'!D:D), "")</f>
        <v>LITER</v>
      </c>
      <c r="J1520" s="34">
        <f t="shared" si="2"/>
        <v>2600</v>
      </c>
      <c r="K1520" s="196">
        <v>2600.0</v>
      </c>
      <c r="L1520" s="70" t="s">
        <v>1212</v>
      </c>
    </row>
    <row r="1521" ht="22.5" customHeight="1">
      <c r="A1521" s="29">
        <v>46227.0</v>
      </c>
      <c r="B1521" s="31" t="s">
        <v>1824</v>
      </c>
      <c r="C1521" s="32" t="s">
        <v>1210</v>
      </c>
      <c r="D1521" s="198" t="str">
        <f t="array" ref="D1521">IF(E1521="", "", XLOOKUP(E1521, 'MASTER ITEM LIST'!B:B, 'MASTER ITEM LIST'!A:A, "Code Not Found"))</f>
        <v>SOB745</v>
      </c>
      <c r="E1521" s="199" t="s">
        <v>708</v>
      </c>
      <c r="F1521" s="31"/>
      <c r="G1521" s="195" t="s">
        <v>1211</v>
      </c>
      <c r="H1521" s="31">
        <v>0.25</v>
      </c>
      <c r="I1521" s="31" t="str">
        <f t="array" ref="I1521">IFERROR(XLOOKUP(D1521,'MASTER ITEM LIST'!A:A,'MASTER ITEM LIST'!D:D), "")</f>
        <v>GAL</v>
      </c>
      <c r="J1521" s="34">
        <f t="shared" si="2"/>
        <v>800</v>
      </c>
      <c r="K1521" s="196">
        <v>200.0</v>
      </c>
      <c r="L1521" s="70" t="s">
        <v>1212</v>
      </c>
    </row>
    <row r="1522" ht="22.5" customHeight="1">
      <c r="A1522" s="29">
        <v>46227.0</v>
      </c>
      <c r="B1522" s="31" t="s">
        <v>1824</v>
      </c>
      <c r="C1522" s="32" t="s">
        <v>1210</v>
      </c>
      <c r="D1522" s="198" t="str">
        <f t="array" ref="D1522">IF(E1522="", "", XLOOKUP(E1522, 'MASTER ITEM LIST'!B:B, 'MASTER ITEM LIST'!A:A, "Code Not Found"))</f>
        <v>NAX108</v>
      </c>
      <c r="E1522" s="199" t="s">
        <v>960</v>
      </c>
      <c r="F1522" s="31"/>
      <c r="G1522" s="195" t="s">
        <v>1211</v>
      </c>
      <c r="H1522" s="31">
        <v>1.0</v>
      </c>
      <c r="I1522" s="31" t="str">
        <f t="array" ref="I1522">IFERROR(XLOOKUP(D1522,'MASTER ITEM LIST'!A:A,'MASTER ITEM LIST'!D:D), "")</f>
        <v>LITER</v>
      </c>
      <c r="J1522" s="34">
        <f t="shared" si="2"/>
        <v>710</v>
      </c>
      <c r="K1522" s="196">
        <v>710.0</v>
      </c>
      <c r="L1522" s="70" t="s">
        <v>1212</v>
      </c>
    </row>
    <row r="1523" ht="22.5" customHeight="1">
      <c r="A1523" s="29">
        <v>46227.0</v>
      </c>
      <c r="B1523" s="31" t="s">
        <v>1824</v>
      </c>
      <c r="C1523" s="32" t="s">
        <v>1210</v>
      </c>
      <c r="D1523" s="198" t="str">
        <f t="array" ref="D1523">IF(E1523="", "", XLOOKUP(E1523, 'MASTER ITEM LIST'!B:B, 'MASTER ITEM LIST'!A:A, "Code Not Found"))</f>
        <v>CRO-MT3/4</v>
      </c>
      <c r="E1523" s="199" t="s">
        <v>1103</v>
      </c>
      <c r="F1523" s="31"/>
      <c r="G1523" s="140" t="s">
        <v>1211</v>
      </c>
      <c r="H1523" s="31">
        <v>4.0</v>
      </c>
      <c r="I1523" s="31" t="str">
        <f t="array" ref="I1523">IFERROR(XLOOKUP(D1523,'MASTER ITEM LIST'!A:A,'MASTER ITEM LIST'!D:D), "")</f>
        <v>PC/S</v>
      </c>
      <c r="J1523" s="34">
        <f t="shared" si="2"/>
        <v>35</v>
      </c>
      <c r="K1523" s="196">
        <v>140.0</v>
      </c>
      <c r="L1523" s="70" t="s">
        <v>1212</v>
      </c>
    </row>
    <row r="1524" ht="22.5" customHeight="1">
      <c r="A1524" s="29">
        <v>46227.0</v>
      </c>
      <c r="B1524" s="31" t="s">
        <v>1824</v>
      </c>
      <c r="C1524" s="32" t="s">
        <v>1210</v>
      </c>
      <c r="D1524" s="198" t="str">
        <f t="array" ref="D1524">IF(E1524="", "", XLOOKUP(E1524, 'MASTER ITEM LIST'!B:B, 'MASTER ITEM LIST'!A:A, "Code Not Found"))</f>
        <v>MSC</v>
      </c>
      <c r="E1524" s="199" t="s">
        <v>518</v>
      </c>
      <c r="F1524" s="31"/>
      <c r="G1524" s="195" t="s">
        <v>1211</v>
      </c>
      <c r="H1524" s="31">
        <v>1.0</v>
      </c>
      <c r="I1524" s="31" t="str">
        <f t="array" ref="I1524">IFERROR(XLOOKUP(D1524,'MASTER ITEM LIST'!A:A,'MASTER ITEM LIST'!D:D), "")</f>
        <v>KG</v>
      </c>
      <c r="J1524" s="34">
        <f t="shared" si="2"/>
        <v>100</v>
      </c>
      <c r="K1524" s="196">
        <v>100.0</v>
      </c>
      <c r="L1524" s="70" t="s">
        <v>1212</v>
      </c>
    </row>
    <row r="1525" ht="22.5" customHeight="1">
      <c r="A1525" s="29">
        <v>46227.0</v>
      </c>
      <c r="B1525" s="31" t="s">
        <v>1826</v>
      </c>
      <c r="C1525" s="32" t="s">
        <v>1210</v>
      </c>
      <c r="D1525" s="198" t="str">
        <f t="array" ref="D1525">IF(E1525="", "", XLOOKUP(E1525, 'MASTER ITEM LIST'!B:B, 'MASTER ITEM LIST'!A:A, "Code Not Found"))</f>
        <v>PREMILAMIX-1L</v>
      </c>
      <c r="E1525" s="199" t="s">
        <v>1151</v>
      </c>
      <c r="F1525" s="31"/>
      <c r="G1525" s="195" t="s">
        <v>1211</v>
      </c>
      <c r="H1525" s="31">
        <v>0.5</v>
      </c>
      <c r="I1525" s="31" t="str">
        <f t="array" ref="I1525">IFERROR(XLOOKUP(D1525,'MASTER ITEM LIST'!A:A,'MASTER ITEM LIST'!D:D), "")</f>
        <v>LITER</v>
      </c>
      <c r="J1525" s="34">
        <f t="shared" si="2"/>
        <v>2500</v>
      </c>
      <c r="K1525" s="196">
        <v>1250.0</v>
      </c>
      <c r="L1525" s="70" t="s">
        <v>1212</v>
      </c>
    </row>
    <row r="1526" ht="22.5" customHeight="1">
      <c r="A1526" s="29">
        <v>46227.0</v>
      </c>
      <c r="B1526" s="31" t="s">
        <v>1826</v>
      </c>
      <c r="C1526" s="32" t="s">
        <v>1210</v>
      </c>
      <c r="D1526" s="198" t="str">
        <f t="array" ref="D1526">IF(E1526="", "", XLOOKUP(E1526, 'MASTER ITEM LIST'!B:B, 'MASTER ITEM LIST'!A:A, "Code Not Found"))</f>
        <v>SOB745</v>
      </c>
      <c r="E1526" s="199" t="s">
        <v>708</v>
      </c>
      <c r="F1526" s="31"/>
      <c r="G1526" s="195" t="s">
        <v>1211</v>
      </c>
      <c r="H1526" s="31">
        <v>0.25</v>
      </c>
      <c r="I1526" s="31" t="str">
        <f t="array" ref="I1526">IFERROR(XLOOKUP(D1526,'MASTER ITEM LIST'!A:A,'MASTER ITEM LIST'!D:D), "")</f>
        <v>GAL</v>
      </c>
      <c r="J1526" s="34">
        <f t="shared" si="2"/>
        <v>800</v>
      </c>
      <c r="K1526" s="196">
        <v>200.0</v>
      </c>
      <c r="L1526" s="70" t="s">
        <v>1212</v>
      </c>
    </row>
    <row r="1527" ht="22.5" customHeight="1">
      <c r="A1527" s="29">
        <v>46227.0</v>
      </c>
      <c r="B1527" s="31" t="s">
        <v>1826</v>
      </c>
      <c r="C1527" s="32" t="s">
        <v>1210</v>
      </c>
      <c r="D1527" s="198" t="str">
        <f t="array" ref="D1527">IF(E1527="", "", XLOOKUP(E1527, 'MASTER ITEM LIST'!B:B, 'MASTER ITEM LIST'!A:A, "Code Not Found"))</f>
        <v>NAX108</v>
      </c>
      <c r="E1527" s="199" t="s">
        <v>960</v>
      </c>
      <c r="F1527" s="31"/>
      <c r="G1527" s="195" t="s">
        <v>1211</v>
      </c>
      <c r="H1527" s="31">
        <v>1.0</v>
      </c>
      <c r="I1527" s="31" t="str">
        <f t="array" ref="I1527">IFERROR(XLOOKUP(D1527,'MASTER ITEM LIST'!A:A,'MASTER ITEM LIST'!D:D), "")</f>
        <v>LITER</v>
      </c>
      <c r="J1527" s="34">
        <f t="shared" si="2"/>
        <v>710</v>
      </c>
      <c r="K1527" s="196">
        <v>710.0</v>
      </c>
      <c r="L1527" s="70" t="s">
        <v>1212</v>
      </c>
    </row>
    <row r="1528" ht="22.5" customHeight="1">
      <c r="A1528" s="29">
        <v>46227.0</v>
      </c>
      <c r="B1528" s="31" t="s">
        <v>1826</v>
      </c>
      <c r="C1528" s="32" t="s">
        <v>1210</v>
      </c>
      <c r="D1528" s="198" t="str">
        <f t="array" ref="D1528">IF(E1528="", "", XLOOKUP(E1528, 'MASTER ITEM LIST'!B:B, 'MASTER ITEM LIST'!A:A, "Code Not Found"))</f>
        <v>CRO-MT3/4</v>
      </c>
      <c r="E1528" s="199" t="s">
        <v>1103</v>
      </c>
      <c r="F1528" s="31"/>
      <c r="G1528" s="195" t="s">
        <v>1211</v>
      </c>
      <c r="H1528" s="31">
        <v>3.0</v>
      </c>
      <c r="I1528" s="31" t="str">
        <f t="array" ref="I1528">IFERROR(XLOOKUP(D1528,'MASTER ITEM LIST'!A:A,'MASTER ITEM LIST'!D:D), "")</f>
        <v>PC/S</v>
      </c>
      <c r="J1528" s="34">
        <f t="shared" si="2"/>
        <v>35</v>
      </c>
      <c r="K1528" s="196">
        <v>105.0</v>
      </c>
      <c r="L1528" s="70" t="s">
        <v>1212</v>
      </c>
    </row>
    <row r="1529" ht="22.5" customHeight="1">
      <c r="A1529" s="29">
        <v>46227.0</v>
      </c>
      <c r="B1529" s="31" t="s">
        <v>1826</v>
      </c>
      <c r="C1529" s="32" t="s">
        <v>1210</v>
      </c>
      <c r="D1529" s="198" t="str">
        <f t="array" ref="D1529">IF(E1529="", "", XLOOKUP(E1529, 'MASTER ITEM LIST'!B:B, 'MASTER ITEM LIST'!A:A, "Code Not Found"))</f>
        <v>MSC</v>
      </c>
      <c r="E1529" s="199" t="s">
        <v>518</v>
      </c>
      <c r="F1529" s="31"/>
      <c r="G1529" s="195" t="s">
        <v>1211</v>
      </c>
      <c r="H1529" s="31">
        <v>1.0</v>
      </c>
      <c r="I1529" s="31" t="str">
        <f t="array" ref="I1529">IFERROR(XLOOKUP(D1529,'MASTER ITEM LIST'!A:A,'MASTER ITEM LIST'!D:D), "")</f>
        <v>KG</v>
      </c>
      <c r="J1529" s="34">
        <f t="shared" si="2"/>
        <v>100</v>
      </c>
      <c r="K1529" s="196">
        <v>100.0</v>
      </c>
      <c r="L1529" s="70" t="s">
        <v>1212</v>
      </c>
    </row>
    <row r="1530" ht="22.5" customHeight="1">
      <c r="A1530" s="29">
        <v>46227.0</v>
      </c>
      <c r="B1530" s="31" t="s">
        <v>1826</v>
      </c>
      <c r="C1530" s="32" t="s">
        <v>1210</v>
      </c>
      <c r="D1530" s="198" t="str">
        <f t="array" ref="D1530">IF(E1530="", "", XLOOKUP(E1530, 'MASTER ITEM LIST'!B:B, 'MASTER ITEM LIST'!A:A, "Code Not Found"))</f>
        <v>EA2000</v>
      </c>
      <c r="E1530" s="199" t="s">
        <v>1045</v>
      </c>
      <c r="F1530" s="31"/>
      <c r="G1530" s="195" t="s">
        <v>1211</v>
      </c>
      <c r="H1530" s="31">
        <v>2.0</v>
      </c>
      <c r="I1530" s="31" t="str">
        <f t="array" ref="I1530">IFERROR(XLOOKUP(D1530,'MASTER ITEM LIST'!A:A,'MASTER ITEM LIST'!D:D), "")</f>
        <v>PC/S</v>
      </c>
      <c r="J1530" s="34">
        <f t="shared" si="2"/>
        <v>35</v>
      </c>
      <c r="K1530" s="196">
        <v>70.0</v>
      </c>
      <c r="L1530" s="70" t="s">
        <v>1212</v>
      </c>
    </row>
    <row r="1531" ht="22.5" customHeight="1">
      <c r="A1531" s="29">
        <v>46227.0</v>
      </c>
      <c r="B1531" s="31" t="s">
        <v>1826</v>
      </c>
      <c r="C1531" s="32" t="s">
        <v>1210</v>
      </c>
      <c r="D1531" s="198" t="str">
        <f t="array" ref="D1531">IF(E1531="", "", XLOOKUP(E1531, 'MASTER ITEM LIST'!B:B, 'MASTER ITEM LIST'!A:A, "Code Not Found"))</f>
        <v>EA1200</v>
      </c>
      <c r="E1531" s="199" t="s">
        <v>1047</v>
      </c>
      <c r="F1531" s="31"/>
      <c r="G1531" s="195" t="s">
        <v>1211</v>
      </c>
      <c r="H1531" s="31">
        <v>2.0</v>
      </c>
      <c r="I1531" s="31" t="str">
        <f t="array" ref="I1531">IFERROR(XLOOKUP(D1531,'MASTER ITEM LIST'!A:A,'MASTER ITEM LIST'!D:D), "")</f>
        <v>PC/S</v>
      </c>
      <c r="J1531" s="34">
        <f t="shared" si="2"/>
        <v>25</v>
      </c>
      <c r="K1531" s="196">
        <v>50.0</v>
      </c>
      <c r="L1531" s="70" t="s">
        <v>1212</v>
      </c>
    </row>
    <row r="1532" ht="22.5" customHeight="1">
      <c r="A1532" s="29">
        <v>46227.0</v>
      </c>
      <c r="B1532" s="31" t="s">
        <v>1827</v>
      </c>
      <c r="C1532" s="32" t="s">
        <v>1210</v>
      </c>
      <c r="D1532" s="198" t="str">
        <f t="array" ref="D1532">IF(E1532="", "", XLOOKUP(E1532, 'MASTER ITEM LIST'!B:B, 'MASTER ITEM LIST'!A:A, "Code Not Found"))</f>
        <v>EA800</v>
      </c>
      <c r="E1532" s="199" t="s">
        <v>1040</v>
      </c>
      <c r="F1532" s="31"/>
      <c r="G1532" s="195" t="s">
        <v>1211</v>
      </c>
      <c r="H1532" s="31">
        <v>2.0</v>
      </c>
      <c r="I1532" s="31" t="str">
        <f t="array" ref="I1532">IFERROR(XLOOKUP(D1532,'MASTER ITEM LIST'!A:A,'MASTER ITEM LIST'!D:D), "")</f>
        <v>PC/S</v>
      </c>
      <c r="J1532" s="34">
        <f t="shared" si="2"/>
        <v>25</v>
      </c>
      <c r="K1532" s="196">
        <v>50.0</v>
      </c>
      <c r="L1532" s="70" t="s">
        <v>1212</v>
      </c>
    </row>
    <row r="1533" ht="22.5" customHeight="1">
      <c r="A1533" s="29">
        <v>46227.0</v>
      </c>
      <c r="B1533" s="31" t="s">
        <v>1827</v>
      </c>
      <c r="C1533" s="32" t="s">
        <v>1210</v>
      </c>
      <c r="D1533" s="198" t="str">
        <f t="array" ref="D1533">IF(E1533="", "", XLOOKUP(E1533, 'MASTER ITEM LIST'!B:B, 'MASTER ITEM LIST'!A:A, "Code Not Found"))</f>
        <v>EA120</v>
      </c>
      <c r="E1533" s="199" t="s">
        <v>1048</v>
      </c>
      <c r="F1533" s="31"/>
      <c r="G1533" s="195" t="s">
        <v>1211</v>
      </c>
      <c r="H1533" s="31">
        <v>2.0</v>
      </c>
      <c r="I1533" s="31" t="str">
        <f t="array" ref="I1533">IFERROR(XLOOKUP(D1533,'MASTER ITEM LIST'!A:A,'MASTER ITEM LIST'!D:D), "")</f>
        <v>PC/S</v>
      </c>
      <c r="J1533" s="34">
        <f t="shared" si="2"/>
        <v>25</v>
      </c>
      <c r="K1533" s="196">
        <v>50.0</v>
      </c>
      <c r="L1533" s="70" t="s">
        <v>1212</v>
      </c>
    </row>
    <row r="1534" ht="22.5" customHeight="1">
      <c r="A1534" s="29">
        <v>46227.0</v>
      </c>
      <c r="B1534" s="31" t="s">
        <v>1827</v>
      </c>
      <c r="C1534" s="32" t="s">
        <v>1210</v>
      </c>
      <c r="D1534" s="198" t="str">
        <f t="array" ref="D1534">IF(E1534="", "", XLOOKUP(E1534, 'MASTER ITEM LIST'!B:B, 'MASTER ITEM LIST'!A:A, "Code Not Found"))</f>
        <v>TOBF-4L</v>
      </c>
      <c r="E1534" s="199" t="s">
        <v>192</v>
      </c>
      <c r="F1534" s="31"/>
      <c r="G1534" s="195" t="s">
        <v>1211</v>
      </c>
      <c r="H1534" s="31">
        <v>1.0</v>
      </c>
      <c r="I1534" s="31" t="str">
        <f t="array" ref="I1534">IFERROR(XLOOKUP(D1534,'MASTER ITEM LIST'!A:A,'MASTER ITEM LIST'!D:D), "")</f>
        <v>GAL</v>
      </c>
      <c r="J1534" s="34">
        <f t="shared" si="2"/>
        <v>750</v>
      </c>
      <c r="K1534" s="196">
        <v>750.0</v>
      </c>
      <c r="L1534" s="70" t="s">
        <v>1212</v>
      </c>
    </row>
    <row r="1535" ht="22.5" customHeight="1">
      <c r="A1535" s="29">
        <v>46228.0</v>
      </c>
      <c r="B1535" s="31"/>
      <c r="C1535" s="32" t="s">
        <v>711</v>
      </c>
      <c r="D1535" s="198" t="str">
        <f t="array" ref="D1535">IF(E1535="", "", XLOOKUP(E1535, 'MASTER ITEM LIST'!B:B, 'MASTER ITEM LIST'!A:A, "Code Not Found"))</f>
        <v>PREMILAMIX-1L</v>
      </c>
      <c r="E1535" s="199" t="s">
        <v>1151</v>
      </c>
      <c r="F1535" s="31" t="s">
        <v>1828</v>
      </c>
      <c r="G1535" s="195" t="s">
        <v>34</v>
      </c>
      <c r="H1535" s="31">
        <v>0.25</v>
      </c>
      <c r="I1535" s="31" t="str">
        <f t="array" ref="I1535">IFERROR(XLOOKUP(D1535,'MASTER ITEM LIST'!A:A,'MASTER ITEM LIST'!D:D), "")</f>
        <v>LITER</v>
      </c>
      <c r="J1535" s="34">
        <f t="shared" si="2"/>
        <v>2400</v>
      </c>
      <c r="K1535" s="196">
        <v>600.0</v>
      </c>
      <c r="L1535" s="70" t="s">
        <v>42</v>
      </c>
    </row>
    <row r="1536" ht="22.5" customHeight="1">
      <c r="A1536" s="29">
        <v>46228.0</v>
      </c>
      <c r="B1536" s="31" t="s">
        <v>1829</v>
      </c>
      <c r="C1536" s="32" t="s">
        <v>1210</v>
      </c>
      <c r="D1536" s="198" t="str">
        <f t="array" ref="D1536">IF(E1536="", "", XLOOKUP(E1536, 'MASTER ITEM LIST'!B:B, 'MASTER ITEM LIST'!A:A, "Code Not Found"))</f>
        <v>DOMBF-1L</v>
      </c>
      <c r="E1536" s="199" t="s">
        <v>1065</v>
      </c>
      <c r="F1536" s="31"/>
      <c r="G1536" s="195" t="s">
        <v>1211</v>
      </c>
      <c r="H1536" s="31">
        <v>1.0</v>
      </c>
      <c r="I1536" s="31" t="str">
        <f t="array" ref="I1536">IFERROR(XLOOKUP(D1536,'MASTER ITEM LIST'!A:A,'MASTER ITEM LIST'!D:D), "")</f>
        <v>LITER</v>
      </c>
      <c r="J1536" s="34">
        <f t="shared" si="2"/>
        <v>220</v>
      </c>
      <c r="K1536" s="196">
        <v>220.0</v>
      </c>
      <c r="L1536" s="70" t="s">
        <v>1212</v>
      </c>
    </row>
    <row r="1537" ht="22.5" customHeight="1">
      <c r="A1537" s="29">
        <v>46228.0</v>
      </c>
      <c r="B1537" s="31"/>
      <c r="C1537" s="32" t="s">
        <v>711</v>
      </c>
      <c r="D1537" s="198" t="str">
        <f t="array" ref="D1537">IF(E1537="", "", XLOOKUP(E1537, 'MASTER ITEM LIST'!B:B, 'MASTER ITEM LIST'!A:A, "Code Not Found"))</f>
        <v>EA120</v>
      </c>
      <c r="E1537" s="199" t="s">
        <v>1048</v>
      </c>
      <c r="F1537" s="31"/>
      <c r="G1537" s="195" t="s">
        <v>34</v>
      </c>
      <c r="H1537" s="31">
        <v>3.0</v>
      </c>
      <c r="I1537" s="31" t="str">
        <f t="array" ref="I1537">IFERROR(XLOOKUP(D1537,'MASTER ITEM LIST'!A:A,'MASTER ITEM LIST'!D:D), "")</f>
        <v>PC/S</v>
      </c>
      <c r="J1537" s="34">
        <f t="shared" si="2"/>
        <v>25</v>
      </c>
      <c r="K1537" s="196">
        <v>75.0</v>
      </c>
      <c r="L1537" s="70" t="s">
        <v>42</v>
      </c>
    </row>
    <row r="1538" ht="22.5" customHeight="1">
      <c r="A1538" s="29">
        <v>46228.0</v>
      </c>
      <c r="B1538" s="31" t="s">
        <v>1830</v>
      </c>
      <c r="C1538" s="32" t="s">
        <v>1527</v>
      </c>
      <c r="D1538" s="198" t="str">
        <f t="array" ref="D1538">IF(E1538="", "", XLOOKUP(E1538, 'MASTER ITEM LIST'!B:B, 'MASTER ITEM LIST'!A:A, "Code Not Found"))</f>
        <v>SOB757</v>
      </c>
      <c r="E1538" s="199" t="s">
        <v>91</v>
      </c>
      <c r="F1538" s="31"/>
      <c r="G1538" s="195" t="s">
        <v>34</v>
      </c>
      <c r="H1538" s="31">
        <v>2.0</v>
      </c>
      <c r="I1538" s="31" t="str">
        <f t="array" ref="I1538">IFERROR(XLOOKUP(D1538,'MASTER ITEM LIST'!A:A,'MASTER ITEM LIST'!D:D), "")</f>
        <v>GAL</v>
      </c>
      <c r="J1538" s="34">
        <f t="shared" si="2"/>
        <v>750</v>
      </c>
      <c r="K1538" s="196">
        <v>1500.0</v>
      </c>
      <c r="L1538" s="70" t="s">
        <v>42</v>
      </c>
    </row>
    <row r="1539" ht="22.5" customHeight="1">
      <c r="A1539" s="29">
        <v>46228.0</v>
      </c>
      <c r="B1539" s="31"/>
      <c r="C1539" s="32" t="s">
        <v>711</v>
      </c>
      <c r="D1539" s="198" t="str">
        <f t="array" ref="D1539">IF(E1539="", "", XLOOKUP(E1539, 'MASTER ITEM LIST'!B:B, 'MASTER ITEM LIST'!A:A, "Code Not Found"))</f>
        <v>ROS-223</v>
      </c>
      <c r="E1539" s="88" t="s">
        <v>303</v>
      </c>
      <c r="F1539" s="31"/>
      <c r="G1539" s="195" t="s">
        <v>34</v>
      </c>
      <c r="H1539" s="31">
        <v>1.0</v>
      </c>
      <c r="I1539" s="31" t="str">
        <f t="array" ref="I1539">IFERROR(XLOOKUP(D1539,'MASTER ITEM LIST'!A:A,'MASTER ITEM LIST'!D:D), "")</f>
        <v>GALON</v>
      </c>
      <c r="J1539" s="34">
        <f t="shared" si="2"/>
        <v>900</v>
      </c>
      <c r="K1539" s="196">
        <v>900.0</v>
      </c>
      <c r="L1539" s="70" t="s">
        <v>42</v>
      </c>
    </row>
    <row r="1540" ht="22.5" customHeight="1">
      <c r="A1540" s="29">
        <v>46228.0</v>
      </c>
      <c r="B1540" s="31" t="s">
        <v>1831</v>
      </c>
      <c r="C1540" s="32" t="s">
        <v>93</v>
      </c>
      <c r="D1540" s="198" t="str">
        <f t="array" ref="D1540">IF(E1540="", "", XLOOKUP(E1540, 'MASTER ITEM LIST'!B:B, 'MASTER ITEM LIST'!A:A, "Code Not Found"))</f>
        <v>MSC</v>
      </c>
      <c r="E1540" s="199" t="s">
        <v>518</v>
      </c>
      <c r="F1540" s="31"/>
      <c r="G1540" s="195" t="s">
        <v>34</v>
      </c>
      <c r="H1540" s="31">
        <v>2.0</v>
      </c>
      <c r="I1540" s="31" t="str">
        <f t="array" ref="I1540">IFERROR(XLOOKUP(D1540,'MASTER ITEM LIST'!A:A,'MASTER ITEM LIST'!D:D), "")</f>
        <v>KG</v>
      </c>
      <c r="J1540" s="34">
        <f t="shared" si="2"/>
        <v>100</v>
      </c>
      <c r="K1540" s="196">
        <v>200.0</v>
      </c>
      <c r="L1540" s="70" t="s">
        <v>42</v>
      </c>
    </row>
    <row r="1541" ht="22.5" customHeight="1">
      <c r="A1541" s="29">
        <v>46228.0</v>
      </c>
      <c r="B1541" s="31" t="s">
        <v>1832</v>
      </c>
      <c r="C1541" s="32" t="s">
        <v>1240</v>
      </c>
      <c r="D1541" s="198" t="str">
        <f t="array" ref="D1541">IF(E1541="", "", XLOOKUP(E1541, 'MASTER ITEM LIST'!B:B, 'MASTER ITEM LIST'!A:A, "Code Not Found"))</f>
        <v>PREMILAMIX-1L</v>
      </c>
      <c r="E1541" s="199" t="s">
        <v>1151</v>
      </c>
      <c r="F1541" s="31" t="s">
        <v>1833</v>
      </c>
      <c r="G1541" s="195" t="s">
        <v>1376</v>
      </c>
      <c r="H1541" s="31">
        <v>1.0</v>
      </c>
      <c r="I1541" s="31" t="str">
        <f t="array" ref="I1541">IFERROR(XLOOKUP(D1541,'MASTER ITEM LIST'!A:A,'MASTER ITEM LIST'!D:D), "")</f>
        <v>LITER</v>
      </c>
      <c r="J1541" s="34">
        <f t="shared" si="2"/>
        <v>2600</v>
      </c>
      <c r="K1541" s="196">
        <v>2600.0</v>
      </c>
      <c r="L1541" s="70" t="s">
        <v>42</v>
      </c>
    </row>
    <row r="1542" ht="22.5" customHeight="1">
      <c r="A1542" s="29">
        <v>46228.0</v>
      </c>
      <c r="B1542" s="31" t="s">
        <v>1832</v>
      </c>
      <c r="C1542" s="32" t="s">
        <v>1240</v>
      </c>
      <c r="D1542" s="198" t="str">
        <f t="array" ref="D1542">IF(E1542="", "", XLOOKUP(E1542, 'MASTER ITEM LIST'!B:B, 'MASTER ITEM LIST'!A:A, "Code Not Found"))</f>
        <v>NAX301</v>
      </c>
      <c r="E1542" s="199" t="s">
        <v>958</v>
      </c>
      <c r="F1542" s="31"/>
      <c r="G1542" s="195" t="s">
        <v>1376</v>
      </c>
      <c r="H1542" s="31">
        <v>0.5</v>
      </c>
      <c r="I1542" s="31" t="str">
        <f t="array" ref="I1542">IFERROR(XLOOKUP(D1542,'MASTER ITEM LIST'!A:A,'MASTER ITEM LIST'!D:D), "")</f>
        <v>LITER</v>
      </c>
      <c r="J1542" s="34">
        <f t="shared" si="2"/>
        <v>1200</v>
      </c>
      <c r="K1542" s="196">
        <v>600.0</v>
      </c>
      <c r="L1542" s="70" t="s">
        <v>42</v>
      </c>
    </row>
    <row r="1543" ht="22.5" customHeight="1">
      <c r="A1543" s="29">
        <v>46228.0</v>
      </c>
      <c r="B1543" s="31" t="s">
        <v>1832</v>
      </c>
      <c r="C1543" s="32" t="s">
        <v>1240</v>
      </c>
      <c r="D1543" s="198" t="str">
        <f t="array" ref="D1543">IF(E1543="", "", XLOOKUP(E1543, 'MASTER ITEM LIST'!B:B, 'MASTER ITEM LIST'!A:A, "Code Not Found"))</f>
        <v>SOB757</v>
      </c>
      <c r="E1543" s="199" t="s">
        <v>91</v>
      </c>
      <c r="F1543" s="31"/>
      <c r="G1543" s="195" t="s">
        <v>1376</v>
      </c>
      <c r="H1543" s="31">
        <v>1.0</v>
      </c>
      <c r="I1543" s="31" t="str">
        <f t="array" ref="I1543">IFERROR(XLOOKUP(D1543,'MASTER ITEM LIST'!A:A,'MASTER ITEM LIST'!D:D), "")</f>
        <v>GAL</v>
      </c>
      <c r="J1543" s="34">
        <f t="shared" si="2"/>
        <v>780</v>
      </c>
      <c r="K1543" s="196">
        <v>780.0</v>
      </c>
      <c r="L1543" s="70" t="s">
        <v>42</v>
      </c>
    </row>
    <row r="1544" ht="22.5" customHeight="1">
      <c r="A1544" s="29">
        <v>46228.0</v>
      </c>
      <c r="B1544" s="31" t="s">
        <v>1832</v>
      </c>
      <c r="C1544" s="32" t="s">
        <v>1240</v>
      </c>
      <c r="D1544" s="198" t="str">
        <f t="array" ref="D1544">IF(E1544="", "", XLOOKUP(E1544, 'MASTER ITEM LIST'!B:B, 'MASTER ITEM LIST'!A:A, "Code Not Found"))</f>
        <v>MSC</v>
      </c>
      <c r="E1544" s="199" t="s">
        <v>518</v>
      </c>
      <c r="F1544" s="31"/>
      <c r="G1544" s="195" t="s">
        <v>1376</v>
      </c>
      <c r="H1544" s="31">
        <v>2.0</v>
      </c>
      <c r="I1544" s="31" t="str">
        <f t="array" ref="I1544">IFERROR(XLOOKUP(D1544,'MASTER ITEM LIST'!A:A,'MASTER ITEM LIST'!D:D), "")</f>
        <v>KG</v>
      </c>
      <c r="J1544" s="34">
        <f t="shared" si="2"/>
        <v>100</v>
      </c>
      <c r="K1544" s="196">
        <v>200.0</v>
      </c>
      <c r="L1544" s="70" t="s">
        <v>42</v>
      </c>
    </row>
    <row r="1545" ht="22.5" customHeight="1">
      <c r="A1545" s="29">
        <v>46228.0</v>
      </c>
      <c r="B1545" s="31" t="s">
        <v>1832</v>
      </c>
      <c r="C1545" s="32" t="s">
        <v>1240</v>
      </c>
      <c r="D1545" s="198" t="str">
        <f t="array" ref="D1545">IF(E1545="", "", XLOOKUP(E1545, 'MASTER ITEM LIST'!B:B, 'MASTER ITEM LIST'!A:A, "Code Not Found"))</f>
        <v>NAXQDUMIX-1L</v>
      </c>
      <c r="E1545" s="199" t="s">
        <v>1161</v>
      </c>
      <c r="F1545" s="31"/>
      <c r="G1545" s="195" t="s">
        <v>1376</v>
      </c>
      <c r="H1545" s="31">
        <v>0.5</v>
      </c>
      <c r="I1545" s="31" t="str">
        <f t="array" ref="I1545">IFERROR(XLOOKUP(D1545,'MASTER ITEM LIST'!A:A,'MASTER ITEM LIST'!D:D), "")</f>
        <v>LITER</v>
      </c>
      <c r="J1545" s="34">
        <f t="shared" si="2"/>
        <v>1500</v>
      </c>
      <c r="K1545" s="196">
        <v>750.0</v>
      </c>
      <c r="L1545" s="70" t="s">
        <v>42</v>
      </c>
    </row>
    <row r="1546" ht="22.5" customHeight="1">
      <c r="A1546" s="29">
        <v>46230.0</v>
      </c>
      <c r="B1546" s="31" t="s">
        <v>1834</v>
      </c>
      <c r="C1546" s="32" t="s">
        <v>1569</v>
      </c>
      <c r="D1546" s="198" t="str">
        <f t="array" ref="D1546">IF(E1546="", "", XLOOKUP(E1546, 'MASTER ITEM LIST'!B:B, 'MASTER ITEM LIST'!A:A, "Code Not Found"))</f>
        <v>NAX108</v>
      </c>
      <c r="E1546" s="199" t="s">
        <v>960</v>
      </c>
      <c r="F1546" s="31"/>
      <c r="G1546" s="195" t="s">
        <v>34</v>
      </c>
      <c r="H1546" s="31">
        <v>4.0</v>
      </c>
      <c r="I1546" s="31" t="str">
        <f t="array" ref="I1546">IFERROR(XLOOKUP(D1546,'MASTER ITEM LIST'!A:A,'MASTER ITEM LIST'!D:D), "")</f>
        <v>LITER</v>
      </c>
      <c r="J1546" s="34">
        <f t="shared" si="2"/>
        <v>680</v>
      </c>
      <c r="K1546" s="196">
        <v>2720.0</v>
      </c>
      <c r="L1546" s="70" t="s">
        <v>42</v>
      </c>
    </row>
    <row r="1547" ht="22.5" customHeight="1">
      <c r="A1547" s="29">
        <v>46230.0</v>
      </c>
      <c r="B1547" s="31" t="s">
        <v>1834</v>
      </c>
      <c r="C1547" s="32" t="s">
        <v>1569</v>
      </c>
      <c r="D1547" s="198" t="str">
        <f t="array" ref="D1547">IF(E1547="", "", XLOOKUP(E1547, 'MASTER ITEM LIST'!B:B, 'MASTER ITEM LIST'!A:A, "Code Not Found"))</f>
        <v>PRI3634</v>
      </c>
      <c r="E1547" s="199" t="s">
        <v>956</v>
      </c>
      <c r="F1547" s="31"/>
      <c r="G1547" s="195" t="s">
        <v>34</v>
      </c>
      <c r="H1547" s="31">
        <v>1.0</v>
      </c>
      <c r="I1547" s="31" t="str">
        <f t="array" ref="I1547">IFERROR(XLOOKUP(D1547,'MASTER ITEM LIST'!A:A,'MASTER ITEM LIST'!D:D), "")</f>
        <v>LITER</v>
      </c>
      <c r="J1547" s="34">
        <f t="shared" si="2"/>
        <v>600</v>
      </c>
      <c r="K1547" s="196">
        <v>600.0</v>
      </c>
      <c r="L1547" s="70" t="s">
        <v>42</v>
      </c>
    </row>
    <row r="1548" ht="22.5" customHeight="1">
      <c r="A1548" s="29">
        <v>46230.0</v>
      </c>
      <c r="B1548" s="31" t="s">
        <v>1834</v>
      </c>
      <c r="C1548" s="32" t="s">
        <v>1569</v>
      </c>
      <c r="D1548" s="198" t="str">
        <f t="array" ref="D1548">IF(E1548="", "", XLOOKUP(E1548, 'MASTER ITEM LIST'!B:B, 'MASTER ITEM LIST'!A:A, "Code Not Found"))</f>
        <v>EXTREMEMIX-1L</v>
      </c>
      <c r="E1548" s="199" t="s">
        <v>1164</v>
      </c>
      <c r="F1548" s="31"/>
      <c r="G1548" s="195" t="s">
        <v>34</v>
      </c>
      <c r="H1548" s="31">
        <v>4.0</v>
      </c>
      <c r="I1548" s="31" t="str">
        <f t="array" ref="I1548">IFERROR(XLOOKUP(D1548,'MASTER ITEM LIST'!A:A,'MASTER ITEM LIST'!D:D), "")</f>
        <v>LITER</v>
      </c>
      <c r="J1548" s="34">
        <f t="shared" si="2"/>
        <v>700</v>
      </c>
      <c r="K1548" s="196">
        <v>2800.0</v>
      </c>
      <c r="L1548" s="70" t="s">
        <v>42</v>
      </c>
    </row>
    <row r="1549" ht="22.5" customHeight="1">
      <c r="A1549" s="29">
        <v>46230.0</v>
      </c>
      <c r="B1549" s="31" t="s">
        <v>1835</v>
      </c>
      <c r="C1549" s="32" t="s">
        <v>1570</v>
      </c>
      <c r="D1549" s="198" t="str">
        <f t="array" ref="D1549">IF(E1549="", "", XLOOKUP(E1549, 'MASTER ITEM LIST'!B:B, 'MASTER ITEM LIST'!A:A, "Code Not Found"))</f>
        <v>MEG3602-4L</v>
      </c>
      <c r="E1549" s="199" t="s">
        <v>971</v>
      </c>
      <c r="F1549" s="31"/>
      <c r="G1549" s="195" t="s">
        <v>34</v>
      </c>
      <c r="H1549" s="31">
        <v>1.0</v>
      </c>
      <c r="I1549" s="31" t="str">
        <f t="array" ref="I1549">IFERROR(XLOOKUP(D1549,'MASTER ITEM LIST'!A:A,'MASTER ITEM LIST'!D:D), "")</f>
        <v>GAL</v>
      </c>
      <c r="J1549" s="34">
        <f t="shared" si="2"/>
        <v>1000</v>
      </c>
      <c r="K1549" s="196">
        <v>1000.0</v>
      </c>
      <c r="L1549" s="70" t="s">
        <v>42</v>
      </c>
    </row>
    <row r="1550" ht="22.5" customHeight="1">
      <c r="A1550" s="29">
        <v>46231.0</v>
      </c>
      <c r="B1550" s="31" t="s">
        <v>1836</v>
      </c>
      <c r="C1550" s="32" t="s">
        <v>93</v>
      </c>
      <c r="D1550" s="198" t="str">
        <f t="array" ref="D1550">IF(E1550="", "", XLOOKUP(E1550, 'MASTER ITEM LIST'!B:B, 'MASTER ITEM LIST'!A:A, "Code Not Found"))</f>
        <v>EA120</v>
      </c>
      <c r="E1550" s="208" t="s">
        <v>1048</v>
      </c>
      <c r="F1550" s="31"/>
      <c r="G1550" s="195" t="s">
        <v>1376</v>
      </c>
      <c r="H1550" s="31">
        <v>5.0</v>
      </c>
      <c r="I1550" s="31" t="str">
        <f t="array" ref="I1550">IFERROR(XLOOKUP(D1550,'MASTER ITEM LIST'!A:A,'MASTER ITEM LIST'!D:D), "")</f>
        <v>PC/S</v>
      </c>
      <c r="J1550" s="34">
        <f t="shared" si="2"/>
        <v>25</v>
      </c>
      <c r="K1550" s="196">
        <v>125.0</v>
      </c>
      <c r="L1550" s="70" t="s">
        <v>42</v>
      </c>
    </row>
    <row r="1551" ht="22.5" customHeight="1">
      <c r="A1551" s="29">
        <v>46231.0</v>
      </c>
      <c r="B1551" s="31" t="s">
        <v>1837</v>
      </c>
      <c r="C1551" s="32" t="s">
        <v>93</v>
      </c>
      <c r="D1551" s="198" t="str">
        <f t="array" ref="D1551">IF(E1551="", "", XLOOKUP(E1551, 'MASTER ITEM LIST'!B:B, 'MASTER ITEM LIST'!A:A, "Code Not Found"))</f>
        <v>TOUT-4L</v>
      </c>
      <c r="E1551" s="209" t="s">
        <v>191</v>
      </c>
      <c r="F1551" s="31"/>
      <c r="G1551" s="195" t="s">
        <v>1376</v>
      </c>
      <c r="H1551" s="31">
        <v>1.0</v>
      </c>
      <c r="I1551" s="31" t="str">
        <f t="array" ref="I1551">IFERROR(XLOOKUP(D1551,'MASTER ITEM LIST'!A:A,'MASTER ITEM LIST'!D:D), "")</f>
        <v>GAL</v>
      </c>
      <c r="J1551" s="34">
        <f t="shared" si="2"/>
        <v>780</v>
      </c>
      <c r="K1551" s="196">
        <v>780.0</v>
      </c>
      <c r="L1551" s="70" t="s">
        <v>42</v>
      </c>
    </row>
    <row r="1552" ht="22.5" customHeight="1">
      <c r="A1552" s="29">
        <v>46230.0</v>
      </c>
      <c r="B1552" s="31" t="s">
        <v>1838</v>
      </c>
      <c r="C1552" s="32" t="s">
        <v>1568</v>
      </c>
      <c r="D1552" s="198" t="str">
        <f t="array" ref="D1552">IF(E1552="", "", XLOOKUP(E1552, 'MASTER ITEM LIST'!B:B, 'MASTER ITEM LIST'!A:A, "Code Not Found"))</f>
        <v>LATEXMIX-4L</v>
      </c>
      <c r="E1552" s="208" t="s">
        <v>1156</v>
      </c>
      <c r="F1552" s="31"/>
      <c r="G1552" s="195" t="s">
        <v>34</v>
      </c>
      <c r="H1552" s="31">
        <v>1.0</v>
      </c>
      <c r="I1552" s="31" t="str">
        <f t="array" ref="I1552">IFERROR(XLOOKUP(D1552,'MASTER ITEM LIST'!A:A,'MASTER ITEM LIST'!D:D), "")</f>
        <v>GALON</v>
      </c>
      <c r="J1552" s="34">
        <f t="shared" si="2"/>
        <v>1150</v>
      </c>
      <c r="K1552" s="196">
        <v>1150.0</v>
      </c>
      <c r="L1552" s="70" t="s">
        <v>42</v>
      </c>
    </row>
    <row r="1553" ht="22.5" customHeight="1">
      <c r="A1553" s="29">
        <v>46230.0</v>
      </c>
      <c r="B1553" s="31" t="s">
        <v>1839</v>
      </c>
      <c r="C1553" s="32" t="s">
        <v>1571</v>
      </c>
      <c r="D1553" s="198" t="str">
        <f t="array" ref="D1553">IF(E1553="", "", XLOOKUP(E1553, 'MASTER ITEM LIST'!B:B, 'MASTER ITEM LIST'!A:A, "Code Not Found"))</f>
        <v>NXE1988</v>
      </c>
      <c r="E1553" s="209" t="s">
        <v>955</v>
      </c>
      <c r="F1553" s="31" t="s">
        <v>48</v>
      </c>
      <c r="G1553" s="195" t="s">
        <v>34</v>
      </c>
      <c r="H1553" s="31">
        <v>0.25</v>
      </c>
      <c r="I1553" s="31" t="str">
        <f t="array" ref="I1553">IFERROR(XLOOKUP(D1553,'MASTER ITEM LIST'!A:A,'MASTER ITEM LIST'!D:D), "")</f>
        <v>GAL</v>
      </c>
      <c r="J1553" s="34">
        <f t="shared" si="2"/>
        <v>1600</v>
      </c>
      <c r="K1553" s="196">
        <v>400.0</v>
      </c>
      <c r="L1553" s="70" t="s">
        <v>42</v>
      </c>
    </row>
    <row r="1554" ht="22.5" customHeight="1">
      <c r="A1554" s="29">
        <v>46232.0</v>
      </c>
      <c r="B1554" s="31" t="s">
        <v>1804</v>
      </c>
      <c r="C1554" s="32" t="s">
        <v>1565</v>
      </c>
      <c r="D1554" s="198" t="str">
        <f t="array" ref="D1554">IF(E1554="", "", XLOOKUP(E1554, 'MASTER ITEM LIST'!B:B, 'MASTER ITEM LIST'!A:A, "Code Not Found"))</f>
        <v>EXTREMEMIX-1L</v>
      </c>
      <c r="E1554" s="208" t="s">
        <v>1164</v>
      </c>
      <c r="F1554" s="31"/>
      <c r="G1554" s="195" t="s">
        <v>34</v>
      </c>
      <c r="H1554" s="31">
        <v>2.0</v>
      </c>
      <c r="I1554" s="31" t="str">
        <f t="array" ref="I1554">IFERROR(XLOOKUP(D1554,'MASTER ITEM LIST'!A:A,'MASTER ITEM LIST'!D:D), "")</f>
        <v>LITER</v>
      </c>
      <c r="J1554" s="34">
        <f t="shared" si="2"/>
        <v>750</v>
      </c>
      <c r="K1554" s="196">
        <v>1500.0</v>
      </c>
      <c r="L1554" s="70" t="s">
        <v>42</v>
      </c>
    </row>
    <row r="1555" ht="22.5" customHeight="1">
      <c r="A1555" s="29">
        <v>46232.0</v>
      </c>
      <c r="B1555" s="31" t="s">
        <v>1804</v>
      </c>
      <c r="C1555" s="32" t="s">
        <v>1565</v>
      </c>
      <c r="D1555" s="198" t="str">
        <f t="array" ref="D1555">IF(E1555="", "", XLOOKUP(E1555, 'MASTER ITEM LIST'!B:B, 'MASTER ITEM LIST'!A:A, "Code Not Found"))</f>
        <v>SOB757</v>
      </c>
      <c r="E1555" s="209" t="s">
        <v>91</v>
      </c>
      <c r="F1555" s="31"/>
      <c r="G1555" s="195" t="s">
        <v>34</v>
      </c>
      <c r="H1555" s="31">
        <v>1.0</v>
      </c>
      <c r="I1555" s="31" t="str">
        <f t="array" ref="I1555">IFERROR(XLOOKUP(D1555,'MASTER ITEM LIST'!A:A,'MASTER ITEM LIST'!D:D), "")</f>
        <v>GAL</v>
      </c>
      <c r="J1555" s="34">
        <f t="shared" si="2"/>
        <v>750</v>
      </c>
      <c r="K1555" s="196">
        <v>750.0</v>
      </c>
      <c r="L1555" s="70" t="s">
        <v>42</v>
      </c>
    </row>
    <row r="1556" ht="22.5" customHeight="1">
      <c r="A1556" s="29">
        <v>46232.0</v>
      </c>
      <c r="B1556" s="31" t="s">
        <v>1804</v>
      </c>
      <c r="C1556" s="32" t="s">
        <v>1565</v>
      </c>
      <c r="D1556" s="198" t="str">
        <f t="array" ref="D1556">IF(E1556="", "", XLOOKUP(E1556, 'MASTER ITEM LIST'!B:B, 'MASTER ITEM LIST'!A:A, "Code Not Found"))</f>
        <v>NAX141</v>
      </c>
      <c r="E1556" s="208" t="s">
        <v>959</v>
      </c>
      <c r="F1556" s="31"/>
      <c r="G1556" s="195" t="s">
        <v>34</v>
      </c>
      <c r="H1556" s="31">
        <v>1.5</v>
      </c>
      <c r="I1556" s="31" t="str">
        <f t="array" ref="I1556">IFERROR(XLOOKUP(D1556,'MASTER ITEM LIST'!A:A,'MASTER ITEM LIST'!D:D), "")</f>
        <v>LITER</v>
      </c>
      <c r="J1556" s="34">
        <f t="shared" si="2"/>
        <v>580</v>
      </c>
      <c r="K1556" s="196">
        <v>870.0</v>
      </c>
      <c r="L1556" s="70" t="s">
        <v>42</v>
      </c>
    </row>
    <row r="1557" ht="22.5" customHeight="1">
      <c r="A1557" s="29">
        <v>46232.0</v>
      </c>
      <c r="B1557" s="31" t="s">
        <v>1804</v>
      </c>
      <c r="C1557" s="32" t="s">
        <v>1565</v>
      </c>
      <c r="D1557" s="198" t="str">
        <f t="array" ref="D1557">IF(E1557="", "", XLOOKUP(E1557, 'MASTER ITEM LIST'!B:B, 'MASTER ITEM LIST'!A:A, "Code Not Found"))</f>
        <v>MSC</v>
      </c>
      <c r="E1557" s="209" t="s">
        <v>518</v>
      </c>
      <c r="F1557" s="31"/>
      <c r="G1557" s="195" t="s">
        <v>34</v>
      </c>
      <c r="H1557" s="31">
        <v>1.0</v>
      </c>
      <c r="I1557" s="31" t="str">
        <f t="array" ref="I1557">IFERROR(XLOOKUP(D1557,'MASTER ITEM LIST'!A:A,'MASTER ITEM LIST'!D:D), "")</f>
        <v>KG</v>
      </c>
      <c r="J1557" s="34">
        <f t="shared" si="2"/>
        <v>100</v>
      </c>
      <c r="K1557" s="196">
        <v>100.0</v>
      </c>
      <c r="L1557" s="70" t="s">
        <v>42</v>
      </c>
    </row>
    <row r="1558" ht="22.5" customHeight="1">
      <c r="A1558" s="29">
        <v>46232.0</v>
      </c>
      <c r="B1558" s="31" t="s">
        <v>1804</v>
      </c>
      <c r="C1558" s="32" t="s">
        <v>1565</v>
      </c>
      <c r="D1558" s="198" t="str">
        <f t="array" ref="D1558">IF(E1558="", "", XLOOKUP(E1558, 'MASTER ITEM LIST'!B:B, 'MASTER ITEM LIST'!A:A, "Code Not Found"))</f>
        <v>CRO-MT1/2</v>
      </c>
      <c r="E1558" s="208" t="s">
        <v>1105</v>
      </c>
      <c r="F1558" s="31"/>
      <c r="G1558" s="195" t="s">
        <v>34</v>
      </c>
      <c r="H1558" s="31">
        <v>5.0</v>
      </c>
      <c r="I1558" s="31" t="str">
        <f t="array" ref="I1558">IFERROR(XLOOKUP(D1558,'MASTER ITEM LIST'!A:A,'MASTER ITEM LIST'!D:D), "")</f>
        <v>PC/S</v>
      </c>
      <c r="J1558" s="34">
        <f t="shared" si="2"/>
        <v>25</v>
      </c>
      <c r="K1558" s="196">
        <v>125.0</v>
      </c>
      <c r="L1558" s="70" t="s">
        <v>42</v>
      </c>
    </row>
    <row r="1559" ht="22.5" customHeight="1">
      <c r="A1559" s="29">
        <v>46233.0</v>
      </c>
      <c r="B1559" s="31" t="s">
        <v>1840</v>
      </c>
      <c r="C1559" s="32" t="s">
        <v>93</v>
      </c>
      <c r="D1559" s="198" t="str">
        <f t="array" ref="D1559">IF(E1559="", "", XLOOKUP(E1559, 'MASTER ITEM LIST'!B:B, 'MASTER ITEM LIST'!A:A, "Code Not Found"))</f>
        <v>EA240</v>
      </c>
      <c r="E1559" s="209" t="s">
        <v>1044</v>
      </c>
      <c r="F1559" s="31"/>
      <c r="G1559" s="195" t="s">
        <v>34</v>
      </c>
      <c r="H1559" s="31">
        <v>10.0</v>
      </c>
      <c r="I1559" s="31" t="str">
        <f t="array" ref="I1559">IFERROR(XLOOKUP(D1559,'MASTER ITEM LIST'!A:A,'MASTER ITEM LIST'!D:D), "")</f>
        <v>PC/S</v>
      </c>
      <c r="J1559" s="34">
        <f t="shared" si="2"/>
        <v>25</v>
      </c>
      <c r="K1559" s="196">
        <v>250.0</v>
      </c>
      <c r="L1559" s="70" t="s">
        <v>42</v>
      </c>
    </row>
    <row r="1560" ht="22.5" customHeight="1">
      <c r="A1560" s="29">
        <v>46233.0</v>
      </c>
      <c r="B1560" s="31" t="s">
        <v>1841</v>
      </c>
      <c r="C1560" s="32" t="s">
        <v>1571</v>
      </c>
      <c r="D1560" s="198" t="str">
        <f t="array" ref="D1560">IF(E1560="", "", XLOOKUP(E1560, 'MASTER ITEM LIST'!B:B, 'MASTER ITEM LIST'!A:A, "Code Not Found"))</f>
        <v>NAX141</v>
      </c>
      <c r="E1560" s="208" t="s">
        <v>959</v>
      </c>
      <c r="F1560" s="31"/>
      <c r="G1560" s="195" t="s">
        <v>34</v>
      </c>
      <c r="H1560" s="31">
        <v>1.0</v>
      </c>
      <c r="I1560" s="31" t="str">
        <f t="array" ref="I1560">IFERROR(XLOOKUP(D1560,'MASTER ITEM LIST'!A:A,'MASTER ITEM LIST'!D:D), "")</f>
        <v>LITER</v>
      </c>
      <c r="J1560" s="34">
        <f t="shared" si="2"/>
        <v>580</v>
      </c>
      <c r="K1560" s="196">
        <v>580.0</v>
      </c>
      <c r="L1560" s="70" t="s">
        <v>42</v>
      </c>
    </row>
    <row r="1561" ht="22.5" customHeight="1">
      <c r="A1561" s="29">
        <v>46231.0</v>
      </c>
      <c r="B1561" s="31" t="s">
        <v>1842</v>
      </c>
      <c r="C1561" s="32" t="s">
        <v>1215</v>
      </c>
      <c r="D1561" s="198" t="str">
        <f t="array" ref="D1561">IF(E1561="", "", XLOOKUP(E1561, 'MASTER ITEM LIST'!B:B, 'MASTER ITEM LIST'!A:A, "Code Not Found"))</f>
        <v>PREMILAMIX-1L</v>
      </c>
      <c r="E1561" s="209" t="s">
        <v>1151</v>
      </c>
      <c r="F1561" s="31" t="s">
        <v>1843</v>
      </c>
      <c r="G1561" s="195" t="s">
        <v>1211</v>
      </c>
      <c r="H1561" s="31">
        <v>2.0</v>
      </c>
      <c r="I1561" s="31" t="str">
        <f t="array" ref="I1561">IFERROR(XLOOKUP(D1561,'MASTER ITEM LIST'!A:A,'MASTER ITEM LIST'!D:D), "")</f>
        <v>LITER</v>
      </c>
      <c r="J1561" s="34">
        <f t="shared" si="2"/>
        <v>2600</v>
      </c>
      <c r="K1561" s="196">
        <v>5200.0</v>
      </c>
      <c r="L1561" s="70" t="s">
        <v>1217</v>
      </c>
    </row>
    <row r="1562" ht="22.5" customHeight="1">
      <c r="A1562" s="29">
        <v>46231.0</v>
      </c>
      <c r="B1562" s="31" t="s">
        <v>1842</v>
      </c>
      <c r="C1562" s="32" t="s">
        <v>1215</v>
      </c>
      <c r="D1562" s="198" t="str">
        <f t="array" ref="D1562">IF(E1562="", "", XLOOKUP(E1562, 'MASTER ITEM LIST'!B:B, 'MASTER ITEM LIST'!A:A, "Code Not Found"))</f>
        <v>PREMILAMIX-1L</v>
      </c>
      <c r="E1562" s="208" t="s">
        <v>1151</v>
      </c>
      <c r="F1562" s="31" t="s">
        <v>1844</v>
      </c>
      <c r="G1562" s="195" t="s">
        <v>1211</v>
      </c>
      <c r="H1562" s="31">
        <v>0.25</v>
      </c>
      <c r="I1562" s="31" t="str">
        <f t="array" ref="I1562">IFERROR(XLOOKUP(D1562,'MASTER ITEM LIST'!A:A,'MASTER ITEM LIST'!D:D), "")</f>
        <v>LITER</v>
      </c>
      <c r="J1562" s="34">
        <f t="shared" si="2"/>
        <v>5200</v>
      </c>
      <c r="K1562" s="196">
        <v>1300.0</v>
      </c>
      <c r="L1562" s="70" t="s">
        <v>1217</v>
      </c>
    </row>
    <row r="1563" ht="22.5" customHeight="1">
      <c r="A1563" s="29">
        <v>46231.0</v>
      </c>
      <c r="B1563" s="31" t="s">
        <v>1842</v>
      </c>
      <c r="C1563" s="32" t="s">
        <v>1215</v>
      </c>
      <c r="D1563" s="198" t="str">
        <f t="array" ref="D1563">IF(E1563="", "", XLOOKUP(E1563, 'MASTER ITEM LIST'!B:B, 'MASTER ITEM LIST'!A:A, "Code Not Found"))</f>
        <v>FRANELLA</v>
      </c>
      <c r="E1563" s="209" t="s">
        <v>1021</v>
      </c>
      <c r="F1563" s="31"/>
      <c r="G1563" s="195" t="s">
        <v>1211</v>
      </c>
      <c r="H1563" s="31">
        <v>1.0</v>
      </c>
      <c r="I1563" s="31" t="str">
        <f t="array" ref="I1563">IFERROR(XLOOKUP(D1563,'MASTER ITEM LIST'!A:A,'MASTER ITEM LIST'!D:D), "")</f>
        <v>1YRD</v>
      </c>
      <c r="J1563" s="34">
        <f t="shared" si="2"/>
        <v>100</v>
      </c>
      <c r="K1563" s="196">
        <v>100.0</v>
      </c>
      <c r="L1563" s="70" t="s">
        <v>1217</v>
      </c>
    </row>
    <row r="1564" ht="22.5" customHeight="1">
      <c r="A1564" s="29">
        <v>46231.0</v>
      </c>
      <c r="B1564" s="31" t="s">
        <v>1842</v>
      </c>
      <c r="C1564" s="32" t="s">
        <v>1215</v>
      </c>
      <c r="D1564" s="198" t="str">
        <f t="array" ref="D1564">IF(E1564="", "", XLOOKUP(E1564, 'MASTER ITEM LIST'!B:B, 'MASTER ITEM LIST'!A:A, "Code Not Found"))</f>
        <v>PREMILAMIX-1L</v>
      </c>
      <c r="E1564" s="208" t="s">
        <v>1151</v>
      </c>
      <c r="F1564" s="31" t="s">
        <v>1845</v>
      </c>
      <c r="G1564" s="195" t="s">
        <v>1211</v>
      </c>
      <c r="H1564" s="31">
        <v>1.0</v>
      </c>
      <c r="I1564" s="31" t="str">
        <f t="array" ref="I1564">IFERROR(XLOOKUP(D1564,'MASTER ITEM LIST'!A:A,'MASTER ITEM LIST'!D:D), "")</f>
        <v>LITER</v>
      </c>
      <c r="J1564" s="34">
        <f t="shared" si="2"/>
        <v>2400</v>
      </c>
      <c r="K1564" s="196">
        <v>2400.0</v>
      </c>
      <c r="L1564" s="70" t="s">
        <v>1217</v>
      </c>
    </row>
    <row r="1565" ht="22.5" customHeight="1">
      <c r="A1565" s="29">
        <v>46232.0</v>
      </c>
      <c r="B1565" s="31" t="s">
        <v>1846</v>
      </c>
      <c r="C1565" s="32" t="s">
        <v>1210</v>
      </c>
      <c r="D1565" s="198" t="str">
        <f t="array" ref="D1565">IF(E1565="", "", XLOOKUP(E1565, 'MASTER ITEM LIST'!B:B, 'MASTER ITEM LIST'!A:A, "Code Not Found"))</f>
        <v>NAT100-1L</v>
      </c>
      <c r="E1565" s="209" t="s">
        <v>896</v>
      </c>
      <c r="F1565" s="31"/>
      <c r="G1565" s="195" t="s">
        <v>1211</v>
      </c>
      <c r="H1565" s="31">
        <v>1.0</v>
      </c>
      <c r="I1565" s="31" t="str">
        <f t="array" ref="I1565">IFERROR(XLOOKUP(D1565,'MASTER ITEM LIST'!A:A,'MASTER ITEM LIST'!D:D), "")</f>
        <v>LITER</v>
      </c>
      <c r="J1565" s="34">
        <f t="shared" si="2"/>
        <v>1100</v>
      </c>
      <c r="K1565" s="196">
        <v>1100.0</v>
      </c>
      <c r="L1565" s="70" t="s">
        <v>1212</v>
      </c>
    </row>
    <row r="1566" ht="22.5" customHeight="1">
      <c r="A1566" s="29">
        <v>46232.0</v>
      </c>
      <c r="B1566" s="31" t="s">
        <v>1846</v>
      </c>
      <c r="C1566" s="32" t="s">
        <v>1210</v>
      </c>
      <c r="D1566" s="198" t="str">
        <f t="array" ref="D1566">IF(E1566="", "", XLOOKUP(E1566, 'MASTER ITEM LIST'!B:B, 'MASTER ITEM LIST'!A:A, "Code Not Found"))</f>
        <v>SOB757</v>
      </c>
      <c r="E1566" s="208" t="s">
        <v>91</v>
      </c>
      <c r="F1566" s="31"/>
      <c r="G1566" s="195" t="s">
        <v>1211</v>
      </c>
      <c r="H1566" s="31">
        <v>0.5</v>
      </c>
      <c r="I1566" s="31" t="str">
        <f t="array" ref="I1566">IFERROR(XLOOKUP(D1566,'MASTER ITEM LIST'!A:A,'MASTER ITEM LIST'!D:D), "")</f>
        <v>GAL</v>
      </c>
      <c r="J1566" s="34">
        <f t="shared" si="2"/>
        <v>800</v>
      </c>
      <c r="K1566" s="196">
        <v>400.0</v>
      </c>
      <c r="L1566" s="70" t="s">
        <v>1212</v>
      </c>
    </row>
    <row r="1567" ht="22.5" customHeight="1">
      <c r="A1567" s="29">
        <v>46232.0</v>
      </c>
      <c r="B1567" s="31" t="s">
        <v>1846</v>
      </c>
      <c r="C1567" s="32" t="s">
        <v>1210</v>
      </c>
      <c r="D1567" s="198" t="str">
        <f t="array" ref="D1567">IF(E1567="", "", XLOOKUP(E1567, 'MASTER ITEM LIST'!B:B, 'MASTER ITEM LIST'!A:A, "Code Not Found"))</f>
        <v>NAX108</v>
      </c>
      <c r="E1567" s="209" t="s">
        <v>960</v>
      </c>
      <c r="F1567" s="31"/>
      <c r="G1567" s="195" t="s">
        <v>1211</v>
      </c>
      <c r="H1567" s="31">
        <v>2.0</v>
      </c>
      <c r="I1567" s="31" t="str">
        <f t="array" ref="I1567">IFERROR(XLOOKUP(D1567,'MASTER ITEM LIST'!A:A,'MASTER ITEM LIST'!D:D), "")</f>
        <v>LITER</v>
      </c>
      <c r="J1567" s="34">
        <f t="shared" si="2"/>
        <v>710</v>
      </c>
      <c r="K1567" s="196">
        <v>1420.0</v>
      </c>
      <c r="L1567" s="70" t="s">
        <v>1212</v>
      </c>
    </row>
    <row r="1568" ht="22.5" customHeight="1">
      <c r="A1568" s="29">
        <v>46232.0</v>
      </c>
      <c r="B1568" s="31" t="s">
        <v>1846</v>
      </c>
      <c r="C1568" s="32" t="s">
        <v>1210</v>
      </c>
      <c r="D1568" s="198" t="str">
        <f t="array" ref="D1568">IF(E1568="", "", XLOOKUP(E1568, 'MASTER ITEM LIST'!B:B, 'MASTER ITEM LIST'!A:A, "Code Not Found"))</f>
        <v>NAXQDUMIX-1L</v>
      </c>
      <c r="E1568" s="208" t="s">
        <v>1161</v>
      </c>
      <c r="F1568" s="31"/>
      <c r="G1568" s="195" t="s">
        <v>1211</v>
      </c>
      <c r="H1568" s="31">
        <v>0.25</v>
      </c>
      <c r="I1568" s="31" t="str">
        <f t="array" ref="I1568">IFERROR(XLOOKUP(D1568,'MASTER ITEM LIST'!A:A,'MASTER ITEM LIST'!D:D), "")</f>
        <v>LITER</v>
      </c>
      <c r="J1568" s="34">
        <f t="shared" si="2"/>
        <v>1600</v>
      </c>
      <c r="K1568" s="196">
        <v>400.0</v>
      </c>
      <c r="L1568" s="70" t="s">
        <v>1212</v>
      </c>
    </row>
    <row r="1569" ht="22.5" customHeight="1">
      <c r="A1569" s="29">
        <v>46232.0</v>
      </c>
      <c r="B1569" s="31" t="s">
        <v>1846</v>
      </c>
      <c r="C1569" s="32" t="s">
        <v>1210</v>
      </c>
      <c r="D1569" s="198" t="str">
        <f t="array" ref="D1569">IF(E1569="", "", XLOOKUP(E1569, 'MASTER ITEM LIST'!B:B, 'MASTER ITEM LIST'!A:A, "Code Not Found"))</f>
        <v>DOMBF-1L</v>
      </c>
      <c r="E1569" s="209" t="s">
        <v>1065</v>
      </c>
      <c r="F1569" s="31"/>
      <c r="G1569" s="195" t="s">
        <v>1211</v>
      </c>
      <c r="H1569" s="31">
        <v>2.0</v>
      </c>
      <c r="I1569" s="31" t="str">
        <f t="array" ref="I1569">IFERROR(XLOOKUP(D1569,'MASTER ITEM LIST'!A:A,'MASTER ITEM LIST'!D:D), "")</f>
        <v>LITER</v>
      </c>
      <c r="J1569" s="34">
        <f t="shared" si="2"/>
        <v>230</v>
      </c>
      <c r="K1569" s="196">
        <v>460.0</v>
      </c>
      <c r="L1569" s="70" t="s">
        <v>1212</v>
      </c>
    </row>
    <row r="1570" ht="22.5" customHeight="1">
      <c r="A1570" s="29">
        <v>46232.0</v>
      </c>
      <c r="B1570" s="31" t="s">
        <v>1846</v>
      </c>
      <c r="C1570" s="32" t="s">
        <v>1210</v>
      </c>
      <c r="D1570" s="198" t="str">
        <f t="array" ref="D1570">IF(E1570="", "", XLOOKUP(E1570, 'MASTER ITEM LIST'!B:B, 'MASTER ITEM LIST'!A:A, "Code Not Found"))</f>
        <v>EA120</v>
      </c>
      <c r="E1570" s="208" t="s">
        <v>1048</v>
      </c>
      <c r="F1570" s="31"/>
      <c r="G1570" s="195" t="s">
        <v>1211</v>
      </c>
      <c r="H1570" s="31">
        <v>5.0</v>
      </c>
      <c r="I1570" s="31" t="str">
        <f t="array" ref="I1570">IFERROR(XLOOKUP(D1570,'MASTER ITEM LIST'!A:A,'MASTER ITEM LIST'!D:D), "")</f>
        <v>PC/S</v>
      </c>
      <c r="J1570" s="34">
        <f t="shared" si="2"/>
        <v>25</v>
      </c>
      <c r="K1570" s="196">
        <v>125.0</v>
      </c>
      <c r="L1570" s="70" t="s">
        <v>1212</v>
      </c>
    </row>
    <row r="1571" ht="22.5" customHeight="1">
      <c r="A1571" s="29">
        <v>46232.0</v>
      </c>
      <c r="B1571" s="31" t="s">
        <v>1846</v>
      </c>
      <c r="C1571" s="32" t="s">
        <v>1210</v>
      </c>
      <c r="D1571" s="198" t="str">
        <f t="array" ref="D1571">IF(E1572="", "", XLOOKUP(E1572, 'MASTER ITEM LIST'!B:B, 'MASTER ITEM LIST'!A:A, "Code Not Found"))</f>
        <v>EA240</v>
      </c>
      <c r="E1571" s="209" t="s">
        <v>1050</v>
      </c>
      <c r="F1571" s="31"/>
      <c r="G1571" s="195" t="s">
        <v>1211</v>
      </c>
      <c r="H1571" s="31">
        <v>6.0</v>
      </c>
      <c r="I1571" s="31" t="str">
        <f t="array" ref="I1571">IFERROR(XLOOKUP(D1571,'MASTER ITEM LIST'!A:A,'MASTER ITEM LIST'!D:D), "")</f>
        <v>PC/S</v>
      </c>
      <c r="J1571" s="34">
        <f t="shared" si="2"/>
        <v>25</v>
      </c>
      <c r="K1571" s="196">
        <v>150.0</v>
      </c>
      <c r="L1571" s="70" t="s">
        <v>1212</v>
      </c>
    </row>
    <row r="1572" ht="22.5" customHeight="1">
      <c r="A1572" s="29">
        <v>46232.0</v>
      </c>
      <c r="B1572" s="31" t="s">
        <v>1847</v>
      </c>
      <c r="C1572" s="32" t="s">
        <v>1210</v>
      </c>
      <c r="D1572" s="198" t="str">
        <f t="array" ref="D1572">IF(#REF!="", "", XLOOKUP(#REF!, 'MASTER ITEM LIST'!B:B, 'MASTER ITEM LIST'!A:A, "Code Not Found"))</f>
        <v>#REF!</v>
      </c>
      <c r="E1572" s="208" t="s">
        <v>1044</v>
      </c>
      <c r="F1572" s="31"/>
      <c r="G1572" s="195" t="s">
        <v>1211</v>
      </c>
      <c r="H1572" s="31">
        <v>4.0</v>
      </c>
      <c r="I1572" s="31" t="str">
        <f t="array" ref="I1572">IFERROR(XLOOKUP(D1572,'MASTER ITEM LIST'!A:A,'MASTER ITEM LIST'!D:D), "")</f>
        <v/>
      </c>
      <c r="J1572" s="34">
        <f t="shared" si="2"/>
        <v>25</v>
      </c>
      <c r="K1572" s="196">
        <v>100.0</v>
      </c>
      <c r="L1572" s="70" t="s">
        <v>1212</v>
      </c>
    </row>
    <row r="1573" ht="22.5" customHeight="1">
      <c r="A1573" s="29">
        <v>46232.0</v>
      </c>
      <c r="B1573" s="31" t="s">
        <v>1847</v>
      </c>
      <c r="C1573" s="32" t="s">
        <v>1210</v>
      </c>
      <c r="D1573" s="198" t="str">
        <f t="array" ref="D1573">IF(E1573="", "", XLOOKUP(E1573, 'MASTER ITEM LIST'!B:B, 'MASTER ITEM LIST'!A:A, "Code Not Found"))</f>
        <v>EA1200</v>
      </c>
      <c r="E1573" s="209" t="s">
        <v>1047</v>
      </c>
      <c r="F1573" s="31"/>
      <c r="G1573" s="195" t="s">
        <v>1211</v>
      </c>
      <c r="H1573" s="31">
        <v>4.0</v>
      </c>
      <c r="I1573" s="31" t="str">
        <f t="array" ref="I1573">IFERROR(XLOOKUP(D1573,'MASTER ITEM LIST'!A:A,'MASTER ITEM LIST'!D:D), "")</f>
        <v>PC/S</v>
      </c>
      <c r="J1573" s="34">
        <f t="shared" si="2"/>
        <v>25</v>
      </c>
      <c r="K1573" s="196">
        <v>100.0</v>
      </c>
      <c r="L1573" s="70" t="s">
        <v>1212</v>
      </c>
    </row>
    <row r="1574" ht="22.5" customHeight="1">
      <c r="A1574" s="29">
        <v>46232.0</v>
      </c>
      <c r="B1574" s="31" t="s">
        <v>1847</v>
      </c>
      <c r="C1574" s="32" t="s">
        <v>1210</v>
      </c>
      <c r="D1574" s="198" t="str">
        <f t="array" ref="D1574">IF(E1574="", "", XLOOKUP(E1574, 'MASTER ITEM LIST'!B:B, 'MASTER ITEM LIST'!A:A, "Code Not Found"))</f>
        <v>MSC</v>
      </c>
      <c r="E1574" s="208" t="s">
        <v>518</v>
      </c>
      <c r="F1574" s="31"/>
      <c r="G1574" s="195" t="s">
        <v>1211</v>
      </c>
      <c r="H1574" s="31">
        <v>2.0</v>
      </c>
      <c r="I1574" s="31" t="str">
        <f t="array" ref="I1574">IFERROR(XLOOKUP(D1574,'MASTER ITEM LIST'!A:A,'MASTER ITEM LIST'!D:D), "")</f>
        <v>KG</v>
      </c>
      <c r="J1574" s="34">
        <f t="shared" si="2"/>
        <v>100</v>
      </c>
      <c r="K1574" s="196">
        <v>200.0</v>
      </c>
      <c r="L1574" s="70" t="s">
        <v>1212</v>
      </c>
    </row>
    <row r="1575" ht="22.5" customHeight="1">
      <c r="A1575" s="29">
        <v>46232.0</v>
      </c>
      <c r="B1575" s="31" t="s">
        <v>1847</v>
      </c>
      <c r="C1575" s="32" t="s">
        <v>1210</v>
      </c>
      <c r="D1575" s="198" t="str">
        <f t="array" ref="D1575">IF(E1575="", "", XLOOKUP(E1575, 'MASTER ITEM LIST'!B:B, 'MASTER ITEM LIST'!A:A, "Code Not Found"))</f>
        <v>CRO-MT3/4</v>
      </c>
      <c r="E1575" s="209" t="s">
        <v>1103</v>
      </c>
      <c r="F1575" s="31"/>
      <c r="G1575" s="195" t="s">
        <v>1211</v>
      </c>
      <c r="H1575" s="31">
        <v>5.0</v>
      </c>
      <c r="I1575" s="31" t="str">
        <f t="array" ref="I1575">IFERROR(XLOOKUP(D1575,'MASTER ITEM LIST'!A:A,'MASTER ITEM LIST'!D:D), "")</f>
        <v>PC/S</v>
      </c>
      <c r="J1575" s="34">
        <f t="shared" si="2"/>
        <v>35</v>
      </c>
      <c r="K1575" s="196">
        <v>175.0</v>
      </c>
      <c r="L1575" s="70" t="s">
        <v>1212</v>
      </c>
    </row>
    <row r="1576" ht="22.5" customHeight="1">
      <c r="A1576" s="29">
        <v>46233.0</v>
      </c>
      <c r="B1576" s="31" t="s">
        <v>1848</v>
      </c>
      <c r="C1576" s="32" t="s">
        <v>1572</v>
      </c>
      <c r="D1576" s="198" t="str">
        <f t="array" ref="D1576">IF(E1576="", "", XLOOKUP(E1576, 'MASTER ITEM LIST'!B:B, 'MASTER ITEM LIST'!A:A, "Code Not Found"))</f>
        <v>NAT3974</v>
      </c>
      <c r="E1576" s="208" t="s">
        <v>885</v>
      </c>
      <c r="F1576" s="31"/>
      <c r="G1576" s="195" t="s">
        <v>34</v>
      </c>
      <c r="H1576" s="31">
        <v>0.25</v>
      </c>
      <c r="I1576" s="31" t="str">
        <f t="array" ref="I1576">IFERROR(XLOOKUP(D1576,'MASTER ITEM LIST'!A:A,'MASTER ITEM LIST'!D:D), "")</f>
        <v>LITER</v>
      </c>
      <c r="J1576" s="34">
        <f t="shared" si="2"/>
        <v>1200</v>
      </c>
      <c r="K1576" s="196">
        <v>300.0</v>
      </c>
      <c r="L1576" s="70" t="s">
        <v>42</v>
      </c>
    </row>
    <row r="1577" ht="22.5" customHeight="1">
      <c r="A1577" s="29">
        <v>46233.0</v>
      </c>
      <c r="B1577" s="31" t="s">
        <v>1848</v>
      </c>
      <c r="C1577" s="32" t="s">
        <v>1572</v>
      </c>
      <c r="D1577" s="198" t="str">
        <f t="array" ref="D1577">IF(E1577="", "", XLOOKUP(E1577, 'MASTER ITEM LIST'!B:B, 'MASTER ITEM LIST'!A:A, "Code Not Found"))</f>
        <v>SOB757</v>
      </c>
      <c r="E1577" s="209" t="s">
        <v>91</v>
      </c>
      <c r="F1577" s="31"/>
      <c r="G1577" s="195" t="s">
        <v>34</v>
      </c>
      <c r="H1577" s="31">
        <v>0.25</v>
      </c>
      <c r="I1577" s="31" t="str">
        <f t="array" ref="I1577">IFERROR(XLOOKUP(D1577,'MASTER ITEM LIST'!A:A,'MASTER ITEM LIST'!D:D), "")</f>
        <v>GAL</v>
      </c>
      <c r="J1577" s="34">
        <f t="shared" si="2"/>
        <v>800</v>
      </c>
      <c r="K1577" s="196">
        <v>200.0</v>
      </c>
      <c r="L1577" s="70" t="s">
        <v>42</v>
      </c>
    </row>
    <row r="1578" ht="22.5" customHeight="1">
      <c r="A1578" s="29">
        <v>46233.0</v>
      </c>
      <c r="B1578" s="31" t="s">
        <v>1848</v>
      </c>
      <c r="C1578" s="32" t="s">
        <v>1572</v>
      </c>
      <c r="D1578" s="198" t="str">
        <f t="array" ref="D1578">IF(E1578="", "", XLOOKUP(E1578, 'MASTER ITEM LIST'!B:B, 'MASTER ITEM LIST'!A:A, "Code Not Found"))</f>
        <v>SOD145</v>
      </c>
      <c r="E1578" s="208" t="s">
        <v>704</v>
      </c>
      <c r="F1578" s="31"/>
      <c r="G1578" s="195" t="s">
        <v>34</v>
      </c>
      <c r="H1578" s="31">
        <v>0.0625</v>
      </c>
      <c r="I1578" s="31" t="str">
        <f t="array" ref="I1578">IFERROR(XLOOKUP(D1578,'MASTER ITEM LIST'!A:A,'MASTER ITEM LIST'!D:D), "")</f>
        <v>GAL</v>
      </c>
      <c r="J1578" s="34">
        <f t="shared" si="2"/>
        <v>1040</v>
      </c>
      <c r="K1578" s="196">
        <v>65.0</v>
      </c>
      <c r="L1578" s="70" t="s">
        <v>42</v>
      </c>
    </row>
    <row r="1579" ht="22.5" customHeight="1">
      <c r="A1579" s="29">
        <v>46233.0</v>
      </c>
      <c r="B1579" s="31" t="s">
        <v>1848</v>
      </c>
      <c r="C1579" s="32" t="s">
        <v>1572</v>
      </c>
      <c r="D1579" s="198" t="str">
        <f t="array" ref="D1579">IF(E1579="", "", XLOOKUP(E1579, 'MASTER ITEM LIST'!B:B, 'MASTER ITEM LIST'!A:A, "Code Not Found"))</f>
        <v>MSC</v>
      </c>
      <c r="E1579" s="209" t="s">
        <v>518</v>
      </c>
      <c r="F1579" s="31"/>
      <c r="G1579" s="195" t="s">
        <v>34</v>
      </c>
      <c r="H1579" s="31">
        <v>0.5</v>
      </c>
      <c r="I1579" s="31" t="str">
        <f t="array" ref="I1579">IFERROR(XLOOKUP(D1579,'MASTER ITEM LIST'!A:A,'MASTER ITEM LIST'!D:D), "")</f>
        <v>KG</v>
      </c>
      <c r="J1579" s="34">
        <f t="shared" si="2"/>
        <v>100</v>
      </c>
      <c r="K1579" s="196">
        <v>50.0</v>
      </c>
      <c r="L1579" s="70" t="s">
        <v>42</v>
      </c>
    </row>
    <row r="1580" ht="22.5" customHeight="1">
      <c r="A1580" s="29">
        <v>46233.0</v>
      </c>
      <c r="B1580" s="31" t="s">
        <v>1848</v>
      </c>
      <c r="C1580" s="32" t="s">
        <v>1572</v>
      </c>
      <c r="D1580" s="198" t="str">
        <f t="array" ref="D1580">IF(E1580="", "", XLOOKUP(E1580, 'MASTER ITEM LIST'!B:B, 'MASTER ITEM LIST'!A:A, "Code Not Found"))</f>
        <v>CRO-MT3/4</v>
      </c>
      <c r="E1580" s="208" t="s">
        <v>1103</v>
      </c>
      <c r="F1580" s="31"/>
      <c r="G1580" s="195" t="s">
        <v>34</v>
      </c>
      <c r="H1580" s="31">
        <v>2.0</v>
      </c>
      <c r="I1580" s="31" t="str">
        <f t="array" ref="I1580">IFERROR(XLOOKUP(D1580,'MASTER ITEM LIST'!A:A,'MASTER ITEM LIST'!D:D), "")</f>
        <v>PC/S</v>
      </c>
      <c r="J1580" s="34">
        <f t="shared" si="2"/>
        <v>35</v>
      </c>
      <c r="K1580" s="196">
        <v>70.0</v>
      </c>
      <c r="L1580" s="70" t="s">
        <v>42</v>
      </c>
    </row>
    <row r="1581" ht="22.5" customHeight="1">
      <c r="A1581" s="29">
        <v>46233.0</v>
      </c>
      <c r="B1581" s="31" t="s">
        <v>1848</v>
      </c>
      <c r="C1581" s="32" t="s">
        <v>1572</v>
      </c>
      <c r="D1581" s="198" t="str">
        <f t="array" ref="D1581">IF(E1581="", "", XLOOKUP(E1581, 'MASTER ITEM LIST'!B:B, 'MASTER ITEM LIST'!A:A, "Code Not Found"))</f>
        <v>PRI1680</v>
      </c>
      <c r="E1581" s="209" t="s">
        <v>1152</v>
      </c>
      <c r="F1581" s="31"/>
      <c r="G1581" s="195" t="s">
        <v>34</v>
      </c>
      <c r="H1581" s="31">
        <v>0.25</v>
      </c>
      <c r="I1581" s="31" t="str">
        <f t="array" ref="I1581">IFERROR(XLOOKUP(D1581,'MASTER ITEM LIST'!A:A,'MASTER ITEM LIST'!D:D), "")</f>
        <v>LITER</v>
      </c>
      <c r="J1581" s="34">
        <f t="shared" si="2"/>
        <v>880</v>
      </c>
      <c r="K1581" s="196">
        <v>220.0</v>
      </c>
      <c r="L1581" s="70" t="s">
        <v>42</v>
      </c>
    </row>
    <row r="1582" ht="22.5" customHeight="1">
      <c r="A1582" s="29">
        <v>46233.0</v>
      </c>
      <c r="B1582" s="31" t="s">
        <v>1848</v>
      </c>
      <c r="C1582" s="32" t="s">
        <v>1572</v>
      </c>
      <c r="D1582" s="198" t="str">
        <f t="array" ref="D1582">IF(E1582="", "", XLOOKUP(E1582, 'MASTER ITEM LIST'!B:B, 'MASTER ITEM LIST'!A:A, "Code Not Found"))</f>
        <v>EA1000</v>
      </c>
      <c r="E1582" s="208" t="s">
        <v>1049</v>
      </c>
      <c r="F1582" s="31"/>
      <c r="G1582" s="195" t="s">
        <v>34</v>
      </c>
      <c r="H1582" s="31">
        <v>1.0</v>
      </c>
      <c r="I1582" s="31" t="str">
        <f t="array" ref="I1582">IFERROR(XLOOKUP(D1582,'MASTER ITEM LIST'!A:A,'MASTER ITEM LIST'!D:D), "")</f>
        <v>PC/S</v>
      </c>
      <c r="J1582" s="34">
        <f t="shared" si="2"/>
        <v>25</v>
      </c>
      <c r="K1582" s="196">
        <v>25.0</v>
      </c>
      <c r="L1582" s="70" t="s">
        <v>42</v>
      </c>
    </row>
    <row r="1583" ht="22.5" customHeight="1">
      <c r="A1583" s="29">
        <v>46233.0</v>
      </c>
      <c r="B1583" s="31" t="s">
        <v>1848</v>
      </c>
      <c r="C1583" s="32" t="s">
        <v>1572</v>
      </c>
      <c r="D1583" s="198" t="str">
        <f t="array" ref="D1583">IF(E1583="", "", XLOOKUP(E1583, 'MASTER ITEM LIST'!B:B, 'MASTER ITEM LIST'!A:A, "Code Not Found"))</f>
        <v>EA600</v>
      </c>
      <c r="E1583" s="209" t="s">
        <v>1041</v>
      </c>
      <c r="F1583" s="31"/>
      <c r="G1583" s="195" t="s">
        <v>34</v>
      </c>
      <c r="H1583" s="31">
        <v>1.0</v>
      </c>
      <c r="I1583" s="31" t="str">
        <f t="array" ref="I1583">IFERROR(XLOOKUP(D1583,'MASTER ITEM LIST'!A:A,'MASTER ITEM LIST'!D:D), "")</f>
        <v>PCS</v>
      </c>
      <c r="J1583" s="34">
        <f t="shared" si="2"/>
        <v>25</v>
      </c>
      <c r="K1583" s="196">
        <v>25.0</v>
      </c>
      <c r="L1583" s="70" t="s">
        <v>42</v>
      </c>
    </row>
    <row r="1584" ht="22.5" customHeight="1">
      <c r="A1584" s="29">
        <v>46233.0</v>
      </c>
      <c r="B1584" s="31"/>
      <c r="C1584" s="32" t="s">
        <v>711</v>
      </c>
      <c r="D1584" s="198" t="str">
        <f t="array" ref="D1584">IF(E1584="", "", XLOOKUP(E1584, 'MASTER ITEM LIST'!B:B, 'MASTER ITEM LIST'!A:A, "Code Not Found"))</f>
        <v>B-1711</v>
      </c>
      <c r="E1584" s="208" t="s">
        <v>1131</v>
      </c>
      <c r="F1584" s="31"/>
      <c r="G1584" s="195" t="s">
        <v>34</v>
      </c>
      <c r="H1584" s="31">
        <v>1.0</v>
      </c>
      <c r="I1584" s="31" t="str">
        <f t="array" ref="I1584">IFERROR(XLOOKUP(D1584,'MASTER ITEM LIST'!A:A,'MASTER ITEM LIST'!D:D), "")</f>
        <v>GALON</v>
      </c>
      <c r="J1584" s="34">
        <f t="shared" si="2"/>
        <v>640</v>
      </c>
      <c r="K1584" s="196">
        <v>640.0</v>
      </c>
      <c r="L1584" s="70" t="s">
        <v>42</v>
      </c>
    </row>
    <row r="1585" ht="22.5" customHeight="1">
      <c r="A1585" s="29">
        <v>46233.0</v>
      </c>
      <c r="B1585" s="31"/>
      <c r="C1585" s="32" t="s">
        <v>711</v>
      </c>
      <c r="D1585" s="198" t="str">
        <f t="array" ref="D1585">IF(E1585="", "", XLOOKUP(E1585, 'MASTER ITEM LIST'!B:B, 'MASTER ITEM LIST'!A:A, "Code Not Found"))</f>
        <v>DPB-1 1/2</v>
      </c>
      <c r="E1585" s="209" t="s">
        <v>1059</v>
      </c>
      <c r="F1585" s="31"/>
      <c r="G1585" s="195" t="s">
        <v>34</v>
      </c>
      <c r="H1585" s="31">
        <v>1.0</v>
      </c>
      <c r="I1585" s="31" t="str">
        <f t="array" ref="I1585">IFERROR(XLOOKUP(D1585,'MASTER ITEM LIST'!A:A,'MASTER ITEM LIST'!D:D), "")</f>
        <v>PC/S</v>
      </c>
      <c r="J1585" s="34">
        <f t="shared" si="2"/>
        <v>35</v>
      </c>
      <c r="K1585" s="196">
        <v>35.0</v>
      </c>
      <c r="L1585" s="70" t="s">
        <v>42</v>
      </c>
    </row>
    <row r="1586" ht="22.5" customHeight="1">
      <c r="A1586" s="29">
        <v>46233.0</v>
      </c>
      <c r="B1586" s="31"/>
      <c r="C1586" s="32" t="s">
        <v>711</v>
      </c>
      <c r="D1586" s="198" t="str">
        <f t="array" ref="D1586">IF(E1586="", "", XLOOKUP(E1586, 'MASTER ITEM LIST'!B:B, 'MASTER ITEM LIST'!A:A, "Code Not Found"))</f>
        <v>PRI1680</v>
      </c>
      <c r="E1586" s="208" t="s">
        <v>1152</v>
      </c>
      <c r="F1586" s="31"/>
      <c r="G1586" s="195" t="s">
        <v>34</v>
      </c>
      <c r="H1586" s="31">
        <v>1.0</v>
      </c>
      <c r="I1586" s="31" t="str">
        <f t="array" ref="I1586">IFERROR(XLOOKUP(D1586,'MASTER ITEM LIST'!A:A,'MASTER ITEM LIST'!D:D), "")</f>
        <v>LITER</v>
      </c>
      <c r="J1586" s="34">
        <f t="shared" si="2"/>
        <v>825</v>
      </c>
      <c r="K1586" s="196">
        <v>825.0</v>
      </c>
      <c r="L1586" s="70" t="s">
        <v>42</v>
      </c>
    </row>
    <row r="1587" ht="22.5" customHeight="1">
      <c r="A1587" s="29">
        <v>46233.0</v>
      </c>
      <c r="B1587" s="31"/>
      <c r="C1587" s="32" t="s">
        <v>711</v>
      </c>
      <c r="D1587" s="198" t="str">
        <f t="array" ref="D1587">IF(E1587="", "", XLOOKUP(E1587, 'MASTER ITEM LIST'!B:B, 'MASTER ITEM LIST'!A:A, "Code Not Found"))</f>
        <v>CRO-MT3/4</v>
      </c>
      <c r="E1587" s="209" t="s">
        <v>1103</v>
      </c>
      <c r="F1587" s="31"/>
      <c r="G1587" s="195" t="s">
        <v>34</v>
      </c>
      <c r="H1587" s="31">
        <v>5.0</v>
      </c>
      <c r="I1587" s="31" t="str">
        <f t="array" ref="I1587">IFERROR(XLOOKUP(D1587,'MASTER ITEM LIST'!A:A,'MASTER ITEM LIST'!D:D), "")</f>
        <v>PC/S</v>
      </c>
      <c r="J1587" s="34">
        <f t="shared" si="2"/>
        <v>35</v>
      </c>
      <c r="K1587" s="196">
        <v>175.0</v>
      </c>
      <c r="L1587" s="70" t="s">
        <v>42</v>
      </c>
    </row>
    <row r="1588" ht="22.5" customHeight="1">
      <c r="A1588" s="29">
        <v>46233.0</v>
      </c>
      <c r="B1588" s="31"/>
      <c r="C1588" s="32" t="s">
        <v>711</v>
      </c>
      <c r="D1588" s="198" t="str">
        <f t="array" ref="D1588">IF(E1588="", "", XLOOKUP(E1588, 'MASTER ITEM LIST'!B:B, 'MASTER ITEM LIST'!A:A, "Code Not Found"))</f>
        <v>NAX141</v>
      </c>
      <c r="E1588" s="208" t="s">
        <v>959</v>
      </c>
      <c r="F1588" s="31"/>
      <c r="G1588" s="195" t="s">
        <v>34</v>
      </c>
      <c r="H1588" s="31">
        <v>1.0</v>
      </c>
      <c r="I1588" s="31" t="str">
        <f t="array" ref="I1588">IFERROR(XLOOKUP(D1588,'MASTER ITEM LIST'!A:A,'MASTER ITEM LIST'!D:D), "")</f>
        <v>LITER</v>
      </c>
      <c r="J1588" s="34">
        <f t="shared" si="2"/>
        <v>580</v>
      </c>
      <c r="K1588" s="196">
        <v>580.0</v>
      </c>
      <c r="L1588" s="70" t="s">
        <v>42</v>
      </c>
    </row>
    <row r="1589" ht="22.5" customHeight="1">
      <c r="A1589" s="29">
        <v>46233.0</v>
      </c>
      <c r="B1589" s="31"/>
      <c r="C1589" s="32" t="s">
        <v>711</v>
      </c>
      <c r="D1589" s="198" t="str">
        <f t="array" ref="D1589">IF(E1589="", "", XLOOKUP(E1589, 'MASTER ITEM LIST'!B:B, 'MASTER ITEM LIST'!A:A, "Code Not Found"))</f>
        <v>EA240</v>
      </c>
      <c r="E1589" s="209" t="s">
        <v>1044</v>
      </c>
      <c r="F1589" s="31"/>
      <c r="G1589" s="195" t="s">
        <v>34</v>
      </c>
      <c r="H1589" s="31">
        <v>8.0</v>
      </c>
      <c r="I1589" s="31" t="str">
        <f t="array" ref="I1589">IFERROR(XLOOKUP(D1589,'MASTER ITEM LIST'!A:A,'MASTER ITEM LIST'!D:D), "")</f>
        <v>PC/S</v>
      </c>
      <c r="J1589" s="34">
        <f t="shared" si="2"/>
        <v>25</v>
      </c>
      <c r="K1589" s="196">
        <v>200.0</v>
      </c>
      <c r="L1589" s="70" t="s">
        <v>42</v>
      </c>
    </row>
    <row r="1590" ht="22.5" customHeight="1">
      <c r="A1590" s="29">
        <v>46233.0</v>
      </c>
      <c r="B1590" s="31"/>
      <c r="C1590" s="32" t="s">
        <v>711</v>
      </c>
      <c r="D1590" s="198" t="str">
        <f t="array" ref="D1590">IF(E1590="", "", XLOOKUP(E1590, 'MASTER ITEM LIST'!B:B, 'MASTER ITEM LIST'!A:A, "Code Not Found"))</f>
        <v>EA120</v>
      </c>
      <c r="E1590" s="208" t="s">
        <v>1048</v>
      </c>
      <c r="F1590" s="31"/>
      <c r="G1590" s="195" t="s">
        <v>34</v>
      </c>
      <c r="H1590" s="31">
        <v>2.0</v>
      </c>
      <c r="I1590" s="31" t="str">
        <f t="array" ref="I1590">IFERROR(XLOOKUP(D1590,'MASTER ITEM LIST'!A:A,'MASTER ITEM LIST'!D:D), "")</f>
        <v>PC/S</v>
      </c>
      <c r="J1590" s="34">
        <f t="shared" si="2"/>
        <v>25</v>
      </c>
      <c r="K1590" s="196">
        <v>50.0</v>
      </c>
      <c r="L1590" s="70" t="s">
        <v>42</v>
      </c>
    </row>
    <row r="1591" ht="22.5" customHeight="1">
      <c r="A1591" s="29">
        <v>46233.0</v>
      </c>
      <c r="B1591" s="31"/>
      <c r="C1591" s="32" t="s">
        <v>711</v>
      </c>
      <c r="D1591" s="198" t="str">
        <f t="array" ref="D1591">IF(E1591="", "", XLOOKUP(E1591, 'MASTER ITEM LIST'!B:B, 'MASTER ITEM LIST'!A:A, "Code Not Found"))</f>
        <v>MSC</v>
      </c>
      <c r="E1591" s="209" t="s">
        <v>518</v>
      </c>
      <c r="F1591" s="31"/>
      <c r="G1591" s="195" t="s">
        <v>34</v>
      </c>
      <c r="H1591" s="31">
        <v>1.5</v>
      </c>
      <c r="I1591" s="31" t="str">
        <f t="array" ref="I1591">IFERROR(XLOOKUP(D1591,'MASTER ITEM LIST'!A:A,'MASTER ITEM LIST'!D:D), "")</f>
        <v>KG</v>
      </c>
      <c r="J1591" s="34">
        <f t="shared" si="2"/>
        <v>83.33333333</v>
      </c>
      <c r="K1591" s="196">
        <v>125.0</v>
      </c>
      <c r="L1591" s="70" t="s">
        <v>42</v>
      </c>
    </row>
    <row r="1592" ht="22.5" customHeight="1">
      <c r="A1592" s="29">
        <v>46233.0</v>
      </c>
      <c r="B1592" s="31"/>
      <c r="C1592" s="32" t="s">
        <v>711</v>
      </c>
      <c r="D1592" s="198" t="str">
        <f t="array" ref="D1592">IF(E1592="", "", XLOOKUP(E1592, 'MASTER ITEM LIST'!B:B, 'MASTER ITEM LIST'!A:A, "Code Not Found"))</f>
        <v>EA400</v>
      </c>
      <c r="E1592" s="208" t="s">
        <v>1043</v>
      </c>
      <c r="F1592" s="31"/>
      <c r="G1592" s="195" t="s">
        <v>34</v>
      </c>
      <c r="H1592" s="31">
        <v>5.0</v>
      </c>
      <c r="I1592" s="31" t="str">
        <f t="array" ref="I1592">IFERROR(XLOOKUP(D1592,'MASTER ITEM LIST'!A:A,'MASTER ITEM LIST'!D:D), "")</f>
        <v>PC/S</v>
      </c>
      <c r="J1592" s="34">
        <f t="shared" si="2"/>
        <v>25</v>
      </c>
      <c r="K1592" s="196">
        <v>125.0</v>
      </c>
      <c r="L1592" s="70" t="s">
        <v>42</v>
      </c>
    </row>
    <row r="1593" ht="22.5" customHeight="1">
      <c r="A1593" s="29">
        <v>46233.0</v>
      </c>
      <c r="B1593" s="31"/>
      <c r="C1593" s="32" t="s">
        <v>711</v>
      </c>
      <c r="D1593" s="198" t="str">
        <f t="array" ref="D1593">IF(E1593="", "", XLOOKUP(E1593, 'MASTER ITEM LIST'!B:B, 'MASTER ITEM LIST'!A:A, "Code Not Found"))</f>
        <v>EA120</v>
      </c>
      <c r="E1593" s="209" t="s">
        <v>1048</v>
      </c>
      <c r="F1593" s="31"/>
      <c r="G1593" s="195" t="s">
        <v>34</v>
      </c>
      <c r="H1593" s="31">
        <v>2.0</v>
      </c>
      <c r="I1593" s="31" t="str">
        <f t="array" ref="I1593">IFERROR(XLOOKUP(D1593,'MASTER ITEM LIST'!A:A,'MASTER ITEM LIST'!D:D), "")</f>
        <v>PC/S</v>
      </c>
      <c r="J1593" s="34">
        <f t="shared" si="2"/>
        <v>25</v>
      </c>
      <c r="K1593" s="196">
        <v>50.0</v>
      </c>
      <c r="L1593" s="70" t="s">
        <v>42</v>
      </c>
    </row>
    <row r="1594" ht="22.5" customHeight="1">
      <c r="A1594" s="29">
        <v>46233.0</v>
      </c>
      <c r="B1594" s="31"/>
      <c r="C1594" s="32" t="s">
        <v>711</v>
      </c>
      <c r="D1594" s="198" t="str">
        <f t="array" ref="D1594">IF(E1594="", "", XLOOKUP(E1594, 'MASTER ITEM LIST'!B:B, 'MASTER ITEM LIST'!A:A, "Code Not Found"))</f>
        <v>EA2000</v>
      </c>
      <c r="E1594" s="208" t="s">
        <v>1045</v>
      </c>
      <c r="F1594" s="31"/>
      <c r="G1594" s="195" t="s">
        <v>34</v>
      </c>
      <c r="H1594" s="31">
        <v>3.0</v>
      </c>
      <c r="I1594" s="31" t="str">
        <f t="array" ref="I1594">IFERROR(XLOOKUP(D1594,'MASTER ITEM LIST'!A:A,'MASTER ITEM LIST'!D:D), "")</f>
        <v>PC/S</v>
      </c>
      <c r="J1594" s="34">
        <f t="shared" si="2"/>
        <v>35</v>
      </c>
      <c r="K1594" s="196">
        <v>105.0</v>
      </c>
      <c r="L1594" s="70" t="s">
        <v>42</v>
      </c>
    </row>
    <row r="1595" ht="22.5" customHeight="1">
      <c r="A1595" s="29">
        <v>46233.0</v>
      </c>
      <c r="B1595" s="31"/>
      <c r="C1595" s="32" t="s">
        <v>711</v>
      </c>
      <c r="D1595" s="198" t="str">
        <f t="array" ref="D1595">IF(E1595="", "", XLOOKUP(E1595, 'MASTER ITEM LIST'!B:B, 'MASTER ITEM LIST'!A:A, "Code Not Found"))</f>
        <v>CRO-MT3/4</v>
      </c>
      <c r="E1595" s="209" t="s">
        <v>1103</v>
      </c>
      <c r="F1595" s="31"/>
      <c r="G1595" s="195" t="s">
        <v>34</v>
      </c>
      <c r="H1595" s="31">
        <v>3.0</v>
      </c>
      <c r="I1595" s="31" t="str">
        <f t="array" ref="I1595">IFERROR(XLOOKUP(D1595,'MASTER ITEM LIST'!A:A,'MASTER ITEM LIST'!D:D), "")</f>
        <v>PC/S</v>
      </c>
      <c r="J1595" s="34">
        <f t="shared" si="2"/>
        <v>35</v>
      </c>
      <c r="K1595" s="196">
        <v>105.0</v>
      </c>
      <c r="L1595" s="70" t="s">
        <v>42</v>
      </c>
    </row>
    <row r="1596" ht="22.5" customHeight="1">
      <c r="A1596" s="29">
        <v>46233.0</v>
      </c>
      <c r="B1596" s="31"/>
      <c r="C1596" s="32" t="s">
        <v>711</v>
      </c>
      <c r="D1596" s="198" t="str">
        <f t="array" ref="D1596">IF(E1596="", "", XLOOKUP(E1596, 'MASTER ITEM LIST'!B:B, 'MASTER ITEM LIST'!A:A, "Code Not Found"))</f>
        <v>EA1000</v>
      </c>
      <c r="E1596" s="208" t="s">
        <v>1049</v>
      </c>
      <c r="F1596" s="31"/>
      <c r="G1596" s="195" t="s">
        <v>34</v>
      </c>
      <c r="H1596" s="31">
        <v>1.0</v>
      </c>
      <c r="I1596" s="31" t="str">
        <f t="array" ref="I1596">IFERROR(XLOOKUP(D1596,'MASTER ITEM LIST'!A:A,'MASTER ITEM LIST'!D:D), "")</f>
        <v>PC/S</v>
      </c>
      <c r="J1596" s="34">
        <f t="shared" si="2"/>
        <v>25</v>
      </c>
      <c r="K1596" s="196">
        <v>25.0</v>
      </c>
      <c r="L1596" s="70" t="s">
        <v>42</v>
      </c>
    </row>
    <row r="1597" ht="22.5" customHeight="1">
      <c r="A1597" s="29">
        <v>46233.0</v>
      </c>
      <c r="B1597" s="31"/>
      <c r="C1597" s="32" t="s">
        <v>711</v>
      </c>
      <c r="D1597" s="198" t="str">
        <f t="array" ref="D1597">IF(E1597="", "", XLOOKUP(E1597, 'MASTER ITEM LIST'!B:B, 'MASTER ITEM LIST'!A:A, "Code Not Found"))</f>
        <v>PUTTYKNI #6</v>
      </c>
      <c r="E1597" s="209" t="s">
        <v>995</v>
      </c>
      <c r="F1597" s="31"/>
      <c r="G1597" s="195" t="s">
        <v>34</v>
      </c>
      <c r="H1597" s="31">
        <v>1.0</v>
      </c>
      <c r="I1597" s="31" t="str">
        <f t="array" ref="I1597">IFERROR(XLOOKUP(D1597,'MASTER ITEM LIST'!A:A,'MASTER ITEM LIST'!D:D), "")</f>
        <v>PC/S</v>
      </c>
      <c r="J1597" s="34">
        <f t="shared" si="2"/>
        <v>70</v>
      </c>
      <c r="K1597" s="196">
        <v>70.0</v>
      </c>
      <c r="L1597" s="70" t="s">
        <v>42</v>
      </c>
    </row>
    <row r="1598" ht="22.5" customHeight="1">
      <c r="A1598" s="29">
        <v>46233.0</v>
      </c>
      <c r="B1598" s="31"/>
      <c r="C1598" s="32" t="s">
        <v>711</v>
      </c>
      <c r="D1598" s="198" t="str">
        <f t="array" ref="D1598">IF(E1598="", "", XLOOKUP(E1598, 'MASTER ITEM LIST'!B:B, 'MASTER ITEM LIST'!A:A, "Code Not Found"))</f>
        <v>AC-40-1L</v>
      </c>
      <c r="E1598" s="208" t="s">
        <v>999</v>
      </c>
      <c r="F1598" s="31"/>
      <c r="G1598" s="195" t="s">
        <v>34</v>
      </c>
      <c r="H1598" s="31">
        <v>1.0</v>
      </c>
      <c r="I1598" s="31" t="str">
        <f t="array" ref="I1598">IFERROR(XLOOKUP(D1598,'MASTER ITEM LIST'!A:A,'MASTER ITEM LIST'!D:D), "")</f>
        <v>1L</v>
      </c>
      <c r="J1598" s="34">
        <f t="shared" si="2"/>
        <v>180</v>
      </c>
      <c r="K1598" s="196">
        <v>180.0</v>
      </c>
      <c r="L1598" s="70" t="s">
        <v>42</v>
      </c>
    </row>
    <row r="1599" ht="22.5" customHeight="1">
      <c r="A1599" s="29">
        <v>46234.0</v>
      </c>
      <c r="B1599" s="31" t="s">
        <v>1849</v>
      </c>
      <c r="C1599" s="32" t="s">
        <v>1568</v>
      </c>
      <c r="D1599" s="198" t="str">
        <f t="array" ref="D1599">IF(E1599="", "", XLOOKUP(E1599, 'MASTER ITEM LIST'!B:B, 'MASTER ITEM LIST'!A:A, "Code Not Found"))</f>
        <v>AEMIX-1L</v>
      </c>
      <c r="E1599" s="199" t="s">
        <v>1196</v>
      </c>
      <c r="F1599" s="31"/>
      <c r="G1599" s="195" t="s">
        <v>34</v>
      </c>
      <c r="H1599" s="31">
        <v>4.0</v>
      </c>
      <c r="I1599" s="31" t="str">
        <f t="array" ref="I1599">IFERROR(XLOOKUP(D1599,'MASTER ITEM LIST'!A:A,'MASTER ITEM LIST'!D:D), "")</f>
        <v>LITER</v>
      </c>
      <c r="J1599" s="34">
        <f t="shared" si="2"/>
        <v>250</v>
      </c>
      <c r="K1599" s="196">
        <v>1000.0</v>
      </c>
      <c r="L1599" s="70" t="s">
        <v>42</v>
      </c>
    </row>
    <row r="1600" ht="22.5" customHeight="1">
      <c r="A1600" s="29">
        <v>46234.0</v>
      </c>
      <c r="B1600" s="31" t="s">
        <v>1849</v>
      </c>
      <c r="C1600" s="32" t="s">
        <v>1568</v>
      </c>
      <c r="D1600" s="198" t="str">
        <f t="array" ref="D1600">IF(E1600="", "", XLOOKUP(E1600, 'MASTER ITEM LIST'!B:B, 'MASTER ITEM LIST'!A:A, "Code Not Found"))</f>
        <v>SOD145</v>
      </c>
      <c r="E1600" s="199" t="s">
        <v>704</v>
      </c>
      <c r="F1600" s="31"/>
      <c r="G1600" s="195" t="s">
        <v>34</v>
      </c>
      <c r="H1600" s="31">
        <v>0.5</v>
      </c>
      <c r="I1600" s="31" t="str">
        <f t="array" ref="I1600">IFERROR(XLOOKUP(D1600,'MASTER ITEM LIST'!A:A,'MASTER ITEM LIST'!D:D), "")</f>
        <v>GAL</v>
      </c>
      <c r="J1600" s="34">
        <f t="shared" si="2"/>
        <v>1180</v>
      </c>
      <c r="K1600" s="196">
        <v>590.0</v>
      </c>
      <c r="L1600" s="70" t="s">
        <v>42</v>
      </c>
    </row>
    <row r="1601" ht="22.5" customHeight="1">
      <c r="A1601" s="29">
        <v>46234.0</v>
      </c>
      <c r="B1601" s="31" t="s">
        <v>1849</v>
      </c>
      <c r="C1601" s="32" t="s">
        <v>1568</v>
      </c>
      <c r="D1601" s="198" t="str">
        <f t="array" ref="D1601">IF(E1601="", "", XLOOKUP(E1601, 'MASTER ITEM LIST'!B:B, 'MASTER ITEM LIST'!A:A, "Code Not Found"))</f>
        <v>UNOLT-BOT</v>
      </c>
      <c r="E1601" s="199" t="s">
        <v>178</v>
      </c>
      <c r="F1601" s="31"/>
      <c r="G1601" s="195" t="s">
        <v>34</v>
      </c>
      <c r="H1601" s="31">
        <v>1.0</v>
      </c>
      <c r="I1601" s="31" t="str">
        <f t="array" ref="I1601">IFERROR(XLOOKUP(D1601,'MASTER ITEM LIST'!A:A,'MASTER ITEM LIST'!D:D), "")</f>
        <v>BOT</v>
      </c>
      <c r="J1601" s="34">
        <f t="shared" si="2"/>
        <v>80</v>
      </c>
      <c r="K1601" s="196">
        <v>80.0</v>
      </c>
      <c r="L1601" s="70" t="s">
        <v>42</v>
      </c>
    </row>
    <row r="1602" ht="22.5" customHeight="1">
      <c r="A1602" s="29">
        <v>46234.0</v>
      </c>
      <c r="B1602" s="31"/>
      <c r="C1602" s="32" t="s">
        <v>711</v>
      </c>
      <c r="D1602" s="198" t="str">
        <f t="array" ref="D1602">IF(E1602="", "", XLOOKUP(E1602, 'MASTER ITEM LIST'!B:B, 'MASTER ITEM LIST'!A:A, "Code Not Found"))</f>
        <v>UTMIX-1L</v>
      </c>
      <c r="E1602" s="199" t="s">
        <v>109</v>
      </c>
      <c r="F1602" s="31" t="s">
        <v>1850</v>
      </c>
      <c r="G1602" s="195" t="s">
        <v>34</v>
      </c>
      <c r="H1602" s="31">
        <v>0.25</v>
      </c>
      <c r="I1602" s="31" t="str">
        <f t="array" ref="I1602">IFERROR(XLOOKUP(D1602,'MASTER ITEM LIST'!A:A,'MASTER ITEM LIST'!D:D), "")</f>
        <v>LITER</v>
      </c>
      <c r="J1602" s="34">
        <f t="shared" si="2"/>
        <v>800</v>
      </c>
      <c r="K1602" s="196">
        <v>200.0</v>
      </c>
      <c r="L1602" s="70" t="s">
        <v>42</v>
      </c>
    </row>
    <row r="1603" ht="22.5" customHeight="1">
      <c r="A1603" s="29">
        <v>46234.0</v>
      </c>
      <c r="B1603" s="31"/>
      <c r="C1603" s="32" t="s">
        <v>711</v>
      </c>
      <c r="D1603" s="198" t="str">
        <f t="array" ref="D1603">IF(E1603="", "", XLOOKUP(E1603, 'MASTER ITEM LIST'!B:B, 'MASTER ITEM LIST'!A:A, "Code Not Found"))</f>
        <v>SOB757</v>
      </c>
      <c r="E1603" s="199" t="s">
        <v>91</v>
      </c>
      <c r="F1603" s="31"/>
      <c r="G1603" s="195" t="s">
        <v>34</v>
      </c>
      <c r="H1603" s="31">
        <v>1.0</v>
      </c>
      <c r="I1603" s="31" t="str">
        <f t="array" ref="I1603">IFERROR(XLOOKUP(D1603,'MASTER ITEM LIST'!A:A,'MASTER ITEM LIST'!D:D), "")</f>
        <v>GAL</v>
      </c>
      <c r="J1603" s="34">
        <f t="shared" si="2"/>
        <v>750</v>
      </c>
      <c r="K1603" s="196">
        <v>750.0</v>
      </c>
      <c r="L1603" s="70" t="s">
        <v>42</v>
      </c>
    </row>
    <row r="1604" ht="22.5" customHeight="1">
      <c r="A1604" s="29">
        <v>46234.0</v>
      </c>
      <c r="B1604" s="31"/>
      <c r="C1604" s="32" t="s">
        <v>711</v>
      </c>
      <c r="D1604" s="198" t="str">
        <f t="array" ref="D1604">IF(E1604="", "", XLOOKUP(E1604, 'MASTER ITEM LIST'!B:B, 'MASTER ITEM LIST'!A:A, "Code Not Found"))</f>
        <v>NAX108</v>
      </c>
      <c r="E1604" s="199" t="s">
        <v>960</v>
      </c>
      <c r="F1604" s="31"/>
      <c r="G1604" s="195" t="s">
        <v>34</v>
      </c>
      <c r="H1604" s="31">
        <v>1.0</v>
      </c>
      <c r="I1604" s="31" t="str">
        <f t="array" ref="I1604">IFERROR(XLOOKUP(D1604,'MASTER ITEM LIST'!A:A,'MASTER ITEM LIST'!D:D), "")</f>
        <v>LITER</v>
      </c>
      <c r="J1604" s="34">
        <f t="shared" si="2"/>
        <v>670</v>
      </c>
      <c r="K1604" s="196">
        <v>670.0</v>
      </c>
      <c r="L1604" s="70" t="s">
        <v>42</v>
      </c>
    </row>
    <row r="1605" ht="22.5" customHeight="1">
      <c r="A1605" s="29">
        <v>46234.0</v>
      </c>
      <c r="B1605" s="31"/>
      <c r="C1605" s="32" t="s">
        <v>711</v>
      </c>
      <c r="D1605" s="198" t="str">
        <f t="array" ref="D1605">IF(E1605="", "", XLOOKUP(E1605, 'MASTER ITEM LIST'!B:B, 'MASTER ITEM LIST'!A:A, "Code Not Found"))</f>
        <v>CRO-MT3/4</v>
      </c>
      <c r="E1605" s="199" t="s">
        <v>1103</v>
      </c>
      <c r="F1605" s="31"/>
      <c r="G1605" s="195" t="s">
        <v>34</v>
      </c>
      <c r="H1605" s="31">
        <v>3.0</v>
      </c>
      <c r="I1605" s="31" t="str">
        <f t="array" ref="I1605">IFERROR(XLOOKUP(D1605,'MASTER ITEM LIST'!A:A,'MASTER ITEM LIST'!D:D), "")</f>
        <v>PC/S</v>
      </c>
      <c r="J1605" s="34">
        <f t="shared" si="2"/>
        <v>35</v>
      </c>
      <c r="K1605" s="196">
        <v>105.0</v>
      </c>
      <c r="L1605" s="70" t="s">
        <v>42</v>
      </c>
    </row>
    <row r="1606" ht="22.5" customHeight="1">
      <c r="A1606" s="29">
        <v>46234.0</v>
      </c>
      <c r="B1606" s="31"/>
      <c r="C1606" s="32" t="s">
        <v>711</v>
      </c>
      <c r="D1606" s="198" t="str">
        <f t="array" ref="D1606">IF(E1606="", "", XLOOKUP(E1606, 'MASTER ITEM LIST'!B:B, 'MASTER ITEM LIST'!A:A, "Code Not Found"))</f>
        <v>GLAZERB-4L</v>
      </c>
      <c r="E1606" s="199" t="s">
        <v>1018</v>
      </c>
      <c r="F1606" s="31"/>
      <c r="G1606" s="195" t="s">
        <v>34</v>
      </c>
      <c r="H1606" s="31">
        <v>1.0</v>
      </c>
      <c r="I1606" s="31" t="str">
        <f t="array" ref="I1606">IFERROR(XLOOKUP(D1606,'MASTER ITEM LIST'!A:A,'MASTER ITEM LIST'!D:D), "")</f>
        <v>GALON</v>
      </c>
      <c r="J1606" s="34">
        <f t="shared" si="2"/>
        <v>1000</v>
      </c>
      <c r="K1606" s="196">
        <v>1000.0</v>
      </c>
      <c r="L1606" s="70" t="s">
        <v>42</v>
      </c>
    </row>
    <row r="1607" ht="22.5" customHeight="1">
      <c r="A1607" s="29">
        <v>46234.0</v>
      </c>
      <c r="B1607" s="31"/>
      <c r="C1607" s="32" t="s">
        <v>711</v>
      </c>
      <c r="D1607" s="198" t="str">
        <f t="array" ref="D1607">IF(E1607="", "", XLOOKUP(E1607, 'MASTER ITEM LIST'!B:B, 'MASTER ITEM LIST'!A:A, "Code Not Found"))</f>
        <v>PZPG-1L</v>
      </c>
      <c r="E1607" s="199" t="s">
        <v>1182</v>
      </c>
      <c r="F1607" s="31"/>
      <c r="G1607" s="195" t="s">
        <v>34</v>
      </c>
      <c r="H1607" s="31">
        <v>1.0</v>
      </c>
      <c r="I1607" s="31" t="str">
        <f t="array" ref="I1607">IFERROR(XLOOKUP(D1607,'MASTER ITEM LIST'!A:A,'MASTER ITEM LIST'!D:D), "")</f>
        <v>LITER</v>
      </c>
      <c r="J1607" s="34">
        <f t="shared" si="2"/>
        <v>550</v>
      </c>
      <c r="K1607" s="196">
        <v>550.0</v>
      </c>
      <c r="L1607" s="70" t="s">
        <v>42</v>
      </c>
    </row>
    <row r="1608" ht="22.5" customHeight="1">
      <c r="A1608" s="29">
        <v>46234.0</v>
      </c>
      <c r="B1608" s="31"/>
      <c r="C1608" s="32" t="s">
        <v>711</v>
      </c>
      <c r="D1608" s="198" t="str">
        <f t="array" ref="D1608">IF(E1608="", "", XLOOKUP(E1608, 'MASTER ITEM LIST'!B:B, 'MASTER ITEM LIST'!A:A, "Code Not Found"))</f>
        <v>EA120</v>
      </c>
      <c r="E1608" s="199" t="s">
        <v>1048</v>
      </c>
      <c r="F1608" s="31"/>
      <c r="G1608" s="195" t="s">
        <v>34</v>
      </c>
      <c r="H1608" s="31">
        <v>10.0</v>
      </c>
      <c r="I1608" s="31" t="str">
        <f t="array" ref="I1608">IFERROR(XLOOKUP(D1608,'MASTER ITEM LIST'!A:A,'MASTER ITEM LIST'!D:D), "")</f>
        <v>PC/S</v>
      </c>
      <c r="J1608" s="34">
        <f t="shared" si="2"/>
        <v>25</v>
      </c>
      <c r="K1608" s="196">
        <v>250.0</v>
      </c>
      <c r="L1608" s="70" t="s">
        <v>42</v>
      </c>
    </row>
    <row r="1609" ht="22.5" customHeight="1">
      <c r="A1609" s="29">
        <v>46234.0</v>
      </c>
      <c r="B1609" s="31"/>
      <c r="C1609" s="32" t="s">
        <v>711</v>
      </c>
      <c r="D1609" s="198" t="str">
        <f t="array" ref="D1609">IF(E1609="", "", XLOOKUP(E1609, 'MASTER ITEM LIST'!B:B, 'MASTER ITEM LIST'!A:A, "Code Not Found"))</f>
        <v>EA80</v>
      </c>
      <c r="E1609" s="199" t="s">
        <v>237</v>
      </c>
      <c r="F1609" s="31"/>
      <c r="G1609" s="195" t="s">
        <v>34</v>
      </c>
      <c r="H1609" s="31">
        <v>10.0</v>
      </c>
      <c r="I1609" s="31" t="str">
        <f t="array" ref="I1609">IFERROR(XLOOKUP(D1609,'MASTER ITEM LIST'!A:A,'MASTER ITEM LIST'!D:D), "")</f>
        <v>PC/S</v>
      </c>
      <c r="J1609" s="34">
        <f t="shared" si="2"/>
        <v>40</v>
      </c>
      <c r="K1609" s="196">
        <v>400.0</v>
      </c>
      <c r="L1609" s="70" t="s">
        <v>42</v>
      </c>
    </row>
    <row r="1610" ht="22.5" customHeight="1">
      <c r="A1610" s="29">
        <v>46234.0</v>
      </c>
      <c r="B1610" s="31"/>
      <c r="C1610" s="32" t="s">
        <v>711</v>
      </c>
      <c r="D1610" s="198" t="str">
        <f t="array" ref="D1610">IF(E1610="", "", XLOOKUP(E1610, 'MASTER ITEM LIST'!B:B, 'MASTER ITEM LIST'!A:A, "Code Not Found"))</f>
        <v>EA240</v>
      </c>
      <c r="E1610" s="199" t="s">
        <v>1044</v>
      </c>
      <c r="F1610" s="31"/>
      <c r="G1610" s="195" t="s">
        <v>34</v>
      </c>
      <c r="H1610" s="31">
        <v>5.0</v>
      </c>
      <c r="I1610" s="31" t="str">
        <f t="array" ref="I1610">IFERROR(XLOOKUP(D1610,'MASTER ITEM LIST'!A:A,'MASTER ITEM LIST'!D:D), "")</f>
        <v>PC/S</v>
      </c>
      <c r="J1610" s="34">
        <f t="shared" si="2"/>
        <v>25</v>
      </c>
      <c r="K1610" s="196">
        <v>125.0</v>
      </c>
      <c r="L1610" s="70" t="s">
        <v>42</v>
      </c>
    </row>
    <row r="1611" ht="22.5" customHeight="1">
      <c r="A1611" s="29">
        <v>46234.0</v>
      </c>
      <c r="B1611" s="31"/>
      <c r="C1611" s="32" t="s">
        <v>711</v>
      </c>
      <c r="D1611" s="198" t="str">
        <f t="array" ref="D1611">IF(E1611="", "", XLOOKUP(E1611, 'MASTER ITEM LIST'!B:B, 'MASTER ITEM LIST'!A:A, "Code Not Found"))</f>
        <v>EA400</v>
      </c>
      <c r="E1611" s="199" t="s">
        <v>1043</v>
      </c>
      <c r="F1611" s="31"/>
      <c r="G1611" s="195" t="s">
        <v>34</v>
      </c>
      <c r="H1611" s="31">
        <v>5.0</v>
      </c>
      <c r="I1611" s="31" t="str">
        <f t="array" ref="I1611">IFERROR(XLOOKUP(D1611,'MASTER ITEM LIST'!A:A,'MASTER ITEM LIST'!D:D), "")</f>
        <v>PC/S</v>
      </c>
      <c r="J1611" s="34">
        <f t="shared" si="2"/>
        <v>25</v>
      </c>
      <c r="K1611" s="196">
        <v>125.0</v>
      </c>
      <c r="L1611" s="70" t="s">
        <v>42</v>
      </c>
    </row>
    <row r="1612" ht="22.5" customHeight="1">
      <c r="A1612" s="29">
        <v>46234.0</v>
      </c>
      <c r="B1612" s="31"/>
      <c r="C1612" s="32" t="s">
        <v>711</v>
      </c>
      <c r="D1612" s="198" t="str">
        <f t="array" ref="D1612">IF(E1612="", "", XLOOKUP(E1612, 'MASTER ITEM LIST'!B:B, 'MASTER ITEM LIST'!A:A, "Code Not Found"))</f>
        <v>CRO-MT3/4</v>
      </c>
      <c r="E1612" s="199" t="s">
        <v>1103</v>
      </c>
      <c r="F1612" s="31"/>
      <c r="G1612" s="195" t="s">
        <v>34</v>
      </c>
      <c r="H1612" s="31">
        <v>10.0</v>
      </c>
      <c r="I1612" s="31" t="str">
        <f t="array" ref="I1612">IFERROR(XLOOKUP(D1612,'MASTER ITEM LIST'!A:A,'MASTER ITEM LIST'!D:D), "")</f>
        <v>PC/S</v>
      </c>
      <c r="J1612" s="34">
        <f t="shared" si="2"/>
        <v>35</v>
      </c>
      <c r="K1612" s="196">
        <v>350.0</v>
      </c>
      <c r="L1612" s="70" t="s">
        <v>42</v>
      </c>
    </row>
    <row r="1613" ht="22.5" customHeight="1">
      <c r="A1613" s="29">
        <v>46234.0</v>
      </c>
      <c r="B1613" s="31"/>
      <c r="C1613" s="32" t="s">
        <v>711</v>
      </c>
      <c r="D1613" s="198" t="str">
        <f t="array" ref="D1613">IF(E1613="", "", XLOOKUP(E1613, 'MASTER ITEM LIST'!B:B, 'MASTER ITEM LIST'!A:A, "Code Not Found"))</f>
        <v>MSC</v>
      </c>
      <c r="E1613" s="199" t="s">
        <v>518</v>
      </c>
      <c r="F1613" s="31"/>
      <c r="G1613" s="195" t="s">
        <v>34</v>
      </c>
      <c r="H1613" s="31">
        <v>2.0</v>
      </c>
      <c r="I1613" s="31" t="str">
        <f t="array" ref="I1613">IFERROR(XLOOKUP(D1613,'MASTER ITEM LIST'!A:A,'MASTER ITEM LIST'!D:D), "")</f>
        <v>KG</v>
      </c>
      <c r="J1613" s="34">
        <f t="shared" si="2"/>
        <v>100</v>
      </c>
      <c r="K1613" s="196">
        <v>200.0</v>
      </c>
      <c r="L1613" s="70" t="s">
        <v>42</v>
      </c>
    </row>
    <row r="1614" ht="22.5" customHeight="1">
      <c r="A1614" s="29">
        <v>46234.0</v>
      </c>
      <c r="B1614" s="31"/>
      <c r="C1614" s="32" t="s">
        <v>711</v>
      </c>
      <c r="D1614" s="198" t="str">
        <f t="array" ref="D1614">IF(E1614="", "", XLOOKUP(E1614, 'MASTER ITEM LIST'!B:B, 'MASTER ITEM LIST'!A:A, "Code Not Found"))</f>
        <v>EXTREMEMIX-1L</v>
      </c>
      <c r="E1614" s="199" t="s">
        <v>1164</v>
      </c>
      <c r="F1614" s="31"/>
      <c r="G1614" s="195" t="s">
        <v>34</v>
      </c>
      <c r="H1614" s="31">
        <v>4.0</v>
      </c>
      <c r="I1614" s="31" t="str">
        <f t="array" ref="I1614">IFERROR(XLOOKUP(D1614,'MASTER ITEM LIST'!A:A,'MASTER ITEM LIST'!D:D), "")</f>
        <v>LITER</v>
      </c>
      <c r="J1614" s="34">
        <f t="shared" si="2"/>
        <v>700</v>
      </c>
      <c r="K1614" s="196">
        <v>2800.0</v>
      </c>
      <c r="L1614" s="70" t="s">
        <v>42</v>
      </c>
    </row>
    <row r="1615" ht="22.5" customHeight="1">
      <c r="A1615" s="29">
        <v>46234.0</v>
      </c>
      <c r="B1615" s="31"/>
      <c r="C1615" s="32" t="s">
        <v>711</v>
      </c>
      <c r="D1615" s="198" t="str">
        <f t="array" ref="D1615">IF(E1615="", "", XLOOKUP(E1615, 'MASTER ITEM LIST'!B:B, 'MASTER ITEM LIST'!A:A, "Code Not Found"))</f>
        <v>NAX108</v>
      </c>
      <c r="E1615" s="199" t="s">
        <v>960</v>
      </c>
      <c r="F1615" s="31"/>
      <c r="G1615" s="195" t="s">
        <v>34</v>
      </c>
      <c r="H1615" s="31">
        <v>4.0</v>
      </c>
      <c r="I1615" s="31" t="str">
        <f t="array" ref="I1615">IFERROR(XLOOKUP(D1615,'MASTER ITEM LIST'!A:A,'MASTER ITEM LIST'!D:D), "")</f>
        <v>LITER</v>
      </c>
      <c r="J1615" s="34">
        <f t="shared" si="2"/>
        <v>670</v>
      </c>
      <c r="K1615" s="196">
        <v>2680.0</v>
      </c>
      <c r="L1615" s="70" t="s">
        <v>42</v>
      </c>
    </row>
    <row r="1616" ht="22.5" customHeight="1">
      <c r="A1616" s="29">
        <v>46234.0</v>
      </c>
      <c r="B1616" s="31"/>
      <c r="C1616" s="32" t="s">
        <v>711</v>
      </c>
      <c r="D1616" s="198" t="str">
        <f t="array" ref="D1616">IF(E1616="", "", XLOOKUP(E1616, 'MASTER ITEM LIST'!B:B, 'MASTER ITEM LIST'!A:A, "Code Not Found"))</f>
        <v>PRI3634</v>
      </c>
      <c r="E1616" s="199" t="s">
        <v>956</v>
      </c>
      <c r="F1616" s="31"/>
      <c r="G1616" s="195" t="s">
        <v>34</v>
      </c>
      <c r="H1616" s="31">
        <v>1.0</v>
      </c>
      <c r="I1616" s="31" t="str">
        <f t="array" ref="I1616">IFERROR(XLOOKUP(D1616,'MASTER ITEM LIST'!A:A,'MASTER ITEM LIST'!D:D), "")</f>
        <v>LITER</v>
      </c>
      <c r="J1616" s="34">
        <f t="shared" si="2"/>
        <v>600</v>
      </c>
      <c r="K1616" s="196">
        <v>600.0</v>
      </c>
      <c r="L1616" s="70" t="s">
        <v>42</v>
      </c>
    </row>
    <row r="1617" ht="22.5" customHeight="1">
      <c r="A1617" s="29">
        <v>46234.0</v>
      </c>
      <c r="B1617" s="31"/>
      <c r="C1617" s="32" t="s">
        <v>711</v>
      </c>
      <c r="D1617" s="198" t="str">
        <f t="array" ref="D1617">IF(E1617="", "", XLOOKUP(E1617, 'MASTER ITEM LIST'!B:B, 'MASTER ITEM LIST'!A:A, "Code Not Found"))</f>
        <v>SOB757</v>
      </c>
      <c r="E1617" s="199" t="s">
        <v>91</v>
      </c>
      <c r="F1617" s="31"/>
      <c r="G1617" s="195" t="s">
        <v>34</v>
      </c>
      <c r="H1617" s="31">
        <v>2.0</v>
      </c>
      <c r="I1617" s="31" t="str">
        <f t="array" ref="I1617">IFERROR(XLOOKUP(D1617,'MASTER ITEM LIST'!A:A,'MASTER ITEM LIST'!D:D), "")</f>
        <v>GAL</v>
      </c>
      <c r="J1617" s="34">
        <f t="shared" si="2"/>
        <v>750</v>
      </c>
      <c r="K1617" s="196">
        <v>1500.0</v>
      </c>
      <c r="L1617" s="70" t="s">
        <v>42</v>
      </c>
    </row>
    <row r="1618" ht="22.5" customHeight="1">
      <c r="A1618" s="29">
        <v>46234.0</v>
      </c>
      <c r="B1618" s="31"/>
      <c r="C1618" s="32" t="s">
        <v>711</v>
      </c>
      <c r="D1618" s="198" t="str">
        <f t="array" ref="D1618">IF(E1618="", "", XLOOKUP(E1618, 'MASTER ITEM LIST'!B:B, 'MASTER ITEM LIST'!A:A, "Code Not Found"))</f>
        <v>DOMBF-4L</v>
      </c>
      <c r="E1618" s="199" t="s">
        <v>1064</v>
      </c>
      <c r="F1618" s="31"/>
      <c r="G1618" s="195" t="s">
        <v>34</v>
      </c>
      <c r="H1618" s="31">
        <v>2.0</v>
      </c>
      <c r="I1618" s="31" t="str">
        <f t="array" ref="I1618">IFERROR(XLOOKUP(D1618,'MASTER ITEM LIST'!A:A,'MASTER ITEM LIST'!D:D), "")</f>
        <v>GAL</v>
      </c>
      <c r="J1618" s="34">
        <f t="shared" si="2"/>
        <v>690</v>
      </c>
      <c r="K1618" s="196">
        <v>1380.0</v>
      </c>
      <c r="L1618" s="70" t="s">
        <v>42</v>
      </c>
    </row>
    <row r="1619" ht="22.5" customHeight="1">
      <c r="A1619" s="29">
        <v>46234.0</v>
      </c>
      <c r="B1619" s="31"/>
      <c r="C1619" s="32" t="s">
        <v>711</v>
      </c>
      <c r="D1619" s="198" t="str">
        <f t="array" ref="D1619">IF(E1619="", "", XLOOKUP(E1619, 'MASTER ITEM LIST'!B:B, 'MASTER ITEM LIST'!A:A, "Code Not Found"))</f>
        <v>NAX21</v>
      </c>
      <c r="E1619" s="199" t="s">
        <v>848</v>
      </c>
      <c r="F1619" s="31"/>
      <c r="G1619" s="195" t="s">
        <v>34</v>
      </c>
      <c r="H1619" s="31">
        <v>2.0</v>
      </c>
      <c r="I1619" s="31" t="str">
        <f t="array" ref="I1619">IFERROR(XLOOKUP(D1619,'MASTER ITEM LIST'!A:A,'MASTER ITEM LIST'!D:D), "")</f>
        <v>CANS</v>
      </c>
      <c r="J1619" s="34">
        <f t="shared" si="2"/>
        <v>250</v>
      </c>
      <c r="K1619" s="196">
        <v>500.0</v>
      </c>
      <c r="L1619" s="70" t="s">
        <v>42</v>
      </c>
    </row>
    <row r="1620" ht="22.5" customHeight="1">
      <c r="A1620" s="29">
        <v>46231.0</v>
      </c>
      <c r="B1620" s="31"/>
      <c r="C1620" s="32" t="s">
        <v>711</v>
      </c>
      <c r="D1620" s="198" t="str">
        <f t="array" ref="D1620">IF(E1620="", "", XLOOKUP(E1620, 'MASTER ITEM LIST'!B:B, 'MASTER ITEM LIST'!A:A, "Code Not Found"))</f>
        <v>VSEAL</v>
      </c>
      <c r="E1620" s="199" t="s">
        <v>162</v>
      </c>
      <c r="F1620" s="31"/>
      <c r="G1620" s="195" t="s">
        <v>34</v>
      </c>
      <c r="H1620" s="31">
        <v>1.0</v>
      </c>
      <c r="I1620" s="31" t="str">
        <f t="array" ref="I1620">IFERROR(XLOOKUP(D1620,'MASTER ITEM LIST'!A:A,'MASTER ITEM LIST'!D:D), "")</f>
        <v>PCS</v>
      </c>
      <c r="J1620" s="34">
        <f t="shared" si="2"/>
        <v>100</v>
      </c>
      <c r="K1620" s="196">
        <v>100.0</v>
      </c>
      <c r="L1620" s="70" t="s">
        <v>42</v>
      </c>
    </row>
    <row r="1621" ht="22.5" customHeight="1">
      <c r="A1621" s="29">
        <v>46231.0</v>
      </c>
      <c r="B1621" s="31"/>
      <c r="C1621" s="32" t="s">
        <v>711</v>
      </c>
      <c r="D1621" s="198" t="str">
        <f t="array" ref="D1621">IF(E1621="", "", XLOOKUP(E1621, 'MASTER ITEM LIST'!B:B, 'MASTER ITEM LIST'!A:A, "Code Not Found"))</f>
        <v>HDOIT</v>
      </c>
      <c r="E1621" s="199" t="s">
        <v>1075</v>
      </c>
      <c r="F1621" s="31"/>
      <c r="G1621" s="195" t="s">
        <v>34</v>
      </c>
      <c r="H1621" s="31">
        <v>1.0</v>
      </c>
      <c r="I1621" s="31" t="str">
        <f t="array" ref="I1621">IFERROR(XLOOKUP(D1621,'MASTER ITEM LIST'!A:A,'MASTER ITEM LIST'!D:D), "")</f>
        <v>CAN</v>
      </c>
      <c r="J1621" s="34">
        <f t="shared" si="2"/>
        <v>290</v>
      </c>
      <c r="K1621" s="196">
        <v>290.0</v>
      </c>
      <c r="L1621" s="70" t="s">
        <v>42</v>
      </c>
    </row>
    <row r="1622" ht="22.5" customHeight="1">
      <c r="A1622" s="29">
        <v>46231.0</v>
      </c>
      <c r="B1622" s="31"/>
      <c r="C1622" s="32" t="s">
        <v>711</v>
      </c>
      <c r="D1622" s="198" t="str">
        <f t="array" ref="D1622">IF(E1622="", "", XLOOKUP(E1622, 'MASTER ITEM LIST'!B:B, 'MASTER ITEM LIST'!A:A, "Code Not Found"))</f>
        <v>UTMIX-1L</v>
      </c>
      <c r="E1622" s="199" t="s">
        <v>109</v>
      </c>
      <c r="F1622" s="31"/>
      <c r="G1622" s="195" t="s">
        <v>34</v>
      </c>
      <c r="H1622" s="31">
        <v>0.5</v>
      </c>
      <c r="I1622" s="31" t="str">
        <f t="array" ref="I1622">IFERROR(XLOOKUP(D1622,'MASTER ITEM LIST'!A:A,'MASTER ITEM LIST'!D:D), "")</f>
        <v>LITER</v>
      </c>
      <c r="J1622" s="34">
        <f t="shared" si="2"/>
        <v>700</v>
      </c>
      <c r="K1622" s="196">
        <v>350.0</v>
      </c>
      <c r="L1622" s="70" t="s">
        <v>42</v>
      </c>
    </row>
    <row r="1623" ht="22.5" customHeight="1">
      <c r="A1623" s="29">
        <v>46231.0</v>
      </c>
      <c r="B1623" s="31"/>
      <c r="C1623" s="32" t="s">
        <v>711</v>
      </c>
      <c r="D1623" s="198" t="str">
        <f t="array" ref="D1623">IF(E1623="", "", XLOOKUP(E1623, 'MASTER ITEM LIST'!B:B, 'MASTER ITEM LIST'!A:A, "Code Not Found"))</f>
        <v>PREMILAMIX-1L</v>
      </c>
      <c r="E1623" s="199" t="s">
        <v>1151</v>
      </c>
      <c r="F1623" s="31" t="s">
        <v>1851</v>
      </c>
      <c r="G1623" s="195" t="s">
        <v>34</v>
      </c>
      <c r="H1623" s="31">
        <v>0.25</v>
      </c>
      <c r="I1623" s="31" t="str">
        <f t="array" ref="I1623">IFERROR(XLOOKUP(D1623,'MASTER ITEM LIST'!A:A,'MASTER ITEM LIST'!D:D), "")</f>
        <v>LITER</v>
      </c>
      <c r="J1623" s="34">
        <f t="shared" si="2"/>
        <v>2600</v>
      </c>
      <c r="K1623" s="196">
        <v>650.0</v>
      </c>
      <c r="L1623" s="70" t="s">
        <v>42</v>
      </c>
    </row>
    <row r="1624" ht="22.5" customHeight="1">
      <c r="A1624" s="29">
        <v>46231.0</v>
      </c>
      <c r="B1624" s="31"/>
      <c r="C1624" s="32" t="s">
        <v>711</v>
      </c>
      <c r="D1624" s="198" t="str">
        <f t="array" ref="D1624">IF(E1624="", "", XLOOKUP(E1624, 'MASTER ITEM LIST'!B:B, 'MASTER ITEM LIST'!A:A, "Code Not Found"))</f>
        <v>EA600</v>
      </c>
      <c r="E1624" s="199" t="s">
        <v>1041</v>
      </c>
      <c r="F1624" s="31"/>
      <c r="G1624" s="195" t="s">
        <v>34</v>
      </c>
      <c r="H1624" s="31">
        <v>3.0</v>
      </c>
      <c r="I1624" s="31" t="str">
        <f t="array" ref="I1624">IFERROR(XLOOKUP(D1624,'MASTER ITEM LIST'!A:A,'MASTER ITEM LIST'!D:D), "")</f>
        <v>PCS</v>
      </c>
      <c r="J1624" s="34">
        <f t="shared" si="2"/>
        <v>25</v>
      </c>
      <c r="K1624" s="196">
        <v>75.0</v>
      </c>
      <c r="L1624" s="70" t="s">
        <v>42</v>
      </c>
    </row>
    <row r="1625" ht="22.5" customHeight="1">
      <c r="A1625" s="29">
        <v>46235.0</v>
      </c>
      <c r="B1625" s="31" t="s">
        <v>1852</v>
      </c>
      <c r="C1625" s="32" t="s">
        <v>1573</v>
      </c>
      <c r="D1625" s="198" t="str">
        <f t="array" ref="D1625">IF(E1625="", "", XLOOKUP(E1625, 'MASTER ITEM LIST'!B:B, 'MASTER ITEM LIST'!A:A, "Code Not Found"))</f>
        <v>PRI3634</v>
      </c>
      <c r="E1625" s="199" t="s">
        <v>956</v>
      </c>
      <c r="F1625" s="31"/>
      <c r="G1625" s="195" t="s">
        <v>34</v>
      </c>
      <c r="H1625" s="31">
        <v>2.0</v>
      </c>
      <c r="I1625" s="31" t="str">
        <f t="array" ref="I1625">IFERROR(XLOOKUP(D1625,'MASTER ITEM LIST'!A:A,'MASTER ITEM LIST'!D:D), "")</f>
        <v>LITER</v>
      </c>
      <c r="J1625" s="34">
        <f t="shared" si="2"/>
        <v>590</v>
      </c>
      <c r="K1625" s="196">
        <v>1180.0</v>
      </c>
      <c r="L1625" s="70" t="s">
        <v>42</v>
      </c>
    </row>
    <row r="1626" ht="22.5" customHeight="1">
      <c r="A1626" s="29">
        <v>46235.0</v>
      </c>
      <c r="B1626" s="31" t="s">
        <v>1852</v>
      </c>
      <c r="C1626" s="32" t="s">
        <v>1573</v>
      </c>
      <c r="D1626" s="198" t="str">
        <f t="array" ref="D1626">IF(E1626="", "", XLOOKUP(E1626, 'MASTER ITEM LIST'!B:B, 'MASTER ITEM LIST'!A:A, "Code Not Found"))</f>
        <v>SOB757</v>
      </c>
      <c r="E1626" s="199" t="s">
        <v>91</v>
      </c>
      <c r="F1626" s="31"/>
      <c r="G1626" s="195" t="s">
        <v>34</v>
      </c>
      <c r="H1626" s="31">
        <v>3.0</v>
      </c>
      <c r="I1626" s="31" t="str">
        <f t="array" ref="I1626">IFERROR(XLOOKUP(D1626,'MASTER ITEM LIST'!A:A,'MASTER ITEM LIST'!D:D), "")</f>
        <v>GAL</v>
      </c>
      <c r="J1626" s="34">
        <f t="shared" si="2"/>
        <v>750</v>
      </c>
      <c r="K1626" s="196">
        <v>2250.0</v>
      </c>
      <c r="L1626" s="70" t="s">
        <v>42</v>
      </c>
    </row>
    <row r="1627" ht="22.5" customHeight="1">
      <c r="A1627" s="29">
        <v>46235.0</v>
      </c>
      <c r="B1627" s="31" t="s">
        <v>1852</v>
      </c>
      <c r="C1627" s="32" t="s">
        <v>1573</v>
      </c>
      <c r="D1627" s="198" t="str">
        <f t="array" ref="D1627">IF(E1627="", "", XLOOKUP(E1627, 'MASTER ITEM LIST'!B:B, 'MASTER ITEM LIST'!A:A, "Code Not Found"))</f>
        <v>TOBF-4L</v>
      </c>
      <c r="E1627" s="199" t="s">
        <v>192</v>
      </c>
      <c r="F1627" s="31"/>
      <c r="G1627" s="195" t="s">
        <v>34</v>
      </c>
      <c r="H1627" s="31">
        <v>2.0</v>
      </c>
      <c r="I1627" s="31" t="str">
        <f t="array" ref="I1627">IFERROR(XLOOKUP(D1627,'MASTER ITEM LIST'!A:A,'MASTER ITEM LIST'!D:D), "")</f>
        <v>GAL</v>
      </c>
      <c r="J1627" s="34">
        <f t="shared" si="2"/>
        <v>750</v>
      </c>
      <c r="K1627" s="196">
        <v>1500.0</v>
      </c>
      <c r="L1627" s="70" t="s">
        <v>42</v>
      </c>
    </row>
    <row r="1628" ht="22.5" customHeight="1">
      <c r="A1628" s="29">
        <v>46235.0</v>
      </c>
      <c r="B1628" s="31" t="s">
        <v>1852</v>
      </c>
      <c r="C1628" s="32" t="s">
        <v>1573</v>
      </c>
      <c r="D1628" s="198" t="str">
        <f t="array" ref="D1628">IF(E1628="", "", XLOOKUP(E1628, 'MASTER ITEM LIST'!B:B, 'MASTER ITEM LIST'!A:A, "Code Not Found"))</f>
        <v>NAX108</v>
      </c>
      <c r="E1628" s="199" t="s">
        <v>960</v>
      </c>
      <c r="F1628" s="31"/>
      <c r="G1628" s="195" t="s">
        <v>34</v>
      </c>
      <c r="H1628" s="31">
        <v>6.0</v>
      </c>
      <c r="I1628" s="31" t="str">
        <f t="array" ref="I1628">IFERROR(XLOOKUP(D1628,'MASTER ITEM LIST'!A:A,'MASTER ITEM LIST'!D:D), "")</f>
        <v>LITER</v>
      </c>
      <c r="J1628" s="34">
        <f t="shared" si="2"/>
        <v>670</v>
      </c>
      <c r="K1628" s="196">
        <v>4020.0</v>
      </c>
      <c r="L1628" s="70" t="s">
        <v>42</v>
      </c>
    </row>
    <row r="1629" ht="22.5" customHeight="1">
      <c r="A1629" s="29">
        <v>46235.0</v>
      </c>
      <c r="B1629" s="31" t="s">
        <v>1852</v>
      </c>
      <c r="C1629" s="32" t="s">
        <v>1573</v>
      </c>
      <c r="D1629" s="198" t="str">
        <f t="array" ref="D1629">IF(E1629="", "", XLOOKUP(E1629, 'MASTER ITEM LIST'!B:B, 'MASTER ITEM LIST'!A:A, "Code Not Found"))</f>
        <v>ROBRC-1KG</v>
      </c>
      <c r="E1629" s="199" t="s">
        <v>254</v>
      </c>
      <c r="F1629" s="31"/>
      <c r="G1629" s="195" t="s">
        <v>34</v>
      </c>
      <c r="H1629" s="31">
        <v>1.0</v>
      </c>
      <c r="I1629" s="31" t="str">
        <f t="array" ref="I1629">IFERROR(XLOOKUP(D1629,'MASTER ITEM LIST'!A:A,'MASTER ITEM LIST'!D:D), "")</f>
        <v>KG</v>
      </c>
      <c r="J1629" s="34">
        <f t="shared" si="2"/>
        <v>1000</v>
      </c>
      <c r="K1629" s="196">
        <v>1000.0</v>
      </c>
      <c r="L1629" s="70" t="s">
        <v>42</v>
      </c>
    </row>
    <row r="1630" ht="22.5" customHeight="1">
      <c r="A1630" s="29">
        <v>46235.0</v>
      </c>
      <c r="B1630" s="31" t="s">
        <v>1853</v>
      </c>
      <c r="C1630" s="32" t="s">
        <v>1573</v>
      </c>
      <c r="D1630" s="198" t="str">
        <f t="array" ref="D1630">IF(E1630="", "", XLOOKUP(E1630, 'MASTER ITEM LIST'!B:B, 'MASTER ITEM LIST'!A:A, "Code Not Found"))</f>
        <v>NAT990-1L</v>
      </c>
      <c r="E1630" s="199" t="s">
        <v>852</v>
      </c>
      <c r="F1630" s="31"/>
      <c r="G1630" s="195" t="s">
        <v>34</v>
      </c>
      <c r="H1630" s="31">
        <v>1.0</v>
      </c>
      <c r="I1630" s="31" t="str">
        <f t="array" ref="I1630">IFERROR(XLOOKUP(D1630,'MASTER ITEM LIST'!A:A,'MASTER ITEM LIST'!D:D), "")</f>
        <v>LITER</v>
      </c>
      <c r="J1630" s="34">
        <f t="shared" si="2"/>
        <v>980</v>
      </c>
      <c r="K1630" s="196">
        <v>980.0</v>
      </c>
      <c r="L1630" s="70" t="s">
        <v>42</v>
      </c>
    </row>
    <row r="1631" ht="22.5" customHeight="1">
      <c r="A1631" s="29">
        <v>46235.0</v>
      </c>
      <c r="B1631" s="31" t="s">
        <v>1853</v>
      </c>
      <c r="C1631" s="32" t="s">
        <v>1573</v>
      </c>
      <c r="D1631" s="198" t="str">
        <f t="array" ref="D1631">IF(E1631="", "", XLOOKUP(E1631, 'MASTER ITEM LIST'!B:B, 'MASTER ITEM LIST'!A:A, "Code Not Found"))</f>
        <v>NAX21</v>
      </c>
      <c r="E1631" s="199" t="s">
        <v>848</v>
      </c>
      <c r="F1631" s="31"/>
      <c r="G1631" s="195" t="s">
        <v>34</v>
      </c>
      <c r="H1631" s="31">
        <v>2.0</v>
      </c>
      <c r="I1631" s="31" t="str">
        <f t="array" ref="I1631">IFERROR(XLOOKUP(D1631,'MASTER ITEM LIST'!A:A,'MASTER ITEM LIST'!D:D), "")</f>
        <v>CANS</v>
      </c>
      <c r="J1631" s="34">
        <f t="shared" si="2"/>
        <v>250</v>
      </c>
      <c r="K1631" s="196">
        <v>500.0</v>
      </c>
      <c r="L1631" s="70" t="s">
        <v>42</v>
      </c>
    </row>
    <row r="1632" ht="22.5" customHeight="1">
      <c r="A1632" s="29">
        <v>46235.0</v>
      </c>
      <c r="B1632" s="31"/>
      <c r="C1632" s="32" t="s">
        <v>711</v>
      </c>
      <c r="D1632" s="198" t="str">
        <f t="array" ref="D1632">IF(E1632="", "", XLOOKUP(E1632, 'MASTER ITEM LIST'!B:B, 'MASTER ITEM LIST'!A:A, "Code Not Found"))</f>
        <v>PGANTI-C-1L</v>
      </c>
      <c r="E1632" s="199" t="s">
        <v>68</v>
      </c>
      <c r="F1632" s="31"/>
      <c r="G1632" s="195" t="s">
        <v>34</v>
      </c>
      <c r="H1632" s="31">
        <v>1.0</v>
      </c>
      <c r="I1632" s="31" t="str">
        <f t="array" ref="I1632">IFERROR(XLOOKUP(D1632,'MASTER ITEM LIST'!A:A,'MASTER ITEM LIST'!D:D), "")</f>
        <v>LITER</v>
      </c>
      <c r="J1632" s="34">
        <f t="shared" si="2"/>
        <v>550</v>
      </c>
      <c r="K1632" s="196">
        <v>550.0</v>
      </c>
      <c r="L1632" s="70" t="s">
        <v>42</v>
      </c>
    </row>
    <row r="1633" ht="22.5" customHeight="1">
      <c r="A1633" s="29">
        <v>46235.0</v>
      </c>
      <c r="B1633" s="31"/>
      <c r="C1633" s="32" t="s">
        <v>711</v>
      </c>
      <c r="D1633" s="198" t="str">
        <f t="array" ref="D1633">IF(E1633="", "", XLOOKUP(E1633, 'MASTER ITEM LIST'!B:B, 'MASTER ITEM LIST'!A:A, "Code Not Found"))</f>
        <v>PGTOPC-1L</v>
      </c>
      <c r="E1633" s="199" t="s">
        <v>418</v>
      </c>
      <c r="F1633" s="31"/>
      <c r="G1633" s="195" t="s">
        <v>34</v>
      </c>
      <c r="H1633" s="31">
        <v>1.0</v>
      </c>
      <c r="I1633" s="31" t="str">
        <f t="array" ref="I1633">IFERROR(XLOOKUP(D1633,'MASTER ITEM LIST'!A:A,'MASTER ITEM LIST'!D:D), "")</f>
        <v>LITER</v>
      </c>
      <c r="J1633" s="34">
        <f t="shared" si="2"/>
        <v>650</v>
      </c>
      <c r="K1633" s="196">
        <v>650.0</v>
      </c>
      <c r="L1633" s="70" t="s">
        <v>42</v>
      </c>
    </row>
    <row r="1634" ht="22.5" customHeight="1">
      <c r="A1634" s="29">
        <v>46235.0</v>
      </c>
      <c r="B1634" s="31"/>
      <c r="C1634" s="32" t="s">
        <v>711</v>
      </c>
      <c r="D1634" s="198" t="str">
        <f t="array" ref="D1634">IF(E1634="", "", XLOOKUP(E1634, 'MASTER ITEM LIST'!B:B, 'MASTER ITEM LIST'!A:A, "Code Not Found"))</f>
        <v>HDOIT</v>
      </c>
      <c r="E1634" s="199" t="s">
        <v>1075</v>
      </c>
      <c r="F1634" s="31"/>
      <c r="G1634" s="195" t="s">
        <v>34</v>
      </c>
      <c r="H1634" s="31">
        <v>1.0</v>
      </c>
      <c r="I1634" s="31" t="str">
        <f t="array" ref="I1634">IFERROR(XLOOKUP(D1634,'MASTER ITEM LIST'!A:A,'MASTER ITEM LIST'!D:D), "")</f>
        <v>CAN</v>
      </c>
      <c r="J1634" s="34">
        <f t="shared" si="2"/>
        <v>290</v>
      </c>
      <c r="K1634" s="196">
        <v>290.0</v>
      </c>
      <c r="L1634" s="70" t="s">
        <v>42</v>
      </c>
    </row>
    <row r="1635" ht="22.5" customHeight="1">
      <c r="A1635" s="29">
        <v>46235.0</v>
      </c>
      <c r="B1635" s="31"/>
      <c r="C1635" s="32" t="s">
        <v>711</v>
      </c>
      <c r="D1635" s="198" t="str">
        <f t="array" ref="D1635">IF(E1635="", "", XLOOKUP(E1635, 'MASTER ITEM LIST'!B:B, 'MASTER ITEM LIST'!A:A, "Code Not Found"))</f>
        <v>EA1000</v>
      </c>
      <c r="E1635" s="199" t="s">
        <v>1049</v>
      </c>
      <c r="F1635" s="31"/>
      <c r="G1635" s="195" t="s">
        <v>34</v>
      </c>
      <c r="H1635" s="31">
        <v>1.0</v>
      </c>
      <c r="I1635" s="31" t="str">
        <f t="array" ref="I1635">IFERROR(XLOOKUP(D1635,'MASTER ITEM LIST'!A:A,'MASTER ITEM LIST'!D:D), "")</f>
        <v>PC/S</v>
      </c>
      <c r="J1635" s="34">
        <f t="shared" si="2"/>
        <v>25</v>
      </c>
      <c r="K1635" s="196">
        <v>25.0</v>
      </c>
      <c r="L1635" s="70" t="s">
        <v>42</v>
      </c>
    </row>
    <row r="1636" ht="22.5" customHeight="1">
      <c r="A1636" s="29">
        <v>46235.0</v>
      </c>
      <c r="B1636" s="31"/>
      <c r="C1636" s="32" t="s">
        <v>711</v>
      </c>
      <c r="D1636" s="198" t="str">
        <f t="array" ref="D1636">IF(E1636="", "", XLOOKUP(E1636, 'MASTER ITEM LIST'!B:B, 'MASTER ITEM LIST'!A:A, "Code Not Found"))</f>
        <v>NCGVARNISH-LTR</v>
      </c>
      <c r="E1636" s="199" t="s">
        <v>666</v>
      </c>
      <c r="F1636" s="31"/>
      <c r="G1636" s="195" t="s">
        <v>34</v>
      </c>
      <c r="H1636" s="31">
        <v>1.0</v>
      </c>
      <c r="I1636" s="31" t="str">
        <f t="array" ref="I1636">IFERROR(XLOOKUP(D1636,'MASTER ITEM LIST'!A:A,'MASTER ITEM LIST'!D:D), "")</f>
        <v>LTR</v>
      </c>
      <c r="J1636" s="34">
        <f t="shared" si="2"/>
        <v>600</v>
      </c>
      <c r="K1636" s="196">
        <v>600.0</v>
      </c>
      <c r="L1636" s="70" t="s">
        <v>42</v>
      </c>
    </row>
    <row r="1637" ht="22.5" customHeight="1">
      <c r="A1637" s="29">
        <v>46235.0</v>
      </c>
      <c r="B1637" s="31" t="s">
        <v>1852</v>
      </c>
      <c r="C1637" s="32" t="s">
        <v>1573</v>
      </c>
      <c r="D1637" s="198" t="str">
        <f t="array" ref="D1637">IF(E1637="", "", XLOOKUP(E1637, 'MASTER ITEM LIST'!B:B, 'MASTER ITEM LIST'!A:A, "Code Not Found"))</f>
        <v>NAXQDUMIX-1L</v>
      </c>
      <c r="E1637" s="199" t="s">
        <v>1161</v>
      </c>
      <c r="F1637" s="31" t="s">
        <v>1854</v>
      </c>
      <c r="G1637" s="195" t="s">
        <v>34</v>
      </c>
      <c r="H1637" s="31">
        <v>3.0</v>
      </c>
      <c r="I1637" s="31" t="str">
        <f t="array" ref="I1637">IFERROR(XLOOKUP(D1637,'MASTER ITEM LIST'!A:A,'MASTER ITEM LIST'!D:D), "")</f>
        <v>LITER</v>
      </c>
      <c r="J1637" s="34">
        <f t="shared" si="2"/>
        <v>1000</v>
      </c>
      <c r="K1637" s="196">
        <v>3000.0</v>
      </c>
      <c r="L1637" s="70" t="s">
        <v>42</v>
      </c>
    </row>
    <row r="1638" ht="22.5" customHeight="1">
      <c r="A1638" s="29">
        <v>46235.0</v>
      </c>
      <c r="B1638" s="31"/>
      <c r="C1638" s="32" t="s">
        <v>711</v>
      </c>
      <c r="D1638" s="198" t="str">
        <f t="array" ref="D1638">IF(E1638="", "", XLOOKUP(E1638, 'MASTER ITEM LIST'!B:B, 'MASTER ITEM LIST'!A:A, "Code Not Found"))</f>
        <v>UNOLT-BOT</v>
      </c>
      <c r="E1638" s="199" t="s">
        <v>178</v>
      </c>
      <c r="F1638" s="31"/>
      <c r="G1638" s="195" t="s">
        <v>34</v>
      </c>
      <c r="H1638" s="31">
        <v>1.0</v>
      </c>
      <c r="I1638" s="31" t="str">
        <f t="array" ref="I1638">IFERROR(XLOOKUP(D1638,'MASTER ITEM LIST'!A:A,'MASTER ITEM LIST'!D:D), "")</f>
        <v>BOT</v>
      </c>
      <c r="J1638" s="34">
        <f t="shared" si="2"/>
        <v>80</v>
      </c>
      <c r="K1638" s="196">
        <v>80.0</v>
      </c>
      <c r="L1638" s="70" t="s">
        <v>42</v>
      </c>
    </row>
    <row r="1639" ht="22.5" customHeight="1">
      <c r="A1639" s="29">
        <v>46235.0</v>
      </c>
      <c r="B1639" s="31" t="s">
        <v>1855</v>
      </c>
      <c r="C1639" s="32" t="s">
        <v>1373</v>
      </c>
      <c r="D1639" s="198" t="str">
        <f t="array" ref="D1639">IF(E1639="", "", XLOOKUP(E1639, 'MASTER ITEM LIST'!B:B, 'MASTER ITEM LIST'!A:A, "Code Not Found"))</f>
        <v>SOB757</v>
      </c>
      <c r="E1639" s="199" t="s">
        <v>91</v>
      </c>
      <c r="F1639" s="31"/>
      <c r="G1639" s="195" t="s">
        <v>34</v>
      </c>
      <c r="H1639" s="31">
        <v>0.25</v>
      </c>
      <c r="I1639" s="31" t="str">
        <f t="array" ref="I1639">IFERROR(XLOOKUP(D1639,'MASTER ITEM LIST'!A:A,'MASTER ITEM LIST'!D:D), "")</f>
        <v>GAL</v>
      </c>
      <c r="J1639" s="34">
        <f t="shared" si="2"/>
        <v>800</v>
      </c>
      <c r="K1639" s="196">
        <v>200.0</v>
      </c>
      <c r="L1639" s="70" t="s">
        <v>42</v>
      </c>
    </row>
    <row r="1640" ht="22.5" customHeight="1">
      <c r="A1640" s="29">
        <v>46235.0</v>
      </c>
      <c r="B1640" s="31" t="s">
        <v>1855</v>
      </c>
      <c r="C1640" s="32" t="s">
        <v>1373</v>
      </c>
      <c r="D1640" s="198" t="str">
        <f t="array" ref="D1640">IF(E1640="", "", XLOOKUP(E1640, 'MASTER ITEM LIST'!B:B, 'MASTER ITEM LIST'!A:A, "Code Not Found"))</f>
        <v>PRI1680</v>
      </c>
      <c r="E1640" s="199" t="s">
        <v>1152</v>
      </c>
      <c r="F1640" s="31"/>
      <c r="G1640" s="195" t="s">
        <v>34</v>
      </c>
      <c r="H1640" s="31">
        <v>0.5</v>
      </c>
      <c r="I1640" s="31" t="str">
        <f t="array" ref="I1640">IFERROR(XLOOKUP(D1640,'MASTER ITEM LIST'!A:A,'MASTER ITEM LIST'!D:D), "")</f>
        <v>LITER</v>
      </c>
      <c r="J1640" s="34">
        <f t="shared" si="2"/>
        <v>800</v>
      </c>
      <c r="K1640" s="196">
        <v>400.0</v>
      </c>
      <c r="L1640" s="70" t="s">
        <v>42</v>
      </c>
    </row>
    <row r="1641" ht="22.5" customHeight="1">
      <c r="A1641" s="29">
        <v>46235.0</v>
      </c>
      <c r="B1641" s="31" t="s">
        <v>1855</v>
      </c>
      <c r="C1641" s="32" t="s">
        <v>1373</v>
      </c>
      <c r="D1641" s="198" t="str">
        <f t="array" ref="D1641">IF(E1641="", "", XLOOKUP(E1641, 'MASTER ITEM LIST'!B:B, 'MASTER ITEM LIST'!A:A, "Code Not Found"))</f>
        <v>NP9200</v>
      </c>
      <c r="E1641" s="199" t="s">
        <v>712</v>
      </c>
      <c r="F1641" s="31"/>
      <c r="G1641" s="195" t="s">
        <v>34</v>
      </c>
      <c r="H1641" s="31">
        <v>1.0</v>
      </c>
      <c r="I1641" s="31" t="str">
        <f t="array" ref="I1641">IFERROR(XLOOKUP(D1641,'MASTER ITEM LIST'!A:A,'MASTER ITEM LIST'!D:D), "")</f>
        <v>LITER</v>
      </c>
      <c r="J1641" s="34">
        <f t="shared" si="2"/>
        <v>1350</v>
      </c>
      <c r="K1641" s="196">
        <v>1350.0</v>
      </c>
      <c r="L1641" s="70" t="s">
        <v>42</v>
      </c>
    </row>
    <row r="1642" ht="22.5" customHeight="1">
      <c r="A1642" s="29">
        <v>46235.0</v>
      </c>
      <c r="B1642" s="31" t="s">
        <v>1855</v>
      </c>
      <c r="C1642" s="32" t="s">
        <v>1373</v>
      </c>
      <c r="D1642" s="198" t="str">
        <f t="array" ref="D1642">IF(E1642="", "", XLOOKUP(E1642, 'MASTER ITEM LIST'!B:B, 'MASTER ITEM LIST'!A:A, "Code Not Found"))</f>
        <v>PREMILAMIX-1L</v>
      </c>
      <c r="E1642" s="199" t="s">
        <v>1151</v>
      </c>
      <c r="F1642" s="31"/>
      <c r="G1642" s="195" t="s">
        <v>34</v>
      </c>
      <c r="H1642" s="31">
        <v>0.25</v>
      </c>
      <c r="I1642" s="31" t="str">
        <f t="array" ref="I1642">IFERROR(XLOOKUP(D1642,'MASTER ITEM LIST'!A:A,'MASTER ITEM LIST'!D:D), "")</f>
        <v>LITER</v>
      </c>
      <c r="J1642" s="34">
        <f t="shared" si="2"/>
        <v>2600</v>
      </c>
      <c r="K1642" s="196">
        <v>650.0</v>
      </c>
      <c r="L1642" s="70" t="s">
        <v>42</v>
      </c>
    </row>
    <row r="1643" ht="22.5" customHeight="1">
      <c r="A1643" s="29">
        <v>46235.0</v>
      </c>
      <c r="B1643" s="31"/>
      <c r="C1643" s="32" t="s">
        <v>711</v>
      </c>
      <c r="D1643" s="198" t="str">
        <f t="array" ref="D1643">IF(E1643="", "", XLOOKUP(E1643, 'MASTER ITEM LIST'!B:B, 'MASTER ITEM LIST'!A:A, "Code Not Found"))</f>
        <v>PREMILAMIX-1L</v>
      </c>
      <c r="E1643" s="199" t="s">
        <v>1151</v>
      </c>
      <c r="F1643" s="31" t="s">
        <v>1856</v>
      </c>
      <c r="G1643" s="195" t="s">
        <v>34</v>
      </c>
      <c r="H1643" s="31">
        <v>0.25</v>
      </c>
      <c r="I1643" s="31" t="str">
        <f t="array" ref="I1643">IFERROR(XLOOKUP(D1643,'MASTER ITEM LIST'!A:A,'MASTER ITEM LIST'!D:D), "")</f>
        <v>LITER</v>
      </c>
      <c r="J1643" s="34">
        <f t="shared" si="2"/>
        <v>2800</v>
      </c>
      <c r="K1643" s="196">
        <v>700.0</v>
      </c>
      <c r="L1643" s="70" t="s">
        <v>42</v>
      </c>
    </row>
    <row r="1644" ht="22.5" customHeight="1">
      <c r="A1644" s="29">
        <v>46235.0</v>
      </c>
      <c r="B1644" s="31"/>
      <c r="C1644" s="32" t="s">
        <v>711</v>
      </c>
      <c r="D1644" s="198" t="str">
        <f t="array" ref="D1644">IF(E1644="", "", XLOOKUP(E1644, 'MASTER ITEM LIST'!B:B, 'MASTER ITEM LIST'!A:A, "Code Not Found"))</f>
        <v>NAX108</v>
      </c>
      <c r="E1644" s="199" t="s">
        <v>960</v>
      </c>
      <c r="F1644" s="31"/>
      <c r="G1644" s="195" t="s">
        <v>34</v>
      </c>
      <c r="H1644" s="31">
        <v>0.5</v>
      </c>
      <c r="I1644" s="31" t="str">
        <f t="array" ref="I1644">IFERROR(XLOOKUP(D1644,'MASTER ITEM LIST'!A:A,'MASTER ITEM LIST'!D:D), "")</f>
        <v>LITER</v>
      </c>
      <c r="J1644" s="34">
        <f t="shared" si="2"/>
        <v>680</v>
      </c>
      <c r="K1644" s="196">
        <v>340.0</v>
      </c>
      <c r="L1644" s="70" t="s">
        <v>42</v>
      </c>
    </row>
    <row r="1645" ht="22.5" customHeight="1">
      <c r="A1645" s="29">
        <v>46235.0</v>
      </c>
      <c r="B1645" s="31"/>
      <c r="C1645" s="32" t="s">
        <v>711</v>
      </c>
      <c r="D1645" s="198" t="str">
        <f t="array" ref="D1645">IF(E1645="", "", XLOOKUP(E1645, 'MASTER ITEM LIST'!B:B, 'MASTER ITEM LIST'!A:A, "Code Not Found"))</f>
        <v>MEG3901R-1L</v>
      </c>
      <c r="E1645" s="199" t="s">
        <v>981</v>
      </c>
      <c r="F1645" s="31"/>
      <c r="G1645" s="195" t="s">
        <v>34</v>
      </c>
      <c r="H1645" s="31">
        <v>0.25</v>
      </c>
      <c r="I1645" s="31" t="str">
        <f t="array" ref="I1645">IFERROR(XLOOKUP(D1645,'MASTER ITEM LIST'!A:A,'MASTER ITEM LIST'!D:D), "")</f>
        <v>LITER</v>
      </c>
      <c r="J1645" s="34">
        <f t="shared" si="2"/>
        <v>320</v>
      </c>
      <c r="K1645" s="196">
        <v>80.0</v>
      </c>
      <c r="L1645" s="70" t="s">
        <v>42</v>
      </c>
    </row>
    <row r="1646" ht="22.5" customHeight="1">
      <c r="A1646" s="29">
        <v>46235.0</v>
      </c>
      <c r="B1646" s="31" t="s">
        <v>1857</v>
      </c>
      <c r="C1646" s="32" t="s">
        <v>1210</v>
      </c>
      <c r="D1646" s="198" t="str">
        <f t="array" ref="D1646">IF(E1646="", "", XLOOKUP(E1646, 'MASTER ITEM LIST'!B:B, 'MASTER ITEM LIST'!A:A, "Code Not Found"))</f>
        <v>PREMILAMIX-1L</v>
      </c>
      <c r="E1646" s="199" t="s">
        <v>1151</v>
      </c>
      <c r="F1646" s="31"/>
      <c r="G1646" s="195" t="s">
        <v>1211</v>
      </c>
      <c r="H1646" s="31">
        <v>0.5</v>
      </c>
      <c r="I1646" s="31" t="str">
        <f t="array" ref="I1646">IFERROR(XLOOKUP(D1646,'MASTER ITEM LIST'!A:A,'MASTER ITEM LIST'!D:D), "")</f>
        <v>LITER</v>
      </c>
      <c r="J1646" s="34">
        <f t="shared" si="2"/>
        <v>2700</v>
      </c>
      <c r="K1646" s="196">
        <v>1350.0</v>
      </c>
      <c r="L1646" s="70" t="s">
        <v>1212</v>
      </c>
    </row>
    <row r="1647" ht="22.5" customHeight="1">
      <c r="A1647" s="29">
        <v>46235.0</v>
      </c>
      <c r="B1647" s="31" t="s">
        <v>1857</v>
      </c>
      <c r="C1647" s="32" t="s">
        <v>1210</v>
      </c>
      <c r="D1647" s="198" t="str">
        <f t="array" ref="D1647">IF(E1647="", "", XLOOKUP(E1647, 'MASTER ITEM LIST'!B:B, 'MASTER ITEM LIST'!A:A, "Code Not Found"))</f>
        <v>NAX108</v>
      </c>
      <c r="E1647" s="199" t="s">
        <v>960</v>
      </c>
      <c r="F1647" s="31"/>
      <c r="G1647" s="195" t="s">
        <v>1211</v>
      </c>
      <c r="H1647" s="31">
        <v>1.0</v>
      </c>
      <c r="I1647" s="31" t="str">
        <f t="array" ref="I1647">IFERROR(XLOOKUP(D1647,'MASTER ITEM LIST'!A:A,'MASTER ITEM LIST'!D:D), "")</f>
        <v>LITER</v>
      </c>
      <c r="J1647" s="34">
        <f t="shared" si="2"/>
        <v>700</v>
      </c>
      <c r="K1647" s="196">
        <v>700.0</v>
      </c>
      <c r="L1647" s="70" t="s">
        <v>1212</v>
      </c>
    </row>
    <row r="1648" ht="22.5" customHeight="1">
      <c r="A1648" s="29">
        <v>46235.0</v>
      </c>
      <c r="B1648" s="31" t="s">
        <v>1857</v>
      </c>
      <c r="C1648" s="32" t="s">
        <v>1210</v>
      </c>
      <c r="D1648" s="198" t="str">
        <f t="array" ref="D1648">IF(E1648="", "", XLOOKUP(E1648, 'MASTER ITEM LIST'!B:B, 'MASTER ITEM LIST'!A:A, "Code Not Found"))</f>
        <v>PRI3634</v>
      </c>
      <c r="E1648" s="199" t="s">
        <v>956</v>
      </c>
      <c r="F1648" s="31"/>
      <c r="G1648" s="195" t="s">
        <v>1211</v>
      </c>
      <c r="H1648" s="31">
        <v>2.0</v>
      </c>
      <c r="I1648" s="31" t="str">
        <f t="array" ref="I1648">IFERROR(XLOOKUP(D1648,'MASTER ITEM LIST'!A:A,'MASTER ITEM LIST'!D:D), "")</f>
        <v>LITER</v>
      </c>
      <c r="J1648" s="34">
        <f t="shared" si="2"/>
        <v>240</v>
      </c>
      <c r="K1648" s="196">
        <v>480.0</v>
      </c>
      <c r="L1648" s="70" t="s">
        <v>1212</v>
      </c>
    </row>
    <row r="1649" ht="22.5" customHeight="1">
      <c r="A1649" s="29">
        <v>46235.0</v>
      </c>
      <c r="B1649" s="31" t="s">
        <v>1857</v>
      </c>
      <c r="C1649" s="32" t="s">
        <v>1210</v>
      </c>
      <c r="D1649" s="198" t="str">
        <f t="array" ref="D1649">IF(E1649="", "", XLOOKUP(E1649, 'MASTER ITEM LIST'!B:B, 'MASTER ITEM LIST'!A:A, "Code Not Found"))</f>
        <v>EA120</v>
      </c>
      <c r="E1649" s="199" t="s">
        <v>1048</v>
      </c>
      <c r="F1649" s="31"/>
      <c r="G1649" s="195" t="s">
        <v>1211</v>
      </c>
      <c r="H1649" s="31">
        <v>5.0</v>
      </c>
      <c r="I1649" s="31" t="str">
        <f t="array" ref="I1649">IFERROR(XLOOKUP(D1649,'MASTER ITEM LIST'!A:A,'MASTER ITEM LIST'!D:D), "")</f>
        <v>PC/S</v>
      </c>
      <c r="J1649" s="34">
        <f t="shared" si="2"/>
        <v>60</v>
      </c>
      <c r="K1649" s="196">
        <v>300.0</v>
      </c>
      <c r="L1649" s="70" t="s">
        <v>1212</v>
      </c>
    </row>
    <row r="1650" ht="22.5" customHeight="1">
      <c r="A1650" s="29">
        <v>46235.0</v>
      </c>
      <c r="B1650" s="31" t="s">
        <v>1857</v>
      </c>
      <c r="C1650" s="32" t="s">
        <v>1210</v>
      </c>
      <c r="D1650" s="198" t="str">
        <f t="array" ref="D1650">IF(E1650="", "", XLOOKUP(E1650, 'MASTER ITEM LIST'!B:B, 'MASTER ITEM LIST'!A:A, "Code Not Found"))</f>
        <v>CRO-MT3/4</v>
      </c>
      <c r="E1650" s="199" t="s">
        <v>1103</v>
      </c>
      <c r="F1650" s="31"/>
      <c r="G1650" s="195" t="s">
        <v>1211</v>
      </c>
      <c r="H1650" s="31">
        <v>3.0</v>
      </c>
      <c r="I1650" s="31" t="str">
        <f t="array" ref="I1650">IFERROR(XLOOKUP(D1650,'MASTER ITEM LIST'!A:A,'MASTER ITEM LIST'!D:D), "")</f>
        <v>PC/S</v>
      </c>
      <c r="J1650" s="34">
        <f t="shared" si="2"/>
        <v>41.66666667</v>
      </c>
      <c r="K1650" s="196">
        <v>125.0</v>
      </c>
      <c r="L1650" s="70" t="s">
        <v>1212</v>
      </c>
    </row>
    <row r="1651" ht="22.5" customHeight="1">
      <c r="A1651" s="29">
        <v>46235.0</v>
      </c>
      <c r="B1651" s="31" t="s">
        <v>1857</v>
      </c>
      <c r="C1651" s="32" t="s">
        <v>1210</v>
      </c>
      <c r="D1651" s="198" t="str">
        <f t="array" ref="D1651">IF(E1651="", "", XLOOKUP(E1651, 'MASTER ITEM LIST'!B:B, 'MASTER ITEM LIST'!A:A, "Code Not Found"))</f>
        <v>DOMBF-1L</v>
      </c>
      <c r="E1651" s="199" t="s">
        <v>1065</v>
      </c>
      <c r="F1651" s="31"/>
      <c r="G1651" s="195" t="s">
        <v>1211</v>
      </c>
      <c r="H1651" s="31">
        <v>3.0</v>
      </c>
      <c r="I1651" s="31" t="str">
        <f t="array" ref="I1651">IFERROR(XLOOKUP(D1651,'MASTER ITEM LIST'!A:A,'MASTER ITEM LIST'!D:D), "")</f>
        <v>LITER</v>
      </c>
      <c r="J1651" s="34">
        <f t="shared" si="2"/>
        <v>35</v>
      </c>
      <c r="K1651" s="196">
        <v>105.0</v>
      </c>
      <c r="L1651" s="70" t="s">
        <v>1212</v>
      </c>
    </row>
    <row r="1652" ht="22.5" customHeight="1">
      <c r="A1652" s="29">
        <v>46235.0</v>
      </c>
      <c r="B1652" s="31"/>
      <c r="C1652" s="32" t="s">
        <v>711</v>
      </c>
      <c r="D1652" s="198" t="str">
        <f t="array" ref="D1652">IF(E1652="", "", XLOOKUP(E1652, 'MASTER ITEM LIST'!B:B, 'MASTER ITEM LIST'!A:A, "Code Not Found"))</f>
        <v>EXTREMEMIX-1L</v>
      </c>
      <c r="E1652" s="199" t="s">
        <v>1164</v>
      </c>
      <c r="F1652" s="31" t="s">
        <v>1858</v>
      </c>
      <c r="G1652" s="195" t="s">
        <v>34</v>
      </c>
      <c r="H1652" s="31">
        <v>4.0</v>
      </c>
      <c r="I1652" s="31" t="str">
        <f t="array" ref="I1652">IFERROR(XLOOKUP(D1652,'MASTER ITEM LIST'!A:A,'MASTER ITEM LIST'!D:D), "")</f>
        <v>LITER</v>
      </c>
      <c r="J1652" s="34">
        <f t="shared" si="2"/>
        <v>675</v>
      </c>
      <c r="K1652" s="196">
        <v>2700.0</v>
      </c>
      <c r="L1652" s="70" t="s">
        <v>42</v>
      </c>
    </row>
    <row r="1653" ht="22.5" customHeight="1">
      <c r="A1653" s="29">
        <v>46237.0</v>
      </c>
      <c r="B1653" s="31" t="s">
        <v>1859</v>
      </c>
      <c r="C1653" s="32" t="s">
        <v>1334</v>
      </c>
      <c r="D1653" s="198" t="str">
        <f t="array" ref="D1653">IF(E1653="", "", XLOOKUP(E1653, 'MASTER ITEM LIST'!B:B, 'MASTER ITEM LIST'!A:A, "Code Not Found"))</f>
        <v>PLYZGLD-705</v>
      </c>
      <c r="E1653" s="199" t="s">
        <v>375</v>
      </c>
      <c r="F1653" s="31"/>
      <c r="G1653" s="195" t="s">
        <v>34</v>
      </c>
      <c r="H1653" s="31">
        <v>4.0</v>
      </c>
      <c r="I1653" s="31" t="str">
        <f t="array" ref="I1653">IFERROR(XLOOKUP(D1653,'MASTER ITEM LIST'!A:A,'MASTER ITEM LIST'!D:D), "")</f>
        <v>CAN</v>
      </c>
      <c r="J1653" s="34">
        <f t="shared" si="2"/>
        <v>185</v>
      </c>
      <c r="K1653" s="196">
        <v>740.0</v>
      </c>
      <c r="L1653" s="70" t="s">
        <v>42</v>
      </c>
    </row>
    <row r="1654" ht="22.5" customHeight="1">
      <c r="A1654" s="29">
        <v>46237.0</v>
      </c>
      <c r="B1654" s="31" t="s">
        <v>1859</v>
      </c>
      <c r="C1654" s="32" t="s">
        <v>1334</v>
      </c>
      <c r="D1654" s="198" t="str">
        <f t="array" ref="D1654">IF(E1654="", "", XLOOKUP(E1654, 'MASTER ITEM LIST'!B:B, 'MASTER ITEM LIST'!A:A, "Code Not Found"))</f>
        <v>PYLZWH-02</v>
      </c>
      <c r="E1654" s="199" t="s">
        <v>346</v>
      </c>
      <c r="F1654" s="31"/>
      <c r="G1654" s="195" t="s">
        <v>34</v>
      </c>
      <c r="H1654" s="31">
        <v>2.0</v>
      </c>
      <c r="I1654" s="31" t="str">
        <f t="array" ref="I1654">IFERROR(XLOOKUP(D1654,'MASTER ITEM LIST'!A:A,'MASTER ITEM LIST'!D:D), "")</f>
        <v>CAN</v>
      </c>
      <c r="J1654" s="34">
        <f t="shared" si="2"/>
        <v>145</v>
      </c>
      <c r="K1654" s="196">
        <v>290.0</v>
      </c>
      <c r="L1654" s="70" t="s">
        <v>42</v>
      </c>
    </row>
    <row r="1655" ht="22.5" customHeight="1">
      <c r="A1655" s="29">
        <v>46237.0</v>
      </c>
      <c r="B1655" s="31" t="s">
        <v>1574</v>
      </c>
      <c r="C1655" s="32" t="s">
        <v>1575</v>
      </c>
      <c r="D1655" s="198" t="str">
        <f t="array" ref="D1655">IF(E1655="", "", XLOOKUP(E1655, 'MASTER ITEM LIST'!B:B, 'MASTER ITEM LIST'!A:A, "Code Not Found"))</f>
        <v>LATEXMIX-1L</v>
      </c>
      <c r="E1655" s="199" t="s">
        <v>1157</v>
      </c>
      <c r="F1655" s="31" t="s">
        <v>1860</v>
      </c>
      <c r="G1655" s="195" t="s">
        <v>34</v>
      </c>
      <c r="H1655" s="31">
        <v>4.0</v>
      </c>
      <c r="I1655" s="31" t="str">
        <f t="array" ref="I1655">IFERROR(XLOOKUP(D1655,'MASTER ITEM LIST'!A:A,'MASTER ITEM LIST'!D:D), "")</f>
        <v>LITER</v>
      </c>
      <c r="J1655" s="34">
        <f t="shared" si="2"/>
        <v>245</v>
      </c>
      <c r="K1655" s="196">
        <v>980.0</v>
      </c>
      <c r="L1655" s="70" t="s">
        <v>42</v>
      </c>
    </row>
    <row r="1656" ht="22.5" customHeight="1">
      <c r="A1656" s="29">
        <v>46237.0</v>
      </c>
      <c r="B1656" s="31" t="s">
        <v>1861</v>
      </c>
      <c r="C1656" s="32" t="s">
        <v>1240</v>
      </c>
      <c r="D1656" s="198" t="str">
        <f t="array" ref="D1656">IF(E1656="", "", XLOOKUP(E1656, 'MASTER ITEM LIST'!B:B, 'MASTER ITEM LIST'!A:A, "Code Not Found"))</f>
        <v>NAX108</v>
      </c>
      <c r="E1656" s="199" t="s">
        <v>960</v>
      </c>
      <c r="F1656" s="31"/>
      <c r="G1656" s="195" t="s">
        <v>1211</v>
      </c>
      <c r="H1656" s="31">
        <v>1.0</v>
      </c>
      <c r="I1656" s="31" t="str">
        <f t="array" ref="I1656">IFERROR(XLOOKUP(D1656,'MASTER ITEM LIST'!A:A,'MASTER ITEM LIST'!D:D), "")</f>
        <v>LITER</v>
      </c>
      <c r="J1656" s="34">
        <f t="shared" si="2"/>
        <v>700</v>
      </c>
      <c r="K1656" s="196">
        <v>700.0</v>
      </c>
      <c r="L1656" s="70" t="s">
        <v>1376</v>
      </c>
    </row>
    <row r="1657" ht="22.5" customHeight="1">
      <c r="A1657" s="29">
        <v>46237.0</v>
      </c>
      <c r="B1657" s="31" t="s">
        <v>1861</v>
      </c>
      <c r="C1657" s="32" t="s">
        <v>1240</v>
      </c>
      <c r="D1657" s="198" t="str">
        <f t="array" ref="D1657">IF(E1657="", "", XLOOKUP(E1657, 'MASTER ITEM LIST'!B:B, 'MASTER ITEM LIST'!A:A, "Code Not Found"))</f>
        <v>PREMILAMIX-1L</v>
      </c>
      <c r="E1657" s="199" t="s">
        <v>1151</v>
      </c>
      <c r="F1657" s="31" t="s">
        <v>1862</v>
      </c>
      <c r="G1657" s="195" t="s">
        <v>1211</v>
      </c>
      <c r="H1657" s="31">
        <v>0.5</v>
      </c>
      <c r="I1657" s="31" t="str">
        <f t="array" ref="I1657">IFERROR(XLOOKUP(D1657,'MASTER ITEM LIST'!A:A,'MASTER ITEM LIST'!D:D), "")</f>
        <v>LITER</v>
      </c>
      <c r="J1657" s="34">
        <f t="shared" si="2"/>
        <v>2700</v>
      </c>
      <c r="K1657" s="196">
        <v>1350.0</v>
      </c>
      <c r="L1657" s="70" t="s">
        <v>1376</v>
      </c>
    </row>
    <row r="1658" ht="22.5" customHeight="1">
      <c r="A1658" s="29">
        <v>46237.0</v>
      </c>
      <c r="B1658" s="31" t="s">
        <v>1861</v>
      </c>
      <c r="C1658" s="32" t="s">
        <v>1240</v>
      </c>
      <c r="D1658" s="198" t="str">
        <f t="array" ref="D1658">IF(E1658="", "", XLOOKUP(E1658, 'MASTER ITEM LIST'!B:B, 'MASTER ITEM LIST'!A:A, "Code Not Found"))</f>
        <v>PREMILAMIX-1L</v>
      </c>
      <c r="E1658" s="199" t="s">
        <v>1151</v>
      </c>
      <c r="F1658" s="31" t="s">
        <v>1863</v>
      </c>
      <c r="G1658" s="195" t="s">
        <v>1211</v>
      </c>
      <c r="H1658" s="31">
        <v>0.13</v>
      </c>
      <c r="I1658" s="31" t="str">
        <f t="array" ref="I1658">IFERROR(XLOOKUP(D1658,'MASTER ITEM LIST'!A:A,'MASTER ITEM LIST'!D:D), "")</f>
        <v>LITER</v>
      </c>
      <c r="J1658" s="34">
        <f t="shared" si="2"/>
        <v>2692.307692</v>
      </c>
      <c r="K1658" s="196">
        <v>350.0</v>
      </c>
      <c r="L1658" s="70" t="s">
        <v>1376</v>
      </c>
    </row>
    <row r="1659" ht="22.5" customHeight="1">
      <c r="A1659" s="29">
        <v>46237.0</v>
      </c>
      <c r="B1659" s="31" t="s">
        <v>1861</v>
      </c>
      <c r="C1659" s="32" t="s">
        <v>1240</v>
      </c>
      <c r="D1659" s="198" t="str">
        <f t="array" ref="D1659">IF(E1659="", "", XLOOKUP(E1659, 'MASTER ITEM LIST'!B:B, 'MASTER ITEM LIST'!A:A, "Code Not Found"))</f>
        <v>PRI3634</v>
      </c>
      <c r="E1659" s="199" t="s">
        <v>956</v>
      </c>
      <c r="F1659" s="31"/>
      <c r="G1659" s="195" t="s">
        <v>1211</v>
      </c>
      <c r="H1659" s="31">
        <v>1.0</v>
      </c>
      <c r="I1659" s="31" t="str">
        <f t="array" ref="I1659">IFERROR(XLOOKUP(D1659,'MASTER ITEM LIST'!A:A,'MASTER ITEM LIST'!D:D), "")</f>
        <v>LITER</v>
      </c>
      <c r="J1659" s="34">
        <f t="shared" si="2"/>
        <v>600</v>
      </c>
      <c r="K1659" s="196">
        <v>600.0</v>
      </c>
      <c r="L1659" s="70" t="s">
        <v>1376</v>
      </c>
    </row>
    <row r="1660" ht="22.5" customHeight="1">
      <c r="A1660" s="29">
        <v>46237.0</v>
      </c>
      <c r="B1660" s="31" t="s">
        <v>1861</v>
      </c>
      <c r="C1660" s="32" t="s">
        <v>1240</v>
      </c>
      <c r="D1660" s="198" t="str">
        <f t="array" ref="D1660">IF(E1660="", "", XLOOKUP(E1660, 'MASTER ITEM LIST'!B:B, 'MASTER ITEM LIST'!A:A, "Code Not Found"))</f>
        <v>MSC</v>
      </c>
      <c r="E1660" s="199" t="s">
        <v>518</v>
      </c>
      <c r="F1660" s="31"/>
      <c r="G1660" s="195" t="s">
        <v>1211</v>
      </c>
      <c r="H1660" s="31">
        <v>2.0</v>
      </c>
      <c r="I1660" s="31" t="str">
        <f t="array" ref="I1660">IFERROR(XLOOKUP(D1660,'MASTER ITEM LIST'!A:A,'MASTER ITEM LIST'!D:D), "")</f>
        <v>KG</v>
      </c>
      <c r="J1660" s="34">
        <f t="shared" si="2"/>
        <v>100</v>
      </c>
      <c r="K1660" s="196">
        <v>200.0</v>
      </c>
      <c r="L1660" s="70" t="s">
        <v>1376</v>
      </c>
    </row>
    <row r="1661" ht="22.5" customHeight="1">
      <c r="A1661" s="29">
        <v>46237.0</v>
      </c>
      <c r="B1661" s="31" t="s">
        <v>1861</v>
      </c>
      <c r="C1661" s="32" t="s">
        <v>1240</v>
      </c>
      <c r="D1661" s="198" t="str">
        <f t="array" ref="D1661">IF(E1661="", "", XLOOKUP(E1661, 'MASTER ITEM LIST'!B:B, 'MASTER ITEM LIST'!A:A, "Code Not Found"))</f>
        <v>PREMILAMIX-1L</v>
      </c>
      <c r="E1661" s="199" t="s">
        <v>1151</v>
      </c>
      <c r="F1661" s="31" t="s">
        <v>1864</v>
      </c>
      <c r="G1661" s="195" t="s">
        <v>1211</v>
      </c>
      <c r="H1661" s="31">
        <v>0.5</v>
      </c>
      <c r="I1661" s="31" t="str">
        <f t="array" ref="I1661">IFERROR(XLOOKUP(D1661,'MASTER ITEM LIST'!A:A,'MASTER ITEM LIST'!D:D), "")</f>
        <v>LITER</v>
      </c>
      <c r="J1661" s="34">
        <f t="shared" si="2"/>
        <v>1300</v>
      </c>
      <c r="K1661" s="196">
        <v>650.0</v>
      </c>
      <c r="L1661" s="70" t="s">
        <v>1376</v>
      </c>
    </row>
    <row r="1662" ht="22.5" customHeight="1">
      <c r="A1662" s="29">
        <v>46238.0</v>
      </c>
      <c r="B1662" s="31" t="s">
        <v>1576</v>
      </c>
      <c r="C1662" s="32" t="s">
        <v>1577</v>
      </c>
      <c r="D1662" s="198" t="str">
        <f t="array" ref="D1662">IF(E1662="", "", XLOOKUP(E1662, 'MASTER ITEM LIST'!B:B, 'MASTER ITEM LIST'!A:A, "Code Not Found"))</f>
        <v>CUMIFS-80</v>
      </c>
      <c r="E1662" s="199" t="s">
        <v>1098</v>
      </c>
      <c r="F1662" s="31"/>
      <c r="G1662" s="195" t="s">
        <v>34</v>
      </c>
      <c r="H1662" s="31">
        <v>15.0</v>
      </c>
      <c r="I1662" s="31" t="s">
        <v>1099</v>
      </c>
      <c r="J1662" s="34">
        <f t="shared" si="2"/>
        <v>85</v>
      </c>
      <c r="K1662" s="196">
        <v>1275.0</v>
      </c>
      <c r="L1662" s="70" t="s">
        <v>42</v>
      </c>
    </row>
    <row r="1663" ht="22.5" customHeight="1">
      <c r="A1663" s="29">
        <v>46238.0</v>
      </c>
      <c r="B1663" s="31" t="s">
        <v>1865</v>
      </c>
      <c r="C1663" s="32" t="s">
        <v>93</v>
      </c>
      <c r="D1663" s="198" t="str">
        <f t="array" ref="D1663">IF(E1663="", "", XLOOKUP(E1663, 'MASTER ITEM LIST'!B:B, 'MASTER ITEM LIST'!A:A, "Code Not Found"))</f>
        <v>SOB757</v>
      </c>
      <c r="E1663" s="199" t="s">
        <v>91</v>
      </c>
      <c r="F1663" s="31"/>
      <c r="G1663" s="195" t="s">
        <v>1376</v>
      </c>
      <c r="H1663" s="31">
        <v>1.0</v>
      </c>
      <c r="I1663" s="31" t="str">
        <f t="array" ref="I1663">IFERROR(XLOOKUP(D1663,'MASTER ITEM LIST'!A:A,'MASTER ITEM LIST'!D:D), "")</f>
        <v>GAL</v>
      </c>
      <c r="J1663" s="34">
        <f t="shared" si="2"/>
        <v>780</v>
      </c>
      <c r="K1663" s="196">
        <v>780.0</v>
      </c>
      <c r="L1663" s="70" t="s">
        <v>1376</v>
      </c>
    </row>
    <row r="1664" ht="22.5" customHeight="1">
      <c r="A1664" s="29">
        <v>46238.0</v>
      </c>
      <c r="B1664" s="31" t="s">
        <v>1865</v>
      </c>
      <c r="C1664" s="32" t="s">
        <v>93</v>
      </c>
      <c r="D1664" s="198" t="str">
        <f t="array" ref="D1664">IF(E1664="", "", XLOOKUP(E1664, 'MASTER ITEM LIST'!B:B, 'MASTER ITEM LIST'!A:A, "Code Not Found"))</f>
        <v>NAX108</v>
      </c>
      <c r="E1664" s="199" t="s">
        <v>960</v>
      </c>
      <c r="F1664" s="31"/>
      <c r="G1664" s="195" t="s">
        <v>1376</v>
      </c>
      <c r="H1664" s="31">
        <v>1.0</v>
      </c>
      <c r="I1664" s="31" t="str">
        <f t="array" ref="I1664">IFERROR(XLOOKUP(D1664,'MASTER ITEM LIST'!A:A,'MASTER ITEM LIST'!D:D), "")</f>
        <v>LITER</v>
      </c>
      <c r="J1664" s="34">
        <f t="shared" si="2"/>
        <v>680</v>
      </c>
      <c r="K1664" s="196">
        <v>680.0</v>
      </c>
      <c r="L1664" s="70" t="s">
        <v>1376</v>
      </c>
    </row>
    <row r="1665" ht="22.5" customHeight="1">
      <c r="A1665" s="29">
        <v>46238.0</v>
      </c>
      <c r="B1665" s="31" t="s">
        <v>1865</v>
      </c>
      <c r="C1665" s="32" t="s">
        <v>93</v>
      </c>
      <c r="D1665" s="198" t="str">
        <f t="array" ref="D1665">IF(E1665="", "", XLOOKUP(E1665, 'MASTER ITEM LIST'!B:B, 'MASTER ITEM LIST'!A:A, "Code Not Found"))</f>
        <v>PREMILAMIX-1L</v>
      </c>
      <c r="E1665" s="199" t="s">
        <v>1151</v>
      </c>
      <c r="F1665" s="31" t="s">
        <v>1866</v>
      </c>
      <c r="G1665" s="195" t="s">
        <v>1376</v>
      </c>
      <c r="H1665" s="31">
        <v>0.5</v>
      </c>
      <c r="I1665" s="31" t="str">
        <f t="array" ref="I1665">IFERROR(XLOOKUP(D1665,'MASTER ITEM LIST'!A:A,'MASTER ITEM LIST'!D:D), "")</f>
        <v>LITER</v>
      </c>
      <c r="J1665" s="34">
        <f t="shared" si="2"/>
        <v>2000</v>
      </c>
      <c r="K1665" s="196">
        <v>1000.0</v>
      </c>
      <c r="L1665" s="70" t="s">
        <v>1376</v>
      </c>
    </row>
    <row r="1666" ht="22.5" customHeight="1">
      <c r="A1666" s="29">
        <v>46238.0</v>
      </c>
      <c r="B1666" s="31" t="s">
        <v>1865</v>
      </c>
      <c r="C1666" s="32" t="s">
        <v>93</v>
      </c>
      <c r="D1666" s="198" t="str">
        <f t="array" ref="D1666">IF(E1666="", "", XLOOKUP(E1666, 'MASTER ITEM LIST'!B:B, 'MASTER ITEM LIST'!A:A, "Code Not Found"))</f>
        <v>PREMILAMIX-1L</v>
      </c>
      <c r="E1666" s="199" t="s">
        <v>1151</v>
      </c>
      <c r="F1666" s="31" t="s">
        <v>1867</v>
      </c>
      <c r="G1666" s="195" t="s">
        <v>1376</v>
      </c>
      <c r="H1666" s="31">
        <v>0.5</v>
      </c>
      <c r="I1666" s="31" t="str">
        <f t="array" ref="I1666">IFERROR(XLOOKUP(D1666,'MASTER ITEM LIST'!A:A,'MASTER ITEM LIST'!D:D), "")</f>
        <v>LITER</v>
      </c>
      <c r="J1666" s="34">
        <f t="shared" si="2"/>
        <v>2700</v>
      </c>
      <c r="K1666" s="196">
        <v>1350.0</v>
      </c>
      <c r="L1666" s="70" t="s">
        <v>1376</v>
      </c>
    </row>
    <row r="1667" ht="22.5" customHeight="1">
      <c r="A1667" s="29">
        <v>46238.0</v>
      </c>
      <c r="B1667" s="31" t="s">
        <v>1578</v>
      </c>
      <c r="C1667" s="32" t="s">
        <v>1579</v>
      </c>
      <c r="D1667" s="198" t="str">
        <f t="array" ref="D1667">IF(E1667="", "", XLOOKUP(E1667, 'MASTER ITEM LIST'!B:B, 'MASTER ITEM LIST'!A:A, "Code Not Found"))</f>
        <v>PREMILAMIX-1L</v>
      </c>
      <c r="E1667" s="199" t="s">
        <v>1151</v>
      </c>
      <c r="F1667" s="31" t="s">
        <v>1868</v>
      </c>
      <c r="G1667" s="195" t="s">
        <v>34</v>
      </c>
      <c r="H1667" s="31">
        <v>0.5</v>
      </c>
      <c r="I1667" s="31" t="str">
        <f t="array" ref="I1667">IFERROR(XLOOKUP(D1667,'MASTER ITEM LIST'!A:A,'MASTER ITEM LIST'!D:D), "")</f>
        <v>LITER</v>
      </c>
      <c r="J1667" s="34">
        <f t="shared" si="2"/>
        <v>2700</v>
      </c>
      <c r="K1667" s="196">
        <v>1350.0</v>
      </c>
      <c r="L1667" s="70" t="s">
        <v>42</v>
      </c>
    </row>
    <row r="1668" ht="22.5" customHeight="1">
      <c r="A1668" s="29">
        <v>46238.0</v>
      </c>
      <c r="B1668" s="31" t="s">
        <v>1578</v>
      </c>
      <c r="C1668" s="32" t="s">
        <v>1579</v>
      </c>
      <c r="D1668" s="198" t="str">
        <f t="array" ref="D1668">IF(E1668="", "", XLOOKUP(E1668, 'MASTER ITEM LIST'!B:B, 'MASTER ITEM LIST'!A:A, "Code Not Found"))</f>
        <v>EA240</v>
      </c>
      <c r="E1668" s="199" t="s">
        <v>1044</v>
      </c>
      <c r="F1668" s="31"/>
      <c r="G1668" s="195" t="s">
        <v>34</v>
      </c>
      <c r="H1668" s="31">
        <v>1.0</v>
      </c>
      <c r="I1668" s="31" t="str">
        <f t="array" ref="I1668">IFERROR(XLOOKUP(D1668,'MASTER ITEM LIST'!A:A,'MASTER ITEM LIST'!D:D), "")</f>
        <v>PC/S</v>
      </c>
      <c r="J1668" s="34">
        <f t="shared" si="2"/>
        <v>25</v>
      </c>
      <c r="K1668" s="196">
        <v>25.0</v>
      </c>
      <c r="L1668" s="70" t="s">
        <v>42</v>
      </c>
    </row>
    <row r="1669" ht="22.5" customHeight="1">
      <c r="A1669" s="29">
        <v>46238.0</v>
      </c>
      <c r="B1669" s="31" t="s">
        <v>1578</v>
      </c>
      <c r="C1669" s="32" t="s">
        <v>1579</v>
      </c>
      <c r="D1669" s="198" t="str">
        <f t="array" ref="D1669">IF(E1669="", "", XLOOKUP(E1669, 'MASTER ITEM LIST'!B:B, 'MASTER ITEM LIST'!A:A, "Code Not Found"))</f>
        <v>EA120</v>
      </c>
      <c r="E1669" s="199" t="s">
        <v>1048</v>
      </c>
      <c r="F1669" s="31"/>
      <c r="G1669" s="195" t="s">
        <v>34</v>
      </c>
      <c r="H1669" s="31">
        <v>1.0</v>
      </c>
      <c r="I1669" s="31" t="str">
        <f t="array" ref="I1669">IFERROR(XLOOKUP(D1669,'MASTER ITEM LIST'!A:A,'MASTER ITEM LIST'!D:D), "")</f>
        <v>PC/S</v>
      </c>
      <c r="J1669" s="34">
        <f t="shared" si="2"/>
        <v>25</v>
      </c>
      <c r="K1669" s="196">
        <v>25.0</v>
      </c>
      <c r="L1669" s="70" t="s">
        <v>42</v>
      </c>
    </row>
    <row r="1670" ht="22.5" customHeight="1">
      <c r="A1670" s="29">
        <v>46238.0</v>
      </c>
      <c r="B1670" s="31" t="s">
        <v>1578</v>
      </c>
      <c r="C1670" s="32" t="s">
        <v>1579</v>
      </c>
      <c r="D1670" s="198" t="str">
        <f t="array" ref="D1670">IF(E1670="", "", XLOOKUP(E1670, 'MASTER ITEM LIST'!B:B, 'MASTER ITEM LIST'!A:A, "Code Not Found"))</f>
        <v>MSC</v>
      </c>
      <c r="E1670" s="199" t="s">
        <v>518</v>
      </c>
      <c r="F1670" s="31"/>
      <c r="G1670" s="195" t="s">
        <v>34</v>
      </c>
      <c r="H1670" s="31">
        <v>1.0</v>
      </c>
      <c r="I1670" s="31" t="str">
        <f t="array" ref="I1670">IFERROR(XLOOKUP(D1670,'MASTER ITEM LIST'!A:A,'MASTER ITEM LIST'!D:D), "")</f>
        <v>KG</v>
      </c>
      <c r="J1670" s="34">
        <f t="shared" si="2"/>
        <v>100</v>
      </c>
      <c r="K1670" s="196">
        <v>100.0</v>
      </c>
      <c r="L1670" s="70" t="s">
        <v>42</v>
      </c>
    </row>
    <row r="1671" ht="22.5" customHeight="1">
      <c r="A1671" s="29">
        <v>46238.0</v>
      </c>
      <c r="B1671" s="31" t="s">
        <v>1578</v>
      </c>
      <c r="C1671" s="32" t="s">
        <v>1579</v>
      </c>
      <c r="D1671" s="198" t="str">
        <f t="array" ref="D1671">IF(E1671="", "", XLOOKUP(E1671, 'MASTER ITEM LIST'!B:B, 'MASTER ITEM LIST'!A:A, "Code Not Found"))</f>
        <v>CRO-MT3/4</v>
      </c>
      <c r="E1671" s="199" t="s">
        <v>1103</v>
      </c>
      <c r="F1671" s="31"/>
      <c r="G1671" s="195" t="s">
        <v>34</v>
      </c>
      <c r="H1671" s="31">
        <v>3.0</v>
      </c>
      <c r="I1671" s="31" t="str">
        <f t="array" ref="I1671">IFERROR(XLOOKUP(D1671,'MASTER ITEM LIST'!A:A,'MASTER ITEM LIST'!D:D), "")</f>
        <v>PC/S</v>
      </c>
      <c r="J1671" s="34">
        <f t="shared" si="2"/>
        <v>35</v>
      </c>
      <c r="K1671" s="196">
        <v>105.0</v>
      </c>
      <c r="L1671" s="70" t="s">
        <v>42</v>
      </c>
    </row>
    <row r="1672" ht="22.5" customHeight="1">
      <c r="A1672" s="29">
        <v>46238.0</v>
      </c>
      <c r="B1672" s="31" t="s">
        <v>1578</v>
      </c>
      <c r="C1672" s="32" t="s">
        <v>1579</v>
      </c>
      <c r="D1672" s="198" t="str">
        <f t="array" ref="D1672">IF(E1672="", "", XLOOKUP(E1672, 'MASTER ITEM LIST'!B:B, 'MASTER ITEM LIST'!A:A, "Code Not Found"))</f>
        <v>EA1200</v>
      </c>
      <c r="E1672" s="199" t="s">
        <v>1047</v>
      </c>
      <c r="F1672" s="31"/>
      <c r="G1672" s="195" t="s">
        <v>34</v>
      </c>
      <c r="H1672" s="31">
        <v>1.0</v>
      </c>
      <c r="I1672" s="31" t="str">
        <f t="array" ref="I1672">IFERROR(XLOOKUP(D1672,'MASTER ITEM LIST'!A:A,'MASTER ITEM LIST'!D:D), "")</f>
        <v>PC/S</v>
      </c>
      <c r="J1672" s="34">
        <f t="shared" si="2"/>
        <v>25</v>
      </c>
      <c r="K1672" s="196">
        <v>25.0</v>
      </c>
      <c r="L1672" s="70" t="s">
        <v>42</v>
      </c>
    </row>
    <row r="1673" ht="22.5" customHeight="1">
      <c r="A1673" s="29">
        <v>46238.0</v>
      </c>
      <c r="B1673" s="31"/>
      <c r="C1673" s="32" t="s">
        <v>711</v>
      </c>
      <c r="D1673" s="198" t="str">
        <f t="array" ref="D1673">IF(E1673="", "", XLOOKUP(E1673, 'MASTER ITEM LIST'!B:B, 'MASTER ITEM LIST'!A:A, "Code Not Found"))</f>
        <v>SOB757</v>
      </c>
      <c r="E1673" s="199" t="s">
        <v>91</v>
      </c>
      <c r="F1673" s="31"/>
      <c r="G1673" s="195" t="s">
        <v>34</v>
      </c>
      <c r="H1673" s="31">
        <v>0.25</v>
      </c>
      <c r="I1673" s="31" t="str">
        <f t="array" ref="I1673">IFERROR(XLOOKUP(D1673,'MASTER ITEM LIST'!A:A,'MASTER ITEM LIST'!D:D), "")</f>
        <v>GAL</v>
      </c>
      <c r="J1673" s="34">
        <f t="shared" si="2"/>
        <v>800</v>
      </c>
      <c r="K1673" s="196">
        <v>200.0</v>
      </c>
      <c r="L1673" s="70" t="s">
        <v>42</v>
      </c>
    </row>
    <row r="1674" ht="22.5" customHeight="1">
      <c r="A1674" s="29">
        <v>46238.0</v>
      </c>
      <c r="B1674" s="31"/>
      <c r="C1674" s="32" t="s">
        <v>711</v>
      </c>
      <c r="D1674" s="198" t="str">
        <f t="array" ref="D1674">IF(E1674="", "", XLOOKUP(E1674, 'MASTER ITEM LIST'!B:B, 'MASTER ITEM LIST'!A:A, "Code Not Found"))</f>
        <v>EXTREMEMIX-1L</v>
      </c>
      <c r="E1674" s="199" t="s">
        <v>1164</v>
      </c>
      <c r="F1674" s="31"/>
      <c r="G1674" s="195" t="s">
        <v>34</v>
      </c>
      <c r="H1674" s="31">
        <v>1.5</v>
      </c>
      <c r="I1674" s="31" t="str">
        <f t="array" ref="I1674">IFERROR(XLOOKUP(D1674,'MASTER ITEM LIST'!A:A,'MASTER ITEM LIST'!D:D), "")</f>
        <v>LITER</v>
      </c>
      <c r="J1674" s="34">
        <f t="shared" si="2"/>
        <v>750</v>
      </c>
      <c r="K1674" s="196">
        <v>1125.0</v>
      </c>
      <c r="L1674" s="70" t="s">
        <v>42</v>
      </c>
    </row>
    <row r="1675" ht="22.5" customHeight="1">
      <c r="A1675" s="29">
        <v>46238.0</v>
      </c>
      <c r="B1675" s="31"/>
      <c r="C1675" s="32" t="s">
        <v>711</v>
      </c>
      <c r="D1675" s="198" t="str">
        <f t="array" ref="D1675">IF(E1675="", "", XLOOKUP(E1675, 'MASTER ITEM LIST'!B:B, 'MASTER ITEM LIST'!A:A, "Code Not Found"))</f>
        <v>NAX21</v>
      </c>
      <c r="E1675" s="199" t="s">
        <v>848</v>
      </c>
      <c r="F1675" s="31"/>
      <c r="G1675" s="195" t="s">
        <v>34</v>
      </c>
      <c r="H1675" s="31">
        <v>1.0</v>
      </c>
      <c r="I1675" s="31" t="str">
        <f t="array" ref="I1675">IFERROR(XLOOKUP(D1675,'MASTER ITEM LIST'!A:A,'MASTER ITEM LIST'!D:D), "")</f>
        <v>CANS</v>
      </c>
      <c r="J1675" s="34">
        <f t="shared" si="2"/>
        <v>250</v>
      </c>
      <c r="K1675" s="196">
        <v>250.0</v>
      </c>
      <c r="L1675" s="70" t="s">
        <v>42</v>
      </c>
    </row>
    <row r="1676" ht="22.5" customHeight="1">
      <c r="A1676" s="29">
        <v>46238.0</v>
      </c>
      <c r="B1676" s="31"/>
      <c r="C1676" s="32" t="s">
        <v>711</v>
      </c>
      <c r="D1676" s="198" t="str">
        <f t="array" ref="D1676">IF(E1676="", "", XLOOKUP(E1676, 'MASTER ITEM LIST'!B:B, 'MASTER ITEM LIST'!A:A, "Code Not Found"))</f>
        <v>UNOLT-BOT</v>
      </c>
      <c r="E1676" s="199" t="s">
        <v>178</v>
      </c>
      <c r="F1676" s="31"/>
      <c r="G1676" s="195" t="s">
        <v>34</v>
      </c>
      <c r="H1676" s="31">
        <v>1.0</v>
      </c>
      <c r="I1676" s="31" t="str">
        <f t="array" ref="I1676">IFERROR(XLOOKUP(D1676,'MASTER ITEM LIST'!A:A,'MASTER ITEM LIST'!D:D), "")</f>
        <v>BOT</v>
      </c>
      <c r="J1676" s="34">
        <f t="shared" si="2"/>
        <v>80</v>
      </c>
      <c r="K1676" s="196">
        <v>80.0</v>
      </c>
      <c r="L1676" s="70" t="s">
        <v>42</v>
      </c>
    </row>
    <row r="1677" ht="22.5" customHeight="1">
      <c r="A1677" s="29">
        <v>46238.0</v>
      </c>
      <c r="B1677" s="31"/>
      <c r="C1677" s="32" t="s">
        <v>711</v>
      </c>
      <c r="D1677" s="198" t="str">
        <f t="array" ref="D1677">IF(E1677="", "", XLOOKUP(E1677, 'MASTER ITEM LIST'!B:B, 'MASTER ITEM LIST'!A:A, "Code Not Found"))</f>
        <v>SOB757</v>
      </c>
      <c r="E1677" s="199" t="s">
        <v>91</v>
      </c>
      <c r="F1677" s="31"/>
      <c r="G1677" s="195" t="s">
        <v>34</v>
      </c>
      <c r="H1677" s="31">
        <v>0.25</v>
      </c>
      <c r="I1677" s="31" t="str">
        <f t="array" ref="I1677">IFERROR(XLOOKUP(D1677,'MASTER ITEM LIST'!A:A,'MASTER ITEM LIST'!D:D), "")</f>
        <v>GAL</v>
      </c>
      <c r="J1677" s="34">
        <f t="shared" si="2"/>
        <v>800</v>
      </c>
      <c r="K1677" s="196">
        <v>200.0</v>
      </c>
      <c r="L1677" s="70" t="s">
        <v>42</v>
      </c>
    </row>
    <row r="1678" ht="22.5" customHeight="1">
      <c r="A1678" s="29">
        <v>46238.0</v>
      </c>
      <c r="B1678" s="31"/>
      <c r="C1678" s="32" t="s">
        <v>711</v>
      </c>
      <c r="D1678" s="198" t="str">
        <f t="array" ref="D1678">IF(E1678="", "", XLOOKUP(E1678, 'MASTER ITEM LIST'!B:B, 'MASTER ITEM LIST'!A:A, "Code Not Found"))</f>
        <v>CRO-MT3/4</v>
      </c>
      <c r="E1678" s="199" t="s">
        <v>1103</v>
      </c>
      <c r="F1678" s="31"/>
      <c r="G1678" s="195" t="s">
        <v>34</v>
      </c>
      <c r="H1678" s="31">
        <v>2.0</v>
      </c>
      <c r="I1678" s="31" t="str">
        <f t="array" ref="I1678">IFERROR(XLOOKUP(D1678,'MASTER ITEM LIST'!A:A,'MASTER ITEM LIST'!D:D), "")</f>
        <v>PC/S</v>
      </c>
      <c r="J1678" s="34">
        <f t="shared" si="2"/>
        <v>35</v>
      </c>
      <c r="K1678" s="196">
        <v>70.0</v>
      </c>
      <c r="L1678" s="70" t="s">
        <v>42</v>
      </c>
    </row>
    <row r="1679" ht="22.5" customHeight="1">
      <c r="A1679" s="29">
        <v>46239.0</v>
      </c>
      <c r="B1679" s="31"/>
      <c r="C1679" s="32" t="s">
        <v>711</v>
      </c>
      <c r="D1679" s="198" t="str">
        <f t="array" ref="D1679">IF(E1679="", "", XLOOKUP(E1679, 'MASTER ITEM LIST'!B:B, 'MASTER ITEM LIST'!A:A, "Code Not Found"))</f>
        <v>PREMILAMIX-1L</v>
      </c>
      <c r="E1679" s="199" t="s">
        <v>1151</v>
      </c>
      <c r="F1679" s="31" t="s">
        <v>1869</v>
      </c>
      <c r="G1679" s="195" t="s">
        <v>34</v>
      </c>
      <c r="H1679" s="31">
        <v>1.5</v>
      </c>
      <c r="I1679" s="31" t="str">
        <f t="array" ref="I1679">IFERROR(XLOOKUP(D1679,'MASTER ITEM LIST'!A:A,'MASTER ITEM LIST'!D:D), "")</f>
        <v>LITER</v>
      </c>
      <c r="J1679" s="34">
        <f t="shared" si="2"/>
        <v>1900</v>
      </c>
      <c r="K1679" s="196">
        <v>2850.0</v>
      </c>
      <c r="L1679" s="70" t="s">
        <v>42</v>
      </c>
    </row>
    <row r="1680" ht="22.5" customHeight="1">
      <c r="A1680" s="29">
        <v>46239.0</v>
      </c>
      <c r="B1680" s="31"/>
      <c r="C1680" s="32" t="s">
        <v>711</v>
      </c>
      <c r="D1680" s="198" t="str">
        <f t="array" ref="D1680">IF(E1680="", "", XLOOKUP(E1680, 'MASTER ITEM LIST'!B:B, 'MASTER ITEM LIST'!A:A, "Code Not Found"))</f>
        <v>SOB757</v>
      </c>
      <c r="E1680" s="199" t="s">
        <v>91</v>
      </c>
      <c r="F1680" s="31"/>
      <c r="G1680" s="195" t="s">
        <v>34</v>
      </c>
      <c r="H1680" s="31">
        <v>6.0</v>
      </c>
      <c r="I1680" s="31" t="str">
        <f t="array" ref="I1680">IFERROR(XLOOKUP(D1680,'MASTER ITEM LIST'!A:A,'MASTER ITEM LIST'!D:D), "")</f>
        <v>GAL</v>
      </c>
      <c r="J1680" s="34">
        <f t="shared" si="2"/>
        <v>750</v>
      </c>
      <c r="K1680" s="196">
        <v>4500.0</v>
      </c>
      <c r="L1680" s="70" t="s">
        <v>42</v>
      </c>
    </row>
    <row r="1681" ht="22.5" customHeight="1">
      <c r="A1681" s="29">
        <v>46239.0</v>
      </c>
      <c r="B1681" s="31"/>
      <c r="C1681" s="32" t="s">
        <v>711</v>
      </c>
      <c r="D1681" s="198" t="str">
        <f t="array" ref="D1681">IF(E1681="", "", XLOOKUP(E1681, 'MASTER ITEM LIST'!B:B, 'MASTER ITEM LIST'!A:A, "Code Not Found"))</f>
        <v>CRO-MT3/4</v>
      </c>
      <c r="E1681" s="199" t="s">
        <v>1103</v>
      </c>
      <c r="F1681" s="31"/>
      <c r="G1681" s="195" t="s">
        <v>34</v>
      </c>
      <c r="H1681" s="31">
        <v>20.0</v>
      </c>
      <c r="I1681" s="31" t="str">
        <f t="array" ref="I1681">IFERROR(XLOOKUP(D1681,'MASTER ITEM LIST'!A:A,'MASTER ITEM LIST'!D:D), "")</f>
        <v>PC/S</v>
      </c>
      <c r="J1681" s="34">
        <f t="shared" si="2"/>
        <v>35</v>
      </c>
      <c r="K1681" s="196">
        <v>700.0</v>
      </c>
      <c r="L1681" s="70" t="s">
        <v>42</v>
      </c>
    </row>
    <row r="1682" ht="22.5" customHeight="1">
      <c r="A1682" s="29">
        <v>46239.0</v>
      </c>
      <c r="B1682" s="31"/>
      <c r="C1682" s="32" t="s">
        <v>711</v>
      </c>
      <c r="D1682" s="198" t="str">
        <f t="array" ref="D1682">IF(E1682="", "", XLOOKUP(E1682, 'MASTER ITEM LIST'!B:B, 'MASTER ITEM LIST'!A:A, "Code Not Found"))</f>
        <v>EA240</v>
      </c>
      <c r="E1682" s="199" t="s">
        <v>1044</v>
      </c>
      <c r="F1682" s="31"/>
      <c r="G1682" s="195" t="s">
        <v>34</v>
      </c>
      <c r="H1682" s="31">
        <v>6.0</v>
      </c>
      <c r="I1682" s="31" t="str">
        <f t="array" ref="I1682">IFERROR(XLOOKUP(D1682,'MASTER ITEM LIST'!A:A,'MASTER ITEM LIST'!D:D), "")</f>
        <v>PC/S</v>
      </c>
      <c r="J1682" s="34">
        <f t="shared" si="2"/>
        <v>25</v>
      </c>
      <c r="K1682" s="196">
        <v>150.0</v>
      </c>
      <c r="L1682" s="70" t="s">
        <v>42</v>
      </c>
    </row>
    <row r="1683" ht="22.5" customHeight="1">
      <c r="A1683" s="29">
        <v>46239.0</v>
      </c>
      <c r="B1683" s="31"/>
      <c r="C1683" s="32" t="s">
        <v>711</v>
      </c>
      <c r="D1683" s="198" t="str">
        <f t="array" ref="D1683">IF(E1683="", "", XLOOKUP(E1683, 'MASTER ITEM LIST'!B:B, 'MASTER ITEM LIST'!A:A, "Code Not Found"))</f>
        <v>EA600</v>
      </c>
      <c r="E1683" s="199" t="s">
        <v>1041</v>
      </c>
      <c r="F1683" s="31"/>
      <c r="G1683" s="195" t="s">
        <v>34</v>
      </c>
      <c r="H1683" s="31">
        <v>10.0</v>
      </c>
      <c r="I1683" s="31" t="str">
        <f t="array" ref="I1683">IFERROR(XLOOKUP(D1683,'MASTER ITEM LIST'!A:A,'MASTER ITEM LIST'!D:D), "")</f>
        <v>PCS</v>
      </c>
      <c r="J1683" s="34">
        <f t="shared" si="2"/>
        <v>25</v>
      </c>
      <c r="K1683" s="196">
        <v>250.0</v>
      </c>
      <c r="L1683" s="70" t="s">
        <v>42</v>
      </c>
    </row>
    <row r="1684" ht="22.5" customHeight="1">
      <c r="A1684" s="29">
        <v>46239.0</v>
      </c>
      <c r="B1684" s="31"/>
      <c r="C1684" s="32" t="s">
        <v>711</v>
      </c>
      <c r="D1684" s="198" t="str">
        <f t="array" ref="D1684">IF(E1684="", "", XLOOKUP(E1684, 'MASTER ITEM LIST'!B:B, 'MASTER ITEM LIST'!A:A, "Code Not Found"))</f>
        <v>EA1200</v>
      </c>
      <c r="E1684" s="199" t="s">
        <v>1047</v>
      </c>
      <c r="F1684" s="31"/>
      <c r="G1684" s="195" t="s">
        <v>34</v>
      </c>
      <c r="H1684" s="31">
        <v>10.0</v>
      </c>
      <c r="I1684" s="31" t="str">
        <f t="array" ref="I1684">IFERROR(XLOOKUP(D1684,'MASTER ITEM LIST'!A:A,'MASTER ITEM LIST'!D:D), "")</f>
        <v>PC/S</v>
      </c>
      <c r="J1684" s="34">
        <f t="shared" si="2"/>
        <v>25</v>
      </c>
      <c r="K1684" s="196">
        <v>250.0</v>
      </c>
      <c r="L1684" s="70" t="s">
        <v>42</v>
      </c>
    </row>
    <row r="1685" ht="22.5" customHeight="1">
      <c r="A1685" s="29">
        <v>46239.0</v>
      </c>
      <c r="B1685" s="31" t="s">
        <v>1870</v>
      </c>
      <c r="C1685" s="32" t="s">
        <v>1210</v>
      </c>
      <c r="D1685" s="198" t="str">
        <f t="array" ref="D1685">IF(E1685="", "", XLOOKUP(E1685, 'MASTER ITEM LIST'!B:B, 'MASTER ITEM LIST'!A:A, "Code Not Found"))</f>
        <v>DOMBF-1L</v>
      </c>
      <c r="E1685" s="199" t="s">
        <v>1065</v>
      </c>
      <c r="F1685" s="31"/>
      <c r="G1685" s="195" t="s">
        <v>1211</v>
      </c>
      <c r="H1685" s="31">
        <v>1.0</v>
      </c>
      <c r="I1685" s="31" t="str">
        <f t="array" ref="I1685">IFERROR(XLOOKUP(D1685,'MASTER ITEM LIST'!A:A,'MASTER ITEM LIST'!D:D), "")</f>
        <v>LITER</v>
      </c>
      <c r="J1685" s="34">
        <f t="shared" si="2"/>
        <v>230</v>
      </c>
      <c r="K1685" s="196">
        <v>230.0</v>
      </c>
      <c r="L1685" s="70" t="s">
        <v>1212</v>
      </c>
    </row>
    <row r="1686" ht="22.5" customHeight="1">
      <c r="A1686" s="29">
        <v>46239.0</v>
      </c>
      <c r="B1686" s="31" t="s">
        <v>1870</v>
      </c>
      <c r="C1686" s="32" t="s">
        <v>1210</v>
      </c>
      <c r="D1686" s="198" t="str">
        <f t="array" ref="D1686">IF(E1686="", "", XLOOKUP(E1686, 'MASTER ITEM LIST'!B:B, 'MASTER ITEM LIST'!A:A, "Code Not Found"))</f>
        <v>NAX108</v>
      </c>
      <c r="E1686" s="199" t="s">
        <v>960</v>
      </c>
      <c r="F1686" s="31"/>
      <c r="G1686" s="195" t="s">
        <v>1211</v>
      </c>
      <c r="H1686" s="31">
        <v>0.5</v>
      </c>
      <c r="I1686" s="31" t="str">
        <f t="array" ref="I1686">IFERROR(XLOOKUP(D1686,'MASTER ITEM LIST'!A:A,'MASTER ITEM LIST'!D:D), "")</f>
        <v>LITER</v>
      </c>
      <c r="J1686" s="34">
        <f t="shared" si="2"/>
        <v>700</v>
      </c>
      <c r="K1686" s="196">
        <v>350.0</v>
      </c>
      <c r="L1686" s="70" t="s">
        <v>1212</v>
      </c>
    </row>
    <row r="1687" ht="22.5" customHeight="1">
      <c r="A1687" s="29">
        <v>46239.0</v>
      </c>
      <c r="B1687" s="31" t="s">
        <v>1870</v>
      </c>
      <c r="C1687" s="32" t="s">
        <v>1210</v>
      </c>
      <c r="D1687" s="198" t="str">
        <f t="array" ref="D1687">IF(E1687="", "", XLOOKUP(E1687, 'MASTER ITEM LIST'!B:B, 'MASTER ITEM LIST'!A:A, "Code Not Found"))</f>
        <v>SOB757</v>
      </c>
      <c r="E1687" s="199" t="s">
        <v>91</v>
      </c>
      <c r="F1687" s="31"/>
      <c r="G1687" s="195" t="s">
        <v>1211</v>
      </c>
      <c r="H1687" s="31">
        <v>0.25</v>
      </c>
      <c r="I1687" s="31" t="str">
        <f t="array" ref="I1687">IFERROR(XLOOKUP(D1687,'MASTER ITEM LIST'!A:A,'MASTER ITEM LIST'!D:D), "")</f>
        <v>GAL</v>
      </c>
      <c r="J1687" s="34">
        <f t="shared" si="2"/>
        <v>800</v>
      </c>
      <c r="K1687" s="196">
        <v>200.0</v>
      </c>
      <c r="L1687" s="70" t="s">
        <v>1212</v>
      </c>
    </row>
    <row r="1688" ht="22.5" customHeight="1">
      <c r="A1688" s="29">
        <v>46239.0</v>
      </c>
      <c r="B1688" s="31" t="s">
        <v>1870</v>
      </c>
      <c r="C1688" s="32" t="s">
        <v>1210</v>
      </c>
      <c r="D1688" s="198" t="str">
        <f t="array" ref="D1688">IF(E1688="", "", XLOOKUP(E1688, 'MASTER ITEM LIST'!B:B, 'MASTER ITEM LIST'!A:A, "Code Not Found"))</f>
        <v>CRO-MT3/4</v>
      </c>
      <c r="E1688" s="199" t="s">
        <v>1103</v>
      </c>
      <c r="F1688" s="31"/>
      <c r="G1688" s="195" t="s">
        <v>1211</v>
      </c>
      <c r="H1688" s="31">
        <v>4.0</v>
      </c>
      <c r="I1688" s="31" t="str">
        <f t="array" ref="I1688">IFERROR(XLOOKUP(D1688,'MASTER ITEM LIST'!A:A,'MASTER ITEM LIST'!D:D), "")</f>
        <v>PC/S</v>
      </c>
      <c r="J1688" s="34">
        <f t="shared" si="2"/>
        <v>35</v>
      </c>
      <c r="K1688" s="196">
        <v>140.0</v>
      </c>
      <c r="L1688" s="70" t="s">
        <v>1212</v>
      </c>
    </row>
    <row r="1689" ht="22.5" customHeight="1">
      <c r="A1689" s="29">
        <v>46239.0</v>
      </c>
      <c r="B1689" s="31" t="s">
        <v>1870</v>
      </c>
      <c r="C1689" s="32" t="s">
        <v>1210</v>
      </c>
      <c r="D1689" s="198" t="str">
        <f t="array" ref="D1689">IF(E1689="", "", XLOOKUP(E1689, 'MASTER ITEM LIST'!B:B, 'MASTER ITEM LIST'!A:A, "Code Not Found"))</f>
        <v>MSC</v>
      </c>
      <c r="E1689" s="199" t="s">
        <v>518</v>
      </c>
      <c r="F1689" s="31"/>
      <c r="G1689" s="195" t="s">
        <v>1211</v>
      </c>
      <c r="H1689" s="31">
        <v>1.0</v>
      </c>
      <c r="I1689" s="31" t="str">
        <f t="array" ref="I1689">IFERROR(XLOOKUP(D1689,'MASTER ITEM LIST'!A:A,'MASTER ITEM LIST'!D:D), "")</f>
        <v>KG</v>
      </c>
      <c r="J1689" s="34">
        <f t="shared" si="2"/>
        <v>100</v>
      </c>
      <c r="K1689" s="196">
        <v>100.0</v>
      </c>
      <c r="L1689" s="70" t="s">
        <v>1212</v>
      </c>
    </row>
    <row r="1690" ht="22.5" customHeight="1">
      <c r="A1690" s="29">
        <v>46239.0</v>
      </c>
      <c r="B1690" s="31" t="s">
        <v>1871</v>
      </c>
      <c r="C1690" s="32" t="s">
        <v>1210</v>
      </c>
      <c r="D1690" s="198" t="str">
        <f t="array" ref="D1690">IF(E1690="", "", XLOOKUP(E1690, 'MASTER ITEM LIST'!B:B, 'MASTER ITEM LIST'!A:A, "Code Not Found"))</f>
        <v>PREMILAMIX-1L</v>
      </c>
      <c r="E1690" s="199" t="s">
        <v>1151</v>
      </c>
      <c r="F1690" s="31" t="s">
        <v>1872</v>
      </c>
      <c r="G1690" s="195" t="s">
        <v>1211</v>
      </c>
      <c r="H1690" s="31">
        <v>0.5</v>
      </c>
      <c r="I1690" s="31" t="str">
        <f t="array" ref="I1690">IFERROR(XLOOKUP(D1690,'MASTER ITEM LIST'!A:A,'MASTER ITEM LIST'!D:D), "")</f>
        <v>LITER</v>
      </c>
      <c r="J1690" s="34">
        <f t="shared" si="2"/>
        <v>2900</v>
      </c>
      <c r="K1690" s="196">
        <v>1450.0</v>
      </c>
      <c r="L1690" s="70" t="s">
        <v>1212</v>
      </c>
    </row>
    <row r="1691" ht="22.5" customHeight="1">
      <c r="A1691" s="29">
        <v>46239.0</v>
      </c>
      <c r="B1691" s="31" t="s">
        <v>1871</v>
      </c>
      <c r="C1691" s="32" t="s">
        <v>1210</v>
      </c>
      <c r="D1691" s="198" t="str">
        <f t="array" ref="D1691">IF(E1691="", "", XLOOKUP(E1691, 'MASTER ITEM LIST'!B:B, 'MASTER ITEM LIST'!A:A, "Code Not Found"))</f>
        <v>NAX108</v>
      </c>
      <c r="E1691" s="199" t="s">
        <v>960</v>
      </c>
      <c r="F1691" s="31"/>
      <c r="G1691" s="195" t="s">
        <v>1211</v>
      </c>
      <c r="H1691" s="31">
        <v>1.0</v>
      </c>
      <c r="I1691" s="31" t="str">
        <f t="array" ref="I1691">IFERROR(XLOOKUP(D1691,'MASTER ITEM LIST'!A:A,'MASTER ITEM LIST'!D:D), "")</f>
        <v>LITER</v>
      </c>
      <c r="J1691" s="34">
        <f t="shared" si="2"/>
        <v>700</v>
      </c>
      <c r="K1691" s="196">
        <v>700.0</v>
      </c>
      <c r="L1691" s="70" t="s">
        <v>1212</v>
      </c>
    </row>
    <row r="1692" ht="22.5" customHeight="1">
      <c r="A1692" s="29">
        <v>46239.0</v>
      </c>
      <c r="B1692" s="31" t="s">
        <v>1871</v>
      </c>
      <c r="C1692" s="32" t="s">
        <v>1210</v>
      </c>
      <c r="D1692" s="198" t="str">
        <f t="array" ref="D1692">IF(E1692="", "", XLOOKUP(E1692, 'MASTER ITEM LIST'!B:B, 'MASTER ITEM LIST'!A:A, "Code Not Found"))</f>
        <v>PRI3634</v>
      </c>
      <c r="E1692" s="199" t="s">
        <v>956</v>
      </c>
      <c r="F1692" s="31"/>
      <c r="G1692" s="195" t="s">
        <v>1211</v>
      </c>
      <c r="H1692" s="31">
        <v>0.5</v>
      </c>
      <c r="I1692" s="31" t="str">
        <f t="array" ref="I1692">IFERROR(XLOOKUP(D1692,'MASTER ITEM LIST'!A:A,'MASTER ITEM LIST'!D:D), "")</f>
        <v>LITER</v>
      </c>
      <c r="J1692" s="34">
        <f t="shared" si="2"/>
        <v>600</v>
      </c>
      <c r="K1692" s="196">
        <v>300.0</v>
      </c>
      <c r="L1692" s="70" t="s">
        <v>1212</v>
      </c>
    </row>
    <row r="1693" ht="22.5" customHeight="1">
      <c r="A1693" s="29">
        <v>46239.0</v>
      </c>
      <c r="B1693" s="31" t="s">
        <v>1871</v>
      </c>
      <c r="C1693" s="32" t="s">
        <v>1210</v>
      </c>
      <c r="D1693" s="198" t="str">
        <f t="array" ref="D1693">IF(E1693="", "", XLOOKUP(E1693, 'MASTER ITEM LIST'!B:B, 'MASTER ITEM LIST'!A:A, "Code Not Found"))</f>
        <v>SOB757</v>
      </c>
      <c r="E1693" s="199" t="s">
        <v>91</v>
      </c>
      <c r="F1693" s="31"/>
      <c r="G1693" s="195" t="s">
        <v>1211</v>
      </c>
      <c r="H1693" s="31">
        <v>0.5</v>
      </c>
      <c r="I1693" s="31" t="str">
        <f t="array" ref="I1693">IFERROR(XLOOKUP(D1693,'MASTER ITEM LIST'!A:A,'MASTER ITEM LIST'!D:D), "")</f>
        <v>GAL</v>
      </c>
      <c r="J1693" s="34">
        <f t="shared" si="2"/>
        <v>800</v>
      </c>
      <c r="K1693" s="196">
        <v>400.0</v>
      </c>
      <c r="L1693" s="70" t="s">
        <v>1212</v>
      </c>
    </row>
    <row r="1694" ht="22.5" customHeight="1">
      <c r="A1694" s="29">
        <v>46239.0</v>
      </c>
      <c r="B1694" s="31" t="s">
        <v>1871</v>
      </c>
      <c r="C1694" s="32" t="s">
        <v>1210</v>
      </c>
      <c r="D1694" s="198" t="str">
        <f t="array" ref="D1694">IF(E1694="", "", XLOOKUP(E1694, 'MASTER ITEM LIST'!B:B, 'MASTER ITEM LIST'!A:A, "Code Not Found"))</f>
        <v>CRO-MT3/4</v>
      </c>
      <c r="E1694" s="199" t="s">
        <v>1103</v>
      </c>
      <c r="F1694" s="31"/>
      <c r="G1694" s="195" t="s">
        <v>1211</v>
      </c>
      <c r="H1694" s="31">
        <v>4.0</v>
      </c>
      <c r="I1694" s="31" t="str">
        <f t="array" ref="I1694">IFERROR(XLOOKUP(D1694,'MASTER ITEM LIST'!A:A,'MASTER ITEM LIST'!D:D), "")</f>
        <v>PC/S</v>
      </c>
      <c r="J1694" s="34">
        <f t="shared" si="2"/>
        <v>35</v>
      </c>
      <c r="K1694" s="196">
        <v>140.0</v>
      </c>
      <c r="L1694" s="70" t="s">
        <v>1212</v>
      </c>
    </row>
    <row r="1695" ht="22.5" customHeight="1">
      <c r="A1695" s="29">
        <v>46239.0</v>
      </c>
      <c r="B1695" s="31" t="s">
        <v>1871</v>
      </c>
      <c r="C1695" s="32" t="s">
        <v>1210</v>
      </c>
      <c r="D1695" s="198" t="str">
        <f t="array" ref="D1695">IF(E1695="", "", XLOOKUP(E1695, 'MASTER ITEM LIST'!B:B, 'MASTER ITEM LIST'!A:A, "Code Not Found"))</f>
        <v>EA120</v>
      </c>
      <c r="E1695" s="199" t="s">
        <v>1048</v>
      </c>
      <c r="F1695" s="31"/>
      <c r="G1695" s="195" t="s">
        <v>1211</v>
      </c>
      <c r="H1695" s="31">
        <v>5.0</v>
      </c>
      <c r="I1695" s="31" t="str">
        <f t="array" ref="I1695">IFERROR(XLOOKUP(D1695,'MASTER ITEM LIST'!A:A,'MASTER ITEM LIST'!D:D), "")</f>
        <v>PC/S</v>
      </c>
      <c r="J1695" s="34">
        <f t="shared" si="2"/>
        <v>25</v>
      </c>
      <c r="K1695" s="196">
        <v>125.0</v>
      </c>
      <c r="L1695" s="70" t="s">
        <v>1212</v>
      </c>
    </row>
    <row r="1696" ht="22.5" customHeight="1">
      <c r="A1696" s="29">
        <v>46239.0</v>
      </c>
      <c r="B1696" s="31" t="s">
        <v>1871</v>
      </c>
      <c r="C1696" s="32" t="s">
        <v>1210</v>
      </c>
      <c r="D1696" s="198" t="str">
        <f t="array" ref="D1696">IF(E1696="", "", XLOOKUP(E1696, 'MASTER ITEM LIST'!B:B, 'MASTER ITEM LIST'!A:A, "Code Not Found"))</f>
        <v>EA320</v>
      </c>
      <c r="E1696" s="199" t="s">
        <v>1050</v>
      </c>
      <c r="F1696" s="31"/>
      <c r="G1696" s="195" t="s">
        <v>1211</v>
      </c>
      <c r="H1696" s="31">
        <v>3.0</v>
      </c>
      <c r="I1696" s="31" t="str">
        <f t="array" ref="I1696">IFERROR(XLOOKUP(D1696,'MASTER ITEM LIST'!A:A,'MASTER ITEM LIST'!D:D), "")</f>
        <v>PCS</v>
      </c>
      <c r="J1696" s="34">
        <f t="shared" si="2"/>
        <v>25</v>
      </c>
      <c r="K1696" s="196">
        <v>75.0</v>
      </c>
      <c r="L1696" s="70" t="s">
        <v>1212</v>
      </c>
    </row>
    <row r="1697" ht="22.5" customHeight="1">
      <c r="A1697" s="29">
        <v>46239.0</v>
      </c>
      <c r="B1697" s="31" t="s">
        <v>1871</v>
      </c>
      <c r="C1697" s="32" t="s">
        <v>1210</v>
      </c>
      <c r="D1697" s="198" t="str">
        <f t="array" ref="D1697">IF(E1697="", "", XLOOKUP(E1697, 'MASTER ITEM LIST'!B:B, 'MASTER ITEM LIST'!A:A, "Code Not Found"))</f>
        <v>EA1200</v>
      </c>
      <c r="E1697" s="199" t="s">
        <v>1047</v>
      </c>
      <c r="F1697" s="31"/>
      <c r="G1697" s="195" t="s">
        <v>1211</v>
      </c>
      <c r="H1697" s="31">
        <v>3.0</v>
      </c>
      <c r="I1697" s="31" t="str">
        <f t="array" ref="I1697">IFERROR(XLOOKUP(D1697,'MASTER ITEM LIST'!A:A,'MASTER ITEM LIST'!D:D), "")</f>
        <v>PC/S</v>
      </c>
      <c r="J1697" s="34">
        <f t="shared" si="2"/>
        <v>25</v>
      </c>
      <c r="K1697" s="196">
        <v>75.0</v>
      </c>
      <c r="L1697" s="70" t="s">
        <v>1212</v>
      </c>
    </row>
    <row r="1698" ht="22.5" customHeight="1">
      <c r="A1698" s="29">
        <v>46239.0</v>
      </c>
      <c r="B1698" s="31" t="s">
        <v>1580</v>
      </c>
      <c r="C1698" s="32" t="s">
        <v>1581</v>
      </c>
      <c r="D1698" s="198" t="str">
        <f t="array" ref="D1698">IF(E1698="", "", XLOOKUP(E1698, 'MASTER ITEM LIST'!B:B, 'MASTER ITEM LIST'!A:A, "Code Not Found"))</f>
        <v>SOB757</v>
      </c>
      <c r="E1698" s="199" t="s">
        <v>91</v>
      </c>
      <c r="F1698" s="31"/>
      <c r="G1698" s="195" t="s">
        <v>1376</v>
      </c>
      <c r="H1698" s="31">
        <v>1.0</v>
      </c>
      <c r="I1698" s="31" t="str">
        <f t="array" ref="I1698">IFERROR(XLOOKUP(D1698,'MASTER ITEM LIST'!A:A,'MASTER ITEM LIST'!D:D), "")</f>
        <v>GAL</v>
      </c>
      <c r="J1698" s="34">
        <f t="shared" si="2"/>
        <v>750</v>
      </c>
      <c r="K1698" s="196">
        <v>750.0</v>
      </c>
      <c r="L1698" s="70" t="s">
        <v>1376</v>
      </c>
    </row>
    <row r="1699" ht="22.5" customHeight="1">
      <c r="A1699" s="29">
        <v>46239.0</v>
      </c>
      <c r="B1699" s="31" t="s">
        <v>1580</v>
      </c>
      <c r="C1699" s="32" t="s">
        <v>1581</v>
      </c>
      <c r="D1699" s="198" t="str">
        <f t="array" ref="D1699">IF(E1699="", "", XLOOKUP(E1699, 'MASTER ITEM LIST'!B:B, 'MASTER ITEM LIST'!A:A, "Code Not Found"))</f>
        <v>2B-#7</v>
      </c>
      <c r="E1699" s="199" t="s">
        <v>1145</v>
      </c>
      <c r="F1699" s="31"/>
      <c r="G1699" s="195" t="s">
        <v>1376</v>
      </c>
      <c r="H1699" s="31">
        <v>2.0</v>
      </c>
      <c r="I1699" s="31" t="str">
        <f t="array" ref="I1699">IFERROR(XLOOKUP(D1699,'MASTER ITEM LIST'!A:A,'MASTER ITEM LIST'!D:D), "")</f>
        <v>PC/S</v>
      </c>
      <c r="J1699" s="34">
        <f t="shared" si="2"/>
        <v>85</v>
      </c>
      <c r="K1699" s="196">
        <v>170.0</v>
      </c>
      <c r="L1699" s="70" t="s">
        <v>1376</v>
      </c>
    </row>
    <row r="1700" ht="22.5" customHeight="1">
      <c r="A1700" s="29">
        <v>46239.0</v>
      </c>
      <c r="B1700" s="31" t="s">
        <v>1580</v>
      </c>
      <c r="C1700" s="32" t="s">
        <v>1581</v>
      </c>
      <c r="D1700" s="198" t="str">
        <f t="array" ref="D1700">IF(E1700="", "", XLOOKUP(E1700, 'MASTER ITEM LIST'!B:B, 'MASTER ITEM LIST'!A:A, "Code Not Found"))</f>
        <v>NXE1988</v>
      </c>
      <c r="E1700" s="199" t="s">
        <v>955</v>
      </c>
      <c r="F1700" s="31"/>
      <c r="G1700" s="195" t="s">
        <v>1376</v>
      </c>
      <c r="H1700" s="31">
        <v>1.0</v>
      </c>
      <c r="I1700" s="31" t="str">
        <f t="array" ref="I1700">IFERROR(XLOOKUP(D1700,'MASTER ITEM LIST'!A:A,'MASTER ITEM LIST'!D:D), "")</f>
        <v>GAL</v>
      </c>
      <c r="J1700" s="34">
        <f t="shared" si="2"/>
        <v>1550</v>
      </c>
      <c r="K1700" s="196">
        <v>1550.0</v>
      </c>
      <c r="L1700" s="70" t="s">
        <v>1376</v>
      </c>
    </row>
    <row r="1701" ht="22.5" customHeight="1">
      <c r="A1701" s="29">
        <v>46239.0</v>
      </c>
      <c r="B1701" s="31" t="s">
        <v>1580</v>
      </c>
      <c r="C1701" s="32" t="s">
        <v>1581</v>
      </c>
      <c r="D1701" s="198" t="str">
        <f t="array" ref="D1701">IF(E1701="", "", XLOOKUP(E1701, 'MASTER ITEM LIST'!B:B, 'MASTER ITEM LIST'!A:A, "Code Not Found"))</f>
        <v>TRAY</v>
      </c>
      <c r="E1701" s="199" t="s">
        <v>506</v>
      </c>
      <c r="F1701" s="31"/>
      <c r="G1701" s="195" t="s">
        <v>1376</v>
      </c>
      <c r="H1701" s="31">
        <v>1.0</v>
      </c>
      <c r="I1701" s="31" t="str">
        <f t="array" ref="I1701">IFERROR(XLOOKUP(D1701,'MASTER ITEM LIST'!A:A,'MASTER ITEM LIST'!D:D), "")</f>
        <v>PC/S</v>
      </c>
      <c r="J1701" s="34">
        <f t="shared" si="2"/>
        <v>80</v>
      </c>
      <c r="K1701" s="196">
        <v>80.0</v>
      </c>
      <c r="L1701" s="70" t="s">
        <v>1376</v>
      </c>
    </row>
    <row r="1702" ht="22.5" customHeight="1">
      <c r="A1702" s="29">
        <v>46240.0</v>
      </c>
      <c r="B1702" s="31" t="s">
        <v>1873</v>
      </c>
      <c r="C1702" s="32" t="s">
        <v>93</v>
      </c>
      <c r="D1702" s="198" t="str">
        <f t="array" ref="D1702">IF(E1702="", "", XLOOKUP(E1702, 'MASTER ITEM LIST'!B:B, 'MASTER ITEM LIST'!A:A, "Code Not Found"))</f>
        <v>EXTREMEMIX-1L</v>
      </c>
      <c r="E1702" s="199" t="s">
        <v>1164</v>
      </c>
      <c r="F1702" s="31"/>
      <c r="G1702" s="195" t="s">
        <v>1376</v>
      </c>
      <c r="H1702" s="31">
        <v>2.5</v>
      </c>
      <c r="I1702" s="31" t="str">
        <f t="array" ref="I1702">IFERROR(XLOOKUP(D1702,'MASTER ITEM LIST'!A:A,'MASTER ITEM LIST'!D:D), "")</f>
        <v>LITER</v>
      </c>
      <c r="J1702" s="34">
        <f t="shared" si="2"/>
        <v>750</v>
      </c>
      <c r="K1702" s="196">
        <v>1875.0</v>
      </c>
      <c r="L1702" s="70" t="s">
        <v>1376</v>
      </c>
    </row>
    <row r="1703" ht="22.5" customHeight="1">
      <c r="A1703" s="29">
        <v>46240.0</v>
      </c>
      <c r="B1703" s="31" t="s">
        <v>1873</v>
      </c>
      <c r="C1703" s="32" t="s">
        <v>93</v>
      </c>
      <c r="D1703" s="198" t="str">
        <f t="array" ref="D1703">IF(E1703="", "", XLOOKUP(E1703, 'MASTER ITEM LIST'!B:B, 'MASTER ITEM LIST'!A:A, "Code Not Found"))</f>
        <v>NAX108</v>
      </c>
      <c r="E1703" s="199" t="s">
        <v>960</v>
      </c>
      <c r="F1703" s="31"/>
      <c r="G1703" s="195" t="s">
        <v>1376</v>
      </c>
      <c r="H1703" s="31">
        <v>2.0</v>
      </c>
      <c r="I1703" s="31" t="str">
        <f t="array" ref="I1703">IFERROR(XLOOKUP(D1703,'MASTER ITEM LIST'!A:A,'MASTER ITEM LIST'!D:D), "")</f>
        <v>LITER</v>
      </c>
      <c r="J1703" s="34">
        <f t="shared" si="2"/>
        <v>680</v>
      </c>
      <c r="K1703" s="196">
        <v>1360.0</v>
      </c>
      <c r="L1703" s="70" t="s">
        <v>1376</v>
      </c>
    </row>
    <row r="1704" ht="22.5" customHeight="1">
      <c r="A1704" s="29">
        <v>46240.0</v>
      </c>
      <c r="B1704" s="31"/>
      <c r="C1704" s="32" t="s">
        <v>711</v>
      </c>
      <c r="D1704" s="198" t="str">
        <f t="array" ref="D1704">IF(E1704="", "", XLOOKUP(E1704, 'MASTER ITEM LIST'!B:B, 'MASTER ITEM LIST'!A:A, "Code Not Found"))</f>
        <v>UTMIX-1L</v>
      </c>
      <c r="E1704" s="199" t="s">
        <v>109</v>
      </c>
      <c r="F1704" s="31" t="s">
        <v>1874</v>
      </c>
      <c r="G1704" s="195" t="s">
        <v>34</v>
      </c>
      <c r="H1704" s="31">
        <v>1.5</v>
      </c>
      <c r="I1704" s="31" t="str">
        <f t="array" ref="I1704">IFERROR(XLOOKUP(D1704,'MASTER ITEM LIST'!A:A,'MASTER ITEM LIST'!D:D), "")</f>
        <v>LITER</v>
      </c>
      <c r="J1704" s="34">
        <f t="shared" si="2"/>
        <v>666.6666667</v>
      </c>
      <c r="K1704" s="196">
        <v>1000.0</v>
      </c>
      <c r="L1704" s="70" t="s">
        <v>42</v>
      </c>
    </row>
    <row r="1705" ht="22.5" customHeight="1">
      <c r="A1705" s="29">
        <v>46240.0</v>
      </c>
      <c r="B1705" s="31"/>
      <c r="C1705" s="32" t="s">
        <v>711</v>
      </c>
      <c r="D1705" s="198" t="str">
        <f t="array" ref="D1705">IF(E1705="", "", XLOOKUP(E1705, 'MASTER ITEM LIST'!B:B, 'MASTER ITEM LIST'!A:A, "Code Not Found"))</f>
        <v>UTMIX-1L</v>
      </c>
      <c r="E1705" s="199" t="s">
        <v>109</v>
      </c>
      <c r="F1705" s="31" t="s">
        <v>1760</v>
      </c>
      <c r="G1705" s="195" t="s">
        <v>34</v>
      </c>
      <c r="H1705" s="31">
        <v>0.5</v>
      </c>
      <c r="I1705" s="31" t="str">
        <f t="array" ref="I1705">IFERROR(XLOOKUP(D1705,'MASTER ITEM LIST'!A:A,'MASTER ITEM LIST'!D:D), "")</f>
        <v>LITER</v>
      </c>
      <c r="J1705" s="34">
        <f t="shared" si="2"/>
        <v>700</v>
      </c>
      <c r="K1705" s="196">
        <v>350.0</v>
      </c>
      <c r="L1705" s="70" t="s">
        <v>42</v>
      </c>
    </row>
    <row r="1706" ht="22.5" customHeight="1">
      <c r="A1706" s="29">
        <v>46240.0</v>
      </c>
      <c r="B1706" s="31"/>
      <c r="C1706" s="32" t="s">
        <v>711</v>
      </c>
      <c r="D1706" s="198" t="str">
        <f t="array" ref="D1706">IF(E1706="", "", XLOOKUP(E1706, 'MASTER ITEM LIST'!B:B, 'MASTER ITEM LIST'!A:A, "Code Not Found"))</f>
        <v>EXTREMEMIX-1L</v>
      </c>
      <c r="E1706" s="199" t="s">
        <v>1164</v>
      </c>
      <c r="F1706" s="31" t="s">
        <v>1875</v>
      </c>
      <c r="G1706" s="195" t="s">
        <v>34</v>
      </c>
      <c r="H1706" s="31">
        <v>1.0</v>
      </c>
      <c r="I1706" s="31" t="str">
        <f t="array" ref="I1706">IFERROR(XLOOKUP(D1706,'MASTER ITEM LIST'!A:A,'MASTER ITEM LIST'!D:D), "")</f>
        <v>LITER</v>
      </c>
      <c r="J1706" s="34">
        <f t="shared" si="2"/>
        <v>800</v>
      </c>
      <c r="K1706" s="196">
        <v>800.0</v>
      </c>
      <c r="L1706" s="70" t="s">
        <v>42</v>
      </c>
    </row>
    <row r="1707" ht="22.5" customHeight="1">
      <c r="A1707" s="29">
        <v>46240.0</v>
      </c>
      <c r="B1707" s="31" t="s">
        <v>1876</v>
      </c>
      <c r="C1707" s="32" t="s">
        <v>1240</v>
      </c>
      <c r="D1707" s="198" t="str">
        <f t="array" ref="D1707">IF(E1707="", "", XLOOKUP(E1707, 'MASTER ITEM LIST'!B:B, 'MASTER ITEM LIST'!A:A, "Code Not Found"))</f>
        <v>NAX108</v>
      </c>
      <c r="E1707" s="199" t="s">
        <v>960</v>
      </c>
      <c r="F1707" s="31"/>
      <c r="G1707" s="195" t="s">
        <v>1211</v>
      </c>
      <c r="H1707" s="31">
        <v>700.0</v>
      </c>
      <c r="I1707" s="31" t="str">
        <f t="array" ref="I1707">IFERROR(XLOOKUP(D1707,'MASTER ITEM LIST'!A:A,'MASTER ITEM LIST'!D:D), "")</f>
        <v>LITER</v>
      </c>
      <c r="J1707" s="34">
        <f t="shared" si="2"/>
        <v>1</v>
      </c>
      <c r="K1707" s="196">
        <v>700.0</v>
      </c>
      <c r="L1707" s="70" t="s">
        <v>1376</v>
      </c>
    </row>
    <row r="1708" ht="22.5" customHeight="1">
      <c r="A1708" s="29">
        <v>46240.0</v>
      </c>
      <c r="B1708" s="31" t="s">
        <v>1876</v>
      </c>
      <c r="C1708" s="32" t="s">
        <v>1240</v>
      </c>
      <c r="D1708" s="198" t="str">
        <f t="array" ref="D1708">IF(E1708="", "", XLOOKUP(E1708, 'MASTER ITEM LIST'!B:B, 'MASTER ITEM LIST'!A:A, "Code Not Found"))</f>
        <v>PREMILAMIX-1L</v>
      </c>
      <c r="E1708" s="199" t="s">
        <v>1151</v>
      </c>
      <c r="F1708" s="31" t="s">
        <v>1877</v>
      </c>
      <c r="G1708" s="195" t="s">
        <v>1211</v>
      </c>
      <c r="H1708" s="31">
        <v>1.0</v>
      </c>
      <c r="I1708" s="31" t="str">
        <f t="array" ref="I1708">IFERROR(XLOOKUP(D1708,'MASTER ITEM LIST'!A:A,'MASTER ITEM LIST'!D:D), "")</f>
        <v>LITER</v>
      </c>
      <c r="J1708" s="34">
        <f t="shared" si="2"/>
        <v>2600</v>
      </c>
      <c r="K1708" s="196">
        <v>2600.0</v>
      </c>
      <c r="L1708" s="70" t="s">
        <v>1376</v>
      </c>
    </row>
    <row r="1709" ht="22.5" customHeight="1">
      <c r="A1709" s="29">
        <v>46240.0</v>
      </c>
      <c r="B1709" s="31" t="s">
        <v>1876</v>
      </c>
      <c r="C1709" s="32" t="s">
        <v>1240</v>
      </c>
      <c r="D1709" s="198" t="str">
        <f t="array" ref="D1709">IF(E1709="", "", XLOOKUP(E1709, 'MASTER ITEM LIST'!B:B, 'MASTER ITEM LIST'!A:A, "Code Not Found"))</f>
        <v>PREMILAMIX-1L</v>
      </c>
      <c r="E1709" s="199" t="s">
        <v>1151</v>
      </c>
      <c r="F1709" s="31" t="s">
        <v>1878</v>
      </c>
      <c r="G1709" s="195" t="s">
        <v>1211</v>
      </c>
      <c r="H1709" s="31">
        <v>0.25</v>
      </c>
      <c r="I1709" s="31" t="str">
        <f t="array" ref="I1709">IFERROR(XLOOKUP(D1709,'MASTER ITEM LIST'!A:A,'MASTER ITEM LIST'!D:D), "")</f>
        <v>LITER</v>
      </c>
      <c r="J1709" s="34">
        <f t="shared" si="2"/>
        <v>3000</v>
      </c>
      <c r="K1709" s="196">
        <v>750.0</v>
      </c>
      <c r="L1709" s="70" t="s">
        <v>1376</v>
      </c>
    </row>
    <row r="1710" ht="22.5" customHeight="1">
      <c r="A1710" s="29">
        <v>46240.0</v>
      </c>
      <c r="B1710" s="31" t="s">
        <v>1582</v>
      </c>
      <c r="C1710" s="32" t="s">
        <v>1583</v>
      </c>
      <c r="D1710" s="198" t="str">
        <f t="array" ref="D1710">IF(E1710="", "", XLOOKUP(E1710, 'MASTER ITEM LIST'!B:B, 'MASTER ITEM LIST'!A:A, "Code Not Found"))</f>
        <v>MEG3100-1L</v>
      </c>
      <c r="E1710" s="199" t="s">
        <v>970</v>
      </c>
      <c r="F1710" s="31"/>
      <c r="G1710" s="195" t="s">
        <v>34</v>
      </c>
      <c r="H1710" s="31">
        <v>1.0</v>
      </c>
      <c r="I1710" s="31" t="str">
        <f t="array" ref="I1710">IFERROR(XLOOKUP(D1710,'MASTER ITEM LIST'!A:A,'MASTER ITEM LIST'!D:D), "")</f>
        <v>LITER</v>
      </c>
      <c r="J1710" s="34">
        <f t="shared" si="2"/>
        <v>280</v>
      </c>
      <c r="K1710" s="196">
        <v>280.0</v>
      </c>
      <c r="L1710" s="70" t="s">
        <v>42</v>
      </c>
    </row>
    <row r="1711" ht="22.5" customHeight="1">
      <c r="A1711" s="29">
        <v>46240.0</v>
      </c>
      <c r="B1711" s="31" t="s">
        <v>1582</v>
      </c>
      <c r="C1711" s="32" t="s">
        <v>1583</v>
      </c>
      <c r="D1711" s="198" t="str">
        <f t="array" ref="D1711">IF(E1711="", "", XLOOKUP(E1711, 'MASTER ITEM LIST'!B:B, 'MASTER ITEM LIST'!A:A, "Code Not Found"))</f>
        <v>AEMIX-4L</v>
      </c>
      <c r="E1711" s="199" t="s">
        <v>1067</v>
      </c>
      <c r="F1711" s="31" t="s">
        <v>1879</v>
      </c>
      <c r="G1711" s="195" t="s">
        <v>34</v>
      </c>
      <c r="H1711" s="31">
        <v>1.0</v>
      </c>
      <c r="I1711" s="31" t="str">
        <f t="array" ref="I1711">IFERROR(XLOOKUP(D1711,'MASTER ITEM LIST'!A:A,'MASTER ITEM LIST'!D:D), "")</f>
        <v>GAL</v>
      </c>
      <c r="J1711" s="34">
        <f t="shared" si="2"/>
        <v>1200</v>
      </c>
      <c r="K1711" s="196">
        <v>1200.0</v>
      </c>
      <c r="L1711" s="70" t="s">
        <v>42</v>
      </c>
    </row>
    <row r="1712" ht="22.5" customHeight="1">
      <c r="A1712" s="29">
        <v>46240.0</v>
      </c>
      <c r="B1712" s="31" t="s">
        <v>1582</v>
      </c>
      <c r="C1712" s="32" t="s">
        <v>1583</v>
      </c>
      <c r="D1712" s="198" t="str">
        <f t="array" ref="D1712">IF(E1712="", "", XLOOKUP(E1712, 'MASTER ITEM LIST'!B:B, 'MASTER ITEM LIST'!A:A, "Code Not Found"))</f>
        <v>EA120</v>
      </c>
      <c r="E1712" s="199" t="s">
        <v>1048</v>
      </c>
      <c r="F1712" s="31"/>
      <c r="G1712" s="195" t="s">
        <v>34</v>
      </c>
      <c r="H1712" s="31">
        <v>3.0</v>
      </c>
      <c r="I1712" s="31" t="str">
        <f t="array" ref="I1712">IFERROR(XLOOKUP(D1712,'MASTER ITEM LIST'!A:A,'MASTER ITEM LIST'!D:D), "")</f>
        <v>PC/S</v>
      </c>
      <c r="J1712" s="34">
        <f t="shared" si="2"/>
        <v>25</v>
      </c>
      <c r="K1712" s="196">
        <v>75.0</v>
      </c>
      <c r="L1712" s="70" t="s">
        <v>42</v>
      </c>
    </row>
    <row r="1713" ht="22.5" customHeight="1">
      <c r="A1713" s="29">
        <v>46240.0</v>
      </c>
      <c r="B1713" s="31" t="s">
        <v>1582</v>
      </c>
      <c r="C1713" s="32" t="s">
        <v>1583</v>
      </c>
      <c r="D1713" s="198" t="str">
        <f t="array" ref="D1713">IF(E1713="", "", XLOOKUP(E1713, 'MASTER ITEM LIST'!B:B, 'MASTER ITEM LIST'!A:A, "Code Not Found"))</f>
        <v>EA240</v>
      </c>
      <c r="E1713" s="199" t="s">
        <v>1044</v>
      </c>
      <c r="F1713" s="31"/>
      <c r="G1713" s="195" t="s">
        <v>34</v>
      </c>
      <c r="H1713" s="31">
        <v>2.0</v>
      </c>
      <c r="I1713" s="31" t="str">
        <f t="array" ref="I1713">IFERROR(XLOOKUP(D1713,'MASTER ITEM LIST'!A:A,'MASTER ITEM LIST'!D:D), "")</f>
        <v>PC/S</v>
      </c>
      <c r="J1713" s="34">
        <f t="shared" si="2"/>
        <v>25</v>
      </c>
      <c r="K1713" s="196">
        <v>50.0</v>
      </c>
      <c r="L1713" s="70" t="s">
        <v>42</v>
      </c>
    </row>
    <row r="1714" ht="22.5" customHeight="1">
      <c r="A1714" s="29">
        <v>46240.0</v>
      </c>
      <c r="B1714" s="31" t="s">
        <v>1582</v>
      </c>
      <c r="C1714" s="32" t="s">
        <v>1583</v>
      </c>
      <c r="D1714" s="198" t="str">
        <f t="array" ref="D1714">IF(E1714="", "", XLOOKUP(E1714, 'MASTER ITEM LIST'!B:B, 'MASTER ITEM LIST'!A:A, "Code Not Found"))</f>
        <v>TRAY</v>
      </c>
      <c r="E1714" s="199" t="s">
        <v>506</v>
      </c>
      <c r="F1714" s="31"/>
      <c r="G1714" s="195" t="s">
        <v>34</v>
      </c>
      <c r="H1714" s="31">
        <v>1.0</v>
      </c>
      <c r="I1714" s="31" t="str">
        <f t="array" ref="I1714">IFERROR(XLOOKUP(D1714,'MASTER ITEM LIST'!A:A,'MASTER ITEM LIST'!D:D), "")</f>
        <v>PC/S</v>
      </c>
      <c r="J1714" s="34">
        <f t="shared" si="2"/>
        <v>80</v>
      </c>
      <c r="K1714" s="196">
        <v>80.0</v>
      </c>
      <c r="L1714" s="70" t="s">
        <v>42</v>
      </c>
    </row>
    <row r="1715" ht="22.5" customHeight="1">
      <c r="A1715" s="29">
        <v>46240.0</v>
      </c>
      <c r="B1715" s="31" t="s">
        <v>1582</v>
      </c>
      <c r="C1715" s="32" t="s">
        <v>1583</v>
      </c>
      <c r="D1715" s="198" t="str">
        <f t="array" ref="D1715">IF(E1715="", "", XLOOKUP(E1715, 'MASTER ITEM LIST'!B:B, 'MASTER ITEM LIST'!A:A, "Code Not Found"))</f>
        <v>2B-#4</v>
      </c>
      <c r="E1715" s="199" t="s">
        <v>1146</v>
      </c>
      <c r="F1715" s="31"/>
      <c r="G1715" s="195" t="s">
        <v>34</v>
      </c>
      <c r="H1715" s="31">
        <v>1.0</v>
      </c>
      <c r="I1715" s="31" t="str">
        <f t="array" ref="I1715">IFERROR(XLOOKUP(D1715,'MASTER ITEM LIST'!A:A,'MASTER ITEM LIST'!D:D), "")</f>
        <v>PC/S</v>
      </c>
      <c r="J1715" s="34">
        <f t="shared" si="2"/>
        <v>65</v>
      </c>
      <c r="K1715" s="196">
        <v>65.0</v>
      </c>
      <c r="L1715" s="70" t="s">
        <v>42</v>
      </c>
    </row>
    <row r="1716" ht="22.5" customHeight="1">
      <c r="A1716" s="29">
        <v>46240.0</v>
      </c>
      <c r="B1716" s="31" t="s">
        <v>1582</v>
      </c>
      <c r="C1716" s="32" t="s">
        <v>1583</v>
      </c>
      <c r="D1716" s="198" t="str">
        <f t="array" ref="D1716">IF(E1716="", "", XLOOKUP(E1716, 'MASTER ITEM LIST'!B:B, 'MASTER ITEM LIST'!A:A, "Code Not Found"))</f>
        <v>2B-#7</v>
      </c>
      <c r="E1716" s="199" t="s">
        <v>1145</v>
      </c>
      <c r="F1716" s="31"/>
      <c r="G1716" s="195" t="s">
        <v>34</v>
      </c>
      <c r="H1716" s="31">
        <v>1.0</v>
      </c>
      <c r="I1716" s="31" t="str">
        <f t="array" ref="I1716">IFERROR(XLOOKUP(D1716,'MASTER ITEM LIST'!A:A,'MASTER ITEM LIST'!D:D), "")</f>
        <v>PC/S</v>
      </c>
      <c r="J1716" s="34">
        <f t="shared" si="2"/>
        <v>85</v>
      </c>
      <c r="K1716" s="196">
        <v>85.0</v>
      </c>
      <c r="L1716" s="70" t="s">
        <v>42</v>
      </c>
    </row>
    <row r="1717" ht="22.5" customHeight="1">
      <c r="A1717" s="29">
        <v>46241.0</v>
      </c>
      <c r="B1717" s="31" t="s">
        <v>1880</v>
      </c>
      <c r="C1717" s="32" t="s">
        <v>1240</v>
      </c>
      <c r="D1717" s="198" t="str">
        <f t="array" ref="D1717">IF(E1717="", "", XLOOKUP(E1717, 'MASTER ITEM LIST'!B:B, 'MASTER ITEM LIST'!A:A, "Code Not Found"))</f>
        <v>NAX108</v>
      </c>
      <c r="E1717" s="199" t="s">
        <v>960</v>
      </c>
      <c r="F1717" s="31"/>
      <c r="G1717" s="195" t="s">
        <v>34</v>
      </c>
      <c r="H1717" s="31">
        <v>2.0</v>
      </c>
      <c r="I1717" s="31" t="str">
        <f t="array" ref="I1717">IFERROR(XLOOKUP(D1717,'MASTER ITEM LIST'!A:A,'MASTER ITEM LIST'!D:D), "")</f>
        <v>LITER</v>
      </c>
      <c r="J1717" s="34">
        <f t="shared" si="2"/>
        <v>700</v>
      </c>
      <c r="K1717" s="196">
        <v>1400.0</v>
      </c>
      <c r="L1717" s="70" t="s">
        <v>42</v>
      </c>
    </row>
    <row r="1718" ht="22.5" customHeight="1">
      <c r="A1718" s="29">
        <v>46241.0</v>
      </c>
      <c r="B1718" s="31" t="s">
        <v>1881</v>
      </c>
      <c r="C1718" s="32" t="s">
        <v>1240</v>
      </c>
      <c r="D1718" s="198" t="str">
        <f t="array" ref="D1718">IF(E1718="", "", XLOOKUP(E1718, 'MASTER ITEM LIST'!B:B, 'MASTER ITEM LIST'!A:A, "Code Not Found"))</f>
        <v>NAX108</v>
      </c>
      <c r="E1718" s="199" t="s">
        <v>960</v>
      </c>
      <c r="F1718" s="31"/>
      <c r="G1718" s="195" t="s">
        <v>34</v>
      </c>
      <c r="H1718" s="31">
        <v>1.0</v>
      </c>
      <c r="I1718" s="31" t="str">
        <f t="array" ref="I1718">IFERROR(XLOOKUP(D1718,'MASTER ITEM LIST'!A:A,'MASTER ITEM LIST'!D:D), "")</f>
        <v>LITER</v>
      </c>
      <c r="J1718" s="34">
        <f t="shared" si="2"/>
        <v>700</v>
      </c>
      <c r="K1718" s="196">
        <v>700.0</v>
      </c>
      <c r="L1718" s="70" t="s">
        <v>42</v>
      </c>
    </row>
    <row r="1719" ht="22.5" customHeight="1">
      <c r="A1719" s="29">
        <v>46241.0</v>
      </c>
      <c r="B1719" s="31" t="s">
        <v>1882</v>
      </c>
      <c r="C1719" s="32" t="s">
        <v>1215</v>
      </c>
      <c r="D1719" s="198" t="str">
        <f t="array" ref="D1719">IF(E1719="", "", XLOOKUP(E1719, 'MASTER ITEM LIST'!B:B, 'MASTER ITEM LIST'!A:A, "Code Not Found"))</f>
        <v>PREMILAMIX-1L</v>
      </c>
      <c r="E1719" s="199" t="s">
        <v>1151</v>
      </c>
      <c r="F1719" s="31" t="s">
        <v>1883</v>
      </c>
      <c r="G1719" s="195" t="s">
        <v>1211</v>
      </c>
      <c r="H1719" s="31">
        <v>0.25</v>
      </c>
      <c r="I1719" s="31" t="str">
        <f t="array" ref="I1719">IFERROR(XLOOKUP(D1719,'MASTER ITEM LIST'!A:A,'MASTER ITEM LIST'!D:D), "")</f>
        <v>LITER</v>
      </c>
      <c r="J1719" s="34">
        <f t="shared" si="2"/>
        <v>2880</v>
      </c>
      <c r="K1719" s="196">
        <v>720.0</v>
      </c>
      <c r="L1719" s="70" t="s">
        <v>1217</v>
      </c>
    </row>
    <row r="1720" ht="22.5" customHeight="1">
      <c r="A1720" s="29">
        <v>46241.0</v>
      </c>
      <c r="B1720" s="31" t="s">
        <v>1882</v>
      </c>
      <c r="C1720" s="32" t="s">
        <v>1215</v>
      </c>
      <c r="D1720" s="198" t="str">
        <f t="array" ref="D1720">IF(E1720="", "", XLOOKUP(E1720, 'MASTER ITEM LIST'!B:B, 'MASTER ITEM LIST'!A:A, "Code Not Found"))</f>
        <v>PREMILAMIX-1L</v>
      </c>
      <c r="E1720" s="199" t="s">
        <v>1151</v>
      </c>
      <c r="F1720" s="31" t="s">
        <v>1884</v>
      </c>
      <c r="G1720" s="195" t="s">
        <v>1211</v>
      </c>
      <c r="H1720" s="31">
        <v>0.5</v>
      </c>
      <c r="I1720" s="31" t="str">
        <f t="array" ref="I1720">IFERROR(XLOOKUP(D1720,'MASTER ITEM LIST'!A:A,'MASTER ITEM LIST'!D:D), "")</f>
        <v>LITER</v>
      </c>
      <c r="J1720" s="34">
        <f t="shared" si="2"/>
        <v>2900</v>
      </c>
      <c r="K1720" s="196">
        <v>1450.0</v>
      </c>
      <c r="L1720" s="70" t="s">
        <v>1217</v>
      </c>
    </row>
    <row r="1721" ht="22.5" customHeight="1">
      <c r="A1721" s="29">
        <v>46241.0</v>
      </c>
      <c r="B1721" s="31" t="s">
        <v>1885</v>
      </c>
      <c r="C1721" s="32" t="s">
        <v>1559</v>
      </c>
      <c r="D1721" s="198" t="str">
        <f t="array" ref="D1721">IF(E1721="", "", XLOOKUP(E1721, 'MASTER ITEM LIST'!B:B, 'MASTER ITEM LIST'!A:A, "Code Not Found"))</f>
        <v>PLQDRB-4L</v>
      </c>
      <c r="E1721" s="199" t="s">
        <v>467</v>
      </c>
      <c r="F1721" s="31"/>
      <c r="G1721" s="195" t="s">
        <v>34</v>
      </c>
      <c r="H1721" s="31">
        <v>1.0</v>
      </c>
      <c r="I1721" s="31" t="str">
        <f t="array" ref="I1721">IFERROR(XLOOKUP(D1721,'MASTER ITEM LIST'!A:A,'MASTER ITEM LIST'!D:D), "")</f>
        <v>GAL</v>
      </c>
      <c r="J1721" s="34">
        <f t="shared" si="2"/>
        <v>930</v>
      </c>
      <c r="K1721" s="196">
        <v>930.0</v>
      </c>
      <c r="L1721" s="70" t="s">
        <v>42</v>
      </c>
    </row>
    <row r="1722" ht="22.5" customHeight="1">
      <c r="A1722" s="29">
        <v>46241.0</v>
      </c>
      <c r="B1722" s="31" t="s">
        <v>1584</v>
      </c>
      <c r="C1722" s="32" t="s">
        <v>1585</v>
      </c>
      <c r="D1722" s="198" t="str">
        <f t="array" ref="D1722">IF(E1722="", "", XLOOKUP(E1722, 'MASTER ITEM LIST'!B:B, 'MASTER ITEM LIST'!A:A, "Code Not Found"))</f>
        <v>VSEAL</v>
      </c>
      <c r="E1722" s="199" t="s">
        <v>162</v>
      </c>
      <c r="F1722" s="31"/>
      <c r="G1722" s="195" t="s">
        <v>34</v>
      </c>
      <c r="H1722" s="31">
        <v>1.0</v>
      </c>
      <c r="I1722" s="31" t="str">
        <f t="array" ref="I1722">IFERROR(XLOOKUP(D1722,'MASTER ITEM LIST'!A:A,'MASTER ITEM LIST'!D:D), "")</f>
        <v>PCS</v>
      </c>
      <c r="J1722" s="34">
        <f t="shared" si="2"/>
        <v>100</v>
      </c>
      <c r="K1722" s="196">
        <v>100.0</v>
      </c>
      <c r="L1722" s="70" t="s">
        <v>42</v>
      </c>
    </row>
    <row r="1723" ht="22.5" customHeight="1">
      <c r="A1723" s="29">
        <v>46241.0</v>
      </c>
      <c r="B1723" s="31"/>
      <c r="C1723" s="32" t="s">
        <v>711</v>
      </c>
      <c r="D1723" s="198" t="str">
        <f t="array" ref="D1723">IF(E1723="", "", XLOOKUP(E1723, 'MASTER ITEM LIST'!B:B, 'MASTER ITEM LIST'!A:A, "Code Not Found"))</f>
        <v>PRI3634</v>
      </c>
      <c r="E1723" s="199" t="s">
        <v>956</v>
      </c>
      <c r="F1723" s="31"/>
      <c r="G1723" s="195" t="s">
        <v>34</v>
      </c>
      <c r="H1723" s="31">
        <v>1.0</v>
      </c>
      <c r="I1723" s="31" t="str">
        <f t="array" ref="I1723">IFERROR(XLOOKUP(D1723,'MASTER ITEM LIST'!A:A,'MASTER ITEM LIST'!D:D), "")</f>
        <v>LITER</v>
      </c>
      <c r="J1723" s="34">
        <f t="shared" si="2"/>
        <v>600</v>
      </c>
      <c r="K1723" s="196">
        <v>600.0</v>
      </c>
      <c r="L1723" s="70" t="s">
        <v>42</v>
      </c>
    </row>
    <row r="1724" ht="22.5" customHeight="1">
      <c r="A1724" s="29">
        <v>46241.0</v>
      </c>
      <c r="B1724" s="31"/>
      <c r="C1724" s="32" t="s">
        <v>711</v>
      </c>
      <c r="D1724" s="198" t="str">
        <f t="array" ref="D1724">IF(E1724="", "", XLOOKUP(E1724, 'MASTER ITEM LIST'!B:B, 'MASTER ITEM LIST'!A:A, "Code Not Found"))</f>
        <v>EA80</v>
      </c>
      <c r="E1724" s="199" t="s">
        <v>237</v>
      </c>
      <c r="F1724" s="31"/>
      <c r="G1724" s="195" t="s">
        <v>34</v>
      </c>
      <c r="H1724" s="31">
        <v>5.0</v>
      </c>
      <c r="I1724" s="31" t="str">
        <f t="array" ref="I1724">IFERROR(XLOOKUP(D1724,'MASTER ITEM LIST'!A:A,'MASTER ITEM LIST'!D:D), "")</f>
        <v>PC/S</v>
      </c>
      <c r="J1724" s="34">
        <f t="shared" si="2"/>
        <v>40</v>
      </c>
      <c r="K1724" s="196">
        <v>200.0</v>
      </c>
      <c r="L1724" s="70" t="s">
        <v>42</v>
      </c>
    </row>
    <row r="1725" ht="22.5" customHeight="1">
      <c r="A1725" s="29">
        <v>46241.0</v>
      </c>
      <c r="B1725" s="31"/>
      <c r="C1725" s="32" t="s">
        <v>711</v>
      </c>
      <c r="D1725" s="198" t="str">
        <f t="array" ref="D1725">IF(E1725="", "", XLOOKUP(E1725, 'MASTER ITEM LIST'!B:B, 'MASTER ITEM LIST'!A:A, "Code Not Found"))</f>
        <v>EXTREMEMIX-1L</v>
      </c>
      <c r="E1725" s="199" t="s">
        <v>1164</v>
      </c>
      <c r="F1725" s="31" t="s">
        <v>1886</v>
      </c>
      <c r="G1725" s="195" t="s">
        <v>34</v>
      </c>
      <c r="H1725" s="31">
        <v>0.5</v>
      </c>
      <c r="I1725" s="31" t="str">
        <f t="array" ref="I1725">IFERROR(XLOOKUP(D1725,'MASTER ITEM LIST'!A:A,'MASTER ITEM LIST'!D:D), "")</f>
        <v>LITER</v>
      </c>
      <c r="J1725" s="34">
        <f t="shared" si="2"/>
        <v>600</v>
      </c>
      <c r="K1725" s="196">
        <v>300.0</v>
      </c>
      <c r="L1725" s="70" t="s">
        <v>42</v>
      </c>
    </row>
    <row r="1726" ht="22.5" customHeight="1">
      <c r="A1726" s="29">
        <v>46241.0</v>
      </c>
      <c r="B1726" s="31"/>
      <c r="C1726" s="32" t="s">
        <v>711</v>
      </c>
      <c r="D1726" s="198" t="str">
        <f t="array" ref="D1726">IF(E1726="", "", XLOOKUP(E1726, 'MASTER ITEM LIST'!B:B, 'MASTER ITEM LIST'!A:A, "Code Not Found"))</f>
        <v>EXTREMEMIX-1L</v>
      </c>
      <c r="E1726" s="199" t="s">
        <v>1164</v>
      </c>
      <c r="F1726" s="31" t="s">
        <v>1874</v>
      </c>
      <c r="G1726" s="195" t="s">
        <v>34</v>
      </c>
      <c r="H1726" s="31">
        <v>3.0</v>
      </c>
      <c r="I1726" s="31" t="str">
        <f t="array" ref="I1726">IFERROR(XLOOKUP(D1726,'MASTER ITEM LIST'!A:A,'MASTER ITEM LIST'!D:D), "")</f>
        <v>LITER</v>
      </c>
      <c r="J1726" s="34">
        <f t="shared" si="2"/>
        <v>650</v>
      </c>
      <c r="K1726" s="196">
        <v>1950.0</v>
      </c>
      <c r="L1726" s="70" t="s">
        <v>42</v>
      </c>
    </row>
    <row r="1727" ht="22.5" customHeight="1">
      <c r="A1727" s="29">
        <v>46241.0</v>
      </c>
      <c r="B1727" s="31"/>
      <c r="C1727" s="32" t="s">
        <v>711</v>
      </c>
      <c r="D1727" s="198" t="str">
        <f t="array" ref="D1727">IF(E1727="", "", XLOOKUP(E1727, 'MASTER ITEM LIST'!B:B, 'MASTER ITEM LIST'!A:A, "Code Not Found"))</f>
        <v>NAX21</v>
      </c>
      <c r="E1727" s="199" t="s">
        <v>848</v>
      </c>
      <c r="F1727" s="31"/>
      <c r="G1727" s="195" t="s">
        <v>34</v>
      </c>
      <c r="H1727" s="31">
        <v>2.0</v>
      </c>
      <c r="I1727" s="31" t="str">
        <f t="array" ref="I1727">IFERROR(XLOOKUP(D1727,'MASTER ITEM LIST'!A:A,'MASTER ITEM LIST'!D:D), "")</f>
        <v>CANS</v>
      </c>
      <c r="J1727" s="34">
        <f t="shared" si="2"/>
        <v>240</v>
      </c>
      <c r="K1727" s="196">
        <v>480.0</v>
      </c>
      <c r="L1727" s="70" t="s">
        <v>42</v>
      </c>
    </row>
    <row r="1728" ht="22.5" customHeight="1">
      <c r="A1728" s="29">
        <v>46241.0</v>
      </c>
      <c r="B1728" s="31"/>
      <c r="C1728" s="32" t="s">
        <v>711</v>
      </c>
      <c r="D1728" s="198" t="str">
        <f t="array" ref="D1728">IF(E1728="", "", XLOOKUP(E1728, 'MASTER ITEM LIST'!B:B, 'MASTER ITEM LIST'!A:A, "Code Not Found"))</f>
        <v>NAX108</v>
      </c>
      <c r="E1728" s="199" t="s">
        <v>960</v>
      </c>
      <c r="F1728" s="31"/>
      <c r="G1728" s="195" t="s">
        <v>34</v>
      </c>
      <c r="H1728" s="31">
        <v>0.25</v>
      </c>
      <c r="I1728" s="31" t="str">
        <f t="array" ref="I1728">IFERROR(XLOOKUP(D1728,'MASTER ITEM LIST'!A:A,'MASTER ITEM LIST'!D:D), "")</f>
        <v>LITER</v>
      </c>
      <c r="J1728" s="34">
        <f t="shared" si="2"/>
        <v>720</v>
      </c>
      <c r="K1728" s="196">
        <v>180.0</v>
      </c>
      <c r="L1728" s="70" t="s">
        <v>42</v>
      </c>
    </row>
    <row r="1729" ht="22.5" customHeight="1">
      <c r="A1729" s="29">
        <v>46241.0</v>
      </c>
      <c r="B1729" s="31" t="s">
        <v>1887</v>
      </c>
      <c r="C1729" s="32" t="s">
        <v>93</v>
      </c>
      <c r="D1729" s="198" t="str">
        <f t="array" ref="D1729">IF(E1729="", "", XLOOKUP(E1729, 'MASTER ITEM LIST'!B:B, 'MASTER ITEM LIST'!A:A, "Code Not Found"))</f>
        <v>EA2000</v>
      </c>
      <c r="E1729" s="199" t="s">
        <v>1045</v>
      </c>
      <c r="F1729" s="31"/>
      <c r="G1729" s="195" t="s">
        <v>1376</v>
      </c>
      <c r="H1729" s="31">
        <v>10.0</v>
      </c>
      <c r="I1729" s="31" t="str">
        <f t="array" ref="I1729">IFERROR(XLOOKUP(D1729,'MASTER ITEM LIST'!A:A,'MASTER ITEM LIST'!D:D), "")</f>
        <v>PC/S</v>
      </c>
      <c r="J1729" s="34">
        <f t="shared" si="2"/>
        <v>35</v>
      </c>
      <c r="K1729" s="196">
        <v>350.0</v>
      </c>
      <c r="L1729" s="70" t="s">
        <v>1376</v>
      </c>
    </row>
    <row r="1730" ht="22.5" customHeight="1">
      <c r="A1730" s="29">
        <v>46241.0</v>
      </c>
      <c r="B1730" s="31"/>
      <c r="C1730" s="32" t="s">
        <v>711</v>
      </c>
      <c r="D1730" s="198" t="str">
        <f t="array" ref="D1730">IF(E1730="", "", XLOOKUP(E1730, 'MASTER ITEM LIST'!B:B, 'MASTER ITEM LIST'!A:A, "Code Not Found"))</f>
        <v>SOB757</v>
      </c>
      <c r="E1730" s="199" t="s">
        <v>91</v>
      </c>
      <c r="F1730" s="31"/>
      <c r="G1730" s="195" t="s">
        <v>34</v>
      </c>
      <c r="H1730" s="31">
        <v>0.5</v>
      </c>
      <c r="I1730" s="31" t="str">
        <f t="array" ref="I1730">IFERROR(XLOOKUP(D1730,'MASTER ITEM LIST'!A:A,'MASTER ITEM LIST'!D:D), "")</f>
        <v>GAL</v>
      </c>
      <c r="J1730" s="34">
        <f t="shared" si="2"/>
        <v>800</v>
      </c>
      <c r="K1730" s="196">
        <v>400.0</v>
      </c>
      <c r="L1730" s="70" t="s">
        <v>42</v>
      </c>
    </row>
    <row r="1731" ht="22.5" customHeight="1">
      <c r="A1731" s="29">
        <v>46241.0</v>
      </c>
      <c r="B1731" s="31"/>
      <c r="C1731" s="32" t="s">
        <v>711</v>
      </c>
      <c r="D1731" s="198" t="str">
        <f t="array" ref="D1731">IF(E1731="", "", XLOOKUP(E1731, 'MASTER ITEM LIST'!B:B, 'MASTER ITEM LIST'!A:A, "Code Not Found"))</f>
        <v>SOD145</v>
      </c>
      <c r="E1731" s="199" t="s">
        <v>704</v>
      </c>
      <c r="F1731" s="31"/>
      <c r="G1731" s="195" t="s">
        <v>34</v>
      </c>
      <c r="H1731" s="31">
        <v>0.12</v>
      </c>
      <c r="I1731" s="31" t="str">
        <f t="array" ref="I1731">IFERROR(XLOOKUP(D1731,'MASTER ITEM LIST'!A:A,'MASTER ITEM LIST'!D:D), "")</f>
        <v>GAL</v>
      </c>
      <c r="J1731" s="34">
        <f t="shared" si="2"/>
        <v>1041.666667</v>
      </c>
      <c r="K1731" s="196">
        <v>125.0</v>
      </c>
      <c r="L1731" s="70" t="s">
        <v>42</v>
      </c>
    </row>
    <row r="1732" ht="22.5" customHeight="1">
      <c r="A1732" s="29">
        <v>46241.0</v>
      </c>
      <c r="B1732" s="31"/>
      <c r="C1732" s="32" t="s">
        <v>711</v>
      </c>
      <c r="D1732" s="198" t="str">
        <f t="array" ref="D1732">IF(E1732="", "", XLOOKUP(E1732, 'MASTER ITEM LIST'!B:B, 'MASTER ITEM LIST'!A:A, "Code Not Found"))</f>
        <v>CRO-MT3/4</v>
      </c>
      <c r="E1732" s="199" t="s">
        <v>1103</v>
      </c>
      <c r="F1732" s="31"/>
      <c r="G1732" s="195" t="s">
        <v>34</v>
      </c>
      <c r="H1732" s="31">
        <v>1.0</v>
      </c>
      <c r="I1732" s="31" t="str">
        <f t="array" ref="I1732">IFERROR(XLOOKUP(D1732,'MASTER ITEM LIST'!A:A,'MASTER ITEM LIST'!D:D), "")</f>
        <v>PC/S</v>
      </c>
      <c r="J1732" s="34">
        <f t="shared" si="2"/>
        <v>35</v>
      </c>
      <c r="K1732" s="196">
        <v>35.0</v>
      </c>
      <c r="L1732" s="70" t="s">
        <v>42</v>
      </c>
    </row>
    <row r="1733" ht="22.5" customHeight="1">
      <c r="A1733" s="29">
        <v>46241.0</v>
      </c>
      <c r="B1733" s="31"/>
      <c r="C1733" s="32" t="s">
        <v>711</v>
      </c>
      <c r="D1733" s="198" t="str">
        <f t="array" ref="D1733">IF(E1733="", "", XLOOKUP(E1733, 'MASTER ITEM LIST'!B:B, 'MASTER ITEM LIST'!A:A, "Code Not Found"))</f>
        <v>NP9200</v>
      </c>
      <c r="E1733" s="199" t="s">
        <v>712</v>
      </c>
      <c r="F1733" s="31"/>
      <c r="G1733" s="195" t="s">
        <v>34</v>
      </c>
      <c r="H1733" s="31">
        <v>1.0</v>
      </c>
      <c r="I1733" s="31" t="str">
        <f t="array" ref="I1733">IFERROR(XLOOKUP(D1733,'MASTER ITEM LIST'!A:A,'MASTER ITEM LIST'!D:D), "")</f>
        <v>LITER</v>
      </c>
      <c r="J1733" s="34">
        <f t="shared" si="2"/>
        <v>1300</v>
      </c>
      <c r="K1733" s="196">
        <v>1300.0</v>
      </c>
      <c r="L1733" s="70" t="s">
        <v>42</v>
      </c>
    </row>
    <row r="1734" ht="22.5" customHeight="1">
      <c r="A1734" s="29">
        <v>46241.0</v>
      </c>
      <c r="B1734" s="31"/>
      <c r="C1734" s="32" t="s">
        <v>711</v>
      </c>
      <c r="D1734" s="198" t="str">
        <f t="array" ref="D1734">IF(E1734="", "", XLOOKUP(E1734, 'MASTER ITEM LIST'!B:B, 'MASTER ITEM LIST'!A:A, "Code Not Found"))</f>
        <v>PRI1680</v>
      </c>
      <c r="E1734" s="199" t="s">
        <v>1152</v>
      </c>
      <c r="F1734" s="31"/>
      <c r="G1734" s="195" t="s">
        <v>34</v>
      </c>
      <c r="H1734" s="31">
        <v>0.5</v>
      </c>
      <c r="I1734" s="31" t="str">
        <f t="array" ref="I1734">IFERROR(XLOOKUP(D1734,'MASTER ITEM LIST'!A:A,'MASTER ITEM LIST'!D:D), "")</f>
        <v>LITER</v>
      </c>
      <c r="J1734" s="34">
        <f t="shared" si="2"/>
        <v>840</v>
      </c>
      <c r="K1734" s="196">
        <v>420.0</v>
      </c>
      <c r="L1734" s="70" t="s">
        <v>42</v>
      </c>
    </row>
    <row r="1735" ht="22.5" customHeight="1">
      <c r="A1735" s="29">
        <v>46241.0</v>
      </c>
      <c r="B1735" s="31"/>
      <c r="C1735" s="32" t="s">
        <v>711</v>
      </c>
      <c r="D1735" s="198" t="str">
        <f t="array" ref="D1735">IF(E1735="", "", XLOOKUP(E1735, 'MASTER ITEM LIST'!B:B, 'MASTER ITEM LIST'!A:A, "Code Not Found"))</f>
        <v>PREMILAMIX-1L</v>
      </c>
      <c r="E1735" s="199" t="s">
        <v>1151</v>
      </c>
      <c r="F1735" s="31" t="s">
        <v>1888</v>
      </c>
      <c r="G1735" s="195" t="s">
        <v>34</v>
      </c>
      <c r="H1735" s="31">
        <v>0.25</v>
      </c>
      <c r="I1735" s="31" t="str">
        <f t="array" ref="I1735">IFERROR(XLOOKUP(D1735,'MASTER ITEM LIST'!A:A,'MASTER ITEM LIST'!D:D), "")</f>
        <v>LITER</v>
      </c>
      <c r="J1735" s="34">
        <f t="shared" si="2"/>
        <v>2000</v>
      </c>
      <c r="K1735" s="196">
        <v>500.0</v>
      </c>
      <c r="L1735" s="70" t="s">
        <v>42</v>
      </c>
    </row>
    <row r="1736" ht="22.5" customHeight="1">
      <c r="A1736" s="29">
        <v>46241.0</v>
      </c>
      <c r="B1736" s="31"/>
      <c r="C1736" s="32" t="s">
        <v>711</v>
      </c>
      <c r="D1736" s="198" t="str">
        <f t="array" ref="D1736">IF(E1736="", "", XLOOKUP(E1736, 'MASTER ITEM LIST'!B:B, 'MASTER ITEM LIST'!A:A, "Code Not Found"))</f>
        <v>EA2000</v>
      </c>
      <c r="E1736" s="199" t="s">
        <v>1045</v>
      </c>
      <c r="F1736" s="31"/>
      <c r="G1736" s="195" t="s">
        <v>34</v>
      </c>
      <c r="H1736" s="31">
        <v>2.0</v>
      </c>
      <c r="I1736" s="31" t="str">
        <f t="array" ref="I1736">IFERROR(XLOOKUP(D1736,'MASTER ITEM LIST'!A:A,'MASTER ITEM LIST'!D:D), "")</f>
        <v>PC/S</v>
      </c>
      <c r="J1736" s="34">
        <f t="shared" si="2"/>
        <v>35</v>
      </c>
      <c r="K1736" s="196">
        <v>70.0</v>
      </c>
      <c r="L1736" s="70" t="s">
        <v>42</v>
      </c>
    </row>
    <row r="1737" ht="22.5" customHeight="1">
      <c r="A1737" s="29">
        <v>46241.0</v>
      </c>
      <c r="B1737" s="31"/>
      <c r="C1737" s="32" t="s">
        <v>711</v>
      </c>
      <c r="D1737" s="198" t="str">
        <f t="array" ref="D1737">IF(E1737="", "", XLOOKUP(E1737, 'MASTER ITEM LIST'!B:B, 'MASTER ITEM LIST'!A:A, "Code Not Found"))</f>
        <v>EA1000</v>
      </c>
      <c r="E1737" s="199" t="s">
        <v>1049</v>
      </c>
      <c r="F1737" s="31"/>
      <c r="G1737" s="195" t="s">
        <v>34</v>
      </c>
      <c r="H1737" s="31">
        <v>2.0</v>
      </c>
      <c r="I1737" s="31" t="str">
        <f t="array" ref="I1737">IFERROR(XLOOKUP(D1737,'MASTER ITEM LIST'!A:A,'MASTER ITEM LIST'!D:D), "")</f>
        <v>PC/S</v>
      </c>
      <c r="J1737" s="34">
        <f t="shared" si="2"/>
        <v>25</v>
      </c>
      <c r="K1737" s="196">
        <v>50.0</v>
      </c>
      <c r="L1737" s="70" t="s">
        <v>42</v>
      </c>
    </row>
    <row r="1738" ht="22.5" customHeight="1">
      <c r="A1738" s="29">
        <v>46241.0</v>
      </c>
      <c r="B1738" s="31"/>
      <c r="C1738" s="32" t="s">
        <v>711</v>
      </c>
      <c r="D1738" s="198" t="str">
        <f t="array" ref="D1738">IF(E1738="", "", XLOOKUP(E1738, 'MASTER ITEM LIST'!B:B, 'MASTER ITEM LIST'!A:A, "Code Not Found"))</f>
        <v>EA600</v>
      </c>
      <c r="E1738" s="199" t="s">
        <v>1041</v>
      </c>
      <c r="F1738" s="31"/>
      <c r="G1738" s="195" t="s">
        <v>34</v>
      </c>
      <c r="H1738" s="31">
        <v>3.0</v>
      </c>
      <c r="I1738" s="31" t="str">
        <f t="array" ref="I1738">IFERROR(XLOOKUP(D1738,'MASTER ITEM LIST'!A:A,'MASTER ITEM LIST'!D:D), "")</f>
        <v>PCS</v>
      </c>
      <c r="J1738" s="34">
        <f t="shared" si="2"/>
        <v>25</v>
      </c>
      <c r="K1738" s="196">
        <v>75.0</v>
      </c>
      <c r="L1738" s="70" t="s">
        <v>42</v>
      </c>
    </row>
    <row r="1739" ht="22.5" customHeight="1">
      <c r="A1739" s="29">
        <v>46241.0</v>
      </c>
      <c r="B1739" s="31"/>
      <c r="C1739" s="32" t="s">
        <v>711</v>
      </c>
      <c r="D1739" s="198" t="str">
        <f t="array" ref="D1739">IF(E1739="", "", XLOOKUP(E1739, 'MASTER ITEM LIST'!B:B, 'MASTER ITEM LIST'!A:A, "Code Not Found"))</f>
        <v>ROS-BLUE -OC-4L</v>
      </c>
      <c r="E1739" s="199" t="s">
        <v>1180</v>
      </c>
      <c r="F1739" s="31"/>
      <c r="G1739" s="195" t="s">
        <v>34</v>
      </c>
      <c r="H1739" s="31">
        <v>1.0</v>
      </c>
      <c r="I1739" s="31" t="str">
        <f t="array" ref="I1739">IFERROR(XLOOKUP(D1739,'MASTER ITEM LIST'!A:A,'MASTER ITEM LIST'!D:D), "")</f>
        <v>GALON</v>
      </c>
      <c r="J1739" s="34">
        <f t="shared" si="2"/>
        <v>900</v>
      </c>
      <c r="K1739" s="196">
        <v>900.0</v>
      </c>
      <c r="L1739" s="70" t="s">
        <v>42</v>
      </c>
    </row>
    <row r="1740" ht="22.5" customHeight="1">
      <c r="A1740" s="29">
        <v>46242.0</v>
      </c>
      <c r="B1740" s="31" t="s">
        <v>1889</v>
      </c>
      <c r="C1740" s="32" t="s">
        <v>1240</v>
      </c>
      <c r="D1740" s="198" t="str">
        <f t="array" ref="D1740">IF(E1740="", "", XLOOKUP(E1740, 'MASTER ITEM LIST'!B:B, 'MASTER ITEM LIST'!A:A, "Code Not Found"))</f>
        <v>PRI3634</v>
      </c>
      <c r="E1740" s="199" t="s">
        <v>956</v>
      </c>
      <c r="F1740" s="31"/>
      <c r="G1740" s="195" t="s">
        <v>34</v>
      </c>
      <c r="H1740" s="31">
        <v>1.0</v>
      </c>
      <c r="I1740" s="31" t="str">
        <f t="array" ref="I1740">IFERROR(XLOOKUP(D1740,'MASTER ITEM LIST'!A:A,'MASTER ITEM LIST'!D:D), "")</f>
        <v>LITER</v>
      </c>
      <c r="J1740" s="34">
        <f t="shared" si="2"/>
        <v>600</v>
      </c>
      <c r="K1740" s="196">
        <v>600.0</v>
      </c>
      <c r="L1740" s="70" t="s">
        <v>42</v>
      </c>
    </row>
    <row r="1741" ht="22.5" customHeight="1">
      <c r="A1741" s="29">
        <v>46242.0</v>
      </c>
      <c r="B1741" s="31" t="s">
        <v>1889</v>
      </c>
      <c r="C1741" s="32" t="s">
        <v>1240</v>
      </c>
      <c r="D1741" s="198" t="str">
        <f t="array" ref="D1741">IF(E1741="", "", XLOOKUP(E1741, 'MASTER ITEM LIST'!B:B, 'MASTER ITEM LIST'!A:A, "Code Not Found"))</f>
        <v>MSC</v>
      </c>
      <c r="E1741" s="199" t="s">
        <v>518</v>
      </c>
      <c r="F1741" s="31"/>
      <c r="G1741" s="195" t="s">
        <v>34</v>
      </c>
      <c r="H1741" s="31">
        <v>1.0</v>
      </c>
      <c r="I1741" s="31" t="str">
        <f t="array" ref="I1741">IFERROR(XLOOKUP(D1741,'MASTER ITEM LIST'!A:A,'MASTER ITEM LIST'!D:D), "")</f>
        <v>KG</v>
      </c>
      <c r="J1741" s="34">
        <f t="shared" si="2"/>
        <v>100</v>
      </c>
      <c r="K1741" s="196">
        <v>100.0</v>
      </c>
      <c r="L1741" s="70" t="s">
        <v>42</v>
      </c>
    </row>
    <row r="1742" ht="22.5" customHeight="1">
      <c r="A1742" s="29">
        <v>46242.0</v>
      </c>
      <c r="B1742" s="31" t="s">
        <v>1889</v>
      </c>
      <c r="C1742" s="32" t="s">
        <v>1240</v>
      </c>
      <c r="D1742" s="198" t="str">
        <f t="array" ref="D1742">IF(E1742="", "", XLOOKUP(E1742, 'MASTER ITEM LIST'!B:B, 'MASTER ITEM LIST'!A:A, "Code Not Found"))</f>
        <v>EA120</v>
      </c>
      <c r="E1742" s="199" t="s">
        <v>1048</v>
      </c>
      <c r="F1742" s="31"/>
      <c r="G1742" s="195" t="s">
        <v>34</v>
      </c>
      <c r="H1742" s="31">
        <v>5.0</v>
      </c>
      <c r="I1742" s="31" t="str">
        <f t="array" ref="I1742">IFERROR(XLOOKUP(D1742,'MASTER ITEM LIST'!A:A,'MASTER ITEM LIST'!D:D), "")</f>
        <v>PC/S</v>
      </c>
      <c r="J1742" s="34">
        <f t="shared" si="2"/>
        <v>25</v>
      </c>
      <c r="K1742" s="196">
        <v>125.0</v>
      </c>
      <c r="L1742" s="70" t="s">
        <v>42</v>
      </c>
    </row>
    <row r="1743" ht="22.5" customHeight="1">
      <c r="A1743" s="29">
        <v>46242.0</v>
      </c>
      <c r="B1743" s="31" t="s">
        <v>1889</v>
      </c>
      <c r="C1743" s="32" t="s">
        <v>1240</v>
      </c>
      <c r="D1743" s="198" t="str">
        <f t="array" ref="D1743">IF(E1743="", "", XLOOKUP(E1743, 'MASTER ITEM LIST'!B:B, 'MASTER ITEM LIST'!A:A, "Code Not Found"))</f>
        <v>EA600</v>
      </c>
      <c r="E1743" s="199" t="s">
        <v>1041</v>
      </c>
      <c r="F1743" s="31"/>
      <c r="G1743" s="195" t="s">
        <v>34</v>
      </c>
      <c r="H1743" s="31">
        <v>5.0</v>
      </c>
      <c r="I1743" s="31" t="str">
        <f t="array" ref="I1743">IFERROR(XLOOKUP(D1743,'MASTER ITEM LIST'!A:A,'MASTER ITEM LIST'!D:D), "")</f>
        <v>PCS</v>
      </c>
      <c r="J1743" s="34">
        <f t="shared" si="2"/>
        <v>25</v>
      </c>
      <c r="K1743" s="196">
        <v>125.0</v>
      </c>
      <c r="L1743" s="70" t="s">
        <v>42</v>
      </c>
    </row>
    <row r="1744" ht="22.5" customHeight="1">
      <c r="A1744" s="29">
        <v>46242.0</v>
      </c>
      <c r="B1744" s="31"/>
      <c r="C1744" s="32" t="s">
        <v>711</v>
      </c>
      <c r="D1744" s="198" t="str">
        <f t="array" ref="D1744">IF(E1744="", "", XLOOKUP(E1744, 'MASTER ITEM LIST'!B:B, 'MASTER ITEM LIST'!A:A, "Code Not Found"))</f>
        <v>EA80</v>
      </c>
      <c r="E1744" s="199" t="s">
        <v>237</v>
      </c>
      <c r="F1744" s="31"/>
      <c r="G1744" s="195" t="s">
        <v>34</v>
      </c>
      <c r="H1744" s="31">
        <v>2.0</v>
      </c>
      <c r="I1744" s="31" t="str">
        <f t="array" ref="I1744">IFERROR(XLOOKUP(D1744,'MASTER ITEM LIST'!A:A,'MASTER ITEM LIST'!D:D), "")</f>
        <v>PC/S</v>
      </c>
      <c r="J1744" s="34">
        <f t="shared" si="2"/>
        <v>40</v>
      </c>
      <c r="K1744" s="196">
        <v>80.0</v>
      </c>
      <c r="L1744" s="70" t="s">
        <v>42</v>
      </c>
    </row>
    <row r="1745" ht="22.5" customHeight="1">
      <c r="A1745" s="29">
        <v>46242.0</v>
      </c>
      <c r="B1745" s="31"/>
      <c r="C1745" s="32" t="s">
        <v>711</v>
      </c>
      <c r="D1745" s="198" t="str">
        <f t="array" ref="D1745">IF(E1745="", "", XLOOKUP(E1745, 'MASTER ITEM LIST'!B:B, 'MASTER ITEM LIST'!A:A, "Code Not Found"))</f>
        <v>EA120</v>
      </c>
      <c r="E1745" s="199" t="s">
        <v>1048</v>
      </c>
      <c r="F1745" s="31"/>
      <c r="G1745" s="195" t="s">
        <v>34</v>
      </c>
      <c r="H1745" s="31">
        <v>2.0</v>
      </c>
      <c r="I1745" s="31" t="str">
        <f t="array" ref="I1745">IFERROR(XLOOKUP(D1745,'MASTER ITEM LIST'!A:A,'MASTER ITEM LIST'!D:D), "")</f>
        <v>PC/S</v>
      </c>
      <c r="J1745" s="34">
        <f t="shared" si="2"/>
        <v>25</v>
      </c>
      <c r="K1745" s="196">
        <v>50.0</v>
      </c>
      <c r="L1745" s="70" t="s">
        <v>42</v>
      </c>
    </row>
    <row r="1746" ht="22.5" customHeight="1">
      <c r="A1746" s="29">
        <v>46242.0</v>
      </c>
      <c r="B1746" s="31"/>
      <c r="C1746" s="32" t="s">
        <v>711</v>
      </c>
      <c r="D1746" s="198" t="str">
        <f t="array" ref="D1746">IF(E1746="", "", XLOOKUP(E1746, 'MASTER ITEM LIST'!B:B, 'MASTER ITEM LIST'!A:A, "Code Not Found"))</f>
        <v>EA1000</v>
      </c>
      <c r="E1746" s="199" t="s">
        <v>1049</v>
      </c>
      <c r="F1746" s="31"/>
      <c r="G1746" s="195" t="s">
        <v>34</v>
      </c>
      <c r="H1746" s="31">
        <v>1.0</v>
      </c>
      <c r="I1746" s="31" t="str">
        <f t="array" ref="I1746">IFERROR(XLOOKUP(D1746,'MASTER ITEM LIST'!A:A,'MASTER ITEM LIST'!D:D), "")</f>
        <v>PC/S</v>
      </c>
      <c r="J1746" s="34">
        <f t="shared" si="2"/>
        <v>25</v>
      </c>
      <c r="K1746" s="196">
        <v>25.0</v>
      </c>
      <c r="L1746" s="70" t="s">
        <v>42</v>
      </c>
    </row>
    <row r="1747" ht="22.5" customHeight="1">
      <c r="A1747" s="29">
        <v>46242.0</v>
      </c>
      <c r="B1747" s="31"/>
      <c r="C1747" s="32" t="s">
        <v>711</v>
      </c>
      <c r="D1747" s="198" t="str">
        <f t="array" ref="D1747">IF(E1747="", "", XLOOKUP(E1747, 'MASTER ITEM LIST'!B:B, 'MASTER ITEM LIST'!A:A, "Code Not Found"))</f>
        <v>SOB757</v>
      </c>
      <c r="E1747" s="199" t="s">
        <v>91</v>
      </c>
      <c r="F1747" s="31"/>
      <c r="G1747" s="195" t="s">
        <v>34</v>
      </c>
      <c r="H1747" s="31">
        <v>2.0</v>
      </c>
      <c r="I1747" s="31" t="str">
        <f t="array" ref="I1747">IFERROR(XLOOKUP(D1747,'MASTER ITEM LIST'!A:A,'MASTER ITEM LIST'!D:D), "")</f>
        <v>GAL</v>
      </c>
      <c r="J1747" s="34">
        <f t="shared" si="2"/>
        <v>780</v>
      </c>
      <c r="K1747" s="196">
        <v>1560.0</v>
      </c>
      <c r="L1747" s="70" t="s">
        <v>42</v>
      </c>
    </row>
    <row r="1748" ht="22.5" customHeight="1">
      <c r="A1748" s="29">
        <v>46242.0</v>
      </c>
      <c r="B1748" s="31"/>
      <c r="C1748" s="32" t="s">
        <v>711</v>
      </c>
      <c r="D1748" s="198" t="str">
        <f t="array" ref="D1748">IF(E1748="", "", XLOOKUP(E1748, 'MASTER ITEM LIST'!B:B, 'MASTER ITEM LIST'!A:A, "Code Not Found"))</f>
        <v>NAX141</v>
      </c>
      <c r="E1748" s="199" t="s">
        <v>959</v>
      </c>
      <c r="F1748" s="31"/>
      <c r="G1748" s="195" t="s">
        <v>34</v>
      </c>
      <c r="H1748" s="31">
        <v>1.0</v>
      </c>
      <c r="I1748" s="31" t="str">
        <f t="array" ref="I1748">IFERROR(XLOOKUP(D1748,'MASTER ITEM LIST'!A:A,'MASTER ITEM LIST'!D:D), "")</f>
        <v>LITER</v>
      </c>
      <c r="J1748" s="34">
        <f t="shared" si="2"/>
        <v>580</v>
      </c>
      <c r="K1748" s="196">
        <v>580.0</v>
      </c>
      <c r="L1748" s="70" t="s">
        <v>42</v>
      </c>
    </row>
    <row r="1749" ht="22.5" customHeight="1">
      <c r="A1749" s="29">
        <v>46242.0</v>
      </c>
      <c r="B1749" s="31"/>
      <c r="C1749" s="32" t="s">
        <v>711</v>
      </c>
      <c r="D1749" s="198" t="str">
        <f t="array" ref="D1749">IF(E1749="", "", XLOOKUP(E1749, 'MASTER ITEM LIST'!B:B, 'MASTER ITEM LIST'!A:A, "Code Not Found"))</f>
        <v>PRI3634</v>
      </c>
      <c r="E1749" s="199" t="s">
        <v>956</v>
      </c>
      <c r="F1749" s="31"/>
      <c r="G1749" s="195" t="s">
        <v>34</v>
      </c>
      <c r="H1749" s="31">
        <v>1.0</v>
      </c>
      <c r="I1749" s="31" t="str">
        <f t="array" ref="I1749">IFERROR(XLOOKUP(D1749,'MASTER ITEM LIST'!A:A,'MASTER ITEM LIST'!D:D), "")</f>
        <v>LITER</v>
      </c>
      <c r="J1749" s="34">
        <f t="shared" si="2"/>
        <v>600</v>
      </c>
      <c r="K1749" s="196">
        <v>600.0</v>
      </c>
      <c r="L1749" s="70" t="s">
        <v>42</v>
      </c>
    </row>
    <row r="1750" ht="22.5" customHeight="1">
      <c r="A1750" s="29">
        <v>46242.0</v>
      </c>
      <c r="B1750" s="31"/>
      <c r="C1750" s="32" t="s">
        <v>711</v>
      </c>
      <c r="D1750" s="198" t="str">
        <f t="array" ref="D1750">IF(E1750="", "", XLOOKUP(E1750, 'MASTER ITEM LIST'!B:B, 'MASTER ITEM LIST'!A:A, "Code Not Found"))</f>
        <v>MSC</v>
      </c>
      <c r="E1750" s="199" t="s">
        <v>518</v>
      </c>
      <c r="F1750" s="31"/>
      <c r="G1750" s="195" t="s">
        <v>34</v>
      </c>
      <c r="H1750" s="31">
        <v>1.0</v>
      </c>
      <c r="I1750" s="31" t="str">
        <f t="array" ref="I1750">IFERROR(XLOOKUP(D1750,'MASTER ITEM LIST'!A:A,'MASTER ITEM LIST'!D:D), "")</f>
        <v>KG</v>
      </c>
      <c r="J1750" s="34">
        <f t="shared" si="2"/>
        <v>100</v>
      </c>
      <c r="K1750" s="196">
        <v>100.0</v>
      </c>
      <c r="L1750" s="70" t="s">
        <v>42</v>
      </c>
    </row>
    <row r="1751" ht="22.5" customHeight="1">
      <c r="A1751" s="29">
        <v>46242.0</v>
      </c>
      <c r="B1751" s="31"/>
      <c r="C1751" s="32" t="s">
        <v>711</v>
      </c>
      <c r="D1751" s="198" t="str">
        <f t="array" ref="D1751">IF(E1751="", "", XLOOKUP(E1751, 'MASTER ITEM LIST'!B:B, 'MASTER ITEM LIST'!A:A, "Code Not Found"))</f>
        <v>UTMIX-4L</v>
      </c>
      <c r="E1751" s="199" t="s">
        <v>1169</v>
      </c>
      <c r="F1751" s="31"/>
      <c r="G1751" s="195" t="s">
        <v>34</v>
      </c>
      <c r="H1751" s="31">
        <v>0.25</v>
      </c>
      <c r="I1751" s="31" t="str">
        <f t="array" ref="I1751">IFERROR(XLOOKUP(D1751,'MASTER ITEM LIST'!A:A,'MASTER ITEM LIST'!D:D), "")</f>
        <v>GALON</v>
      </c>
      <c r="J1751" s="34">
        <f t="shared" si="2"/>
        <v>4400</v>
      </c>
      <c r="K1751" s="196">
        <v>1100.0</v>
      </c>
      <c r="L1751" s="70" t="s">
        <v>42</v>
      </c>
    </row>
    <row r="1752" ht="22.5" customHeight="1">
      <c r="A1752" s="29">
        <v>46242.0</v>
      </c>
      <c r="B1752" s="31"/>
      <c r="C1752" s="32" t="s">
        <v>711</v>
      </c>
      <c r="D1752" s="198" t="str">
        <f t="array" ref="D1752">IF(E1752="", "", XLOOKUP(E1752, 'MASTER ITEM LIST'!B:B, 'MASTER ITEM LIST'!A:A, "Code Not Found"))</f>
        <v>EXTREMEMIX-1L</v>
      </c>
      <c r="E1752" s="199" t="s">
        <v>1164</v>
      </c>
      <c r="F1752" s="31" t="s">
        <v>1890</v>
      </c>
      <c r="G1752" s="195" t="s">
        <v>34</v>
      </c>
      <c r="H1752" s="31">
        <v>0.25</v>
      </c>
      <c r="I1752" s="31" t="str">
        <f t="array" ref="I1752">IFERROR(XLOOKUP(D1752,'MASTER ITEM LIST'!A:A,'MASTER ITEM LIST'!D:D), "")</f>
        <v>LITER</v>
      </c>
      <c r="J1752" s="34">
        <f t="shared" si="2"/>
        <v>800</v>
      </c>
      <c r="K1752" s="196">
        <v>200.0</v>
      </c>
      <c r="L1752" s="70" t="s">
        <v>42</v>
      </c>
    </row>
    <row r="1753" ht="22.5" customHeight="1">
      <c r="A1753" s="29">
        <v>46242.0</v>
      </c>
      <c r="B1753" s="31"/>
      <c r="C1753" s="32" t="s">
        <v>711</v>
      </c>
      <c r="D1753" s="198" t="str">
        <f t="array" ref="D1753">IF(E1753="", "", XLOOKUP(E1753, 'MASTER ITEM LIST'!B:B, 'MASTER ITEM LIST'!A:A, "Code Not Found"))</f>
        <v>NAXQDUMIX-1L</v>
      </c>
      <c r="E1753" s="199" t="s">
        <v>1161</v>
      </c>
      <c r="F1753" s="31" t="s">
        <v>1891</v>
      </c>
      <c r="G1753" s="195" t="s">
        <v>34</v>
      </c>
      <c r="H1753" s="31">
        <v>0.5</v>
      </c>
      <c r="I1753" s="31" t="str">
        <f t="array" ref="I1753">IFERROR(XLOOKUP(D1753,'MASTER ITEM LIST'!A:A,'MASTER ITEM LIST'!D:D), "")</f>
        <v>LITER</v>
      </c>
      <c r="J1753" s="34">
        <f t="shared" si="2"/>
        <v>1400</v>
      </c>
      <c r="K1753" s="196">
        <v>700.0</v>
      </c>
      <c r="L1753" s="70" t="s">
        <v>42</v>
      </c>
    </row>
    <row r="1754" ht="22.5" customHeight="1">
      <c r="A1754" s="29">
        <v>46242.0</v>
      </c>
      <c r="B1754" s="31"/>
      <c r="C1754" s="32" t="s">
        <v>711</v>
      </c>
      <c r="D1754" s="198" t="str">
        <f t="array" ref="D1754">IF(E1754="", "", XLOOKUP(E1754, 'MASTER ITEM LIST'!B:B, 'MASTER ITEM LIST'!A:A, "Code Not Found"))</f>
        <v>QDEMIX-1L</v>
      </c>
      <c r="E1754" s="199" t="s">
        <v>135</v>
      </c>
      <c r="F1754" s="31" t="s">
        <v>1850</v>
      </c>
      <c r="G1754" s="195" t="s">
        <v>1376</v>
      </c>
      <c r="H1754" s="31">
        <v>1.0</v>
      </c>
      <c r="I1754" s="31" t="str">
        <f t="array" ref="I1754">IFERROR(XLOOKUP(D1754,'MASTER ITEM LIST'!A:A,'MASTER ITEM LIST'!D:D), "")</f>
        <v>LITER</v>
      </c>
      <c r="J1754" s="34">
        <f t="shared" si="2"/>
        <v>260</v>
      </c>
      <c r="K1754" s="196">
        <v>260.0</v>
      </c>
      <c r="L1754" s="70" t="s">
        <v>1376</v>
      </c>
    </row>
    <row r="1755" ht="22.5" customHeight="1">
      <c r="A1755" s="29">
        <v>46242.0</v>
      </c>
      <c r="B1755" s="31"/>
      <c r="C1755" s="32" t="s">
        <v>711</v>
      </c>
      <c r="D1755" s="198" t="str">
        <f t="array" ref="D1755">IF(E1755="", "", XLOOKUP(E1755, 'MASTER ITEM LIST'!B:B, 'MASTER ITEM LIST'!A:A, "Code Not Found"))</f>
        <v>UNOLT-BOT</v>
      </c>
      <c r="E1755" s="199" t="s">
        <v>178</v>
      </c>
      <c r="F1755" s="31"/>
      <c r="G1755" s="195" t="s">
        <v>1376</v>
      </c>
      <c r="H1755" s="31">
        <v>1.0</v>
      </c>
      <c r="I1755" s="31" t="str">
        <f t="array" ref="I1755">IFERROR(XLOOKUP(D1755,'MASTER ITEM LIST'!A:A,'MASTER ITEM LIST'!D:D), "")</f>
        <v>BOT</v>
      </c>
      <c r="J1755" s="34">
        <f t="shared" si="2"/>
        <v>80</v>
      </c>
      <c r="K1755" s="196">
        <v>80.0</v>
      </c>
      <c r="L1755" s="70" t="s">
        <v>1376</v>
      </c>
    </row>
    <row r="1756" ht="22.5" customHeight="1">
      <c r="A1756" s="29">
        <v>46242.0</v>
      </c>
      <c r="B1756" s="31"/>
      <c r="C1756" s="32" t="s">
        <v>711</v>
      </c>
      <c r="D1756" s="198" t="str">
        <f t="array" ref="D1756">IF(E1756="", "", XLOOKUP(E1756, 'MASTER ITEM LIST'!B:B, 'MASTER ITEM LIST'!A:A, "Code Not Found"))</f>
        <v>NAX108</v>
      </c>
      <c r="E1756" s="199" t="s">
        <v>960</v>
      </c>
      <c r="F1756" s="31"/>
      <c r="G1756" s="195" t="s">
        <v>34</v>
      </c>
      <c r="H1756" s="31">
        <v>3.0</v>
      </c>
      <c r="I1756" s="31" t="str">
        <f t="array" ref="I1756">IFERROR(XLOOKUP(D1756,'MASTER ITEM LIST'!A:A,'MASTER ITEM LIST'!D:D), "")</f>
        <v>LITER</v>
      </c>
      <c r="J1756" s="34">
        <f t="shared" si="2"/>
        <v>650</v>
      </c>
      <c r="K1756" s="196">
        <v>1950.0</v>
      </c>
      <c r="L1756" s="70" t="s">
        <v>42</v>
      </c>
    </row>
    <row r="1757" ht="22.5" customHeight="1">
      <c r="A1757" s="29">
        <v>46242.0</v>
      </c>
      <c r="B1757" s="31"/>
      <c r="C1757" s="32" t="s">
        <v>711</v>
      </c>
      <c r="D1757" s="198" t="str">
        <f t="array" ref="D1757">IF(E1757="", "", XLOOKUP(E1757, 'MASTER ITEM LIST'!B:B, 'MASTER ITEM LIST'!A:A, "Code Not Found"))</f>
        <v>TOBF-4L</v>
      </c>
      <c r="E1757" s="199" t="s">
        <v>192</v>
      </c>
      <c r="F1757" s="31"/>
      <c r="G1757" s="195" t="s">
        <v>34</v>
      </c>
      <c r="H1757" s="31">
        <v>1.0</v>
      </c>
      <c r="I1757" s="31" t="str">
        <f t="array" ref="I1757">IFERROR(XLOOKUP(D1757,'MASTER ITEM LIST'!A:A,'MASTER ITEM LIST'!D:D), "")</f>
        <v>GAL</v>
      </c>
      <c r="J1757" s="34">
        <f t="shared" si="2"/>
        <v>790</v>
      </c>
      <c r="K1757" s="196">
        <v>790.0</v>
      </c>
      <c r="L1757" s="70" t="s">
        <v>42</v>
      </c>
    </row>
    <row r="1758" ht="22.5" customHeight="1">
      <c r="A1758" s="29">
        <v>46242.0</v>
      </c>
      <c r="B1758" s="31"/>
      <c r="C1758" s="32" t="s">
        <v>711</v>
      </c>
      <c r="D1758" s="198" t="str">
        <f t="array" ref="D1758">IF(E1758="", "", XLOOKUP(E1758, 'MASTER ITEM LIST'!B:B, 'MASTER ITEM LIST'!A:A, "Code Not Found"))</f>
        <v>SOB757</v>
      </c>
      <c r="E1758" s="199" t="s">
        <v>91</v>
      </c>
      <c r="F1758" s="31"/>
      <c r="G1758" s="195" t="s">
        <v>34</v>
      </c>
      <c r="H1758" s="31">
        <v>1.0</v>
      </c>
      <c r="I1758" s="31" t="str">
        <f t="array" ref="I1758">IFERROR(XLOOKUP(D1758,'MASTER ITEM LIST'!A:A,'MASTER ITEM LIST'!D:D), "")</f>
        <v>GAL</v>
      </c>
      <c r="J1758" s="34">
        <f t="shared" si="2"/>
        <v>750</v>
      </c>
      <c r="K1758" s="196">
        <v>750.0</v>
      </c>
      <c r="L1758" s="70" t="s">
        <v>42</v>
      </c>
    </row>
    <row r="1759" ht="22.5" customHeight="1">
      <c r="A1759" s="29">
        <v>46242.0</v>
      </c>
      <c r="B1759" s="31"/>
      <c r="C1759" s="32" t="s">
        <v>711</v>
      </c>
      <c r="D1759" s="198" t="str">
        <f t="array" ref="D1759">IF(E1759="", "", XLOOKUP(E1759, 'MASTER ITEM LIST'!B:B, 'MASTER ITEM LIST'!A:A, "Code Not Found"))</f>
        <v>PRI3634</v>
      </c>
      <c r="E1759" s="199" t="s">
        <v>956</v>
      </c>
      <c r="F1759" s="31"/>
      <c r="G1759" s="195" t="s">
        <v>34</v>
      </c>
      <c r="H1759" s="31">
        <v>1.0</v>
      </c>
      <c r="I1759" s="31" t="str">
        <f t="array" ref="I1759">IFERROR(XLOOKUP(D1759,'MASTER ITEM LIST'!A:A,'MASTER ITEM LIST'!D:D), "")</f>
        <v>LITER</v>
      </c>
      <c r="J1759" s="34">
        <f t="shared" si="2"/>
        <v>590</v>
      </c>
      <c r="K1759" s="196">
        <v>590.0</v>
      </c>
      <c r="L1759" s="70" t="s">
        <v>42</v>
      </c>
    </row>
    <row r="1760" ht="22.5" customHeight="1">
      <c r="A1760" s="29">
        <v>46242.0</v>
      </c>
      <c r="B1760" s="31"/>
      <c r="C1760" s="32" t="s">
        <v>711</v>
      </c>
      <c r="D1760" s="198" t="str">
        <f t="array" ref="D1760">IF(E1760="", "", XLOOKUP(E1760, 'MASTER ITEM LIST'!B:B, 'MASTER ITEM LIST'!A:A, "Code Not Found"))</f>
        <v>EA80</v>
      </c>
      <c r="E1760" s="199" t="s">
        <v>237</v>
      </c>
      <c r="F1760" s="31"/>
      <c r="G1760" s="195" t="s">
        <v>34</v>
      </c>
      <c r="H1760" s="31">
        <v>5.0</v>
      </c>
      <c r="I1760" s="31" t="str">
        <f t="array" ref="I1760">IFERROR(XLOOKUP(D1760,'MASTER ITEM LIST'!A:A,'MASTER ITEM LIST'!D:D), "")</f>
        <v>PC/S</v>
      </c>
      <c r="J1760" s="34">
        <f t="shared" si="2"/>
        <v>40</v>
      </c>
      <c r="K1760" s="196">
        <v>200.0</v>
      </c>
      <c r="L1760" s="70" t="s">
        <v>42</v>
      </c>
    </row>
    <row r="1761" ht="22.5" customHeight="1">
      <c r="A1761" s="29">
        <v>46242.0</v>
      </c>
      <c r="B1761" s="31"/>
      <c r="C1761" s="32" t="s">
        <v>711</v>
      </c>
      <c r="D1761" s="198" t="str">
        <f t="array" ref="D1761">IF(E1761="", "", XLOOKUP(E1761, 'MASTER ITEM LIST'!B:B, 'MASTER ITEM LIST'!A:A, "Code Not Found"))</f>
        <v>EA120</v>
      </c>
      <c r="E1761" s="199" t="s">
        <v>1048</v>
      </c>
      <c r="F1761" s="31"/>
      <c r="G1761" s="195" t="s">
        <v>34</v>
      </c>
      <c r="H1761" s="31">
        <v>10.0</v>
      </c>
      <c r="I1761" s="31" t="str">
        <f t="array" ref="I1761">IFERROR(XLOOKUP(D1761,'MASTER ITEM LIST'!A:A,'MASTER ITEM LIST'!D:D), "")</f>
        <v>PC/S</v>
      </c>
      <c r="J1761" s="34">
        <f t="shared" si="2"/>
        <v>25</v>
      </c>
      <c r="K1761" s="196">
        <v>250.0</v>
      </c>
      <c r="L1761" s="70" t="s">
        <v>42</v>
      </c>
    </row>
    <row r="1762" ht="22.5" customHeight="1">
      <c r="A1762" s="29">
        <v>46242.0</v>
      </c>
      <c r="B1762" s="31"/>
      <c r="C1762" s="32" t="s">
        <v>711</v>
      </c>
      <c r="D1762" s="198" t="str">
        <f t="array" ref="D1762">IF(E1762="", "", XLOOKUP(E1762, 'MASTER ITEM LIST'!B:B, 'MASTER ITEM LIST'!A:A, "Code Not Found"))</f>
        <v>EA240</v>
      </c>
      <c r="E1762" s="199" t="s">
        <v>1044</v>
      </c>
      <c r="F1762" s="31"/>
      <c r="G1762" s="195" t="s">
        <v>34</v>
      </c>
      <c r="H1762" s="31">
        <v>5.0</v>
      </c>
      <c r="I1762" s="31" t="str">
        <f t="array" ref="I1762">IFERROR(XLOOKUP(D1762,'MASTER ITEM LIST'!A:A,'MASTER ITEM LIST'!D:D), "")</f>
        <v>PC/S</v>
      </c>
      <c r="J1762" s="34">
        <f t="shared" si="2"/>
        <v>25</v>
      </c>
      <c r="K1762" s="196">
        <v>125.0</v>
      </c>
      <c r="L1762" s="70" t="s">
        <v>42</v>
      </c>
    </row>
    <row r="1763" ht="22.5" customHeight="1">
      <c r="A1763" s="29">
        <v>46242.0</v>
      </c>
      <c r="B1763" s="31"/>
      <c r="C1763" s="32" t="s">
        <v>711</v>
      </c>
      <c r="D1763" s="198" t="str">
        <f t="array" ref="D1763">IF(E1763="", "", XLOOKUP(E1763, 'MASTER ITEM LIST'!B:B, 'MASTER ITEM LIST'!A:A, "Code Not Found"))</f>
        <v>EA600</v>
      </c>
      <c r="E1763" s="199" t="s">
        <v>1041</v>
      </c>
      <c r="F1763" s="31"/>
      <c r="G1763" s="195" t="s">
        <v>34</v>
      </c>
      <c r="H1763" s="31">
        <v>5.0</v>
      </c>
      <c r="I1763" s="31" t="str">
        <f t="array" ref="I1763">IFERROR(XLOOKUP(D1763,'MASTER ITEM LIST'!A:A,'MASTER ITEM LIST'!D:D), "")</f>
        <v>PCS</v>
      </c>
      <c r="J1763" s="34">
        <f t="shared" si="2"/>
        <v>25</v>
      </c>
      <c r="K1763" s="196">
        <v>125.0</v>
      </c>
      <c r="L1763" s="70" t="s">
        <v>42</v>
      </c>
    </row>
    <row r="1764" ht="22.5" customHeight="1">
      <c r="A1764" s="29">
        <v>46242.0</v>
      </c>
      <c r="B1764" s="31"/>
      <c r="C1764" s="32" t="s">
        <v>711</v>
      </c>
      <c r="D1764" s="198" t="str">
        <f t="array" ref="D1764">IF(E1764="", "", XLOOKUP(E1764, 'MASTER ITEM LIST'!B:B, 'MASTER ITEM LIST'!A:A, "Code Not Found"))</f>
        <v>NAXQDUMIX-1L</v>
      </c>
      <c r="E1764" s="199" t="s">
        <v>1161</v>
      </c>
      <c r="F1764" s="31" t="s">
        <v>1892</v>
      </c>
      <c r="G1764" s="195" t="s">
        <v>34</v>
      </c>
      <c r="H1764" s="31">
        <v>2.0</v>
      </c>
      <c r="I1764" s="31" t="str">
        <f t="array" ref="I1764">IFERROR(XLOOKUP(D1764,'MASTER ITEM LIST'!A:A,'MASTER ITEM LIST'!D:D), "")</f>
        <v>LITER</v>
      </c>
      <c r="J1764" s="34">
        <f t="shared" si="2"/>
        <v>1400</v>
      </c>
      <c r="K1764" s="196">
        <v>2800.0</v>
      </c>
      <c r="L1764" s="70" t="s">
        <v>42</v>
      </c>
    </row>
    <row r="1765" ht="22.5" customHeight="1">
      <c r="A1765" s="29">
        <v>46242.0</v>
      </c>
      <c r="B1765" s="31" t="s">
        <v>1893</v>
      </c>
      <c r="C1765" s="32" t="s">
        <v>1585</v>
      </c>
      <c r="D1765" s="198" t="str">
        <f t="array" ref="D1765">IF(E1765="", "", XLOOKUP(E1765, 'MASTER ITEM LIST'!B:B, 'MASTER ITEM LIST'!A:A, "Code Not Found"))</f>
        <v>PLYZCLR-01</v>
      </c>
      <c r="E1765" s="199" t="s">
        <v>400</v>
      </c>
      <c r="F1765" s="31"/>
      <c r="G1765" s="195" t="s">
        <v>34</v>
      </c>
      <c r="H1765" s="31">
        <v>1.0</v>
      </c>
      <c r="I1765" s="31" t="str">
        <f t="array" ref="I1765">IFERROR(XLOOKUP(D1765,'MASTER ITEM LIST'!A:A,'MASTER ITEM LIST'!D:D), "")</f>
        <v>CAN</v>
      </c>
      <c r="J1765" s="34">
        <f t="shared" si="2"/>
        <v>145</v>
      </c>
      <c r="K1765" s="196">
        <v>145.0</v>
      </c>
      <c r="L1765" s="70" t="s">
        <v>42</v>
      </c>
    </row>
    <row r="1766" ht="22.5" customHeight="1">
      <c r="A1766" s="29">
        <v>46244.0</v>
      </c>
      <c r="B1766" s="31" t="s">
        <v>1894</v>
      </c>
      <c r="C1766" s="32" t="s">
        <v>93</v>
      </c>
      <c r="D1766" s="198" t="str">
        <f t="array" ref="D1766">IF(E1766="", "", XLOOKUP(E1766, 'MASTER ITEM LIST'!B:B, 'MASTER ITEM LIST'!A:A, "Code Not Found"))</f>
        <v>MSC</v>
      </c>
      <c r="E1766" s="199" t="s">
        <v>518</v>
      </c>
      <c r="F1766" s="31"/>
      <c r="G1766" s="195" t="s">
        <v>34</v>
      </c>
      <c r="H1766" s="31">
        <v>2.0</v>
      </c>
      <c r="I1766" s="31" t="str">
        <f t="array" ref="I1766">IFERROR(XLOOKUP(D1766,'MASTER ITEM LIST'!A:A,'MASTER ITEM LIST'!D:D), "")</f>
        <v>KG</v>
      </c>
      <c r="J1766" s="34">
        <f t="shared" si="2"/>
        <v>100</v>
      </c>
      <c r="K1766" s="196">
        <v>200.0</v>
      </c>
      <c r="L1766" s="70" t="s">
        <v>42</v>
      </c>
    </row>
    <row r="1767" ht="22.5" customHeight="1">
      <c r="A1767" s="29">
        <v>46244.0</v>
      </c>
      <c r="B1767" s="31" t="s">
        <v>1586</v>
      </c>
      <c r="C1767" s="32" t="s">
        <v>1587</v>
      </c>
      <c r="D1767" s="198" t="str">
        <f t="array" ref="D1767">IF(E1767="", "", XLOOKUP(E1767, 'MASTER ITEM LIST'!B:B, 'MASTER ITEM LIST'!A:A, "Code Not Found"))</f>
        <v>NAT100-1L</v>
      </c>
      <c r="E1767" s="199" t="s">
        <v>896</v>
      </c>
      <c r="F1767" s="31"/>
      <c r="G1767" s="195" t="s">
        <v>34</v>
      </c>
      <c r="H1767" s="31">
        <v>1.0</v>
      </c>
      <c r="I1767" s="31" t="str">
        <f t="array" ref="I1767">IFERROR(XLOOKUP(D1767,'MASTER ITEM LIST'!A:A,'MASTER ITEM LIST'!D:D), "")</f>
        <v>LITER</v>
      </c>
      <c r="J1767" s="34">
        <f t="shared" si="2"/>
        <v>1000</v>
      </c>
      <c r="K1767" s="196">
        <v>1000.0</v>
      </c>
      <c r="L1767" s="70" t="s">
        <v>42</v>
      </c>
    </row>
    <row r="1768" ht="22.5" customHeight="1">
      <c r="A1768" s="29">
        <v>46244.0</v>
      </c>
      <c r="B1768" s="31" t="s">
        <v>1586</v>
      </c>
      <c r="C1768" s="32" t="s">
        <v>1587</v>
      </c>
      <c r="D1768" s="198" t="str">
        <f t="array" ref="D1768">IF(E1768="", "", XLOOKUP(E1768, 'MASTER ITEM LIST'!B:B, 'MASTER ITEM LIST'!A:A, "Code Not Found"))</f>
        <v>NAX21</v>
      </c>
      <c r="E1768" s="199" t="s">
        <v>848</v>
      </c>
      <c r="F1768" s="31"/>
      <c r="G1768" s="195" t="s">
        <v>34</v>
      </c>
      <c r="H1768" s="31">
        <v>1.0</v>
      </c>
      <c r="I1768" s="31" t="str">
        <f t="array" ref="I1768">IFERROR(XLOOKUP(D1768,'MASTER ITEM LIST'!A:A,'MASTER ITEM LIST'!D:D), "")</f>
        <v>CANS</v>
      </c>
      <c r="J1768" s="34">
        <f t="shared" si="2"/>
        <v>250</v>
      </c>
      <c r="K1768" s="196">
        <v>250.0</v>
      </c>
      <c r="L1768" s="70" t="s">
        <v>42</v>
      </c>
    </row>
    <row r="1769" ht="22.5" customHeight="1">
      <c r="A1769" s="29">
        <v>46244.0</v>
      </c>
      <c r="B1769" s="31" t="s">
        <v>1586</v>
      </c>
      <c r="C1769" s="32" t="s">
        <v>1587</v>
      </c>
      <c r="D1769" s="198" t="str">
        <f t="array" ref="D1769">IF(E1769="", "", XLOOKUP(E1769, 'MASTER ITEM LIST'!B:B, 'MASTER ITEM LIST'!A:A, "Code Not Found"))</f>
        <v>SOB757</v>
      </c>
      <c r="E1769" s="199" t="s">
        <v>91</v>
      </c>
      <c r="F1769" s="31"/>
      <c r="G1769" s="195" t="s">
        <v>34</v>
      </c>
      <c r="H1769" s="31">
        <v>1.0</v>
      </c>
      <c r="I1769" s="31" t="str">
        <f t="array" ref="I1769">IFERROR(XLOOKUP(D1769,'MASTER ITEM LIST'!A:A,'MASTER ITEM LIST'!D:D), "")</f>
        <v>GAL</v>
      </c>
      <c r="J1769" s="34">
        <f t="shared" si="2"/>
        <v>750</v>
      </c>
      <c r="K1769" s="196">
        <v>750.0</v>
      </c>
      <c r="L1769" s="70" t="s">
        <v>42</v>
      </c>
    </row>
    <row r="1770" ht="22.5" customHeight="1">
      <c r="A1770" s="29">
        <v>46244.0</v>
      </c>
      <c r="B1770" s="31" t="s">
        <v>1586</v>
      </c>
      <c r="C1770" s="32" t="s">
        <v>1587</v>
      </c>
      <c r="D1770" s="198" t="str">
        <f t="array" ref="D1770">IF(E1770="", "", XLOOKUP(E1770, 'MASTER ITEM LIST'!B:B, 'MASTER ITEM LIST'!A:A, "Code Not Found"))</f>
        <v>DOMBF-4L</v>
      </c>
      <c r="E1770" s="199" t="s">
        <v>1064</v>
      </c>
      <c r="F1770" s="31"/>
      <c r="G1770" s="195" t="s">
        <v>34</v>
      </c>
      <c r="H1770" s="31">
        <v>1.0</v>
      </c>
      <c r="I1770" s="31" t="str">
        <f t="array" ref="I1770">IFERROR(XLOOKUP(D1770,'MASTER ITEM LIST'!A:A,'MASTER ITEM LIST'!D:D), "")</f>
        <v>GAL</v>
      </c>
      <c r="J1770" s="34">
        <f t="shared" si="2"/>
        <v>640</v>
      </c>
      <c r="K1770" s="196">
        <v>640.0</v>
      </c>
      <c r="L1770" s="70" t="s">
        <v>42</v>
      </c>
    </row>
    <row r="1771" ht="22.5" customHeight="1">
      <c r="A1771" s="29">
        <v>46244.0</v>
      </c>
      <c r="B1771" s="31"/>
      <c r="C1771" s="32" t="s">
        <v>711</v>
      </c>
      <c r="D1771" s="198" t="str">
        <f t="array" ref="D1771">IF(E1771="", "", XLOOKUP(E1771, 'MASTER ITEM LIST'!B:B, 'MASTER ITEM LIST'!A:A, "Code Not Found"))</f>
        <v>SOB745</v>
      </c>
      <c r="E1771" s="199" t="s">
        <v>708</v>
      </c>
      <c r="F1771" s="31"/>
      <c r="G1771" s="195" t="s">
        <v>34</v>
      </c>
      <c r="H1771" s="31">
        <v>0.25</v>
      </c>
      <c r="I1771" s="31" t="str">
        <f t="array" ref="I1771">IFERROR(XLOOKUP(D1771,'MASTER ITEM LIST'!A:A,'MASTER ITEM LIST'!D:D), "")</f>
        <v>GAL</v>
      </c>
      <c r="J1771" s="34">
        <f t="shared" si="2"/>
        <v>1200</v>
      </c>
      <c r="K1771" s="196">
        <v>300.0</v>
      </c>
      <c r="L1771" s="70" t="s">
        <v>42</v>
      </c>
    </row>
    <row r="1772" ht="22.5" customHeight="1">
      <c r="A1772" s="29">
        <v>46244.0</v>
      </c>
      <c r="B1772" s="31"/>
      <c r="C1772" s="32" t="s">
        <v>711</v>
      </c>
      <c r="D1772" s="198" t="str">
        <f t="array" ref="D1772">IF(E1772="", "", XLOOKUP(E1772, 'MASTER ITEM LIST'!B:B, 'MASTER ITEM LIST'!A:A, "Code Not Found"))</f>
        <v>SOB757</v>
      </c>
      <c r="E1772" s="199" t="s">
        <v>91</v>
      </c>
      <c r="F1772" s="31"/>
      <c r="G1772" s="195" t="s">
        <v>34</v>
      </c>
      <c r="H1772" s="31">
        <v>0.25</v>
      </c>
      <c r="I1772" s="31" t="str">
        <f t="array" ref="I1772">IFERROR(XLOOKUP(D1772,'MASTER ITEM LIST'!A:A,'MASTER ITEM LIST'!D:D), "")</f>
        <v>GAL</v>
      </c>
      <c r="J1772" s="34">
        <f t="shared" si="2"/>
        <v>800</v>
      </c>
      <c r="K1772" s="196">
        <v>200.0</v>
      </c>
      <c r="L1772" s="70" t="s">
        <v>42</v>
      </c>
    </row>
    <row r="1773" ht="22.5" customHeight="1">
      <c r="A1773" s="29">
        <v>46244.0</v>
      </c>
      <c r="B1773" s="31"/>
      <c r="C1773" s="32" t="s">
        <v>711</v>
      </c>
      <c r="D1773" s="198" t="str">
        <f t="array" ref="D1773">IF(E1773="", "", XLOOKUP(E1773, 'MASTER ITEM LIST'!B:B, 'MASTER ITEM LIST'!A:A, "Code Not Found"))</f>
        <v>PREMILAMIX-1L</v>
      </c>
      <c r="E1773" s="199" t="s">
        <v>1151</v>
      </c>
      <c r="F1773" s="31" t="s">
        <v>1895</v>
      </c>
      <c r="G1773" s="195" t="s">
        <v>34</v>
      </c>
      <c r="H1773" s="31">
        <v>0.25</v>
      </c>
      <c r="I1773" s="31" t="str">
        <f t="array" ref="I1773">IFERROR(XLOOKUP(D1773,'MASTER ITEM LIST'!A:A,'MASTER ITEM LIST'!D:D), "")</f>
        <v>LITER</v>
      </c>
      <c r="J1773" s="34">
        <f t="shared" si="2"/>
        <v>2600</v>
      </c>
      <c r="K1773" s="196">
        <v>650.0</v>
      </c>
      <c r="L1773" s="70" t="s">
        <v>42</v>
      </c>
    </row>
    <row r="1774" ht="22.5" customHeight="1">
      <c r="A1774" s="29">
        <v>46244.0</v>
      </c>
      <c r="B1774" s="31"/>
      <c r="C1774" s="32" t="s">
        <v>711</v>
      </c>
      <c r="D1774" s="198" t="str">
        <f t="array" ref="D1774">IF(E1774="", "", XLOOKUP(E1774, 'MASTER ITEM LIST'!B:B, 'MASTER ITEM LIST'!A:A, "Code Not Found"))</f>
        <v>2B-PB-1 1/2</v>
      </c>
      <c r="E1774" s="199" t="s">
        <v>1167</v>
      </c>
      <c r="F1774" s="31"/>
      <c r="G1774" s="195" t="s">
        <v>34</v>
      </c>
      <c r="H1774" s="31">
        <v>1.0</v>
      </c>
      <c r="I1774" s="31" t="str">
        <f t="array" ref="I1774">IFERROR(XLOOKUP(D1774,'MASTER ITEM LIST'!A:A,'MASTER ITEM LIST'!D:D), "")</f>
        <v>PC/S</v>
      </c>
      <c r="J1774" s="34">
        <f t="shared" si="2"/>
        <v>35</v>
      </c>
      <c r="K1774" s="196">
        <v>35.0</v>
      </c>
      <c r="L1774" s="70" t="s">
        <v>42</v>
      </c>
    </row>
    <row r="1775" ht="22.5" customHeight="1">
      <c r="A1775" s="29">
        <v>46244.0</v>
      </c>
      <c r="B1775" s="31"/>
      <c r="C1775" s="32" t="s">
        <v>711</v>
      </c>
      <c r="D1775" s="198" t="str">
        <f t="array" ref="D1775">IF(E1775="", "", XLOOKUP(E1775, 'MASTER ITEM LIST'!B:B, 'MASTER ITEM LIST'!A:A, "Code Not Found"))</f>
        <v>2B-PB#1</v>
      </c>
      <c r="E1775" s="199" t="s">
        <v>510</v>
      </c>
      <c r="F1775" s="31"/>
      <c r="G1775" s="195" t="s">
        <v>34</v>
      </c>
      <c r="H1775" s="31">
        <v>1.0</v>
      </c>
      <c r="I1775" s="31" t="str">
        <f t="array" ref="I1775">IFERROR(XLOOKUP(D1775,'MASTER ITEM LIST'!A:A,'MASTER ITEM LIST'!D:D), "")</f>
        <v>PC/S</v>
      </c>
      <c r="J1775" s="34">
        <f t="shared" si="2"/>
        <v>25</v>
      </c>
      <c r="K1775" s="196">
        <v>25.0</v>
      </c>
      <c r="L1775" s="70" t="s">
        <v>42</v>
      </c>
    </row>
    <row r="1776" ht="22.5" customHeight="1">
      <c r="A1776" s="29">
        <v>46244.0</v>
      </c>
      <c r="B1776" s="31"/>
      <c r="C1776" s="32" t="s">
        <v>711</v>
      </c>
      <c r="D1776" s="198" t="str">
        <f t="array" ref="D1776">IF(E1776="", "", XLOOKUP(E1776, 'MASTER ITEM LIST'!B:B, 'MASTER ITEM LIST'!A:A, "Code Not Found"))</f>
        <v>PUTTYKNI #6</v>
      </c>
      <c r="E1776" s="199" t="s">
        <v>995</v>
      </c>
      <c r="F1776" s="31"/>
      <c r="G1776" s="195" t="s">
        <v>34</v>
      </c>
      <c r="H1776" s="31">
        <v>2.0</v>
      </c>
      <c r="I1776" s="31" t="str">
        <f t="array" ref="I1776">IFERROR(XLOOKUP(D1776,'MASTER ITEM LIST'!A:A,'MASTER ITEM LIST'!D:D), "")</f>
        <v>PC/S</v>
      </c>
      <c r="J1776" s="34">
        <f t="shared" si="2"/>
        <v>35</v>
      </c>
      <c r="K1776" s="196">
        <v>70.0</v>
      </c>
      <c r="L1776" s="70" t="s">
        <v>42</v>
      </c>
    </row>
    <row r="1777" ht="22.5" customHeight="1">
      <c r="A1777" s="29">
        <v>46244.0</v>
      </c>
      <c r="B1777" s="31" t="s">
        <v>1896</v>
      </c>
      <c r="C1777" s="32" t="s">
        <v>1240</v>
      </c>
      <c r="D1777" s="198" t="str">
        <f t="array" ref="D1777">IF(E1777="", "", XLOOKUP(E1777, 'MASTER ITEM LIST'!B:B, 'MASTER ITEM LIST'!A:A, "Code Not Found"))</f>
        <v>NAX108</v>
      </c>
      <c r="E1777" s="199" t="s">
        <v>960</v>
      </c>
      <c r="F1777" s="31"/>
      <c r="G1777" s="195" t="s">
        <v>34</v>
      </c>
      <c r="H1777" s="31">
        <v>1.0</v>
      </c>
      <c r="I1777" s="31" t="str">
        <f t="array" ref="I1777">IFERROR(XLOOKUP(D1777,'MASTER ITEM LIST'!A:A,'MASTER ITEM LIST'!D:D), "")</f>
        <v>LITER</v>
      </c>
      <c r="J1777" s="34">
        <f t="shared" si="2"/>
        <v>700</v>
      </c>
      <c r="K1777" s="196">
        <v>700.0</v>
      </c>
      <c r="L1777" s="70" t="s">
        <v>42</v>
      </c>
    </row>
    <row r="1778" ht="22.5" customHeight="1">
      <c r="A1778" s="29">
        <v>46245.0</v>
      </c>
      <c r="B1778" s="31" t="s">
        <v>1897</v>
      </c>
      <c r="C1778" s="32" t="s">
        <v>1210</v>
      </c>
      <c r="D1778" s="198" t="str">
        <f t="array" ref="D1778">IF(E1778="", "", XLOOKUP(E1778, 'MASTER ITEM LIST'!B:B, 'MASTER ITEM LIST'!A:A, "Code Not Found"))</f>
        <v>NAXQDUMIX-1L</v>
      </c>
      <c r="E1778" s="199" t="s">
        <v>1161</v>
      </c>
      <c r="F1778" s="31" t="s">
        <v>1850</v>
      </c>
      <c r="G1778" s="195" t="s">
        <v>1211</v>
      </c>
      <c r="H1778" s="31">
        <v>0.5</v>
      </c>
      <c r="I1778" s="31" t="str">
        <f t="array" ref="I1778">IFERROR(XLOOKUP(D1778,'MASTER ITEM LIST'!A:A,'MASTER ITEM LIST'!D:D), "")</f>
        <v>LITER</v>
      </c>
      <c r="J1778" s="34">
        <f t="shared" si="2"/>
        <v>1000</v>
      </c>
      <c r="K1778" s="196">
        <v>500.0</v>
      </c>
      <c r="L1778" s="70" t="s">
        <v>1212</v>
      </c>
    </row>
    <row r="1779" ht="22.5" customHeight="1">
      <c r="A1779" s="29">
        <v>46245.0</v>
      </c>
      <c r="B1779" s="31" t="s">
        <v>1897</v>
      </c>
      <c r="C1779" s="32" t="s">
        <v>1210</v>
      </c>
      <c r="D1779" s="198" t="str">
        <f t="array" ref="D1779">IF(E1779="", "", XLOOKUP(E1779, 'MASTER ITEM LIST'!B:B, 'MASTER ITEM LIST'!A:A, "Code Not Found"))</f>
        <v>DOMBF-1L</v>
      </c>
      <c r="E1779" s="199" t="s">
        <v>1065</v>
      </c>
      <c r="F1779" s="31"/>
      <c r="G1779" s="195" t="s">
        <v>1211</v>
      </c>
      <c r="H1779" s="31">
        <v>1.0</v>
      </c>
      <c r="I1779" s="31" t="str">
        <f t="array" ref="I1779">IFERROR(XLOOKUP(D1779,'MASTER ITEM LIST'!A:A,'MASTER ITEM LIST'!D:D), "")</f>
        <v>LITER</v>
      </c>
      <c r="J1779" s="34">
        <f t="shared" si="2"/>
        <v>230</v>
      </c>
      <c r="K1779" s="196">
        <v>230.0</v>
      </c>
      <c r="L1779" s="70" t="s">
        <v>1212</v>
      </c>
    </row>
    <row r="1780" ht="22.5" customHeight="1">
      <c r="A1780" s="29">
        <v>46245.0</v>
      </c>
      <c r="B1780" s="31" t="s">
        <v>1897</v>
      </c>
      <c r="C1780" s="32" t="s">
        <v>1210</v>
      </c>
      <c r="D1780" s="198" t="str">
        <f t="array" ref="D1780">IF(E1780="", "", XLOOKUP(E1780, 'MASTER ITEM LIST'!B:B, 'MASTER ITEM LIST'!A:A, "Code Not Found"))</f>
        <v>SOB757</v>
      </c>
      <c r="E1780" s="199" t="s">
        <v>91</v>
      </c>
      <c r="F1780" s="31"/>
      <c r="G1780" s="195" t="s">
        <v>1211</v>
      </c>
      <c r="H1780" s="31">
        <v>0.25</v>
      </c>
      <c r="I1780" s="31" t="str">
        <f t="array" ref="I1780">IFERROR(XLOOKUP(D1780,'MASTER ITEM LIST'!A:A,'MASTER ITEM LIST'!D:D), "")</f>
        <v>GAL</v>
      </c>
      <c r="J1780" s="34">
        <f t="shared" si="2"/>
        <v>800</v>
      </c>
      <c r="K1780" s="196">
        <v>200.0</v>
      </c>
      <c r="L1780" s="70" t="s">
        <v>1212</v>
      </c>
    </row>
    <row r="1781" ht="22.5" customHeight="1">
      <c r="A1781" s="29">
        <v>46245.0</v>
      </c>
      <c r="B1781" s="31" t="s">
        <v>1897</v>
      </c>
      <c r="C1781" s="32" t="s">
        <v>1210</v>
      </c>
      <c r="D1781" s="198" t="str">
        <f t="array" ref="D1781">IF(E1781="", "", XLOOKUP(E1781, 'MASTER ITEM LIST'!B:B, 'MASTER ITEM LIST'!A:A, "Code Not Found"))</f>
        <v>EA120</v>
      </c>
      <c r="E1781" s="199" t="s">
        <v>1048</v>
      </c>
      <c r="F1781" s="31"/>
      <c r="G1781" s="195" t="s">
        <v>1211</v>
      </c>
      <c r="H1781" s="31">
        <v>4.0</v>
      </c>
      <c r="I1781" s="31" t="str">
        <f t="array" ref="I1781">IFERROR(XLOOKUP(D1781,'MASTER ITEM LIST'!A:A,'MASTER ITEM LIST'!D:D), "")</f>
        <v>PC/S</v>
      </c>
      <c r="J1781" s="34">
        <f t="shared" si="2"/>
        <v>25</v>
      </c>
      <c r="K1781" s="196">
        <v>100.0</v>
      </c>
      <c r="L1781" s="70" t="s">
        <v>1212</v>
      </c>
    </row>
    <row r="1782" ht="22.5" customHeight="1">
      <c r="A1782" s="29">
        <v>46245.0</v>
      </c>
      <c r="B1782" s="31" t="s">
        <v>1897</v>
      </c>
      <c r="C1782" s="32" t="s">
        <v>1210</v>
      </c>
      <c r="D1782" s="198" t="str">
        <f t="array" ref="D1782">IF(E1782="", "", XLOOKUP(E1782, 'MASTER ITEM LIST'!B:B, 'MASTER ITEM LIST'!A:A, "Code Not Found"))</f>
        <v>EA320</v>
      </c>
      <c r="E1782" s="199" t="s">
        <v>1050</v>
      </c>
      <c r="F1782" s="31"/>
      <c r="G1782" s="195" t="s">
        <v>1211</v>
      </c>
      <c r="H1782" s="31">
        <v>3.0</v>
      </c>
      <c r="I1782" s="31" t="str">
        <f t="array" ref="I1782">IFERROR(XLOOKUP(D1782,'MASTER ITEM LIST'!A:A,'MASTER ITEM LIST'!D:D), "")</f>
        <v>PCS</v>
      </c>
      <c r="J1782" s="34">
        <f t="shared" si="2"/>
        <v>25</v>
      </c>
      <c r="K1782" s="196">
        <v>75.0</v>
      </c>
      <c r="L1782" s="70" t="s">
        <v>1212</v>
      </c>
    </row>
    <row r="1783" ht="22.5" customHeight="1">
      <c r="A1783" s="29">
        <v>46245.0</v>
      </c>
      <c r="B1783" s="31" t="s">
        <v>1897</v>
      </c>
      <c r="C1783" s="32" t="s">
        <v>1210</v>
      </c>
      <c r="D1783" s="198" t="str">
        <f t="array" ref="D1783">IF(E1783="", "", XLOOKUP(E1783, 'MASTER ITEM LIST'!B:B, 'MASTER ITEM LIST'!A:A, "Code Not Found"))</f>
        <v>CRO-MT1/2</v>
      </c>
      <c r="E1783" s="199" t="s">
        <v>1105</v>
      </c>
      <c r="F1783" s="31"/>
      <c r="G1783" s="195" t="s">
        <v>1211</v>
      </c>
      <c r="H1783" s="31">
        <v>2.0</v>
      </c>
      <c r="I1783" s="31" t="str">
        <f t="array" ref="I1783">IFERROR(XLOOKUP(D1783,'MASTER ITEM LIST'!A:A,'MASTER ITEM LIST'!D:D), "")</f>
        <v>PC/S</v>
      </c>
      <c r="J1783" s="34">
        <f t="shared" si="2"/>
        <v>25</v>
      </c>
      <c r="K1783" s="196">
        <v>50.0</v>
      </c>
      <c r="L1783" s="70" t="s">
        <v>1212</v>
      </c>
    </row>
    <row r="1784" ht="22.5" customHeight="1">
      <c r="A1784" s="29">
        <v>46245.0</v>
      </c>
      <c r="B1784" s="31" t="s">
        <v>1897</v>
      </c>
      <c r="C1784" s="32" t="s">
        <v>1210</v>
      </c>
      <c r="D1784" s="198" t="str">
        <f t="array" ref="D1784">IF(E1784="", "", XLOOKUP(E1784, 'MASTER ITEM LIST'!B:B, 'MASTER ITEM LIST'!A:A, "Code Not Found"))</f>
        <v>NAX108</v>
      </c>
      <c r="E1784" s="199" t="s">
        <v>960</v>
      </c>
      <c r="F1784" s="31"/>
      <c r="G1784" s="195" t="s">
        <v>1211</v>
      </c>
      <c r="H1784" s="31">
        <v>0.5</v>
      </c>
      <c r="I1784" s="31" t="str">
        <f t="array" ref="I1784">IFERROR(XLOOKUP(D1784,'MASTER ITEM LIST'!A:A,'MASTER ITEM LIST'!D:D), "")</f>
        <v>LITER</v>
      </c>
      <c r="J1784" s="34">
        <f t="shared" si="2"/>
        <v>720</v>
      </c>
      <c r="K1784" s="196">
        <v>360.0</v>
      </c>
      <c r="L1784" s="70" t="s">
        <v>1212</v>
      </c>
    </row>
    <row r="1785" ht="22.5" customHeight="1">
      <c r="A1785" s="29">
        <v>46245.0</v>
      </c>
      <c r="B1785" s="31" t="s">
        <v>1898</v>
      </c>
      <c r="C1785" s="32" t="s">
        <v>1210</v>
      </c>
      <c r="D1785" s="198" t="str">
        <f t="array" ref="D1785">IF(E1785="", "", XLOOKUP(E1785, 'MASTER ITEM LIST'!B:B, 'MASTER ITEM LIST'!A:A, "Code Not Found"))</f>
        <v>MSC</v>
      </c>
      <c r="E1785" s="199" t="s">
        <v>518</v>
      </c>
      <c r="F1785" s="31"/>
      <c r="G1785" s="195" t="s">
        <v>1211</v>
      </c>
      <c r="H1785" s="31">
        <v>1.0</v>
      </c>
      <c r="I1785" s="31" t="str">
        <f t="array" ref="I1785">IFERROR(XLOOKUP(D1785,'MASTER ITEM LIST'!A:A,'MASTER ITEM LIST'!D:D), "")</f>
        <v>KG</v>
      </c>
      <c r="J1785" s="34">
        <f t="shared" si="2"/>
        <v>100</v>
      </c>
      <c r="K1785" s="196">
        <v>100.0</v>
      </c>
      <c r="L1785" s="70" t="s">
        <v>1212</v>
      </c>
    </row>
    <row r="1786" ht="22.5" customHeight="1">
      <c r="A1786" s="29">
        <v>46245.0</v>
      </c>
      <c r="B1786" s="31" t="s">
        <v>1899</v>
      </c>
      <c r="C1786" s="32" t="s">
        <v>93</v>
      </c>
      <c r="D1786" s="198" t="str">
        <f t="array" ref="D1786">IF(E1786="", "", XLOOKUP(E1786, 'MASTER ITEM LIST'!B:B, 'MASTER ITEM LIST'!A:A, "Code Not Found"))</f>
        <v>PREMILAMIX-1L</v>
      </c>
      <c r="E1786" s="199" t="s">
        <v>1151</v>
      </c>
      <c r="F1786" s="31" t="s">
        <v>1900</v>
      </c>
      <c r="G1786" s="195" t="s">
        <v>34</v>
      </c>
      <c r="H1786" s="31">
        <v>0.12</v>
      </c>
      <c r="I1786" s="31" t="str">
        <f t="array" ref="I1786">IFERROR(XLOOKUP(D1786,'MASTER ITEM LIST'!A:A,'MASTER ITEM LIST'!D:D), "")</f>
        <v>LITER</v>
      </c>
      <c r="J1786" s="34">
        <f t="shared" si="2"/>
        <v>2833.333333</v>
      </c>
      <c r="K1786" s="196">
        <v>340.0</v>
      </c>
      <c r="L1786" s="70" t="s">
        <v>42</v>
      </c>
    </row>
    <row r="1787" ht="22.5" customHeight="1">
      <c r="A1787" s="29">
        <v>46245.0</v>
      </c>
      <c r="B1787" s="31" t="s">
        <v>1901</v>
      </c>
      <c r="C1787" s="32" t="s">
        <v>1583</v>
      </c>
      <c r="D1787" s="198" t="str">
        <f t="array" ref="D1787">IF(E1787="", "", XLOOKUP(E1787, 'MASTER ITEM LIST'!B:B, 'MASTER ITEM LIST'!A:A, "Code Not Found"))</f>
        <v>PLYZCLR-01</v>
      </c>
      <c r="E1787" s="199" t="s">
        <v>400</v>
      </c>
      <c r="F1787" s="31"/>
      <c r="G1787" s="195" t="s">
        <v>34</v>
      </c>
      <c r="H1787" s="31">
        <v>3.0</v>
      </c>
      <c r="I1787" s="31" t="str">
        <f t="array" ref="I1787">IFERROR(XLOOKUP(D1787,'MASTER ITEM LIST'!A:A,'MASTER ITEM LIST'!D:D), "")</f>
        <v>CAN</v>
      </c>
      <c r="J1787" s="34">
        <f t="shared" si="2"/>
        <v>130</v>
      </c>
      <c r="K1787" s="196">
        <v>390.0</v>
      </c>
      <c r="L1787" s="70" t="s">
        <v>42</v>
      </c>
    </row>
    <row r="1788" ht="22.5" customHeight="1">
      <c r="A1788" s="29">
        <v>46245.0</v>
      </c>
      <c r="B1788" s="31" t="s">
        <v>1901</v>
      </c>
      <c r="C1788" s="32" t="s">
        <v>1583</v>
      </c>
      <c r="D1788" s="198" t="str">
        <f t="array" ref="D1788">IF(E1788="", "", XLOOKUP(E1788, 'MASTER ITEM LIST'!B:B, 'MASTER ITEM LIST'!A:A, "Code Not Found"))</f>
        <v>PLYZPRGR-145</v>
      </c>
      <c r="E1788" s="199" t="s">
        <v>359</v>
      </c>
      <c r="F1788" s="31"/>
      <c r="G1788" s="195" t="s">
        <v>34</v>
      </c>
      <c r="H1788" s="31">
        <v>3.0</v>
      </c>
      <c r="I1788" s="31" t="str">
        <f t="array" ref="I1788">IFERROR(XLOOKUP(D1788,'MASTER ITEM LIST'!A:A,'MASTER ITEM LIST'!D:D), "")</f>
        <v>CAN</v>
      </c>
      <c r="J1788" s="34">
        <f t="shared" si="2"/>
        <v>130</v>
      </c>
      <c r="K1788" s="196">
        <v>390.0</v>
      </c>
      <c r="L1788" s="70" t="s">
        <v>42</v>
      </c>
    </row>
    <row r="1789" ht="22.5" customHeight="1">
      <c r="A1789" s="29">
        <v>46245.0</v>
      </c>
      <c r="B1789" s="31" t="s">
        <v>1901</v>
      </c>
      <c r="C1789" s="32" t="s">
        <v>1583</v>
      </c>
      <c r="D1789" s="198" t="str">
        <f t="array" ref="D1789">IF(E1789="", "", XLOOKUP(E1789, 'MASTER ITEM LIST'!B:B, 'MASTER ITEM LIST'!A:A, "Code Not Found"))</f>
        <v>PLYZMTW-03</v>
      </c>
      <c r="E1789" s="199" t="s">
        <v>363</v>
      </c>
      <c r="F1789" s="31"/>
      <c r="G1789" s="195" t="s">
        <v>34</v>
      </c>
      <c r="H1789" s="31">
        <v>4.0</v>
      </c>
      <c r="I1789" s="31" t="str">
        <f t="array" ref="I1789">IFERROR(XLOOKUP(D1789,'MASTER ITEM LIST'!A:A,'MASTER ITEM LIST'!D:D), "")</f>
        <v>CAN</v>
      </c>
      <c r="J1789" s="34">
        <f t="shared" si="2"/>
        <v>130</v>
      </c>
      <c r="K1789" s="196">
        <v>520.0</v>
      </c>
      <c r="L1789" s="70" t="s">
        <v>42</v>
      </c>
    </row>
    <row r="1790" ht="22.5" customHeight="1">
      <c r="A1790" s="29">
        <v>46245.0</v>
      </c>
      <c r="B1790" s="31" t="s">
        <v>1901</v>
      </c>
      <c r="C1790" s="32" t="s">
        <v>1583</v>
      </c>
      <c r="D1790" s="198" t="str">
        <f t="array" ref="D1790">IF(E1790="", "", XLOOKUP(E1790, 'MASTER ITEM LIST'!B:B, 'MASTER ITEM LIST'!A:A, "Code Not Found"))</f>
        <v>2B-PB#1</v>
      </c>
      <c r="E1790" s="199" t="s">
        <v>510</v>
      </c>
      <c r="F1790" s="31"/>
      <c r="G1790" s="195" t="s">
        <v>34</v>
      </c>
      <c r="H1790" s="31">
        <v>2.0</v>
      </c>
      <c r="I1790" s="31" t="str">
        <f t="array" ref="I1790">IFERROR(XLOOKUP(D1790,'MASTER ITEM LIST'!A:A,'MASTER ITEM LIST'!D:D), "")</f>
        <v>PC/S</v>
      </c>
      <c r="J1790" s="34">
        <f t="shared" si="2"/>
        <v>25</v>
      </c>
      <c r="K1790" s="196">
        <v>50.0</v>
      </c>
      <c r="L1790" s="70" t="s">
        <v>42</v>
      </c>
    </row>
    <row r="1791" ht="22.5" customHeight="1">
      <c r="A1791" s="29">
        <v>46245.0</v>
      </c>
      <c r="B1791" s="31" t="s">
        <v>1901</v>
      </c>
      <c r="C1791" s="32" t="s">
        <v>1583</v>
      </c>
      <c r="D1791" s="198" t="str">
        <f t="array" ref="D1791">IF(E1791="", "", XLOOKUP(E1791, 'MASTER ITEM LIST'!B:B, 'MASTER ITEM LIST'!A:A, "Code Not Found"))</f>
        <v>EA240</v>
      </c>
      <c r="E1791" s="199" t="s">
        <v>1044</v>
      </c>
      <c r="F1791" s="31"/>
      <c r="G1791" s="195" t="s">
        <v>34</v>
      </c>
      <c r="H1791" s="31">
        <v>3.0</v>
      </c>
      <c r="I1791" s="31" t="str">
        <f t="array" ref="I1791">IFERROR(XLOOKUP(D1791,'MASTER ITEM LIST'!A:A,'MASTER ITEM LIST'!D:D), "")</f>
        <v>PC/S</v>
      </c>
      <c r="J1791" s="34">
        <f t="shared" si="2"/>
        <v>25</v>
      </c>
      <c r="K1791" s="196">
        <v>75.0</v>
      </c>
      <c r="L1791" s="70" t="s">
        <v>42</v>
      </c>
    </row>
    <row r="1792" ht="22.5" customHeight="1">
      <c r="A1792" s="29">
        <v>46245.0</v>
      </c>
      <c r="B1792" s="31"/>
      <c r="C1792" s="32" t="s">
        <v>711</v>
      </c>
      <c r="D1792" s="198" t="str">
        <f t="array" ref="D1792">IF(E1792="", "", XLOOKUP(E1792, 'MASTER ITEM LIST'!B:B, 'MASTER ITEM LIST'!A:A, "Code Not Found"))</f>
        <v>QDEMIX-1L</v>
      </c>
      <c r="E1792" s="199" t="s">
        <v>135</v>
      </c>
      <c r="F1792" s="31" t="s">
        <v>1902</v>
      </c>
      <c r="G1792" s="195" t="s">
        <v>34</v>
      </c>
      <c r="H1792" s="31">
        <v>1.0</v>
      </c>
      <c r="I1792" s="31" t="str">
        <f t="array" ref="I1792">IFERROR(XLOOKUP(D1792,'MASTER ITEM LIST'!A:A,'MASTER ITEM LIST'!D:D), "")</f>
        <v>LITER</v>
      </c>
      <c r="J1792" s="34">
        <f t="shared" si="2"/>
        <v>260</v>
      </c>
      <c r="K1792" s="196">
        <v>260.0</v>
      </c>
      <c r="L1792" s="70" t="s">
        <v>42</v>
      </c>
    </row>
    <row r="1793" ht="22.5" customHeight="1">
      <c r="A1793" s="29">
        <v>46245.0</v>
      </c>
      <c r="B1793" s="31"/>
      <c r="C1793" s="32" t="s">
        <v>711</v>
      </c>
      <c r="D1793" s="198" t="str">
        <f t="array" ref="D1793">IF(E1793="", "", XLOOKUP(E1793, 'MASTER ITEM LIST'!B:B, 'MASTER ITEM LIST'!A:A, "Code Not Found"))</f>
        <v>NAX108</v>
      </c>
      <c r="E1793" s="199" t="s">
        <v>960</v>
      </c>
      <c r="F1793" s="31"/>
      <c r="G1793" s="195" t="s">
        <v>34</v>
      </c>
      <c r="H1793" s="31">
        <v>1.0</v>
      </c>
      <c r="I1793" s="31" t="str">
        <f t="array" ref="I1793">IFERROR(XLOOKUP(D1793,'MASTER ITEM LIST'!A:A,'MASTER ITEM LIST'!D:D), "")</f>
        <v>LITER</v>
      </c>
      <c r="J1793" s="34">
        <f t="shared" si="2"/>
        <v>650</v>
      </c>
      <c r="K1793" s="196">
        <v>650.0</v>
      </c>
      <c r="L1793" s="70" t="s">
        <v>42</v>
      </c>
    </row>
    <row r="1794" ht="22.5" customHeight="1">
      <c r="A1794" s="29">
        <v>46245.0</v>
      </c>
      <c r="B1794" s="31"/>
      <c r="C1794" s="32" t="s">
        <v>711</v>
      </c>
      <c r="D1794" s="198" t="str">
        <f t="array" ref="D1794">IF(E1794="", "", XLOOKUP(E1794, 'MASTER ITEM LIST'!B:B, 'MASTER ITEM LIST'!A:A, "Code Not Found"))</f>
        <v>PRI3634</v>
      </c>
      <c r="E1794" s="199" t="s">
        <v>956</v>
      </c>
      <c r="F1794" s="31"/>
      <c r="G1794" s="195" t="s">
        <v>34</v>
      </c>
      <c r="H1794" s="31">
        <v>1.0</v>
      </c>
      <c r="I1794" s="31" t="str">
        <f t="array" ref="I1794">IFERROR(XLOOKUP(D1794,'MASTER ITEM LIST'!A:A,'MASTER ITEM LIST'!D:D), "")</f>
        <v>LITER</v>
      </c>
      <c r="J1794" s="34">
        <f t="shared" si="2"/>
        <v>590</v>
      </c>
      <c r="K1794" s="196">
        <v>590.0</v>
      </c>
      <c r="L1794" s="70" t="s">
        <v>42</v>
      </c>
    </row>
    <row r="1795" ht="22.5" customHeight="1">
      <c r="A1795" s="29">
        <v>46245.0</v>
      </c>
      <c r="B1795" s="31"/>
      <c r="C1795" s="32" t="s">
        <v>711</v>
      </c>
      <c r="D1795" s="198" t="str">
        <f t="array" ref="D1795">IF(E1795="", "", XLOOKUP(E1795, 'MASTER ITEM LIST'!B:B, 'MASTER ITEM LIST'!A:A, "Code Not Found"))</f>
        <v>SOB757</v>
      </c>
      <c r="E1795" s="199" t="s">
        <v>91</v>
      </c>
      <c r="F1795" s="31"/>
      <c r="G1795" s="195" t="s">
        <v>34</v>
      </c>
      <c r="H1795" s="31">
        <v>1.0</v>
      </c>
      <c r="I1795" s="31" t="str">
        <f t="array" ref="I1795">IFERROR(XLOOKUP(D1795,'MASTER ITEM LIST'!A:A,'MASTER ITEM LIST'!D:D), "")</f>
        <v>GAL</v>
      </c>
      <c r="J1795" s="34">
        <f t="shared" si="2"/>
        <v>750</v>
      </c>
      <c r="K1795" s="196">
        <v>750.0</v>
      </c>
      <c r="L1795" s="70" t="s">
        <v>42</v>
      </c>
    </row>
    <row r="1796" ht="22.5" customHeight="1">
      <c r="A1796" s="29">
        <v>46245.0</v>
      </c>
      <c r="B1796" s="31"/>
      <c r="C1796" s="32" t="s">
        <v>711</v>
      </c>
      <c r="D1796" s="198" t="str">
        <f t="array" ref="D1796">IF(E1796="", "", XLOOKUP(E1796, 'MASTER ITEM LIST'!B:B, 'MASTER ITEM LIST'!A:A, "Code Not Found"))</f>
        <v>PREMILAMIX-1L</v>
      </c>
      <c r="E1796" s="199" t="s">
        <v>1151</v>
      </c>
      <c r="F1796" s="31" t="s">
        <v>1903</v>
      </c>
      <c r="G1796" s="195" t="s">
        <v>34</v>
      </c>
      <c r="H1796" s="31">
        <v>0.5</v>
      </c>
      <c r="I1796" s="31" t="str">
        <f t="array" ref="I1796">IFERROR(XLOOKUP(D1796,'MASTER ITEM LIST'!A:A,'MASTER ITEM LIST'!D:D), "")</f>
        <v>LITER</v>
      </c>
      <c r="J1796" s="34">
        <f t="shared" si="2"/>
        <v>2000</v>
      </c>
      <c r="K1796" s="196">
        <v>1000.0</v>
      </c>
      <c r="L1796" s="70" t="s">
        <v>42</v>
      </c>
    </row>
    <row r="1797" ht="22.5" customHeight="1">
      <c r="A1797" s="29">
        <v>46245.0</v>
      </c>
      <c r="B1797" s="31"/>
      <c r="C1797" s="32" t="s">
        <v>711</v>
      </c>
      <c r="D1797" s="198" t="str">
        <f t="array" ref="D1797">IF(E1797="", "", XLOOKUP(E1797, 'MASTER ITEM LIST'!B:B, 'MASTER ITEM LIST'!A:A, "Code Not Found"))</f>
        <v>MEG3100-1L</v>
      </c>
      <c r="E1797" s="199" t="s">
        <v>970</v>
      </c>
      <c r="F1797" s="31"/>
      <c r="G1797" s="195" t="s">
        <v>34</v>
      </c>
      <c r="H1797" s="31">
        <v>2.0</v>
      </c>
      <c r="I1797" s="31" t="str">
        <f t="array" ref="I1797">IFERROR(XLOOKUP(D1797,'MASTER ITEM LIST'!A:A,'MASTER ITEM LIST'!D:D), "")</f>
        <v>LITER</v>
      </c>
      <c r="J1797" s="34">
        <f t="shared" si="2"/>
        <v>250</v>
      </c>
      <c r="K1797" s="196">
        <v>500.0</v>
      </c>
      <c r="L1797" s="70" t="s">
        <v>42</v>
      </c>
    </row>
    <row r="1798" ht="22.5" customHeight="1">
      <c r="A1798" s="29">
        <v>46245.0</v>
      </c>
      <c r="B1798" s="31"/>
      <c r="C1798" s="32" t="s">
        <v>711</v>
      </c>
      <c r="D1798" s="198" t="str">
        <f t="array" ref="D1798">IF(E1798="", "", XLOOKUP(E1798, 'MASTER ITEM LIST'!B:B, 'MASTER ITEM LIST'!A:A, "Code Not Found"))</f>
        <v>UTMIX-1L</v>
      </c>
      <c r="E1798" s="199" t="s">
        <v>109</v>
      </c>
      <c r="F1798" s="31"/>
      <c r="G1798" s="195" t="s">
        <v>34</v>
      </c>
      <c r="H1798" s="31">
        <v>0.5</v>
      </c>
      <c r="I1798" s="31" t="str">
        <f t="array" ref="I1798">IFERROR(XLOOKUP(D1798,'MASTER ITEM LIST'!A:A,'MASTER ITEM LIST'!D:D), "")</f>
        <v>LITER</v>
      </c>
      <c r="J1798" s="34">
        <f t="shared" si="2"/>
        <v>700</v>
      </c>
      <c r="K1798" s="196">
        <v>350.0</v>
      </c>
      <c r="L1798" s="70" t="s">
        <v>42</v>
      </c>
    </row>
    <row r="1799" ht="22.5" customHeight="1">
      <c r="A1799" s="29">
        <v>46245.0</v>
      </c>
      <c r="B1799" s="31" t="s">
        <v>1904</v>
      </c>
      <c r="C1799" s="32" t="s">
        <v>1587</v>
      </c>
      <c r="D1799" s="198" t="str">
        <f t="array" ref="D1799">IF(E1799="", "", XLOOKUP(E1799, 'MASTER ITEM LIST'!B:B, 'MASTER ITEM LIST'!A:A, "Code Not Found"))</f>
        <v>DOMBF-4L</v>
      </c>
      <c r="E1799" s="199" t="s">
        <v>1064</v>
      </c>
      <c r="F1799" s="31"/>
      <c r="G1799" s="195" t="s">
        <v>34</v>
      </c>
      <c r="H1799" s="31">
        <v>1.0</v>
      </c>
      <c r="I1799" s="31" t="str">
        <f t="array" ref="I1799">IFERROR(XLOOKUP(D1799,'MASTER ITEM LIST'!A:A,'MASTER ITEM LIST'!D:D), "")</f>
        <v>GAL</v>
      </c>
      <c r="J1799" s="34">
        <f t="shared" si="2"/>
        <v>690</v>
      </c>
      <c r="K1799" s="196">
        <v>690.0</v>
      </c>
      <c r="L1799" s="70" t="s">
        <v>42</v>
      </c>
    </row>
    <row r="1800" ht="22.5" customHeight="1">
      <c r="A1800" s="29">
        <v>46245.0</v>
      </c>
      <c r="B1800" s="31" t="s">
        <v>1904</v>
      </c>
      <c r="C1800" s="32" t="s">
        <v>1587</v>
      </c>
      <c r="D1800" s="198" t="str">
        <f t="array" ref="D1800">IF(E1800="", "", XLOOKUP(E1800, 'MASTER ITEM LIST'!B:B, 'MASTER ITEM LIST'!A:A, "Code Not Found"))</f>
        <v>EA800</v>
      </c>
      <c r="E1800" s="199" t="s">
        <v>1040</v>
      </c>
      <c r="F1800" s="31"/>
      <c r="G1800" s="195" t="s">
        <v>34</v>
      </c>
      <c r="H1800" s="31">
        <v>8.0</v>
      </c>
      <c r="I1800" s="31" t="str">
        <f t="array" ref="I1800">IFERROR(XLOOKUP(D1800,'MASTER ITEM LIST'!A:A,'MASTER ITEM LIST'!D:D), "")</f>
        <v>PC/S</v>
      </c>
      <c r="J1800" s="34">
        <f t="shared" si="2"/>
        <v>25</v>
      </c>
      <c r="K1800" s="196">
        <v>200.0</v>
      </c>
      <c r="L1800" s="70" t="s">
        <v>42</v>
      </c>
    </row>
    <row r="1801" ht="22.5" customHeight="1">
      <c r="A1801" s="29">
        <v>46245.0</v>
      </c>
      <c r="B1801" s="31" t="s">
        <v>1905</v>
      </c>
      <c r="C1801" s="32" t="s">
        <v>1215</v>
      </c>
      <c r="D1801" s="198" t="str">
        <f t="array" ref="D1801">IF(E1801="", "", XLOOKUP(E1801, 'MASTER ITEM LIST'!B:B, 'MASTER ITEM LIST'!A:A, "Code Not Found"))</f>
        <v>NXU4075-4L</v>
      </c>
      <c r="E1801" s="199" t="s">
        <v>564</v>
      </c>
      <c r="F1801" s="31"/>
      <c r="G1801" s="195" t="s">
        <v>1211</v>
      </c>
      <c r="H1801" s="31">
        <v>1.0</v>
      </c>
      <c r="I1801" s="31" t="str">
        <f t="array" ref="I1801">IFERROR(XLOOKUP(D1801,'MASTER ITEM LIST'!A:A,'MASTER ITEM LIST'!D:D), "")</f>
        <v>GAL</v>
      </c>
      <c r="J1801" s="34">
        <f t="shared" si="2"/>
        <v>2400</v>
      </c>
      <c r="K1801" s="196">
        <v>2400.0</v>
      </c>
      <c r="L1801" s="70" t="s">
        <v>1217</v>
      </c>
    </row>
    <row r="1802" ht="22.5" customHeight="1">
      <c r="A1802" s="29">
        <v>46245.0</v>
      </c>
      <c r="B1802" s="31" t="s">
        <v>1905</v>
      </c>
      <c r="C1802" s="32" t="s">
        <v>1215</v>
      </c>
      <c r="D1802" s="198" t="str">
        <f t="array" ref="D1802">IF(E1802="", "", XLOOKUP(E1802, 'MASTER ITEM LIST'!B:B, 'MASTER ITEM LIST'!A:A, "Code Not Found"))</f>
        <v>NAX10100</v>
      </c>
      <c r="E1802" s="199" t="s">
        <v>947</v>
      </c>
      <c r="F1802" s="31"/>
      <c r="G1802" s="195" t="s">
        <v>1211</v>
      </c>
      <c r="H1802" s="31">
        <v>2.0</v>
      </c>
      <c r="I1802" s="31" t="str">
        <f t="array" ref="I1802">IFERROR(XLOOKUP(D1802,'MASTER ITEM LIST'!A:A,'MASTER ITEM LIST'!D:D), "")</f>
        <v>LITER</v>
      </c>
      <c r="J1802" s="34">
        <f t="shared" si="2"/>
        <v>1400</v>
      </c>
      <c r="K1802" s="196">
        <v>2800.0</v>
      </c>
      <c r="L1802" s="70" t="s">
        <v>1217</v>
      </c>
    </row>
    <row r="1803" ht="22.5" customHeight="1">
      <c r="A1803" s="29">
        <v>46245.0</v>
      </c>
      <c r="B1803" s="31" t="s">
        <v>1905</v>
      </c>
      <c r="C1803" s="32" t="s">
        <v>1215</v>
      </c>
      <c r="D1803" s="198" t="str">
        <f t="array" ref="D1803">IF(E1803="", "", XLOOKUP(E1803, 'MASTER ITEM LIST'!B:B, 'MASTER ITEM LIST'!A:A, "Code Not Found"))</f>
        <v>EA400</v>
      </c>
      <c r="E1803" s="199" t="s">
        <v>1043</v>
      </c>
      <c r="F1803" s="31"/>
      <c r="G1803" s="195" t="s">
        <v>1211</v>
      </c>
      <c r="H1803" s="31">
        <v>20.0</v>
      </c>
      <c r="I1803" s="31" t="str">
        <f t="array" ref="I1803">IFERROR(XLOOKUP(D1803,'MASTER ITEM LIST'!A:A,'MASTER ITEM LIST'!D:D), "")</f>
        <v>PC/S</v>
      </c>
      <c r="J1803" s="34">
        <f t="shared" si="2"/>
        <v>25</v>
      </c>
      <c r="K1803" s="196">
        <v>500.0</v>
      </c>
      <c r="L1803" s="70" t="s">
        <v>1217</v>
      </c>
    </row>
    <row r="1804" ht="22.5" customHeight="1">
      <c r="A1804" s="29">
        <v>46245.0</v>
      </c>
      <c r="B1804" s="31" t="s">
        <v>1905</v>
      </c>
      <c r="C1804" s="32" t="s">
        <v>1215</v>
      </c>
      <c r="D1804" s="198" t="str">
        <f t="array" ref="D1804">IF(E1804="", "", XLOOKUP(E1804, 'MASTER ITEM LIST'!B:B, 'MASTER ITEM LIST'!A:A, "Code Not Found"))</f>
        <v>EA600</v>
      </c>
      <c r="E1804" s="199" t="s">
        <v>1041</v>
      </c>
      <c r="F1804" s="31"/>
      <c r="G1804" s="195" t="s">
        <v>1211</v>
      </c>
      <c r="H1804" s="31">
        <v>20.0</v>
      </c>
      <c r="I1804" s="31" t="str">
        <f t="array" ref="I1804">IFERROR(XLOOKUP(D1804,'MASTER ITEM LIST'!A:A,'MASTER ITEM LIST'!D:D), "")</f>
        <v>PCS</v>
      </c>
      <c r="J1804" s="34">
        <f t="shared" si="2"/>
        <v>25</v>
      </c>
      <c r="K1804" s="196">
        <v>500.0</v>
      </c>
      <c r="L1804" s="70" t="s">
        <v>1217</v>
      </c>
    </row>
    <row r="1805" ht="22.5" customHeight="1">
      <c r="A1805" s="29">
        <v>46245.0</v>
      </c>
      <c r="B1805" s="31" t="s">
        <v>1905</v>
      </c>
      <c r="C1805" s="32" t="s">
        <v>1215</v>
      </c>
      <c r="D1805" s="198" t="str">
        <f t="array" ref="D1805">IF(E1805="", "", XLOOKUP(E1805, 'MASTER ITEM LIST'!B:B, 'MASTER ITEM LIST'!A:A, "Code Not Found"))</f>
        <v>NAX21</v>
      </c>
      <c r="E1805" s="199" t="s">
        <v>848</v>
      </c>
      <c r="F1805" s="31"/>
      <c r="G1805" s="195" t="s">
        <v>1211</v>
      </c>
      <c r="H1805" s="31">
        <v>4.0</v>
      </c>
      <c r="I1805" s="31" t="str">
        <f t="array" ref="I1805">IFERROR(XLOOKUP(D1805,'MASTER ITEM LIST'!A:A,'MASTER ITEM LIST'!D:D), "")</f>
        <v>CANS</v>
      </c>
      <c r="J1805" s="34">
        <f t="shared" si="2"/>
        <v>260</v>
      </c>
      <c r="K1805" s="196">
        <v>1040.0</v>
      </c>
      <c r="L1805" s="70" t="s">
        <v>1217</v>
      </c>
    </row>
    <row r="1806" ht="22.5" customHeight="1">
      <c r="A1806" s="29">
        <v>46245.0</v>
      </c>
      <c r="B1806" s="31"/>
      <c r="C1806" s="32" t="s">
        <v>711</v>
      </c>
      <c r="D1806" s="198" t="str">
        <f t="array" ref="D1806">IF(E1806="", "", XLOOKUP(E1806, 'MASTER ITEM LIST'!B:B, 'MASTER ITEM LIST'!A:A, "Code Not Found"))</f>
        <v>QDEMIX-1L</v>
      </c>
      <c r="E1806" s="199" t="s">
        <v>135</v>
      </c>
      <c r="F1806" s="31" t="s">
        <v>1906</v>
      </c>
      <c r="G1806" s="195" t="s">
        <v>34</v>
      </c>
      <c r="H1806" s="31">
        <v>2.0</v>
      </c>
      <c r="I1806" s="31" t="str">
        <f t="array" ref="I1806">IFERROR(XLOOKUP(D1806,'MASTER ITEM LIST'!A:A,'MASTER ITEM LIST'!D:D), "")</f>
        <v>LITER</v>
      </c>
      <c r="J1806" s="34">
        <f t="shared" si="2"/>
        <v>260</v>
      </c>
      <c r="K1806" s="196">
        <v>520.0</v>
      </c>
      <c r="L1806" s="70" t="s">
        <v>42</v>
      </c>
    </row>
    <row r="1807" ht="22.5" customHeight="1">
      <c r="A1807" s="29">
        <v>46245.0</v>
      </c>
      <c r="B1807" s="31"/>
      <c r="C1807" s="32" t="s">
        <v>711</v>
      </c>
      <c r="D1807" s="198" t="str">
        <f t="array" ref="D1807">IF(E1807="", "", XLOOKUP(E1807, 'MASTER ITEM LIST'!B:B, 'MASTER ITEM LIST'!A:A, "Code Not Found"))</f>
        <v>UNOLT-BOT</v>
      </c>
      <c r="E1807" s="199" t="s">
        <v>178</v>
      </c>
      <c r="F1807" s="31"/>
      <c r="G1807" s="195" t="s">
        <v>34</v>
      </c>
      <c r="H1807" s="31">
        <v>1.0</v>
      </c>
      <c r="I1807" s="31" t="str">
        <f t="array" ref="I1807">IFERROR(XLOOKUP(D1807,'MASTER ITEM LIST'!A:A,'MASTER ITEM LIST'!D:D), "")</f>
        <v>BOT</v>
      </c>
      <c r="J1807" s="34">
        <f t="shared" si="2"/>
        <v>80</v>
      </c>
      <c r="K1807" s="196">
        <v>80.0</v>
      </c>
      <c r="L1807" s="70" t="s">
        <v>42</v>
      </c>
    </row>
    <row r="1808" ht="22.5" customHeight="1">
      <c r="A1808" s="29">
        <v>46245.0</v>
      </c>
      <c r="B1808" s="31"/>
      <c r="C1808" s="32" t="s">
        <v>711</v>
      </c>
      <c r="D1808" s="198" t="str">
        <f t="array" ref="D1808">IF(E1808="", "", XLOOKUP(E1808, 'MASTER ITEM LIST'!B:B, 'MASTER ITEM LIST'!A:A, "Code Not Found"))</f>
        <v>2B-PB-1 1/2</v>
      </c>
      <c r="E1808" s="199" t="s">
        <v>1167</v>
      </c>
      <c r="F1808" s="31"/>
      <c r="G1808" s="195" t="s">
        <v>34</v>
      </c>
      <c r="H1808" s="31">
        <v>1.0</v>
      </c>
      <c r="I1808" s="31" t="str">
        <f t="array" ref="I1808">IFERROR(XLOOKUP(D1808,'MASTER ITEM LIST'!A:A,'MASTER ITEM LIST'!D:D), "")</f>
        <v>PC/S</v>
      </c>
      <c r="J1808" s="34">
        <f t="shared" si="2"/>
        <v>35</v>
      </c>
      <c r="K1808" s="196">
        <v>35.0</v>
      </c>
      <c r="L1808" s="70" t="s">
        <v>42</v>
      </c>
    </row>
    <row r="1809" ht="22.5" customHeight="1">
      <c r="A1809" s="29">
        <v>46245.0</v>
      </c>
      <c r="B1809" s="31"/>
      <c r="C1809" s="32" t="s">
        <v>711</v>
      </c>
      <c r="D1809" s="198" t="str">
        <f t="array" ref="D1809">IF(E1809="", "", XLOOKUP(E1809, 'MASTER ITEM LIST'!B:B, 'MASTER ITEM LIST'!A:A, "Code Not Found"))</f>
        <v>2B-#4</v>
      </c>
      <c r="E1809" s="199" t="s">
        <v>1146</v>
      </c>
      <c r="F1809" s="31"/>
      <c r="G1809" s="195" t="s">
        <v>34</v>
      </c>
      <c r="H1809" s="31">
        <v>1.0</v>
      </c>
      <c r="I1809" s="31" t="str">
        <f t="array" ref="I1809">IFERROR(XLOOKUP(D1809,'MASTER ITEM LIST'!A:A,'MASTER ITEM LIST'!D:D), "")</f>
        <v>PC/S</v>
      </c>
      <c r="J1809" s="34">
        <f t="shared" si="2"/>
        <v>65</v>
      </c>
      <c r="K1809" s="196">
        <v>65.0</v>
      </c>
      <c r="L1809" s="70" t="s">
        <v>42</v>
      </c>
    </row>
    <row r="1810" ht="22.5" customHeight="1">
      <c r="A1810" s="29">
        <v>46245.0</v>
      </c>
      <c r="B1810" s="31" t="s">
        <v>1907</v>
      </c>
      <c r="C1810" s="32" t="s">
        <v>1240</v>
      </c>
      <c r="D1810" s="198" t="str">
        <f t="array" ref="D1810">IF(E1810="", "", XLOOKUP(E1810, 'MASTER ITEM LIST'!B:B, 'MASTER ITEM LIST'!A:A, "Code Not Found"))</f>
        <v>SOB757</v>
      </c>
      <c r="E1810" s="199" t="s">
        <v>91</v>
      </c>
      <c r="F1810" s="31"/>
      <c r="G1810" s="195" t="s">
        <v>1376</v>
      </c>
      <c r="H1810" s="31">
        <v>1.0</v>
      </c>
      <c r="I1810" s="31" t="str">
        <f t="array" ref="I1810">IFERROR(XLOOKUP(D1810,'MASTER ITEM LIST'!A:A,'MASTER ITEM LIST'!D:D), "")</f>
        <v>GAL</v>
      </c>
      <c r="J1810" s="34">
        <f t="shared" si="2"/>
        <v>780</v>
      </c>
      <c r="K1810" s="196">
        <v>780.0</v>
      </c>
      <c r="L1810" s="70" t="s">
        <v>1376</v>
      </c>
    </row>
    <row r="1811" ht="22.5" customHeight="1">
      <c r="A1811" s="29">
        <v>46245.0</v>
      </c>
      <c r="B1811" s="31" t="s">
        <v>1907</v>
      </c>
      <c r="C1811" s="32" t="s">
        <v>1240</v>
      </c>
      <c r="D1811" s="198" t="str">
        <f t="array" ref="D1811">IF(E1811="", "", XLOOKUP(E1811, 'MASTER ITEM LIST'!B:B, 'MASTER ITEM LIST'!A:A, "Code Not Found"))</f>
        <v>MSC</v>
      </c>
      <c r="E1811" s="199" t="s">
        <v>518</v>
      </c>
      <c r="F1811" s="31"/>
      <c r="G1811" s="195" t="s">
        <v>1376</v>
      </c>
      <c r="H1811" s="31">
        <v>1.0</v>
      </c>
      <c r="I1811" s="31" t="str">
        <f t="array" ref="I1811">IFERROR(XLOOKUP(D1811,'MASTER ITEM LIST'!A:A,'MASTER ITEM LIST'!D:D), "")</f>
        <v>KG</v>
      </c>
      <c r="J1811" s="34">
        <f t="shared" si="2"/>
        <v>100</v>
      </c>
      <c r="K1811" s="196">
        <v>100.0</v>
      </c>
      <c r="L1811" s="70" t="s">
        <v>1376</v>
      </c>
    </row>
    <row r="1812" ht="22.5" customHeight="1">
      <c r="A1812" s="29">
        <v>46245.0</v>
      </c>
      <c r="B1812" s="31" t="s">
        <v>1907</v>
      </c>
      <c r="C1812" s="32" t="s">
        <v>1240</v>
      </c>
      <c r="D1812" s="198" t="str">
        <f t="array" ref="D1812">IF(E1812="", "", XLOOKUP(E1812, 'MASTER ITEM LIST'!B:B, 'MASTER ITEM LIST'!A:A, "Code Not Found"))</f>
        <v>EA1200</v>
      </c>
      <c r="E1812" s="199" t="s">
        <v>1047</v>
      </c>
      <c r="F1812" s="31"/>
      <c r="G1812" s="195" t="s">
        <v>1376</v>
      </c>
      <c r="H1812" s="31">
        <v>5.0</v>
      </c>
      <c r="I1812" s="31" t="str">
        <f t="array" ref="I1812">IFERROR(XLOOKUP(D1812,'MASTER ITEM LIST'!A:A,'MASTER ITEM LIST'!D:D), "")</f>
        <v>PC/S</v>
      </c>
      <c r="J1812" s="34">
        <f t="shared" si="2"/>
        <v>25</v>
      </c>
      <c r="K1812" s="196">
        <v>125.0</v>
      </c>
      <c r="L1812" s="70" t="s">
        <v>1376</v>
      </c>
    </row>
    <row r="1813" ht="22.5" customHeight="1">
      <c r="A1813" s="29">
        <v>46245.0</v>
      </c>
      <c r="B1813" s="31" t="s">
        <v>1907</v>
      </c>
      <c r="C1813" s="32" t="s">
        <v>1240</v>
      </c>
      <c r="D1813" s="198" t="str">
        <f t="array" ref="D1813">IF(E1813="", "", XLOOKUP(E1813, 'MASTER ITEM LIST'!B:B, 'MASTER ITEM LIST'!A:A, "Code Not Found"))</f>
        <v>EA1500</v>
      </c>
      <c r="E1813" s="199" t="s">
        <v>1039</v>
      </c>
      <c r="F1813" s="31"/>
      <c r="G1813" s="195" t="s">
        <v>1376</v>
      </c>
      <c r="H1813" s="31">
        <v>5.0</v>
      </c>
      <c r="I1813" s="31" t="str">
        <f t="array" ref="I1813">IFERROR(XLOOKUP(D1813,'MASTER ITEM LIST'!A:A,'MASTER ITEM LIST'!D:D), "")</f>
        <v>PC/S</v>
      </c>
      <c r="J1813" s="34">
        <f t="shared" si="2"/>
        <v>35</v>
      </c>
      <c r="K1813" s="196">
        <v>175.0</v>
      </c>
      <c r="L1813" s="70" t="s">
        <v>1376</v>
      </c>
    </row>
    <row r="1814" ht="22.5" customHeight="1">
      <c r="A1814" s="29">
        <v>46245.0</v>
      </c>
      <c r="B1814" s="31" t="s">
        <v>1907</v>
      </c>
      <c r="C1814" s="32" t="s">
        <v>1240</v>
      </c>
      <c r="D1814" s="198" t="str">
        <f t="array" ref="D1814">IF(E1814="", "", XLOOKUP(E1814, 'MASTER ITEM LIST'!B:B, 'MASTER ITEM LIST'!A:A, "Code Not Found"))</f>
        <v>EA1000</v>
      </c>
      <c r="E1814" s="199" t="s">
        <v>1049</v>
      </c>
      <c r="F1814" s="31"/>
      <c r="G1814" s="195" t="s">
        <v>1376</v>
      </c>
      <c r="H1814" s="31">
        <v>5.0</v>
      </c>
      <c r="I1814" s="31" t="str">
        <f t="array" ref="I1814">IFERROR(XLOOKUP(D1814,'MASTER ITEM LIST'!A:A,'MASTER ITEM LIST'!D:D), "")</f>
        <v>PC/S</v>
      </c>
      <c r="J1814" s="34">
        <f t="shared" si="2"/>
        <v>25</v>
      </c>
      <c r="K1814" s="196">
        <v>125.0</v>
      </c>
      <c r="L1814" s="70" t="s">
        <v>1376</v>
      </c>
    </row>
    <row r="1815" ht="22.5" customHeight="1">
      <c r="A1815" s="29">
        <v>46245.0</v>
      </c>
      <c r="B1815" s="31" t="s">
        <v>1907</v>
      </c>
      <c r="C1815" s="32" t="s">
        <v>1240</v>
      </c>
      <c r="D1815" s="198" t="str">
        <f t="array" ref="D1815">IF(E1815="", "", XLOOKUP(E1815, 'MASTER ITEM LIST'!B:B, 'MASTER ITEM LIST'!A:A, "Code Not Found"))</f>
        <v>PREMILAMIX-1L</v>
      </c>
      <c r="E1815" s="199" t="s">
        <v>1151</v>
      </c>
      <c r="F1815" s="31" t="s">
        <v>1908</v>
      </c>
      <c r="G1815" s="195" t="s">
        <v>1376</v>
      </c>
      <c r="H1815" s="31">
        <v>0.25</v>
      </c>
      <c r="I1815" s="31" t="str">
        <f t="array" ref="I1815">IFERROR(XLOOKUP(D1815,'MASTER ITEM LIST'!A:A,'MASTER ITEM LIST'!D:D), "")</f>
        <v>LITER</v>
      </c>
      <c r="J1815" s="34">
        <f t="shared" si="2"/>
        <v>2800</v>
      </c>
      <c r="K1815" s="196">
        <v>700.0</v>
      </c>
      <c r="L1815" s="70" t="s">
        <v>1376</v>
      </c>
    </row>
    <row r="1816" ht="22.5" customHeight="1">
      <c r="A1816" s="29">
        <v>46245.0</v>
      </c>
      <c r="B1816" s="31" t="s">
        <v>1907</v>
      </c>
      <c r="C1816" s="32" t="s">
        <v>1240</v>
      </c>
      <c r="D1816" s="198" t="str">
        <f t="array" ref="D1816">IF(E1816="", "", XLOOKUP(E1816, 'MASTER ITEM LIST'!B:B, 'MASTER ITEM LIST'!A:A, "Code Not Found"))</f>
        <v>PREMILAMIX-1L</v>
      </c>
      <c r="E1816" s="199" t="s">
        <v>1151</v>
      </c>
      <c r="F1816" s="31" t="s">
        <v>1909</v>
      </c>
      <c r="G1816" s="195" t="s">
        <v>1376</v>
      </c>
      <c r="H1816" s="31">
        <v>0.5</v>
      </c>
      <c r="I1816" s="31" t="str">
        <f t="array" ref="I1816">IFERROR(XLOOKUP(D1816,'MASTER ITEM LIST'!A:A,'MASTER ITEM LIST'!D:D), "")</f>
        <v>LITER</v>
      </c>
      <c r="J1816" s="34">
        <f t="shared" si="2"/>
        <v>2600</v>
      </c>
      <c r="K1816" s="196">
        <v>1300.0</v>
      </c>
      <c r="L1816" s="70" t="s">
        <v>1376</v>
      </c>
    </row>
    <row r="1817" ht="22.5" customHeight="1">
      <c r="A1817" s="29">
        <v>46245.0</v>
      </c>
      <c r="B1817" s="31" t="s">
        <v>1907</v>
      </c>
      <c r="C1817" s="32" t="s">
        <v>1240</v>
      </c>
      <c r="D1817" s="198" t="str">
        <f t="array" ref="D1817">IF(E1817="", "", XLOOKUP(E1817, 'MASTER ITEM LIST'!B:B, 'MASTER ITEM LIST'!A:A, "Code Not Found"))</f>
        <v>PRI3634</v>
      </c>
      <c r="E1817" s="199" t="s">
        <v>956</v>
      </c>
      <c r="F1817" s="31"/>
      <c r="G1817" s="195" t="s">
        <v>1376</v>
      </c>
      <c r="H1817" s="31">
        <v>1.0</v>
      </c>
      <c r="I1817" s="31" t="str">
        <f t="array" ref="I1817">IFERROR(XLOOKUP(D1817,'MASTER ITEM LIST'!A:A,'MASTER ITEM LIST'!D:D), "")</f>
        <v>LITER</v>
      </c>
      <c r="J1817" s="34">
        <f t="shared" si="2"/>
        <v>600</v>
      </c>
      <c r="K1817" s="196">
        <v>600.0</v>
      </c>
      <c r="L1817" s="70" t="s">
        <v>1376</v>
      </c>
    </row>
    <row r="1818" ht="22.5" customHeight="1">
      <c r="A1818" s="29">
        <v>46245.0</v>
      </c>
      <c r="B1818" s="31" t="s">
        <v>1910</v>
      </c>
      <c r="C1818" s="32" t="s">
        <v>1583</v>
      </c>
      <c r="D1818" s="198" t="str">
        <f t="array" ref="D1818">IF(E1818="", "", XLOOKUP(E1818, 'MASTER ITEM LIST'!B:B, 'MASTER ITEM LIST'!A:A, "Code Not Found"))</f>
        <v>PLYZMTW-03</v>
      </c>
      <c r="E1818" s="199" t="s">
        <v>363</v>
      </c>
      <c r="F1818" s="31"/>
      <c r="G1818" s="195" t="s">
        <v>34</v>
      </c>
      <c r="H1818" s="31">
        <v>5.0</v>
      </c>
      <c r="I1818" s="31" t="str">
        <f t="array" ref="I1818">IFERROR(XLOOKUP(D1818,'MASTER ITEM LIST'!A:A,'MASTER ITEM LIST'!D:D), "")</f>
        <v>CAN</v>
      </c>
      <c r="J1818" s="34">
        <f t="shared" si="2"/>
        <v>130</v>
      </c>
      <c r="K1818" s="196">
        <v>650.0</v>
      </c>
      <c r="L1818" s="70" t="s">
        <v>42</v>
      </c>
    </row>
    <row r="1819" ht="22.5" customHeight="1">
      <c r="A1819" s="29">
        <v>46245.0</v>
      </c>
      <c r="B1819" s="31"/>
      <c r="C1819" s="32" t="s">
        <v>711</v>
      </c>
      <c r="D1819" s="198" t="str">
        <f t="array" ref="D1819">IF(E1819="", "", XLOOKUP(E1819, 'MASTER ITEM LIST'!B:B, 'MASTER ITEM LIST'!A:A, "Code Not Found"))</f>
        <v>NCGVARNISH-LTR</v>
      </c>
      <c r="E1819" s="199" t="s">
        <v>666</v>
      </c>
      <c r="F1819" s="31"/>
      <c r="G1819" s="195" t="s">
        <v>34</v>
      </c>
      <c r="H1819" s="31">
        <v>1.0</v>
      </c>
      <c r="I1819" s="31" t="str">
        <f t="array" ref="I1819">IFERROR(XLOOKUP(D1819,'MASTER ITEM LIST'!A:A,'MASTER ITEM LIST'!D:D), "")</f>
        <v>LTR</v>
      </c>
      <c r="J1819" s="34">
        <f t="shared" si="2"/>
        <v>650</v>
      </c>
      <c r="K1819" s="196">
        <v>650.0</v>
      </c>
      <c r="L1819" s="70" t="s">
        <v>42</v>
      </c>
    </row>
    <row r="1820" ht="22.5" customHeight="1">
      <c r="A1820" s="29">
        <v>46245.0</v>
      </c>
      <c r="B1820" s="31"/>
      <c r="C1820" s="32" t="s">
        <v>711</v>
      </c>
      <c r="D1820" s="198" t="str">
        <f t="array" ref="D1820">IF(E1820="", "", XLOOKUP(E1820, 'MASTER ITEM LIST'!B:B, 'MASTER ITEM LIST'!A:A, "Code Not Found"))</f>
        <v>EA120</v>
      </c>
      <c r="E1820" s="199" t="s">
        <v>1048</v>
      </c>
      <c r="F1820" s="31"/>
      <c r="G1820" s="195" t="s">
        <v>34</v>
      </c>
      <c r="H1820" s="31">
        <v>2.0</v>
      </c>
      <c r="I1820" s="31" t="str">
        <f t="array" ref="I1820">IFERROR(XLOOKUP(D1820,'MASTER ITEM LIST'!A:A,'MASTER ITEM LIST'!D:D), "")</f>
        <v>PC/S</v>
      </c>
      <c r="J1820" s="34">
        <f t="shared" si="2"/>
        <v>25</v>
      </c>
      <c r="K1820" s="196">
        <v>50.0</v>
      </c>
      <c r="L1820" s="70" t="s">
        <v>42</v>
      </c>
    </row>
    <row r="1821" ht="22.5" customHeight="1">
      <c r="A1821" s="29">
        <v>46246.0</v>
      </c>
      <c r="B1821" s="31" t="s">
        <v>1589</v>
      </c>
      <c r="C1821" s="32" t="s">
        <v>1590</v>
      </c>
      <c r="D1821" s="198" t="str">
        <f t="array" ref="D1821">IF(E1821="", "", XLOOKUP(E1821, 'MASTER ITEM LIST'!B:B, 'MASTER ITEM LIST'!A:A, "Code Not Found"))</f>
        <v>NFWE-4L</v>
      </c>
      <c r="E1821" s="199" t="s">
        <v>552</v>
      </c>
      <c r="F1821" s="31"/>
      <c r="G1821" s="195" t="s">
        <v>34</v>
      </c>
      <c r="H1821" s="31">
        <v>2.0</v>
      </c>
      <c r="I1821" s="31" t="str">
        <f t="array" ref="I1821">IFERROR(XLOOKUP(D1821,'MASTER ITEM LIST'!A:A,'MASTER ITEM LIST'!D:D), "")</f>
        <v>GAL</v>
      </c>
      <c r="J1821" s="34">
        <f t="shared" si="2"/>
        <v>850</v>
      </c>
      <c r="K1821" s="196">
        <v>1700.0</v>
      </c>
      <c r="L1821" s="70" t="s">
        <v>42</v>
      </c>
    </row>
    <row r="1822" ht="22.5" customHeight="1">
      <c r="A1822" s="29">
        <v>46246.0</v>
      </c>
      <c r="B1822" s="31" t="s">
        <v>1589</v>
      </c>
      <c r="C1822" s="32" t="s">
        <v>1590</v>
      </c>
      <c r="D1822" s="198" t="str">
        <f t="array" ref="D1822">IF(E1822="", "", XLOOKUP(E1822, 'MASTER ITEM LIST'!B:B, 'MASTER ITEM LIST'!A:A, "Code Not Found"))</f>
        <v>DOMBF-4L</v>
      </c>
      <c r="E1822" s="199" t="s">
        <v>1064</v>
      </c>
      <c r="F1822" s="31"/>
      <c r="G1822" s="195" t="s">
        <v>34</v>
      </c>
      <c r="H1822" s="31">
        <v>1.0</v>
      </c>
      <c r="I1822" s="31" t="str">
        <f t="array" ref="I1822">IFERROR(XLOOKUP(D1822,'MASTER ITEM LIST'!A:A,'MASTER ITEM LIST'!D:D), "")</f>
        <v>GAL</v>
      </c>
      <c r="J1822" s="34">
        <f t="shared" si="2"/>
        <v>680</v>
      </c>
      <c r="K1822" s="196">
        <v>680.0</v>
      </c>
      <c r="L1822" s="70" t="s">
        <v>42</v>
      </c>
    </row>
    <row r="1823" ht="22.5" customHeight="1">
      <c r="A1823" s="29">
        <v>46246.0</v>
      </c>
      <c r="B1823" s="31" t="s">
        <v>1589</v>
      </c>
      <c r="C1823" s="32" t="s">
        <v>1590</v>
      </c>
      <c r="D1823" s="198" t="str">
        <f t="array" ref="D1823">IF(E1823="", "", XLOOKUP(E1823, 'MASTER ITEM LIST'!B:B, 'MASTER ITEM LIST'!A:A, "Code Not Found"))</f>
        <v>UNOLT-BOT</v>
      </c>
      <c r="E1823" s="199" t="s">
        <v>178</v>
      </c>
      <c r="F1823" s="31"/>
      <c r="G1823" s="195" t="s">
        <v>34</v>
      </c>
      <c r="H1823" s="31">
        <v>2.0</v>
      </c>
      <c r="I1823" s="31" t="str">
        <f t="array" ref="I1823">IFERROR(XLOOKUP(D1823,'MASTER ITEM LIST'!A:A,'MASTER ITEM LIST'!D:D), "")</f>
        <v>BOT</v>
      </c>
      <c r="J1823" s="34">
        <f t="shared" si="2"/>
        <v>80</v>
      </c>
      <c r="K1823" s="196">
        <v>160.0</v>
      </c>
      <c r="L1823" s="70" t="s">
        <v>42</v>
      </c>
    </row>
    <row r="1824" ht="22.5" customHeight="1">
      <c r="A1824" s="29">
        <v>46246.0</v>
      </c>
      <c r="B1824" s="31" t="s">
        <v>1911</v>
      </c>
      <c r="C1824" s="32" t="s">
        <v>1572</v>
      </c>
      <c r="D1824" s="198" t="str">
        <f t="array" ref="D1824">IF(E1824="", "", XLOOKUP(E1824, 'MASTER ITEM LIST'!B:B, 'MASTER ITEM LIST'!A:A, "Code Not Found"))</f>
        <v>NAXQDUMIX-1L</v>
      </c>
      <c r="E1824" s="199" t="s">
        <v>1161</v>
      </c>
      <c r="F1824" s="31" t="s">
        <v>1912</v>
      </c>
      <c r="G1824" s="195" t="s">
        <v>34</v>
      </c>
      <c r="H1824" s="31">
        <v>0.1</v>
      </c>
      <c r="I1824" s="31" t="str">
        <f t="array" ref="I1824">IFERROR(XLOOKUP(D1824,'MASTER ITEM LIST'!A:A,'MASTER ITEM LIST'!D:D), "")</f>
        <v>LITER</v>
      </c>
      <c r="J1824" s="34">
        <f t="shared" si="2"/>
        <v>1000</v>
      </c>
      <c r="K1824" s="196">
        <v>100.0</v>
      </c>
      <c r="L1824" s="70" t="s">
        <v>42</v>
      </c>
    </row>
    <row r="1825" ht="22.5" customHeight="1">
      <c r="A1825" s="29">
        <v>46246.0</v>
      </c>
      <c r="B1825" s="31" t="s">
        <v>1911</v>
      </c>
      <c r="C1825" s="32" t="s">
        <v>1572</v>
      </c>
      <c r="D1825" s="198" t="str">
        <f t="array" ref="D1825">IF(E1825="", "", XLOOKUP(E1825, 'MASTER ITEM LIST'!B:B, 'MASTER ITEM LIST'!A:A, "Code Not Found"))</f>
        <v>SOB757</v>
      </c>
      <c r="E1825" s="199" t="s">
        <v>91</v>
      </c>
      <c r="F1825" s="31"/>
      <c r="G1825" s="195" t="s">
        <v>34</v>
      </c>
      <c r="H1825" s="31">
        <v>0.25</v>
      </c>
      <c r="I1825" s="31" t="str">
        <f t="array" ref="I1825">IFERROR(XLOOKUP(D1825,'MASTER ITEM LIST'!A:A,'MASTER ITEM LIST'!D:D), "")</f>
        <v>GAL</v>
      </c>
      <c r="J1825" s="34">
        <f t="shared" si="2"/>
        <v>760</v>
      </c>
      <c r="K1825" s="196">
        <v>190.0</v>
      </c>
      <c r="L1825" s="70" t="s">
        <v>42</v>
      </c>
    </row>
    <row r="1826" ht="22.5" customHeight="1">
      <c r="A1826" s="29">
        <v>46246.0</v>
      </c>
      <c r="B1826" s="31" t="s">
        <v>1911</v>
      </c>
      <c r="C1826" s="32" t="s">
        <v>1572</v>
      </c>
      <c r="D1826" s="198" t="str">
        <f t="array" ref="D1826">IF(E1826="", "", XLOOKUP(E1826, 'MASTER ITEM LIST'!B:B, 'MASTER ITEM LIST'!A:A, "Code Not Found"))</f>
        <v>PRI3634</v>
      </c>
      <c r="E1826" s="199" t="s">
        <v>956</v>
      </c>
      <c r="F1826" s="31"/>
      <c r="G1826" s="195" t="s">
        <v>34</v>
      </c>
      <c r="H1826" s="31">
        <v>0.12</v>
      </c>
      <c r="I1826" s="31" t="str">
        <f t="array" ref="I1826">IFERROR(XLOOKUP(D1826,'MASTER ITEM LIST'!A:A,'MASTER ITEM LIST'!D:D), "")</f>
        <v>LITER</v>
      </c>
      <c r="J1826" s="34">
        <f t="shared" si="2"/>
        <v>833.3333333</v>
      </c>
      <c r="K1826" s="196">
        <v>100.0</v>
      </c>
      <c r="L1826" s="70" t="s">
        <v>42</v>
      </c>
    </row>
    <row r="1827" ht="22.5" customHeight="1">
      <c r="A1827" s="29">
        <v>46246.0</v>
      </c>
      <c r="B1827" s="31" t="s">
        <v>1911</v>
      </c>
      <c r="C1827" s="32" t="s">
        <v>1572</v>
      </c>
      <c r="D1827" s="198" t="str">
        <f t="array" ref="D1827">IF(E1827="", "", XLOOKUP(E1827, 'MASTER ITEM LIST'!B:B, 'MASTER ITEM LIST'!A:A, "Code Not Found"))</f>
        <v>NAX108</v>
      </c>
      <c r="E1827" s="199" t="s">
        <v>960</v>
      </c>
      <c r="F1827" s="31"/>
      <c r="G1827" s="195" t="s">
        <v>34</v>
      </c>
      <c r="H1827" s="31">
        <v>0.25</v>
      </c>
      <c r="I1827" s="31" t="str">
        <f t="array" ref="I1827">IFERROR(XLOOKUP(D1827,'MASTER ITEM LIST'!A:A,'MASTER ITEM LIST'!D:D), "")</f>
        <v>LITER</v>
      </c>
      <c r="J1827" s="34">
        <f t="shared" si="2"/>
        <v>800</v>
      </c>
      <c r="K1827" s="196">
        <v>200.0</v>
      </c>
      <c r="L1827" s="70" t="s">
        <v>42</v>
      </c>
    </row>
    <row r="1828" ht="22.5" customHeight="1">
      <c r="A1828" s="29">
        <v>46246.0</v>
      </c>
      <c r="B1828" s="31" t="s">
        <v>1911</v>
      </c>
      <c r="C1828" s="32" t="s">
        <v>1572</v>
      </c>
      <c r="D1828" s="198" t="str">
        <f t="array" ref="D1828">IF(E1828="", "", XLOOKUP(E1828, 'MASTER ITEM LIST'!B:B, 'MASTER ITEM LIST'!A:A, "Code Not Found"))</f>
        <v>ROBRC-1KG</v>
      </c>
      <c r="E1828" s="199" t="s">
        <v>254</v>
      </c>
      <c r="F1828" s="31"/>
      <c r="G1828" s="195" t="s">
        <v>34</v>
      </c>
      <c r="H1828" s="31">
        <v>0.25</v>
      </c>
      <c r="I1828" s="31" t="str">
        <f t="array" ref="I1828">IFERROR(XLOOKUP(D1828,'MASTER ITEM LIST'!A:A,'MASTER ITEM LIST'!D:D), "")</f>
        <v>KG</v>
      </c>
      <c r="J1828" s="34">
        <f t="shared" si="2"/>
        <v>1000</v>
      </c>
      <c r="K1828" s="196">
        <v>250.0</v>
      </c>
      <c r="L1828" s="70" t="s">
        <v>42</v>
      </c>
    </row>
    <row r="1829" ht="22.5" customHeight="1">
      <c r="A1829" s="29">
        <v>46246.0</v>
      </c>
      <c r="B1829" s="31" t="s">
        <v>1911</v>
      </c>
      <c r="C1829" s="32" t="s">
        <v>1572</v>
      </c>
      <c r="D1829" s="198" t="str">
        <f t="array" ref="D1829">IF(E1829="", "", XLOOKUP(E1829, 'MASTER ITEM LIST'!B:B, 'MASTER ITEM LIST'!A:A, "Code Not Found"))</f>
        <v>SOD145</v>
      </c>
      <c r="E1829" s="199" t="s">
        <v>704</v>
      </c>
      <c r="F1829" s="31"/>
      <c r="G1829" s="195" t="s">
        <v>34</v>
      </c>
      <c r="H1829" s="31">
        <v>0.06</v>
      </c>
      <c r="I1829" s="31" t="str">
        <f t="array" ref="I1829">IFERROR(XLOOKUP(D1829,'MASTER ITEM LIST'!A:A,'MASTER ITEM LIST'!D:D), "")</f>
        <v>GAL</v>
      </c>
      <c r="J1829" s="34">
        <f t="shared" si="2"/>
        <v>1333.333333</v>
      </c>
      <c r="K1829" s="196">
        <v>80.0</v>
      </c>
      <c r="L1829" s="70" t="s">
        <v>42</v>
      </c>
    </row>
    <row r="1830" ht="22.5" customHeight="1">
      <c r="A1830" s="29">
        <v>46246.0</v>
      </c>
      <c r="B1830" s="31" t="s">
        <v>1911</v>
      </c>
      <c r="C1830" s="32" t="s">
        <v>1572</v>
      </c>
      <c r="D1830" s="198" t="str">
        <f t="array" ref="D1830">IF(E1830="", "", XLOOKUP(E1830, 'MASTER ITEM LIST'!B:B, 'MASTER ITEM LIST'!A:A, "Code Not Found"))</f>
        <v>TLWAX</v>
      </c>
      <c r="E1830" s="199" t="s">
        <v>206</v>
      </c>
      <c r="F1830" s="31"/>
      <c r="G1830" s="195" t="s">
        <v>34</v>
      </c>
      <c r="H1830" s="31">
        <v>2.0</v>
      </c>
      <c r="I1830" s="31" t="str">
        <f t="array" ref="I1830">IFERROR(XLOOKUP(D1830,'MASTER ITEM LIST'!A:A,'MASTER ITEM LIST'!D:D), "")</f>
        <v>PC/S</v>
      </c>
      <c r="J1830" s="34">
        <f t="shared" si="2"/>
        <v>100</v>
      </c>
      <c r="K1830" s="196">
        <v>200.0</v>
      </c>
      <c r="L1830" s="70" t="s">
        <v>42</v>
      </c>
    </row>
    <row r="1831" ht="22.5" customHeight="1">
      <c r="A1831" s="29">
        <v>46246.0</v>
      </c>
      <c r="B1831" s="31" t="s">
        <v>1913</v>
      </c>
      <c r="C1831" s="32" t="s">
        <v>1572</v>
      </c>
      <c r="D1831" s="198" t="str">
        <f t="array" ref="D1831">IF(E1831="", "", XLOOKUP(E1831, 'MASTER ITEM LIST'!B:B, 'MASTER ITEM LIST'!A:A, "Code Not Found"))</f>
        <v>NAXQDUMIX-1L</v>
      </c>
      <c r="E1831" s="199" t="s">
        <v>1161</v>
      </c>
      <c r="F1831" s="31"/>
      <c r="G1831" s="195" t="s">
        <v>34</v>
      </c>
      <c r="H1831" s="31">
        <v>0.25</v>
      </c>
      <c r="I1831" s="31" t="str">
        <f t="array" ref="I1831">IFERROR(XLOOKUP(D1831,'MASTER ITEM LIST'!A:A,'MASTER ITEM LIST'!D:D), "")</f>
        <v>LITER</v>
      </c>
      <c r="J1831" s="34">
        <f t="shared" si="2"/>
        <v>1520</v>
      </c>
      <c r="K1831" s="196">
        <v>380.0</v>
      </c>
      <c r="L1831" s="70" t="s">
        <v>42</v>
      </c>
    </row>
    <row r="1832" ht="22.5" customHeight="1">
      <c r="A1832" s="29">
        <v>46246.0</v>
      </c>
      <c r="B1832" s="31"/>
      <c r="C1832" s="32" t="s">
        <v>711</v>
      </c>
      <c r="D1832" s="198" t="str">
        <f t="array" ref="D1832">IF(E1832="", "", XLOOKUP(E1832, 'MASTER ITEM LIST'!B:B, 'MASTER ITEM LIST'!A:A, "Code Not Found"))</f>
        <v>PYLZWH-02</v>
      </c>
      <c r="E1832" s="199" t="s">
        <v>346</v>
      </c>
      <c r="F1832" s="31"/>
      <c r="G1832" s="195" t="s">
        <v>34</v>
      </c>
      <c r="H1832" s="31">
        <v>2.0</v>
      </c>
      <c r="I1832" s="31" t="str">
        <f t="array" ref="I1832">IFERROR(XLOOKUP(D1832,'MASTER ITEM LIST'!A:A,'MASTER ITEM LIST'!D:D), "")</f>
        <v>CAN</v>
      </c>
      <c r="J1832" s="34">
        <f t="shared" si="2"/>
        <v>140</v>
      </c>
      <c r="K1832" s="196">
        <v>280.0</v>
      </c>
      <c r="L1832" s="70" t="s">
        <v>42</v>
      </c>
    </row>
    <row r="1833" ht="22.5" customHeight="1">
      <c r="A1833" s="29">
        <v>46246.0</v>
      </c>
      <c r="B1833" s="31"/>
      <c r="C1833" s="32" t="s">
        <v>711</v>
      </c>
      <c r="D1833" s="198" t="str">
        <f t="array" ref="D1833">IF(E1833="", "", XLOOKUP(E1833, 'MASTER ITEM LIST'!B:B, 'MASTER ITEM LIST'!A:A, "Code Not Found"))</f>
        <v>PLYZDR-17</v>
      </c>
      <c r="E1833" s="199" t="s">
        <v>394</v>
      </c>
      <c r="F1833" s="31"/>
      <c r="G1833" s="195" t="s">
        <v>34</v>
      </c>
      <c r="H1833" s="31">
        <v>2.0</v>
      </c>
      <c r="I1833" s="31" t="str">
        <f t="array" ref="I1833">IFERROR(XLOOKUP(D1833,'MASTER ITEM LIST'!A:A,'MASTER ITEM LIST'!D:D), "")</f>
        <v>CAN</v>
      </c>
      <c r="J1833" s="34">
        <f t="shared" si="2"/>
        <v>140</v>
      </c>
      <c r="K1833" s="196">
        <v>280.0</v>
      </c>
      <c r="L1833" s="70" t="s">
        <v>42</v>
      </c>
    </row>
    <row r="1834" ht="22.5" customHeight="1">
      <c r="A1834" s="29">
        <v>46246.0</v>
      </c>
      <c r="B1834" s="31"/>
      <c r="C1834" s="32" t="s">
        <v>711</v>
      </c>
      <c r="D1834" s="198" t="str">
        <f t="array" ref="D1834">IF(E1834="", "", XLOOKUP(E1834, 'MASTER ITEM LIST'!B:B, 'MASTER ITEM LIST'!A:A, "Code Not Found"))</f>
        <v>EA1200</v>
      </c>
      <c r="E1834" s="199" t="s">
        <v>1047</v>
      </c>
      <c r="F1834" s="31"/>
      <c r="G1834" s="195" t="s">
        <v>34</v>
      </c>
      <c r="H1834" s="31">
        <v>1.0</v>
      </c>
      <c r="I1834" s="31" t="str">
        <f t="array" ref="I1834">IFERROR(XLOOKUP(D1834,'MASTER ITEM LIST'!A:A,'MASTER ITEM LIST'!D:D), "")</f>
        <v>PC/S</v>
      </c>
      <c r="J1834" s="34">
        <f t="shared" si="2"/>
        <v>25</v>
      </c>
      <c r="K1834" s="196">
        <v>25.0</v>
      </c>
      <c r="L1834" s="70" t="s">
        <v>42</v>
      </c>
    </row>
    <row r="1835" ht="22.5" customHeight="1">
      <c r="A1835" s="29">
        <v>46246.0</v>
      </c>
      <c r="B1835" s="31" t="s">
        <v>1914</v>
      </c>
      <c r="C1835" s="32" t="s">
        <v>1572</v>
      </c>
      <c r="D1835" s="198" t="str">
        <f t="array" ref="D1835">IF(E1835="", "", XLOOKUP(E1835, 'MASTER ITEM LIST'!B:B, 'MASTER ITEM LIST'!A:A, "Code Not Found"))</f>
        <v>NAX108</v>
      </c>
      <c r="E1835" s="199" t="s">
        <v>960</v>
      </c>
      <c r="F1835" s="31"/>
      <c r="G1835" s="195" t="s">
        <v>34</v>
      </c>
      <c r="H1835" s="31">
        <v>0.25</v>
      </c>
      <c r="I1835" s="31" t="str">
        <f t="array" ref="I1835">IFERROR(XLOOKUP(D1835,'MASTER ITEM LIST'!A:A,'MASTER ITEM LIST'!D:D), "")</f>
        <v>LITER</v>
      </c>
      <c r="J1835" s="34">
        <f t="shared" si="2"/>
        <v>800</v>
      </c>
      <c r="K1835" s="196">
        <v>200.0</v>
      </c>
      <c r="L1835" s="70" t="s">
        <v>42</v>
      </c>
    </row>
    <row r="1836" ht="22.5" customHeight="1">
      <c r="A1836" s="29">
        <v>46246.0</v>
      </c>
      <c r="B1836" s="31" t="s">
        <v>1914</v>
      </c>
      <c r="C1836" s="32" t="s">
        <v>1572</v>
      </c>
      <c r="D1836" s="198" t="str">
        <f t="array" ref="D1836">IF(E1836="", "", XLOOKUP(E1836, 'MASTER ITEM LIST'!B:B, 'MASTER ITEM LIST'!A:A, "Code Not Found"))</f>
        <v>EA2000</v>
      </c>
      <c r="E1836" s="199" t="s">
        <v>1045</v>
      </c>
      <c r="F1836" s="31"/>
      <c r="G1836" s="195" t="s">
        <v>34</v>
      </c>
      <c r="H1836" s="31">
        <v>2.0</v>
      </c>
      <c r="I1836" s="31" t="str">
        <f t="array" ref="I1836">IFERROR(XLOOKUP(D1836,'MASTER ITEM LIST'!A:A,'MASTER ITEM LIST'!D:D), "")</f>
        <v>PC/S</v>
      </c>
      <c r="J1836" s="34">
        <f t="shared" si="2"/>
        <v>35</v>
      </c>
      <c r="K1836" s="196">
        <v>70.0</v>
      </c>
      <c r="L1836" s="70" t="s">
        <v>42</v>
      </c>
    </row>
    <row r="1837" ht="22.5" customHeight="1">
      <c r="A1837" s="29">
        <v>46246.0</v>
      </c>
      <c r="B1837" s="31" t="s">
        <v>1914</v>
      </c>
      <c r="C1837" s="32" t="s">
        <v>1572</v>
      </c>
      <c r="D1837" s="198" t="str">
        <f t="array" ref="D1837">IF(E1837="", "", XLOOKUP(E1837, 'MASTER ITEM LIST'!B:B, 'MASTER ITEM LIST'!A:A, "Code Not Found"))</f>
        <v>EA1500</v>
      </c>
      <c r="E1837" s="199" t="s">
        <v>1039</v>
      </c>
      <c r="F1837" s="31"/>
      <c r="G1837" s="195" t="s">
        <v>34</v>
      </c>
      <c r="H1837" s="31">
        <v>1.0</v>
      </c>
      <c r="I1837" s="31" t="str">
        <f t="array" ref="I1837">IFERROR(XLOOKUP(D1837,'MASTER ITEM LIST'!A:A,'MASTER ITEM LIST'!D:D), "")</f>
        <v>PC/S</v>
      </c>
      <c r="J1837" s="34">
        <f t="shared" si="2"/>
        <v>35</v>
      </c>
      <c r="K1837" s="196">
        <v>35.0</v>
      </c>
      <c r="L1837" s="70" t="s">
        <v>42</v>
      </c>
    </row>
    <row r="1838" ht="22.5" customHeight="1">
      <c r="A1838" s="29">
        <v>46246.0</v>
      </c>
      <c r="B1838" s="31" t="s">
        <v>1914</v>
      </c>
      <c r="C1838" s="32" t="s">
        <v>1572</v>
      </c>
      <c r="D1838" s="198" t="str">
        <f t="array" ref="D1838">IF(E1838="", "", XLOOKUP(E1838, 'MASTER ITEM LIST'!B:B, 'MASTER ITEM LIST'!A:A, "Code Not Found"))</f>
        <v>EA1000</v>
      </c>
      <c r="E1838" s="199" t="s">
        <v>1049</v>
      </c>
      <c r="F1838" s="31"/>
      <c r="G1838" s="195" t="s">
        <v>34</v>
      </c>
      <c r="H1838" s="31">
        <v>1.0</v>
      </c>
      <c r="I1838" s="31" t="str">
        <f t="array" ref="I1838">IFERROR(XLOOKUP(D1838,'MASTER ITEM LIST'!A:A,'MASTER ITEM LIST'!D:D), "")</f>
        <v>PC/S</v>
      </c>
      <c r="J1838" s="34">
        <f t="shared" si="2"/>
        <v>25</v>
      </c>
      <c r="K1838" s="196">
        <v>25.0</v>
      </c>
      <c r="L1838" s="70" t="s">
        <v>42</v>
      </c>
    </row>
    <row r="1839" ht="22.5" customHeight="1">
      <c r="A1839" s="29">
        <v>46247.0</v>
      </c>
      <c r="B1839" s="31"/>
      <c r="C1839" s="32" t="s">
        <v>711</v>
      </c>
      <c r="D1839" s="198" t="str">
        <f t="array" ref="D1839">IF(E1839="", "", XLOOKUP(E1839, 'MASTER ITEM LIST'!B:B, 'MASTER ITEM LIST'!A:A, "Code Not Found"))</f>
        <v>PRI3634</v>
      </c>
      <c r="E1839" s="199" t="s">
        <v>956</v>
      </c>
      <c r="F1839" s="31"/>
      <c r="G1839" s="195" t="s">
        <v>34</v>
      </c>
      <c r="H1839" s="31">
        <v>1.0</v>
      </c>
      <c r="I1839" s="31" t="str">
        <f t="array" ref="I1839">IFERROR(XLOOKUP(D1839,'MASTER ITEM LIST'!A:A,'MASTER ITEM LIST'!D:D), "")</f>
        <v>LITER</v>
      </c>
      <c r="J1839" s="34">
        <f t="shared" si="2"/>
        <v>600</v>
      </c>
      <c r="K1839" s="196">
        <v>600.0</v>
      </c>
      <c r="L1839" s="70" t="s">
        <v>42</v>
      </c>
    </row>
    <row r="1840" ht="22.5" customHeight="1">
      <c r="A1840" s="29">
        <v>46247.0</v>
      </c>
      <c r="B1840" s="31"/>
      <c r="C1840" s="32" t="s">
        <v>711</v>
      </c>
      <c r="D1840" s="198" t="str">
        <f t="array" ref="D1840">IF(E1840="", "", XLOOKUP(E1840, 'MASTER ITEM LIST'!B:B, 'MASTER ITEM LIST'!A:A, "Code Not Found"))</f>
        <v>PREMILAMIX-1L</v>
      </c>
      <c r="E1840" s="199" t="s">
        <v>1151</v>
      </c>
      <c r="F1840" s="31" t="s">
        <v>1915</v>
      </c>
      <c r="G1840" s="195" t="s">
        <v>34</v>
      </c>
      <c r="H1840" s="31">
        <v>0.25</v>
      </c>
      <c r="I1840" s="31" t="str">
        <f t="array" ref="I1840">IFERROR(XLOOKUP(D1840,'MASTER ITEM LIST'!A:A,'MASTER ITEM LIST'!D:D), "")</f>
        <v>LITER</v>
      </c>
      <c r="J1840" s="34">
        <f t="shared" si="2"/>
        <v>2600</v>
      </c>
      <c r="K1840" s="196">
        <v>650.0</v>
      </c>
      <c r="L1840" s="70" t="s">
        <v>42</v>
      </c>
    </row>
    <row r="1841" ht="22.5" customHeight="1">
      <c r="A1841" s="29">
        <v>46247.0</v>
      </c>
      <c r="B1841" s="31"/>
      <c r="C1841" s="32" t="s">
        <v>711</v>
      </c>
      <c r="D1841" s="198" t="str">
        <f t="array" ref="D1841">IF(E1841="", "", XLOOKUP(E1841, 'MASTER ITEM LIST'!B:B, 'MASTER ITEM LIST'!A:A, "Code Not Found"))</f>
        <v>PREMILAMIX-1L</v>
      </c>
      <c r="E1841" s="199" t="s">
        <v>1151</v>
      </c>
      <c r="F1841" s="31" t="s">
        <v>1886</v>
      </c>
      <c r="G1841" s="195" t="s">
        <v>34</v>
      </c>
      <c r="H1841" s="31">
        <v>0.25</v>
      </c>
      <c r="I1841" s="31" t="str">
        <f t="array" ref="I1841">IFERROR(XLOOKUP(D1841,'MASTER ITEM LIST'!A:A,'MASTER ITEM LIST'!D:D), "")</f>
        <v>LITER</v>
      </c>
      <c r="J1841" s="34">
        <f t="shared" si="2"/>
        <v>2600</v>
      </c>
      <c r="K1841" s="196">
        <v>650.0</v>
      </c>
      <c r="L1841" s="70" t="s">
        <v>42</v>
      </c>
    </row>
    <row r="1842" ht="22.5" customHeight="1">
      <c r="A1842" s="29">
        <v>46247.0</v>
      </c>
      <c r="B1842" s="31"/>
      <c r="C1842" s="32" t="s">
        <v>711</v>
      </c>
      <c r="D1842" s="198" t="str">
        <f t="array" ref="D1842">IF(E1842="", "", XLOOKUP(E1842, 'MASTER ITEM LIST'!B:B, 'MASTER ITEM LIST'!A:A, "Code Not Found"))</f>
        <v>CUMIFS-80</v>
      </c>
      <c r="E1842" s="199" t="s">
        <v>1098</v>
      </c>
      <c r="F1842" s="31"/>
      <c r="G1842" s="195" t="s">
        <v>34</v>
      </c>
      <c r="H1842" s="31">
        <v>5.0</v>
      </c>
      <c r="I1842" s="31" t="str">
        <f t="array" ref="I1842">IFERROR(XLOOKUP(D1842,'MASTER ITEM LIST'!A:A,'MASTER ITEM LIST'!D:D), "")</f>
        <v>FT</v>
      </c>
      <c r="J1842" s="34">
        <f t="shared" si="2"/>
        <v>85</v>
      </c>
      <c r="K1842" s="196">
        <v>425.0</v>
      </c>
      <c r="L1842" s="70" t="s">
        <v>42</v>
      </c>
    </row>
    <row r="1843" ht="22.5" customHeight="1">
      <c r="A1843" s="29">
        <v>46247.0</v>
      </c>
      <c r="B1843" s="31"/>
      <c r="C1843" s="32" t="s">
        <v>711</v>
      </c>
      <c r="D1843" s="198" t="str">
        <f t="array" ref="D1843">IF(E1843="", "", XLOOKUP(E1843, 'MASTER ITEM LIST'!B:B, 'MASTER ITEM LIST'!A:A, "Code Not Found"))</f>
        <v>SOB757</v>
      </c>
      <c r="E1843" s="199" t="s">
        <v>91</v>
      </c>
      <c r="F1843" s="31"/>
      <c r="G1843" s="195" t="s">
        <v>34</v>
      </c>
      <c r="H1843" s="31">
        <v>0.25</v>
      </c>
      <c r="I1843" s="31" t="str">
        <f t="array" ref="I1843">IFERROR(XLOOKUP(D1843,'MASTER ITEM LIST'!A:A,'MASTER ITEM LIST'!D:D), "")</f>
        <v>GAL</v>
      </c>
      <c r="J1843" s="34">
        <f t="shared" si="2"/>
        <v>800</v>
      </c>
      <c r="K1843" s="196">
        <v>200.0</v>
      </c>
      <c r="L1843" s="70" t="s">
        <v>42</v>
      </c>
    </row>
    <row r="1844" ht="22.5" customHeight="1">
      <c r="A1844" s="29">
        <v>46247.0</v>
      </c>
      <c r="B1844" s="31"/>
      <c r="C1844" s="32" t="s">
        <v>711</v>
      </c>
      <c r="D1844" s="198" t="str">
        <f t="array" ref="D1844">IF(E1844="", "", XLOOKUP(E1844, 'MASTER ITEM LIST'!B:B, 'MASTER ITEM LIST'!A:A, "Code Not Found"))</f>
        <v>EXTREMEMIX-1L</v>
      </c>
      <c r="E1844" s="199" t="s">
        <v>1164</v>
      </c>
      <c r="F1844" s="31" t="s">
        <v>1916</v>
      </c>
      <c r="G1844" s="195" t="s">
        <v>34</v>
      </c>
      <c r="H1844" s="31">
        <v>0.25</v>
      </c>
      <c r="I1844" s="31" t="str">
        <f t="array" ref="I1844">IFERROR(XLOOKUP(D1844,'MASTER ITEM LIST'!A:A,'MASTER ITEM LIST'!D:D), "")</f>
        <v>LITER</v>
      </c>
      <c r="J1844" s="34">
        <f t="shared" si="2"/>
        <v>800</v>
      </c>
      <c r="K1844" s="196">
        <v>200.0</v>
      </c>
      <c r="L1844" s="70" t="s">
        <v>42</v>
      </c>
    </row>
    <row r="1845" ht="22.5" customHeight="1">
      <c r="A1845" s="29">
        <v>46247.0</v>
      </c>
      <c r="B1845" s="31" t="s">
        <v>1917</v>
      </c>
      <c r="C1845" s="32" t="s">
        <v>93</v>
      </c>
      <c r="D1845" s="198" t="str">
        <f t="array" ref="D1845">IF(E1845="", "", XLOOKUP(E1845, 'MASTER ITEM LIST'!B:B, 'MASTER ITEM LIST'!A:A, "Code Not Found"))</f>
        <v>SOB757</v>
      </c>
      <c r="E1845" s="199" t="s">
        <v>91</v>
      </c>
      <c r="F1845" s="31"/>
      <c r="G1845" s="195" t="s">
        <v>34</v>
      </c>
      <c r="H1845" s="31">
        <v>1.0</v>
      </c>
      <c r="I1845" s="31" t="str">
        <f t="array" ref="I1845">IFERROR(XLOOKUP(D1845,'MASTER ITEM LIST'!A:A,'MASTER ITEM LIST'!D:D), "")</f>
        <v>GAL</v>
      </c>
      <c r="J1845" s="34">
        <f t="shared" si="2"/>
        <v>780</v>
      </c>
      <c r="K1845" s="196">
        <v>780.0</v>
      </c>
      <c r="L1845" s="70" t="s">
        <v>42</v>
      </c>
    </row>
    <row r="1846" ht="22.5" customHeight="1">
      <c r="A1846" s="29">
        <v>46247.0</v>
      </c>
      <c r="B1846" s="31" t="s">
        <v>1918</v>
      </c>
      <c r="C1846" s="32" t="s">
        <v>1583</v>
      </c>
      <c r="D1846" s="198" t="str">
        <f t="array" ref="D1846">IF(E1846="", "", XLOOKUP(E1846, 'MASTER ITEM LIST'!B:B, 'MASTER ITEM LIST'!A:A, "Code Not Found"))</f>
        <v>PLYZMTW-03</v>
      </c>
      <c r="E1846" s="199" t="s">
        <v>363</v>
      </c>
      <c r="F1846" s="31"/>
      <c r="G1846" s="195" t="s">
        <v>34</v>
      </c>
      <c r="H1846" s="31">
        <v>4.0</v>
      </c>
      <c r="I1846" s="31" t="str">
        <f t="array" ref="I1846">IFERROR(XLOOKUP(D1846,'MASTER ITEM LIST'!A:A,'MASTER ITEM LIST'!D:D), "")</f>
        <v>CAN</v>
      </c>
      <c r="J1846" s="34">
        <f t="shared" si="2"/>
        <v>130</v>
      </c>
      <c r="K1846" s="196">
        <v>520.0</v>
      </c>
      <c r="L1846" s="70" t="s">
        <v>42</v>
      </c>
    </row>
    <row r="1847" ht="22.5" customHeight="1">
      <c r="A1847" s="29">
        <v>46247.0</v>
      </c>
      <c r="B1847" s="31" t="s">
        <v>1918</v>
      </c>
      <c r="C1847" s="32" t="s">
        <v>1583</v>
      </c>
      <c r="D1847" s="198" t="str">
        <f t="array" ref="D1847">IF(E1847="", "", XLOOKUP(E1847, 'MASTER ITEM LIST'!B:B, 'MASTER ITEM LIST'!A:A, "Code Not Found"))</f>
        <v>PLYZCLR-01</v>
      </c>
      <c r="E1847" s="199" t="s">
        <v>400</v>
      </c>
      <c r="F1847" s="31"/>
      <c r="G1847" s="195" t="s">
        <v>34</v>
      </c>
      <c r="H1847" s="31">
        <v>2.0</v>
      </c>
      <c r="I1847" s="31" t="str">
        <f t="array" ref="I1847">IFERROR(XLOOKUP(D1847,'MASTER ITEM LIST'!A:A,'MASTER ITEM LIST'!D:D), "")</f>
        <v>CAN</v>
      </c>
      <c r="J1847" s="34">
        <f t="shared" si="2"/>
        <v>130</v>
      </c>
      <c r="K1847" s="196">
        <v>260.0</v>
      </c>
      <c r="L1847" s="70" t="s">
        <v>42</v>
      </c>
    </row>
    <row r="1848" ht="22.5" customHeight="1">
      <c r="A1848" s="29">
        <v>46247.0</v>
      </c>
      <c r="B1848" s="31" t="s">
        <v>1918</v>
      </c>
      <c r="C1848" s="32" t="s">
        <v>1583</v>
      </c>
      <c r="D1848" s="198" t="str">
        <f t="array" ref="D1848">IF(E1848="", "", XLOOKUP(E1848, 'MASTER ITEM LIST'!B:B, 'MASTER ITEM LIST'!A:A, "Code Not Found"))</f>
        <v>EA320</v>
      </c>
      <c r="E1848" s="199" t="s">
        <v>1050</v>
      </c>
      <c r="F1848" s="31"/>
      <c r="G1848" s="195" t="s">
        <v>34</v>
      </c>
      <c r="H1848" s="31">
        <v>3.0</v>
      </c>
      <c r="I1848" s="31" t="str">
        <f t="array" ref="I1848">IFERROR(XLOOKUP(D1848,'MASTER ITEM LIST'!A:A,'MASTER ITEM LIST'!D:D), "")</f>
        <v>PCS</v>
      </c>
      <c r="J1848" s="34">
        <f t="shared" si="2"/>
        <v>25</v>
      </c>
      <c r="K1848" s="196">
        <v>75.0</v>
      </c>
      <c r="L1848" s="70" t="s">
        <v>42</v>
      </c>
    </row>
    <row r="1849" ht="22.5" customHeight="1">
      <c r="A1849" s="29">
        <v>46247.0</v>
      </c>
      <c r="B1849" s="31" t="s">
        <v>1919</v>
      </c>
      <c r="C1849" s="32" t="s">
        <v>1210</v>
      </c>
      <c r="D1849" s="198" t="str">
        <f t="array" ref="D1849">IF(E1849="", "", XLOOKUP(E1849, 'MASTER ITEM LIST'!B:B, 'MASTER ITEM LIST'!A:A, "Code Not Found"))</f>
        <v>NAXQDUMIX-1L</v>
      </c>
      <c r="E1849" s="199" t="s">
        <v>1161</v>
      </c>
      <c r="F1849" s="31" t="s">
        <v>1850</v>
      </c>
      <c r="G1849" s="195" t="s">
        <v>1211</v>
      </c>
      <c r="H1849" s="31">
        <v>3.0</v>
      </c>
      <c r="I1849" s="31" t="str">
        <f t="array" ref="I1849">IFERROR(XLOOKUP(D1849,'MASTER ITEM LIST'!A:A,'MASTER ITEM LIST'!D:D), "")</f>
        <v>LITER</v>
      </c>
      <c r="J1849" s="34">
        <f t="shared" si="2"/>
        <v>1000</v>
      </c>
      <c r="K1849" s="196">
        <v>3000.0</v>
      </c>
      <c r="L1849" s="70" t="s">
        <v>1212</v>
      </c>
    </row>
    <row r="1850" ht="22.5" customHeight="1">
      <c r="A1850" s="29">
        <v>46247.0</v>
      </c>
      <c r="B1850" s="31" t="s">
        <v>1919</v>
      </c>
      <c r="C1850" s="32" t="s">
        <v>1210</v>
      </c>
      <c r="D1850" s="198" t="str">
        <f t="array" ref="D1850">IF(E1850="", "", XLOOKUP(E1850, 'MASTER ITEM LIST'!B:B, 'MASTER ITEM LIST'!A:A, "Code Not Found"))</f>
        <v>NAXQDUMIX-1L</v>
      </c>
      <c r="E1850" s="199" t="s">
        <v>1161</v>
      </c>
      <c r="F1850" s="31" t="s">
        <v>1920</v>
      </c>
      <c r="G1850" s="195" t="s">
        <v>1211</v>
      </c>
      <c r="H1850" s="31">
        <v>2.0</v>
      </c>
      <c r="I1850" s="31" t="str">
        <f t="array" ref="I1850">IFERROR(XLOOKUP(D1850,'MASTER ITEM LIST'!A:A,'MASTER ITEM LIST'!D:D), "")</f>
        <v>LITER</v>
      </c>
      <c r="J1850" s="34">
        <f t="shared" si="2"/>
        <v>1450</v>
      </c>
      <c r="K1850" s="196">
        <v>2900.0</v>
      </c>
      <c r="L1850" s="70" t="s">
        <v>1212</v>
      </c>
    </row>
    <row r="1851" ht="22.5" customHeight="1">
      <c r="A1851" s="29">
        <v>46247.0</v>
      </c>
      <c r="B1851" s="31" t="s">
        <v>1919</v>
      </c>
      <c r="C1851" s="32" t="s">
        <v>1210</v>
      </c>
      <c r="D1851" s="198" t="str">
        <f t="array" ref="D1851">IF(E1851="", "", XLOOKUP(E1851, 'MASTER ITEM LIST'!B:B, 'MASTER ITEM LIST'!A:A, "Code Not Found"))</f>
        <v>PRI3634</v>
      </c>
      <c r="E1851" s="199" t="s">
        <v>956</v>
      </c>
      <c r="F1851" s="31"/>
      <c r="G1851" s="195" t="s">
        <v>1211</v>
      </c>
      <c r="H1851" s="31">
        <v>1.0</v>
      </c>
      <c r="I1851" s="31" t="str">
        <f t="array" ref="I1851">IFERROR(XLOOKUP(D1851,'MASTER ITEM LIST'!A:A,'MASTER ITEM LIST'!D:D), "")</f>
        <v>LITER</v>
      </c>
      <c r="J1851" s="34">
        <f t="shared" si="2"/>
        <v>600</v>
      </c>
      <c r="K1851" s="196">
        <v>600.0</v>
      </c>
      <c r="L1851" s="70" t="s">
        <v>1212</v>
      </c>
    </row>
    <row r="1852" ht="22.5" customHeight="1">
      <c r="A1852" s="29">
        <v>46247.0</v>
      </c>
      <c r="B1852" s="31" t="s">
        <v>1919</v>
      </c>
      <c r="C1852" s="32" t="s">
        <v>1210</v>
      </c>
      <c r="D1852" s="198" t="str">
        <f t="array" ref="D1852">IF(E1852="", "", XLOOKUP(E1852, 'MASTER ITEM LIST'!B:B, 'MASTER ITEM LIST'!A:A, "Code Not Found"))</f>
        <v>NAX108</v>
      </c>
      <c r="E1852" s="199" t="s">
        <v>960</v>
      </c>
      <c r="F1852" s="31"/>
      <c r="G1852" s="195" t="s">
        <v>1211</v>
      </c>
      <c r="H1852" s="31">
        <v>5.0</v>
      </c>
      <c r="I1852" s="31" t="str">
        <f t="array" ref="I1852">IFERROR(XLOOKUP(D1852,'MASTER ITEM LIST'!A:A,'MASTER ITEM LIST'!D:D), "")</f>
        <v>LITER</v>
      </c>
      <c r="J1852" s="34">
        <f t="shared" si="2"/>
        <v>700</v>
      </c>
      <c r="K1852" s="196">
        <v>3500.0</v>
      </c>
      <c r="L1852" s="70" t="s">
        <v>1212</v>
      </c>
    </row>
    <row r="1853" ht="22.5" customHeight="1">
      <c r="A1853" s="29">
        <v>46247.0</v>
      </c>
      <c r="B1853" s="31" t="s">
        <v>1919</v>
      </c>
      <c r="C1853" s="32" t="s">
        <v>1210</v>
      </c>
      <c r="D1853" s="198" t="str">
        <f t="array" ref="D1853">IF(E1853="", "", XLOOKUP(E1853, 'MASTER ITEM LIST'!B:B, 'MASTER ITEM LIST'!A:A, "Code Not Found"))</f>
        <v>SOB757</v>
      </c>
      <c r="E1853" s="199" t="s">
        <v>91</v>
      </c>
      <c r="F1853" s="31"/>
      <c r="G1853" s="195" t="s">
        <v>1211</v>
      </c>
      <c r="H1853" s="31">
        <v>2.0</v>
      </c>
      <c r="I1853" s="31" t="str">
        <f t="array" ref="I1853">IFERROR(XLOOKUP(D1853,'MASTER ITEM LIST'!A:A,'MASTER ITEM LIST'!D:D), "")</f>
        <v>GAL</v>
      </c>
      <c r="J1853" s="34">
        <f t="shared" si="2"/>
        <v>800</v>
      </c>
      <c r="K1853" s="196">
        <v>1600.0</v>
      </c>
      <c r="L1853" s="70" t="s">
        <v>1212</v>
      </c>
    </row>
    <row r="1854" ht="22.5" customHeight="1">
      <c r="A1854" s="29">
        <v>46247.0</v>
      </c>
      <c r="B1854" s="31" t="s">
        <v>1919</v>
      </c>
      <c r="C1854" s="32" t="s">
        <v>1210</v>
      </c>
      <c r="D1854" s="198" t="str">
        <f t="array" ref="D1854">IF(E1854="", "", XLOOKUP(E1854, 'MASTER ITEM LIST'!B:B, 'MASTER ITEM LIST'!A:A, "Code Not Found"))</f>
        <v>TOBF-1L</v>
      </c>
      <c r="E1854" s="199" t="s">
        <v>196</v>
      </c>
      <c r="F1854" s="31"/>
      <c r="G1854" s="195" t="s">
        <v>1211</v>
      </c>
      <c r="H1854" s="31">
        <v>1.0</v>
      </c>
      <c r="I1854" s="31" t="str">
        <f t="array" ref="I1854">IFERROR(XLOOKUP(D1854,'MASTER ITEM LIST'!A:A,'MASTER ITEM LIST'!D:D), "")</f>
        <v>LTR</v>
      </c>
      <c r="J1854" s="34">
        <f t="shared" si="2"/>
        <v>240</v>
      </c>
      <c r="K1854" s="196">
        <v>240.0</v>
      </c>
      <c r="L1854" s="70" t="s">
        <v>1212</v>
      </c>
    </row>
    <row r="1855" ht="22.5" customHeight="1">
      <c r="A1855" s="29">
        <v>46247.0</v>
      </c>
      <c r="B1855" s="31" t="s">
        <v>1919</v>
      </c>
      <c r="C1855" s="32" t="s">
        <v>1210</v>
      </c>
      <c r="D1855" s="198" t="str">
        <f t="array" ref="D1855">IF(E1855="", "", XLOOKUP(E1855, 'MASTER ITEM LIST'!B:B, 'MASTER ITEM LIST'!A:A, "Code Not Found"))</f>
        <v>NAXQDUMIX-1L</v>
      </c>
      <c r="E1855" s="199" t="s">
        <v>1161</v>
      </c>
      <c r="F1855" s="31" t="s">
        <v>1921</v>
      </c>
      <c r="G1855" s="195" t="s">
        <v>1211</v>
      </c>
      <c r="H1855" s="31">
        <v>0.5</v>
      </c>
      <c r="I1855" s="31" t="str">
        <f t="array" ref="I1855">IFERROR(XLOOKUP(D1855,'MASTER ITEM LIST'!A:A,'MASTER ITEM LIST'!D:D), "")</f>
        <v>LITER</v>
      </c>
      <c r="J1855" s="34">
        <f t="shared" si="2"/>
        <v>1200</v>
      </c>
      <c r="K1855" s="196">
        <v>600.0</v>
      </c>
      <c r="L1855" s="70" t="s">
        <v>1212</v>
      </c>
    </row>
    <row r="1856" ht="22.5" customHeight="1">
      <c r="A1856" s="29">
        <v>46247.0</v>
      </c>
      <c r="B1856" s="31" t="s">
        <v>1922</v>
      </c>
      <c r="C1856" s="32" t="s">
        <v>1210</v>
      </c>
      <c r="D1856" s="198" t="str">
        <f t="array" ref="D1856">IF(E1856="", "", XLOOKUP(E1856, 'MASTER ITEM LIST'!B:B, 'MASTER ITEM LIST'!A:A, "Code Not Found"))</f>
        <v>NAX301</v>
      </c>
      <c r="E1856" s="199" t="s">
        <v>958</v>
      </c>
      <c r="F1856" s="31"/>
      <c r="G1856" s="195" t="s">
        <v>1211</v>
      </c>
      <c r="H1856" s="31">
        <v>0.5</v>
      </c>
      <c r="I1856" s="31" t="str">
        <f t="array" ref="I1856">IFERROR(XLOOKUP(D1856,'MASTER ITEM LIST'!A:A,'MASTER ITEM LIST'!D:D), "")</f>
        <v>LITER</v>
      </c>
      <c r="J1856" s="34">
        <f t="shared" si="2"/>
        <v>1300</v>
      </c>
      <c r="K1856" s="196">
        <v>650.0</v>
      </c>
      <c r="L1856" s="70" t="s">
        <v>1212</v>
      </c>
    </row>
    <row r="1857" ht="22.5" customHeight="1">
      <c r="A1857" s="29">
        <v>46247.0</v>
      </c>
      <c r="B1857" s="31" t="s">
        <v>1922</v>
      </c>
      <c r="C1857" s="32" t="s">
        <v>1210</v>
      </c>
      <c r="D1857" s="198" t="str">
        <f t="array" ref="D1857">IF(E1857="", "", XLOOKUP(E1857, 'MASTER ITEM LIST'!B:B, 'MASTER ITEM LIST'!A:A, "Code Not Found"))</f>
        <v>CRO-MT3/4</v>
      </c>
      <c r="E1857" s="199" t="s">
        <v>1103</v>
      </c>
      <c r="F1857" s="31"/>
      <c r="G1857" s="195" t="s">
        <v>1211</v>
      </c>
      <c r="H1857" s="31">
        <v>10.0</v>
      </c>
      <c r="I1857" s="31" t="str">
        <f t="array" ref="I1857">IFERROR(XLOOKUP(D1857,'MASTER ITEM LIST'!A:A,'MASTER ITEM LIST'!D:D), "")</f>
        <v>PC/S</v>
      </c>
      <c r="J1857" s="34">
        <f t="shared" si="2"/>
        <v>35</v>
      </c>
      <c r="K1857" s="196">
        <v>350.0</v>
      </c>
      <c r="L1857" s="70" t="s">
        <v>1212</v>
      </c>
    </row>
    <row r="1858" ht="22.5" customHeight="1">
      <c r="A1858" s="29">
        <v>46247.0</v>
      </c>
      <c r="B1858" s="31" t="s">
        <v>1923</v>
      </c>
      <c r="C1858" s="32" t="s">
        <v>1210</v>
      </c>
      <c r="D1858" s="198" t="str">
        <f t="array" ref="D1858">IF(E1858="", "", XLOOKUP(E1858, 'MASTER ITEM LIST'!B:B, 'MASTER ITEM LIST'!A:A, "Code Not Found"))</f>
        <v>MSC</v>
      </c>
      <c r="E1858" s="199" t="s">
        <v>518</v>
      </c>
      <c r="F1858" s="31"/>
      <c r="G1858" s="195" t="s">
        <v>1211</v>
      </c>
      <c r="H1858" s="31">
        <v>2.0</v>
      </c>
      <c r="I1858" s="31" t="str">
        <f t="array" ref="I1858">IFERROR(XLOOKUP(D1858,'MASTER ITEM LIST'!A:A,'MASTER ITEM LIST'!D:D), "")</f>
        <v>KG</v>
      </c>
      <c r="J1858" s="34">
        <f t="shared" si="2"/>
        <v>100</v>
      </c>
      <c r="K1858" s="196">
        <v>200.0</v>
      </c>
      <c r="L1858" s="70" t="s">
        <v>1212</v>
      </c>
    </row>
    <row r="1859" ht="22.5" customHeight="1">
      <c r="A1859" s="29">
        <v>46247.0</v>
      </c>
      <c r="B1859" s="31" t="s">
        <v>1923</v>
      </c>
      <c r="C1859" s="32" t="s">
        <v>1210</v>
      </c>
      <c r="D1859" s="198" t="str">
        <f t="array" ref="D1859">IF(E1859="", "", XLOOKUP(E1859, 'MASTER ITEM LIST'!B:B, 'MASTER ITEM LIST'!A:A, "Code Not Found"))</f>
        <v>EA400</v>
      </c>
      <c r="E1859" s="199" t="s">
        <v>1043</v>
      </c>
      <c r="F1859" s="31"/>
      <c r="G1859" s="195" t="s">
        <v>1211</v>
      </c>
      <c r="H1859" s="31">
        <v>2.0</v>
      </c>
      <c r="I1859" s="31" t="str">
        <f t="array" ref="I1859">IFERROR(XLOOKUP(D1859,'MASTER ITEM LIST'!A:A,'MASTER ITEM LIST'!D:D), "")</f>
        <v>PC/S</v>
      </c>
      <c r="J1859" s="34">
        <f t="shared" si="2"/>
        <v>25</v>
      </c>
      <c r="K1859" s="196">
        <v>50.0</v>
      </c>
      <c r="L1859" s="70" t="s">
        <v>1212</v>
      </c>
    </row>
    <row r="1860" ht="22.5" customHeight="1">
      <c r="A1860" s="29">
        <v>46247.0</v>
      </c>
      <c r="B1860" s="31" t="s">
        <v>1923</v>
      </c>
      <c r="C1860" s="32" t="s">
        <v>1210</v>
      </c>
      <c r="D1860" s="198" t="str">
        <f t="array" ref="D1860">IF(E1860="", "", XLOOKUP(E1860, 'MASTER ITEM LIST'!B:B, 'MASTER ITEM LIST'!A:A, "Code Not Found"))</f>
        <v>EA800</v>
      </c>
      <c r="E1860" s="199" t="s">
        <v>1040</v>
      </c>
      <c r="F1860" s="31"/>
      <c r="G1860" s="195" t="s">
        <v>1211</v>
      </c>
      <c r="H1860" s="31">
        <v>3.0</v>
      </c>
      <c r="I1860" s="31" t="str">
        <f t="array" ref="I1860">IFERROR(XLOOKUP(D1860,'MASTER ITEM LIST'!A:A,'MASTER ITEM LIST'!D:D), "")</f>
        <v>PC/S</v>
      </c>
      <c r="J1860" s="34">
        <f t="shared" si="2"/>
        <v>25</v>
      </c>
      <c r="K1860" s="196">
        <v>75.0</v>
      </c>
      <c r="L1860" s="70" t="s">
        <v>1212</v>
      </c>
    </row>
    <row r="1861" ht="22.5" customHeight="1">
      <c r="A1861" s="29">
        <v>46247.0</v>
      </c>
      <c r="B1861" s="31" t="s">
        <v>1923</v>
      </c>
      <c r="C1861" s="32" t="s">
        <v>1210</v>
      </c>
      <c r="D1861" s="198" t="str">
        <f t="array" ref="D1861">IF(E1861="", "", XLOOKUP(E1861, 'MASTER ITEM LIST'!B:B, 'MASTER ITEM LIST'!A:A, "Code Not Found"))</f>
        <v>EA1200</v>
      </c>
      <c r="E1861" s="199" t="s">
        <v>1047</v>
      </c>
      <c r="F1861" s="31"/>
      <c r="G1861" s="195" t="s">
        <v>1211</v>
      </c>
      <c r="H1861" s="31">
        <v>1.0</v>
      </c>
      <c r="I1861" s="31" t="str">
        <f t="array" ref="I1861">IFERROR(XLOOKUP(D1861,'MASTER ITEM LIST'!A:A,'MASTER ITEM LIST'!D:D), "")</f>
        <v>PC/S</v>
      </c>
      <c r="J1861" s="34">
        <f t="shared" si="2"/>
        <v>25</v>
      </c>
      <c r="K1861" s="196">
        <v>25.0</v>
      </c>
      <c r="L1861" s="70" t="s">
        <v>1212</v>
      </c>
    </row>
    <row r="1862" ht="22.5" customHeight="1">
      <c r="A1862" s="29">
        <v>46247.0</v>
      </c>
      <c r="B1862" s="31" t="s">
        <v>1923</v>
      </c>
      <c r="C1862" s="32" t="s">
        <v>1210</v>
      </c>
      <c r="D1862" s="198" t="str">
        <f t="array" ref="D1862">IF(E1862="", "", XLOOKUP(E1862, 'MASTER ITEM LIST'!B:B, 'MASTER ITEM LIST'!A:A, "Code Not Found"))</f>
        <v>EA2000</v>
      </c>
      <c r="E1862" s="199" t="s">
        <v>1045</v>
      </c>
      <c r="F1862" s="31"/>
      <c r="G1862" s="195" t="s">
        <v>1211</v>
      </c>
      <c r="H1862" s="31">
        <v>3.0</v>
      </c>
      <c r="I1862" s="31" t="str">
        <f t="array" ref="I1862">IFERROR(XLOOKUP(D1862,'MASTER ITEM LIST'!A:A,'MASTER ITEM LIST'!D:D), "")</f>
        <v>PC/S</v>
      </c>
      <c r="J1862" s="34">
        <f t="shared" si="2"/>
        <v>35</v>
      </c>
      <c r="K1862" s="196">
        <v>105.0</v>
      </c>
      <c r="L1862" s="70" t="s">
        <v>1212</v>
      </c>
    </row>
    <row r="1863" ht="22.5" customHeight="1">
      <c r="A1863" s="29">
        <v>46247.0</v>
      </c>
      <c r="B1863" s="31" t="s">
        <v>1595</v>
      </c>
      <c r="C1863" s="32" t="s">
        <v>1597</v>
      </c>
      <c r="D1863" s="198" t="str">
        <f t="array" ref="D1863">IF(E1863="", "", XLOOKUP(E1863, 'MASTER ITEM LIST'!B:B, 'MASTER ITEM LIST'!A:A, "Code Not Found"))</f>
        <v>CRO-MT3/4</v>
      </c>
      <c r="E1863" s="199" t="s">
        <v>1103</v>
      </c>
      <c r="F1863" s="31"/>
      <c r="G1863" s="195" t="s">
        <v>34</v>
      </c>
      <c r="H1863" s="31">
        <v>1.0</v>
      </c>
      <c r="I1863" s="31" t="str">
        <f t="array" ref="I1863">IFERROR(XLOOKUP(D1863,'MASTER ITEM LIST'!A:A,'MASTER ITEM LIST'!D:D), "")</f>
        <v>PC/S</v>
      </c>
      <c r="J1863" s="34">
        <f t="shared" si="2"/>
        <v>35</v>
      </c>
      <c r="K1863" s="196">
        <v>35.0</v>
      </c>
      <c r="L1863" s="70" t="s">
        <v>42</v>
      </c>
    </row>
    <row r="1864" ht="22.5" customHeight="1">
      <c r="A1864" s="29">
        <v>46247.0</v>
      </c>
      <c r="B1864" s="31" t="s">
        <v>1924</v>
      </c>
      <c r="C1864" s="32" t="s">
        <v>1210</v>
      </c>
      <c r="D1864" s="198" t="str">
        <f t="array" ref="D1864">IF(E1864="", "", XLOOKUP(E1864, 'MASTER ITEM LIST'!B:B, 'MASTER ITEM LIST'!A:A, "Code Not Found"))</f>
        <v>LATEXMIX-4L</v>
      </c>
      <c r="E1864" s="199" t="s">
        <v>1156</v>
      </c>
      <c r="F1864" s="31" t="s">
        <v>1925</v>
      </c>
      <c r="G1864" s="195" t="s">
        <v>1211</v>
      </c>
      <c r="H1864" s="31">
        <v>2.0</v>
      </c>
      <c r="I1864" s="31" t="str">
        <f t="array" ref="I1864">IFERROR(XLOOKUP(D1864,'MASTER ITEM LIST'!A:A,'MASTER ITEM LIST'!D:D), "")</f>
        <v>GALON</v>
      </c>
      <c r="J1864" s="34">
        <f t="shared" si="2"/>
        <v>980</v>
      </c>
      <c r="K1864" s="196">
        <v>1960.0</v>
      </c>
      <c r="L1864" s="70" t="s">
        <v>1212</v>
      </c>
    </row>
    <row r="1865" ht="22.5" customHeight="1">
      <c r="A1865" s="29">
        <v>46247.0</v>
      </c>
      <c r="B1865" s="31" t="s">
        <v>1924</v>
      </c>
      <c r="C1865" s="32" t="s">
        <v>1210</v>
      </c>
      <c r="D1865" s="198" t="str">
        <f t="array" ref="D1865">IF(E1865="", "", XLOOKUP(E1865, 'MASTER ITEM LIST'!B:B, 'MASTER ITEM LIST'!A:A, "Code Not Found"))</f>
        <v>2B-#7</v>
      </c>
      <c r="E1865" s="199" t="s">
        <v>1145</v>
      </c>
      <c r="F1865" s="31"/>
      <c r="G1865" s="195" t="s">
        <v>1211</v>
      </c>
      <c r="H1865" s="31">
        <v>2.0</v>
      </c>
      <c r="I1865" s="31" t="str">
        <f t="array" ref="I1865">IFERROR(XLOOKUP(D1865,'MASTER ITEM LIST'!A:A,'MASTER ITEM LIST'!D:D), "")</f>
        <v>PC/S</v>
      </c>
      <c r="J1865" s="34">
        <f t="shared" si="2"/>
        <v>85</v>
      </c>
      <c r="K1865" s="196">
        <v>170.0</v>
      </c>
      <c r="L1865" s="70" t="s">
        <v>1212</v>
      </c>
    </row>
    <row r="1866" ht="22.5" customHeight="1">
      <c r="A1866" s="29">
        <v>46247.0</v>
      </c>
      <c r="B1866" s="31" t="s">
        <v>1924</v>
      </c>
      <c r="C1866" s="32" t="s">
        <v>1210</v>
      </c>
      <c r="D1866" s="198" t="str">
        <f t="array" ref="D1866">IF(E1866="", "", XLOOKUP(E1866, 'MASTER ITEM LIST'!B:B, 'MASTER ITEM LIST'!A:A, "Code Not Found"))</f>
        <v>TRAY</v>
      </c>
      <c r="E1866" s="199" t="s">
        <v>506</v>
      </c>
      <c r="F1866" s="31"/>
      <c r="G1866" s="195" t="s">
        <v>1211</v>
      </c>
      <c r="H1866" s="31">
        <v>2.0</v>
      </c>
      <c r="I1866" s="31" t="str">
        <f t="array" ref="I1866">IFERROR(XLOOKUP(D1866,'MASTER ITEM LIST'!A:A,'MASTER ITEM LIST'!D:D), "")</f>
        <v>PC/S</v>
      </c>
      <c r="J1866" s="34">
        <f t="shared" si="2"/>
        <v>80</v>
      </c>
      <c r="K1866" s="196">
        <v>160.0</v>
      </c>
      <c r="L1866" s="70" t="s">
        <v>1212</v>
      </c>
    </row>
    <row r="1867" ht="22.5" customHeight="1">
      <c r="A1867" s="29">
        <v>46247.0</v>
      </c>
      <c r="B1867" s="31" t="s">
        <v>1926</v>
      </c>
      <c r="C1867" s="32" t="s">
        <v>93</v>
      </c>
      <c r="D1867" s="198" t="str">
        <f t="array" ref="D1867">IF(E1867="", "", XLOOKUP(E1867, 'MASTER ITEM LIST'!B:B, 'MASTER ITEM LIST'!A:A, "Code Not Found"))</f>
        <v>PREMILAMIX-1L</v>
      </c>
      <c r="E1867" s="199" t="s">
        <v>1151</v>
      </c>
      <c r="F1867" s="31" t="s">
        <v>1927</v>
      </c>
      <c r="G1867" s="195" t="s">
        <v>1376</v>
      </c>
      <c r="H1867" s="31">
        <v>0.5</v>
      </c>
      <c r="I1867" s="31" t="str">
        <f t="array" ref="I1867">IFERROR(XLOOKUP(D1867,'MASTER ITEM LIST'!A:A,'MASTER ITEM LIST'!D:D), "")</f>
        <v>LITER</v>
      </c>
      <c r="J1867" s="34">
        <f t="shared" si="2"/>
        <v>2800</v>
      </c>
      <c r="K1867" s="196">
        <v>1400.0</v>
      </c>
      <c r="L1867" s="70" t="s">
        <v>1376</v>
      </c>
    </row>
    <row r="1868" ht="22.5" customHeight="1">
      <c r="A1868" s="29">
        <v>46247.0</v>
      </c>
      <c r="B1868" s="31" t="s">
        <v>1926</v>
      </c>
      <c r="C1868" s="32" t="s">
        <v>93</v>
      </c>
      <c r="D1868" s="198" t="str">
        <f t="array" ref="D1868">IF(E1868="", "", XLOOKUP(E1868, 'MASTER ITEM LIST'!B:B, 'MASTER ITEM LIST'!A:A, "Code Not Found"))</f>
        <v>NAX108</v>
      </c>
      <c r="E1868" s="199" t="s">
        <v>960</v>
      </c>
      <c r="F1868" s="31"/>
      <c r="G1868" s="195" t="s">
        <v>1376</v>
      </c>
      <c r="H1868" s="31">
        <v>2.0</v>
      </c>
      <c r="I1868" s="31" t="str">
        <f t="array" ref="I1868">IFERROR(XLOOKUP(D1868,'MASTER ITEM LIST'!A:A,'MASTER ITEM LIST'!D:D), "")</f>
        <v>LITER</v>
      </c>
      <c r="J1868" s="34">
        <f t="shared" si="2"/>
        <v>680</v>
      </c>
      <c r="K1868" s="196">
        <v>1360.0</v>
      </c>
      <c r="L1868" s="70" t="s">
        <v>1376</v>
      </c>
    </row>
    <row r="1869" ht="22.5" customHeight="1">
      <c r="A1869" s="29">
        <v>46247.0</v>
      </c>
      <c r="B1869" s="31" t="s">
        <v>1926</v>
      </c>
      <c r="C1869" s="32" t="s">
        <v>93</v>
      </c>
      <c r="D1869" s="198" t="str">
        <f t="array" ref="D1869">IF(E1869="", "", XLOOKUP(E1869, 'MASTER ITEM LIST'!B:B, 'MASTER ITEM LIST'!A:A, "Code Not Found"))</f>
        <v>NAXQDUMIX-1L</v>
      </c>
      <c r="E1869" s="199" t="s">
        <v>1161</v>
      </c>
      <c r="F1869" s="31" t="s">
        <v>1927</v>
      </c>
      <c r="G1869" s="195" t="s">
        <v>1376</v>
      </c>
      <c r="H1869" s="31">
        <v>1.0</v>
      </c>
      <c r="I1869" s="31" t="str">
        <f t="array" ref="I1869">IFERROR(XLOOKUP(D1869,'MASTER ITEM LIST'!A:A,'MASTER ITEM LIST'!D:D), "")</f>
        <v>LITER</v>
      </c>
      <c r="J1869" s="34">
        <f t="shared" si="2"/>
        <v>1600</v>
      </c>
      <c r="K1869" s="196">
        <v>1600.0</v>
      </c>
      <c r="L1869" s="70" t="s">
        <v>1376</v>
      </c>
    </row>
    <row r="1870" ht="22.5" customHeight="1">
      <c r="A1870" s="29">
        <v>46248.0</v>
      </c>
      <c r="B1870" s="31" t="s">
        <v>1928</v>
      </c>
      <c r="C1870" s="32" t="s">
        <v>1215</v>
      </c>
      <c r="D1870" s="198" t="str">
        <f t="array" ref="D1870">IF(E1870="", "", XLOOKUP(E1870, 'MASTER ITEM LIST'!B:B, 'MASTER ITEM LIST'!A:A, "Code Not Found"))</f>
        <v>PREMILAMIX-1L</v>
      </c>
      <c r="E1870" s="199" t="s">
        <v>1151</v>
      </c>
      <c r="F1870" s="31" t="s">
        <v>1929</v>
      </c>
      <c r="G1870" s="195" t="s">
        <v>1211</v>
      </c>
      <c r="H1870" s="31">
        <v>0.5</v>
      </c>
      <c r="I1870" s="31" t="str">
        <f t="array" ref="I1870">IFERROR(XLOOKUP(D1870,'MASTER ITEM LIST'!A:A,'MASTER ITEM LIST'!D:D), "")</f>
        <v>LITER</v>
      </c>
      <c r="J1870" s="34">
        <f t="shared" si="2"/>
        <v>2600</v>
      </c>
      <c r="K1870" s="196">
        <v>1300.0</v>
      </c>
      <c r="L1870" s="70" t="s">
        <v>1217</v>
      </c>
    </row>
    <row r="1871" ht="22.5" customHeight="1">
      <c r="A1871" s="29">
        <v>46248.0</v>
      </c>
      <c r="B1871" s="31"/>
      <c r="C1871" s="32" t="s">
        <v>711</v>
      </c>
      <c r="D1871" s="198" t="str">
        <f t="array" ref="D1871">IF(E1871="", "", XLOOKUP(E1871, 'MASTER ITEM LIST'!B:B, 'MASTER ITEM LIST'!A:A, "Code Not Found"))</f>
        <v>PREMILAMIX-1L</v>
      </c>
      <c r="E1871" s="199" t="s">
        <v>1151</v>
      </c>
      <c r="F1871" s="31" t="s">
        <v>1930</v>
      </c>
      <c r="G1871" s="195" t="s">
        <v>34</v>
      </c>
      <c r="H1871" s="31">
        <v>0.25</v>
      </c>
      <c r="I1871" s="31" t="str">
        <f t="array" ref="I1871">IFERROR(XLOOKUP(D1871,'MASTER ITEM LIST'!A:A,'MASTER ITEM LIST'!D:D), "")</f>
        <v>LITER</v>
      </c>
      <c r="J1871" s="34">
        <f t="shared" si="2"/>
        <v>2600</v>
      </c>
      <c r="K1871" s="196">
        <v>650.0</v>
      </c>
      <c r="L1871" s="70" t="s">
        <v>42</v>
      </c>
    </row>
    <row r="1872" ht="22.5" customHeight="1">
      <c r="A1872" s="29">
        <v>46248.0</v>
      </c>
      <c r="B1872" s="31"/>
      <c r="C1872" s="32" t="s">
        <v>711</v>
      </c>
      <c r="D1872" s="198" t="str">
        <f t="array" ref="D1872">IF(E1872="", "", XLOOKUP(E1872, 'MASTER ITEM LIST'!B:B, 'MASTER ITEM LIST'!A:A, "Code Not Found"))</f>
        <v>CRO-MT3/4</v>
      </c>
      <c r="E1872" s="199" t="s">
        <v>1103</v>
      </c>
      <c r="F1872" s="31"/>
      <c r="G1872" s="195" t="s">
        <v>34</v>
      </c>
      <c r="H1872" s="31">
        <v>2.0</v>
      </c>
      <c r="I1872" s="31" t="str">
        <f t="array" ref="I1872">IFERROR(XLOOKUP(D1872,'MASTER ITEM LIST'!A:A,'MASTER ITEM LIST'!D:D), "")</f>
        <v>PC/S</v>
      </c>
      <c r="J1872" s="34">
        <f t="shared" si="2"/>
        <v>35</v>
      </c>
      <c r="K1872" s="196">
        <v>70.0</v>
      </c>
      <c r="L1872" s="70" t="s">
        <v>42</v>
      </c>
    </row>
    <row r="1873" ht="22.5" customHeight="1">
      <c r="A1873" s="29">
        <v>46248.0</v>
      </c>
      <c r="B1873" s="31"/>
      <c r="C1873" s="32" t="s">
        <v>711</v>
      </c>
      <c r="D1873" s="198" t="str">
        <f t="array" ref="D1873">IF(E1873="", "", XLOOKUP(E1873, 'MASTER ITEM LIST'!B:B, 'MASTER ITEM LIST'!A:A, "Code Not Found"))</f>
        <v>MSC</v>
      </c>
      <c r="E1873" s="199" t="s">
        <v>518</v>
      </c>
      <c r="F1873" s="31"/>
      <c r="G1873" s="195" t="s">
        <v>34</v>
      </c>
      <c r="H1873" s="31">
        <v>1.0</v>
      </c>
      <c r="I1873" s="31" t="str">
        <f t="array" ref="I1873">IFERROR(XLOOKUP(D1873,'MASTER ITEM LIST'!A:A,'MASTER ITEM LIST'!D:D), "")</f>
        <v>KG</v>
      </c>
      <c r="J1873" s="34">
        <f t="shared" si="2"/>
        <v>100</v>
      </c>
      <c r="K1873" s="196">
        <v>100.0</v>
      </c>
      <c r="L1873" s="70" t="s">
        <v>42</v>
      </c>
    </row>
    <row r="1874" ht="22.5" customHeight="1">
      <c r="A1874" s="29">
        <v>46248.0</v>
      </c>
      <c r="B1874" s="31"/>
      <c r="C1874" s="32" t="s">
        <v>711</v>
      </c>
      <c r="D1874" s="198" t="str">
        <f t="array" ref="D1874">IF(E1874="", "", XLOOKUP(E1874, 'MASTER ITEM LIST'!B:B, 'MASTER ITEM LIST'!A:A, "Code Not Found"))</f>
        <v>SOB757</v>
      </c>
      <c r="E1874" s="199" t="s">
        <v>91</v>
      </c>
      <c r="F1874" s="31"/>
      <c r="G1874" s="195" t="s">
        <v>34</v>
      </c>
      <c r="H1874" s="31">
        <v>0.25</v>
      </c>
      <c r="I1874" s="31" t="str">
        <f t="array" ref="I1874">IFERROR(XLOOKUP(D1874,'MASTER ITEM LIST'!A:A,'MASTER ITEM LIST'!D:D), "")</f>
        <v>GAL</v>
      </c>
      <c r="J1874" s="34">
        <f t="shared" si="2"/>
        <v>800</v>
      </c>
      <c r="K1874" s="196">
        <v>200.0</v>
      </c>
      <c r="L1874" s="70" t="s">
        <v>42</v>
      </c>
    </row>
    <row r="1875" ht="22.5" customHeight="1">
      <c r="A1875" s="29">
        <v>46248.0</v>
      </c>
      <c r="B1875" s="31"/>
      <c r="C1875" s="32" t="s">
        <v>711</v>
      </c>
      <c r="D1875" s="198" t="str">
        <f t="array" ref="D1875">IF(E1875="", "", XLOOKUP(E1875, 'MASTER ITEM LIST'!B:B, 'MASTER ITEM LIST'!A:A, "Code Not Found"))</f>
        <v>GIPREMOVER-BOT</v>
      </c>
      <c r="E1875" s="199" t="s">
        <v>1020</v>
      </c>
      <c r="F1875" s="31"/>
      <c r="G1875" s="195" t="s">
        <v>34</v>
      </c>
      <c r="H1875" s="31">
        <v>1.0</v>
      </c>
      <c r="I1875" s="31" t="str">
        <f t="array" ref="I1875">IFERROR(XLOOKUP(D1875,'MASTER ITEM LIST'!A:A,'MASTER ITEM LIST'!D:D), "")</f>
        <v>BOT</v>
      </c>
      <c r="J1875" s="34">
        <f t="shared" si="2"/>
        <v>100</v>
      </c>
      <c r="K1875" s="196">
        <v>100.0</v>
      </c>
      <c r="L1875" s="70" t="s">
        <v>42</v>
      </c>
    </row>
    <row r="1876" ht="22.5" customHeight="1">
      <c r="A1876" s="29">
        <v>46248.0</v>
      </c>
      <c r="B1876" s="31"/>
      <c r="C1876" s="32" t="s">
        <v>711</v>
      </c>
      <c r="D1876" s="198" t="str">
        <f t="array" ref="D1876">IF(E1876="", "", XLOOKUP(E1876, 'MASTER ITEM LIST'!B:B, 'MASTER ITEM LIST'!A:A, "Code Not Found"))</f>
        <v>SOB757</v>
      </c>
      <c r="E1876" s="199" t="s">
        <v>91</v>
      </c>
      <c r="F1876" s="31"/>
      <c r="G1876" s="195" t="s">
        <v>34</v>
      </c>
      <c r="H1876" s="31">
        <v>2.0</v>
      </c>
      <c r="I1876" s="31" t="str">
        <f t="array" ref="I1876">IFERROR(XLOOKUP(D1876,'MASTER ITEM LIST'!A:A,'MASTER ITEM LIST'!D:D), "")</f>
        <v>GAL</v>
      </c>
      <c r="J1876" s="34">
        <f t="shared" si="2"/>
        <v>750</v>
      </c>
      <c r="K1876" s="196">
        <v>1500.0</v>
      </c>
      <c r="L1876" s="70" t="s">
        <v>42</v>
      </c>
    </row>
    <row r="1877" ht="22.5" customHeight="1">
      <c r="A1877" s="29">
        <v>46248.0</v>
      </c>
      <c r="B1877" s="31"/>
      <c r="C1877" s="32" t="s">
        <v>711</v>
      </c>
      <c r="D1877" s="198" t="str">
        <f t="array" ref="D1877">IF(E1877="", "", XLOOKUP(E1877, 'MASTER ITEM LIST'!B:B, 'MASTER ITEM LIST'!A:A, "Code Not Found"))</f>
        <v>PRI3634</v>
      </c>
      <c r="E1877" s="199" t="s">
        <v>956</v>
      </c>
      <c r="F1877" s="31"/>
      <c r="G1877" s="195" t="s">
        <v>34</v>
      </c>
      <c r="H1877" s="31">
        <v>2.0</v>
      </c>
      <c r="I1877" s="31" t="str">
        <f t="array" ref="I1877">IFERROR(XLOOKUP(D1877,'MASTER ITEM LIST'!A:A,'MASTER ITEM LIST'!D:D), "")</f>
        <v>LITER</v>
      </c>
      <c r="J1877" s="34">
        <f t="shared" si="2"/>
        <v>590</v>
      </c>
      <c r="K1877" s="196">
        <v>1180.0</v>
      </c>
      <c r="L1877" s="70" t="s">
        <v>42</v>
      </c>
    </row>
    <row r="1878" ht="22.5" customHeight="1">
      <c r="A1878" s="29">
        <v>46248.0</v>
      </c>
      <c r="B1878" s="31"/>
      <c r="C1878" s="32" t="s">
        <v>711</v>
      </c>
      <c r="D1878" s="198" t="str">
        <f t="array" ref="D1878">IF(E1878="", "", XLOOKUP(E1878, 'MASTER ITEM LIST'!B:B, 'MASTER ITEM LIST'!A:A, "Code Not Found"))</f>
        <v>EXTREMEMIX-1L</v>
      </c>
      <c r="E1878" s="199" t="s">
        <v>1164</v>
      </c>
      <c r="F1878" s="31"/>
      <c r="G1878" s="195" t="s">
        <v>34</v>
      </c>
      <c r="H1878" s="31">
        <v>1.5</v>
      </c>
      <c r="I1878" s="31" t="str">
        <f t="array" ref="I1878">IFERROR(XLOOKUP(D1878,'MASTER ITEM LIST'!A:A,'MASTER ITEM LIST'!D:D), "")</f>
        <v>LITER</v>
      </c>
      <c r="J1878" s="34">
        <f t="shared" si="2"/>
        <v>700</v>
      </c>
      <c r="K1878" s="196">
        <v>1050.0</v>
      </c>
      <c r="L1878" s="70" t="s">
        <v>42</v>
      </c>
    </row>
    <row r="1879" ht="22.5" customHeight="1">
      <c r="A1879" s="29">
        <v>46248.0</v>
      </c>
      <c r="B1879" s="31"/>
      <c r="C1879" s="32" t="s">
        <v>711</v>
      </c>
      <c r="D1879" s="198" t="str">
        <f t="array" ref="D1879">IF(E1879="", "", XLOOKUP(E1879, 'MASTER ITEM LIST'!B:B, 'MASTER ITEM LIST'!A:A, "Code Not Found"))</f>
        <v>NAX108</v>
      </c>
      <c r="E1879" s="199" t="s">
        <v>960</v>
      </c>
      <c r="F1879" s="31"/>
      <c r="G1879" s="195" t="s">
        <v>34</v>
      </c>
      <c r="H1879" s="31">
        <v>1.0</v>
      </c>
      <c r="I1879" s="31" t="str">
        <f t="array" ref="I1879">IFERROR(XLOOKUP(D1879,'MASTER ITEM LIST'!A:A,'MASTER ITEM LIST'!D:D), "")</f>
        <v>LITER</v>
      </c>
      <c r="J1879" s="34">
        <f t="shared" si="2"/>
        <v>680</v>
      </c>
      <c r="K1879" s="196">
        <v>680.0</v>
      </c>
      <c r="L1879" s="70" t="s">
        <v>42</v>
      </c>
    </row>
    <row r="1880" ht="22.5" customHeight="1">
      <c r="A1880" s="29">
        <v>46248.0</v>
      </c>
      <c r="B1880" s="31"/>
      <c r="C1880" s="32" t="s">
        <v>711</v>
      </c>
      <c r="D1880" s="198" t="str">
        <f t="array" ref="D1880">IF(E1880="", "", XLOOKUP(E1880, 'MASTER ITEM LIST'!B:B, 'MASTER ITEM LIST'!A:A, "Code Not Found"))</f>
        <v>NAX21</v>
      </c>
      <c r="E1880" s="199" t="s">
        <v>848</v>
      </c>
      <c r="F1880" s="31"/>
      <c r="G1880" s="195" t="s">
        <v>34</v>
      </c>
      <c r="H1880" s="31">
        <v>1.0</v>
      </c>
      <c r="I1880" s="31" t="str">
        <f t="array" ref="I1880">IFERROR(XLOOKUP(D1880,'MASTER ITEM LIST'!A:A,'MASTER ITEM LIST'!D:D), "")</f>
        <v>CANS</v>
      </c>
      <c r="J1880" s="34">
        <f t="shared" si="2"/>
        <v>250</v>
      </c>
      <c r="K1880" s="196">
        <v>250.0</v>
      </c>
      <c r="L1880" s="70" t="s">
        <v>42</v>
      </c>
    </row>
    <row r="1881" ht="22.5" customHeight="1">
      <c r="A1881" s="29">
        <v>46248.0</v>
      </c>
      <c r="B1881" s="31"/>
      <c r="C1881" s="32" t="s">
        <v>711</v>
      </c>
      <c r="D1881" s="198" t="str">
        <f t="array" ref="D1881">IF(E1881="", "", XLOOKUP(E1881, 'MASTER ITEM LIST'!B:B, 'MASTER ITEM LIST'!A:A, "Code Not Found"))</f>
        <v>EA120</v>
      </c>
      <c r="E1881" s="199" t="s">
        <v>1048</v>
      </c>
      <c r="F1881" s="31"/>
      <c r="G1881" s="195" t="s">
        <v>34</v>
      </c>
      <c r="H1881" s="31">
        <v>4.0</v>
      </c>
      <c r="I1881" s="31" t="str">
        <f t="array" ref="I1881">IFERROR(XLOOKUP(D1881,'MASTER ITEM LIST'!A:A,'MASTER ITEM LIST'!D:D), "")</f>
        <v>PC/S</v>
      </c>
      <c r="J1881" s="34">
        <f t="shared" si="2"/>
        <v>25</v>
      </c>
      <c r="K1881" s="196">
        <v>100.0</v>
      </c>
      <c r="L1881" s="70" t="s">
        <v>42</v>
      </c>
    </row>
    <row r="1882" ht="22.5" customHeight="1">
      <c r="A1882" s="29">
        <v>46248.0</v>
      </c>
      <c r="B1882" s="31"/>
      <c r="C1882" s="32" t="s">
        <v>711</v>
      </c>
      <c r="D1882" s="198" t="str">
        <f t="array" ref="D1882">IF(E1882="", "", XLOOKUP(E1882, 'MASTER ITEM LIST'!B:B, 'MASTER ITEM LIST'!A:A, "Code Not Found"))</f>
        <v>EA400</v>
      </c>
      <c r="E1882" s="199" t="s">
        <v>1043</v>
      </c>
      <c r="F1882" s="31"/>
      <c r="G1882" s="195" t="s">
        <v>34</v>
      </c>
      <c r="H1882" s="31">
        <v>4.0</v>
      </c>
      <c r="I1882" s="31" t="str">
        <f t="array" ref="I1882">IFERROR(XLOOKUP(D1882,'MASTER ITEM LIST'!A:A,'MASTER ITEM LIST'!D:D), "")</f>
        <v>PC/S</v>
      </c>
      <c r="J1882" s="34">
        <f t="shared" si="2"/>
        <v>25</v>
      </c>
      <c r="K1882" s="196">
        <v>100.0</v>
      </c>
      <c r="L1882" s="70" t="s">
        <v>42</v>
      </c>
    </row>
    <row r="1883" ht="22.5" customHeight="1">
      <c r="A1883" s="29">
        <v>46248.0</v>
      </c>
      <c r="B1883" s="31"/>
      <c r="C1883" s="32" t="s">
        <v>711</v>
      </c>
      <c r="D1883" s="198" t="str">
        <f t="array" ref="D1883">IF(E1883="", "", XLOOKUP(E1883, 'MASTER ITEM LIST'!B:B, 'MASTER ITEM LIST'!A:A, "Code Not Found"))</f>
        <v>PRI3634</v>
      </c>
      <c r="E1883" s="199" t="s">
        <v>956</v>
      </c>
      <c r="F1883" s="31"/>
      <c r="G1883" s="195" t="s">
        <v>34</v>
      </c>
      <c r="H1883" s="31">
        <v>0.25</v>
      </c>
      <c r="I1883" s="31" t="str">
        <f t="array" ref="I1883">IFERROR(XLOOKUP(D1883,'MASTER ITEM LIST'!A:A,'MASTER ITEM LIST'!D:D), "")</f>
        <v>LITER</v>
      </c>
      <c r="J1883" s="34">
        <f t="shared" si="2"/>
        <v>600</v>
      </c>
      <c r="K1883" s="196">
        <v>150.0</v>
      </c>
      <c r="L1883" s="70" t="s">
        <v>42</v>
      </c>
    </row>
    <row r="1884" ht="22.5" customHeight="1">
      <c r="A1884" s="29">
        <v>46248.0</v>
      </c>
      <c r="B1884" s="31"/>
      <c r="C1884" s="32" t="s">
        <v>711</v>
      </c>
      <c r="D1884" s="198" t="str">
        <f t="array" ref="D1884">IF(E1884="", "", XLOOKUP(E1884, 'MASTER ITEM LIST'!B:B, 'MASTER ITEM LIST'!A:A, "Code Not Found"))</f>
        <v>NAX108</v>
      </c>
      <c r="E1884" s="199" t="s">
        <v>960</v>
      </c>
      <c r="F1884" s="31"/>
      <c r="G1884" s="195" t="s">
        <v>34</v>
      </c>
      <c r="H1884" s="31">
        <v>0.2</v>
      </c>
      <c r="I1884" s="31" t="str">
        <f t="array" ref="I1884">IFERROR(XLOOKUP(D1884,'MASTER ITEM LIST'!A:A,'MASTER ITEM LIST'!D:D), "")</f>
        <v>LITER</v>
      </c>
      <c r="J1884" s="34">
        <f t="shared" si="2"/>
        <v>750</v>
      </c>
      <c r="K1884" s="196">
        <v>150.0</v>
      </c>
      <c r="L1884" s="70" t="s">
        <v>42</v>
      </c>
    </row>
    <row r="1885" ht="22.5" customHeight="1">
      <c r="A1885" s="29">
        <v>46248.0</v>
      </c>
      <c r="B1885" s="31"/>
      <c r="C1885" s="32" t="s">
        <v>711</v>
      </c>
      <c r="D1885" s="198" t="str">
        <f t="array" ref="D1885">IF(E1885="", "", XLOOKUP(E1885, 'MASTER ITEM LIST'!B:B, 'MASTER ITEM LIST'!A:A, "Code Not Found"))</f>
        <v>SOB757</v>
      </c>
      <c r="E1885" s="199" t="s">
        <v>91</v>
      </c>
      <c r="F1885" s="31"/>
      <c r="G1885" s="195" t="s">
        <v>34</v>
      </c>
      <c r="H1885" s="31">
        <v>0.2</v>
      </c>
      <c r="I1885" s="31" t="str">
        <f t="array" ref="I1885">IFERROR(XLOOKUP(D1885,'MASTER ITEM LIST'!A:A,'MASTER ITEM LIST'!D:D), "")</f>
        <v>GAL</v>
      </c>
      <c r="J1885" s="34">
        <f t="shared" si="2"/>
        <v>750</v>
      </c>
      <c r="K1885" s="196">
        <v>150.0</v>
      </c>
      <c r="L1885" s="70" t="s">
        <v>42</v>
      </c>
    </row>
    <row r="1886" ht="22.5" customHeight="1">
      <c r="A1886" s="29">
        <v>46248.0</v>
      </c>
      <c r="B1886" s="31"/>
      <c r="C1886" s="32" t="s">
        <v>711</v>
      </c>
      <c r="D1886" s="198" t="str">
        <f t="array" ref="D1886">IF(E1886="", "", XLOOKUP(E1886, 'MASTER ITEM LIST'!B:B, 'MASTER ITEM LIST'!A:A, "Code Not Found"))</f>
        <v>NAX108</v>
      </c>
      <c r="E1886" s="199" t="s">
        <v>960</v>
      </c>
      <c r="F1886" s="31"/>
      <c r="G1886" s="195" t="s">
        <v>34</v>
      </c>
      <c r="H1886" s="31">
        <v>0.25</v>
      </c>
      <c r="I1886" s="31" t="str">
        <f t="array" ref="I1886">IFERROR(XLOOKUP(D1886,'MASTER ITEM LIST'!A:A,'MASTER ITEM LIST'!D:D), "")</f>
        <v>LITER</v>
      </c>
      <c r="J1886" s="34">
        <f t="shared" si="2"/>
        <v>640</v>
      </c>
      <c r="K1886" s="196">
        <v>160.0</v>
      </c>
      <c r="L1886" s="70" t="s">
        <v>42</v>
      </c>
    </row>
    <row r="1887" ht="22.5" customHeight="1">
      <c r="A1887" s="29">
        <v>46248.0</v>
      </c>
      <c r="B1887" s="31" t="s">
        <v>1931</v>
      </c>
      <c r="C1887" s="32" t="s">
        <v>93</v>
      </c>
      <c r="D1887" s="198" t="str">
        <f t="array" ref="D1887">IF(E1887="", "", XLOOKUP(E1887, 'MASTER ITEM LIST'!B:B, 'MASTER ITEM LIST'!A:A, "Code Not Found"))</f>
        <v>EA600</v>
      </c>
      <c r="E1887" s="199" t="s">
        <v>1041</v>
      </c>
      <c r="F1887" s="31"/>
      <c r="G1887" s="195" t="s">
        <v>34</v>
      </c>
      <c r="H1887" s="31">
        <v>6.0</v>
      </c>
      <c r="I1887" s="31" t="str">
        <f t="array" ref="I1887">IFERROR(XLOOKUP(D1887,'MASTER ITEM LIST'!A:A,'MASTER ITEM LIST'!D:D), "")</f>
        <v>PCS</v>
      </c>
      <c r="J1887" s="34">
        <f t="shared" si="2"/>
        <v>25</v>
      </c>
      <c r="K1887" s="196">
        <v>150.0</v>
      </c>
      <c r="L1887" s="70" t="s">
        <v>42</v>
      </c>
    </row>
    <row r="1888" ht="22.5" customHeight="1">
      <c r="A1888" s="29">
        <v>46248.0</v>
      </c>
      <c r="B1888" s="31" t="s">
        <v>1931</v>
      </c>
      <c r="C1888" s="32" t="s">
        <v>93</v>
      </c>
      <c r="D1888" s="198" t="str">
        <f t="array" ref="D1888">IF(E1888="", "", XLOOKUP(E1888, 'MASTER ITEM LIST'!B:B, 'MASTER ITEM LIST'!A:A, "Code Not Found"))</f>
        <v>EA240</v>
      </c>
      <c r="E1888" s="199" t="s">
        <v>1044</v>
      </c>
      <c r="F1888" s="31"/>
      <c r="G1888" s="195" t="s">
        <v>34</v>
      </c>
      <c r="H1888" s="31">
        <v>4.0</v>
      </c>
      <c r="I1888" s="31" t="str">
        <f t="array" ref="I1888">IFERROR(XLOOKUP(D1888,'MASTER ITEM LIST'!A:A,'MASTER ITEM LIST'!D:D), "")</f>
        <v>PC/S</v>
      </c>
      <c r="J1888" s="34">
        <f t="shared" si="2"/>
        <v>25</v>
      </c>
      <c r="K1888" s="196">
        <v>100.0</v>
      </c>
      <c r="L1888" s="70" t="s">
        <v>42</v>
      </c>
    </row>
    <row r="1889" ht="22.5" customHeight="1">
      <c r="A1889" s="29">
        <v>46249.0</v>
      </c>
      <c r="B1889" s="31" t="s">
        <v>1932</v>
      </c>
      <c r="C1889" s="32" t="s">
        <v>1210</v>
      </c>
      <c r="D1889" s="198" t="str">
        <f t="array" ref="D1889">IF(E1889="", "", XLOOKUP(E1889, 'MASTER ITEM LIST'!B:B, 'MASTER ITEM LIST'!A:A, "Code Not Found"))</f>
        <v>AEMIX-4L</v>
      </c>
      <c r="E1889" s="199" t="s">
        <v>1067</v>
      </c>
      <c r="F1889" s="31" t="s">
        <v>1933</v>
      </c>
      <c r="G1889" s="195" t="s">
        <v>1211</v>
      </c>
      <c r="H1889" s="31">
        <v>1.0</v>
      </c>
      <c r="I1889" s="31" t="str">
        <f t="array" ref="I1889">IFERROR(XLOOKUP(D1889,'MASTER ITEM LIST'!A:A,'MASTER ITEM LIST'!D:D), "")</f>
        <v>GAL</v>
      </c>
      <c r="J1889" s="34">
        <f t="shared" si="2"/>
        <v>1300</v>
      </c>
      <c r="K1889" s="196">
        <v>1300.0</v>
      </c>
      <c r="L1889" s="70" t="s">
        <v>1212</v>
      </c>
    </row>
    <row r="1890" ht="22.5" customHeight="1">
      <c r="A1890" s="29">
        <v>46249.0</v>
      </c>
      <c r="B1890" s="31" t="s">
        <v>1932</v>
      </c>
      <c r="C1890" s="32" t="s">
        <v>1210</v>
      </c>
      <c r="D1890" s="198" t="str">
        <f t="array" ref="D1890">IF(E1890="", "", XLOOKUP(E1890, 'MASTER ITEM LIST'!B:B, 'MASTER ITEM LIST'!A:A, "Code Not Found"))</f>
        <v>QDEMIX-1L</v>
      </c>
      <c r="E1890" s="199" t="s">
        <v>135</v>
      </c>
      <c r="F1890" s="31" t="s">
        <v>1850</v>
      </c>
      <c r="G1890" s="195" t="s">
        <v>1211</v>
      </c>
      <c r="H1890" s="31">
        <v>1.0</v>
      </c>
      <c r="I1890" s="31" t="str">
        <f t="array" ref="I1890">IFERROR(XLOOKUP(D1890,'MASTER ITEM LIST'!A:A,'MASTER ITEM LIST'!D:D), "")</f>
        <v>LITER</v>
      </c>
      <c r="J1890" s="34">
        <f t="shared" si="2"/>
        <v>280</v>
      </c>
      <c r="K1890" s="196">
        <v>280.0</v>
      </c>
      <c r="L1890" s="70" t="s">
        <v>1212</v>
      </c>
    </row>
    <row r="1891" ht="22.5" customHeight="1">
      <c r="A1891" s="29">
        <v>46249.0</v>
      </c>
      <c r="B1891" s="31" t="s">
        <v>1932</v>
      </c>
      <c r="C1891" s="32" t="s">
        <v>1210</v>
      </c>
      <c r="D1891" s="198" t="str">
        <f t="array" ref="D1891">IF(E1891="", "", XLOOKUP(E1891, 'MASTER ITEM LIST'!B:B, 'MASTER ITEM LIST'!A:A, "Code Not Found"))</f>
        <v>2B-PB-1 1/2</v>
      </c>
      <c r="E1891" s="199" t="s">
        <v>1167</v>
      </c>
      <c r="F1891" s="31"/>
      <c r="G1891" s="195" t="s">
        <v>1211</v>
      </c>
      <c r="H1891" s="31">
        <v>1.0</v>
      </c>
      <c r="I1891" s="31" t="str">
        <f t="array" ref="I1891">IFERROR(XLOOKUP(D1891,'MASTER ITEM LIST'!A:A,'MASTER ITEM LIST'!D:D), "")</f>
        <v>PC/S</v>
      </c>
      <c r="J1891" s="34">
        <f t="shared" si="2"/>
        <v>35</v>
      </c>
      <c r="K1891" s="196">
        <v>35.0</v>
      </c>
      <c r="L1891" s="70" t="s">
        <v>1212</v>
      </c>
    </row>
    <row r="1892" ht="22.5" customHeight="1">
      <c r="A1892" s="29">
        <v>46249.0</v>
      </c>
      <c r="B1892" s="31" t="s">
        <v>1598</v>
      </c>
      <c r="C1892" s="32" t="s">
        <v>1599</v>
      </c>
      <c r="D1892" s="198" t="str">
        <f t="array" ref="D1892">IF(E1892="", "", XLOOKUP(E1892, 'MASTER ITEM LIST'!B:B, 'MASTER ITEM LIST'!A:A, "Code Not Found"))</f>
        <v>QDEMIX-1L</v>
      </c>
      <c r="E1892" s="199" t="s">
        <v>135</v>
      </c>
      <c r="F1892" s="31" t="s">
        <v>1850</v>
      </c>
      <c r="G1892" s="195" t="s">
        <v>1376</v>
      </c>
      <c r="H1892" s="31">
        <v>0.5</v>
      </c>
      <c r="I1892" s="31" t="str">
        <f t="array" ref="I1892">IFERROR(XLOOKUP(D1892,'MASTER ITEM LIST'!A:A,'MASTER ITEM LIST'!D:D), "")</f>
        <v>LITER</v>
      </c>
      <c r="J1892" s="34">
        <f t="shared" si="2"/>
        <v>260</v>
      </c>
      <c r="K1892" s="196">
        <v>130.0</v>
      </c>
      <c r="L1892" s="70" t="s">
        <v>1376</v>
      </c>
    </row>
    <row r="1893" ht="22.5" customHeight="1">
      <c r="A1893" s="29">
        <v>46249.0</v>
      </c>
      <c r="B1893" s="31" t="s">
        <v>1598</v>
      </c>
      <c r="C1893" s="32" t="s">
        <v>1599</v>
      </c>
      <c r="D1893" s="198" t="str">
        <f t="array" ref="D1893">IF(E1893="", "", XLOOKUP(E1893, 'MASTER ITEM LIST'!B:B, 'MASTER ITEM LIST'!A:A, "Code Not Found"))</f>
        <v>QDEMIX-1L</v>
      </c>
      <c r="E1893" s="199" t="s">
        <v>135</v>
      </c>
      <c r="F1893" s="31" t="s">
        <v>1934</v>
      </c>
      <c r="G1893" s="195" t="s">
        <v>1376</v>
      </c>
      <c r="H1893" s="31">
        <v>0.5</v>
      </c>
      <c r="I1893" s="31" t="str">
        <f t="array" ref="I1893">IFERROR(XLOOKUP(D1893,'MASTER ITEM LIST'!A:A,'MASTER ITEM LIST'!D:D), "")</f>
        <v>LITER</v>
      </c>
      <c r="J1893" s="34">
        <f t="shared" si="2"/>
        <v>280</v>
      </c>
      <c r="K1893" s="196">
        <v>140.0</v>
      </c>
      <c r="L1893" s="70" t="s">
        <v>1376</v>
      </c>
    </row>
    <row r="1894" ht="22.5" customHeight="1">
      <c r="A1894" s="29">
        <v>46249.0</v>
      </c>
      <c r="B1894" s="31" t="s">
        <v>1598</v>
      </c>
      <c r="C1894" s="32" t="s">
        <v>1599</v>
      </c>
      <c r="D1894" s="198" t="str">
        <f t="array" ref="D1894">IF(E1894="", "", XLOOKUP(E1894, 'MASTER ITEM LIST'!B:B, 'MASTER ITEM LIST'!A:A, "Code Not Found"))</f>
        <v>2B-PB-1 1/2</v>
      </c>
      <c r="E1894" s="199" t="s">
        <v>1167</v>
      </c>
      <c r="F1894" s="31"/>
      <c r="G1894" s="195" t="s">
        <v>1376</v>
      </c>
      <c r="H1894" s="31">
        <v>1.0</v>
      </c>
      <c r="I1894" s="31" t="str">
        <f t="array" ref="I1894">IFERROR(XLOOKUP(D1894,'MASTER ITEM LIST'!A:A,'MASTER ITEM LIST'!D:D), "")</f>
        <v>PC/S</v>
      </c>
      <c r="J1894" s="34">
        <f t="shared" si="2"/>
        <v>35</v>
      </c>
      <c r="K1894" s="196">
        <v>35.0</v>
      </c>
      <c r="L1894" s="70" t="s">
        <v>1376</v>
      </c>
    </row>
    <row r="1895" ht="22.5" customHeight="1">
      <c r="A1895" s="29">
        <v>46249.0</v>
      </c>
      <c r="B1895" s="31" t="s">
        <v>1598</v>
      </c>
      <c r="C1895" s="32" t="s">
        <v>1599</v>
      </c>
      <c r="D1895" s="198" t="str">
        <f t="array" ref="D1895">IF(E1895="", "", XLOOKUP(E1895, 'MASTER ITEM LIST'!B:B, 'MASTER ITEM LIST'!A:A, "Code Not Found"))</f>
        <v>UNOLT-BOT</v>
      </c>
      <c r="E1895" s="199" t="s">
        <v>178</v>
      </c>
      <c r="F1895" s="31"/>
      <c r="G1895" s="195" t="s">
        <v>1376</v>
      </c>
      <c r="H1895" s="31">
        <v>1.0</v>
      </c>
      <c r="I1895" s="31" t="str">
        <f t="array" ref="I1895">IFERROR(XLOOKUP(D1895,'MASTER ITEM LIST'!A:A,'MASTER ITEM LIST'!D:D), "")</f>
        <v>BOT</v>
      </c>
      <c r="J1895" s="34">
        <f t="shared" si="2"/>
        <v>80</v>
      </c>
      <c r="K1895" s="196">
        <v>80.0</v>
      </c>
      <c r="L1895" s="70" t="s">
        <v>1376</v>
      </c>
    </row>
    <row r="1896" ht="22.5" customHeight="1">
      <c r="A1896" s="29">
        <v>46249.0</v>
      </c>
      <c r="B1896" s="31" t="s">
        <v>1935</v>
      </c>
      <c r="C1896" s="32" t="s">
        <v>1240</v>
      </c>
      <c r="D1896" s="198" t="str">
        <f t="array" ref="D1896">IF(E1896="", "", XLOOKUP(E1896, 'MASTER ITEM LIST'!B:B, 'MASTER ITEM LIST'!A:A, "Code Not Found"))</f>
        <v>NAX108</v>
      </c>
      <c r="E1896" s="199" t="s">
        <v>960</v>
      </c>
      <c r="F1896" s="31"/>
      <c r="G1896" s="195" t="s">
        <v>1376</v>
      </c>
      <c r="H1896" s="31">
        <v>1.0</v>
      </c>
      <c r="I1896" s="31" t="str">
        <f t="array" ref="I1896">IFERROR(XLOOKUP(D1896,'MASTER ITEM LIST'!A:A,'MASTER ITEM LIST'!D:D), "")</f>
        <v>LITER</v>
      </c>
      <c r="J1896" s="34">
        <f t="shared" si="2"/>
        <v>700</v>
      </c>
      <c r="K1896" s="196">
        <v>700.0</v>
      </c>
      <c r="L1896" s="70" t="s">
        <v>1376</v>
      </c>
    </row>
    <row r="1897" ht="22.5" customHeight="1">
      <c r="A1897" s="29">
        <v>46251.0</v>
      </c>
      <c r="B1897" s="31"/>
      <c r="C1897" s="32" t="s">
        <v>711</v>
      </c>
      <c r="D1897" s="198" t="str">
        <f t="array" ref="D1897">IF(E1897="", "", XLOOKUP(E1897, 'MASTER ITEM LIST'!B:B, 'MASTER ITEM LIST'!A:A, "Code Not Found"))</f>
        <v>TLWAX</v>
      </c>
      <c r="E1897" s="199" t="s">
        <v>206</v>
      </c>
      <c r="F1897" s="31"/>
      <c r="G1897" s="195" t="s">
        <v>34</v>
      </c>
      <c r="H1897" s="31">
        <v>1.0</v>
      </c>
      <c r="I1897" s="31" t="str">
        <f t="array" ref="I1897">IFERROR(XLOOKUP(D1897,'MASTER ITEM LIST'!A:A,'MASTER ITEM LIST'!D:D), "")</f>
        <v>PC/S</v>
      </c>
      <c r="J1897" s="34">
        <f t="shared" si="2"/>
        <v>100</v>
      </c>
      <c r="K1897" s="196">
        <v>100.0</v>
      </c>
      <c r="L1897" s="70" t="s">
        <v>42</v>
      </c>
    </row>
    <row r="1898" ht="22.5" customHeight="1">
      <c r="A1898" s="29">
        <v>46251.0</v>
      </c>
      <c r="B1898" s="31"/>
      <c r="C1898" s="32" t="s">
        <v>711</v>
      </c>
      <c r="D1898" s="198" t="str">
        <f t="array" ref="D1898">IF(E1898="", "", XLOOKUP(E1898, 'MASTER ITEM LIST'!B:B, 'MASTER ITEM LIST'!A:A, "Code Not Found"))</f>
        <v>EA2000</v>
      </c>
      <c r="E1898" s="199" t="s">
        <v>1045</v>
      </c>
      <c r="F1898" s="31"/>
      <c r="G1898" s="195" t="s">
        <v>34</v>
      </c>
      <c r="H1898" s="31">
        <v>1.0</v>
      </c>
      <c r="I1898" s="31" t="str">
        <f t="array" ref="I1898">IFERROR(XLOOKUP(D1898,'MASTER ITEM LIST'!A:A,'MASTER ITEM LIST'!D:D), "")</f>
        <v>PC/S</v>
      </c>
      <c r="J1898" s="34">
        <f t="shared" si="2"/>
        <v>35</v>
      </c>
      <c r="K1898" s="196">
        <v>35.0</v>
      </c>
      <c r="L1898" s="70" t="s">
        <v>42</v>
      </c>
    </row>
    <row r="1899" ht="22.5" customHeight="1">
      <c r="A1899" s="29">
        <v>46251.0</v>
      </c>
      <c r="B1899" s="31" t="s">
        <v>1600</v>
      </c>
      <c r="C1899" s="32" t="s">
        <v>1601</v>
      </c>
      <c r="D1899" s="198" t="str">
        <f t="array" ref="D1899">IF(E1899="", "", XLOOKUP(E1899, 'MASTER ITEM LIST'!B:B, 'MASTER ITEM LIST'!A:A, "Code Not Found"))</f>
        <v>B-710</v>
      </c>
      <c r="E1899" s="199" t="s">
        <v>1125</v>
      </c>
      <c r="F1899" s="31"/>
      <c r="G1899" s="195" t="s">
        <v>34</v>
      </c>
      <c r="H1899" s="31">
        <v>1.0</v>
      </c>
      <c r="I1899" s="31" t="str">
        <f t="array" ref="I1899">IFERROR(XLOOKUP(D1899,'MASTER ITEM LIST'!A:A,'MASTER ITEM LIST'!D:D), "")</f>
        <v>GALON</v>
      </c>
      <c r="J1899" s="34">
        <f t="shared" si="2"/>
        <v>900</v>
      </c>
      <c r="K1899" s="196">
        <v>900.0</v>
      </c>
      <c r="L1899" s="70" t="s">
        <v>42</v>
      </c>
    </row>
    <row r="1900" ht="22.5" customHeight="1">
      <c r="A1900" s="29">
        <v>46251.0</v>
      </c>
      <c r="B1900" s="31" t="s">
        <v>1602</v>
      </c>
      <c r="C1900" s="32" t="s">
        <v>1603</v>
      </c>
      <c r="D1900" s="198" t="str">
        <f t="array" ref="D1900">IF(E1900="", "", XLOOKUP(E1900, 'MASTER ITEM LIST'!B:B, 'MASTER ITEM LIST'!A:A, "Code Not Found"))</f>
        <v>AEMIX-1L</v>
      </c>
      <c r="E1900" s="199" t="s">
        <v>1196</v>
      </c>
      <c r="F1900" s="31"/>
      <c r="G1900" s="195" t="s">
        <v>34</v>
      </c>
      <c r="H1900" s="31">
        <v>2.0</v>
      </c>
      <c r="I1900" s="31" t="str">
        <f t="array" ref="I1900">IFERROR(XLOOKUP(D1900,'MASTER ITEM LIST'!A:A,'MASTER ITEM LIST'!D:D), "")</f>
        <v>LITER</v>
      </c>
      <c r="J1900" s="34">
        <f t="shared" si="2"/>
        <v>250</v>
      </c>
      <c r="K1900" s="196">
        <v>500.0</v>
      </c>
      <c r="L1900" s="70" t="s">
        <v>42</v>
      </c>
    </row>
    <row r="1901" ht="22.5" customHeight="1">
      <c r="A1901" s="29">
        <v>46251.0</v>
      </c>
      <c r="B1901" s="31" t="s">
        <v>1936</v>
      </c>
      <c r="C1901" s="32" t="s">
        <v>93</v>
      </c>
      <c r="D1901" s="198" t="str">
        <f t="array" ref="D1901">IF(E1901="", "", XLOOKUP(E1901, 'MASTER ITEM LIST'!B:B, 'MASTER ITEM LIST'!A:A, "Code Not Found"))</f>
        <v>EXTREMEMIX-1L</v>
      </c>
      <c r="E1901" s="199" t="s">
        <v>1164</v>
      </c>
      <c r="F1901" s="31"/>
      <c r="G1901" s="195" t="s">
        <v>34</v>
      </c>
      <c r="H1901" s="31">
        <v>0.25</v>
      </c>
      <c r="I1901" s="31" t="str">
        <f t="array" ref="I1901">IFERROR(XLOOKUP(D1901,'MASTER ITEM LIST'!A:A,'MASTER ITEM LIST'!D:D), "")</f>
        <v>LITER</v>
      </c>
      <c r="J1901" s="34">
        <f t="shared" si="2"/>
        <v>800</v>
      </c>
      <c r="K1901" s="196">
        <v>200.0</v>
      </c>
      <c r="L1901" s="70" t="s">
        <v>42</v>
      </c>
    </row>
    <row r="1902" ht="22.5" customHeight="1">
      <c r="A1902" s="29">
        <v>46251.0</v>
      </c>
      <c r="B1902" s="31" t="s">
        <v>1937</v>
      </c>
      <c r="C1902" s="32" t="s">
        <v>1210</v>
      </c>
      <c r="D1902" s="198" t="str">
        <f t="array" ref="D1902">IF(E1902="", "", XLOOKUP(E1902, 'MASTER ITEM LIST'!B:B, 'MASTER ITEM LIST'!A:A, "Code Not Found"))</f>
        <v>PREMILAMIX-1L</v>
      </c>
      <c r="E1902" s="199" t="s">
        <v>1151</v>
      </c>
      <c r="F1902" s="31" t="s">
        <v>1938</v>
      </c>
      <c r="G1902" s="195" t="s">
        <v>1211</v>
      </c>
      <c r="H1902" s="31">
        <v>0.5</v>
      </c>
      <c r="I1902" s="31" t="str">
        <f t="array" ref="I1902">IFERROR(XLOOKUP(D1902,'MASTER ITEM LIST'!A:A,'MASTER ITEM LIST'!D:D), "")</f>
        <v>LITER</v>
      </c>
      <c r="J1902" s="34">
        <f t="shared" si="2"/>
        <v>2700</v>
      </c>
      <c r="K1902" s="196">
        <v>1350.0</v>
      </c>
      <c r="L1902" s="70" t="s">
        <v>1217</v>
      </c>
    </row>
    <row r="1903" ht="22.5" customHeight="1">
      <c r="A1903" s="29">
        <v>46251.0</v>
      </c>
      <c r="B1903" s="31" t="s">
        <v>1937</v>
      </c>
      <c r="C1903" s="32" t="s">
        <v>1210</v>
      </c>
      <c r="D1903" s="198" t="str">
        <f t="array" ref="D1903">IF(E1903="", "", XLOOKUP(E1903, 'MASTER ITEM LIST'!B:B, 'MASTER ITEM LIST'!A:A, "Code Not Found"))</f>
        <v>TOBF-1L</v>
      </c>
      <c r="E1903" s="199" t="s">
        <v>196</v>
      </c>
      <c r="F1903" s="31"/>
      <c r="G1903" s="195" t="s">
        <v>1211</v>
      </c>
      <c r="H1903" s="31">
        <v>1.0</v>
      </c>
      <c r="I1903" s="31" t="str">
        <f t="array" ref="I1903">IFERROR(XLOOKUP(D1903,'MASTER ITEM LIST'!A:A,'MASTER ITEM LIST'!D:D), "")</f>
        <v>LTR</v>
      </c>
      <c r="J1903" s="34">
        <f t="shared" si="2"/>
        <v>240</v>
      </c>
      <c r="K1903" s="196">
        <v>240.0</v>
      </c>
      <c r="L1903" s="70" t="s">
        <v>1217</v>
      </c>
    </row>
    <row r="1904" ht="22.5" customHeight="1">
      <c r="A1904" s="29">
        <v>46251.0</v>
      </c>
      <c r="B1904" s="31" t="s">
        <v>1937</v>
      </c>
      <c r="C1904" s="32" t="s">
        <v>1210</v>
      </c>
      <c r="D1904" s="198" t="str">
        <f t="array" ref="D1904">IF(E1904="", "", XLOOKUP(E1904, 'MASTER ITEM LIST'!B:B, 'MASTER ITEM LIST'!A:A, "Code Not Found"))</f>
        <v>PRI3634</v>
      </c>
      <c r="E1904" s="199" t="s">
        <v>956</v>
      </c>
      <c r="F1904" s="31"/>
      <c r="G1904" s="195" t="s">
        <v>1211</v>
      </c>
      <c r="H1904" s="31">
        <v>0.5</v>
      </c>
      <c r="I1904" s="31" t="str">
        <f t="array" ref="I1904">IFERROR(XLOOKUP(D1904,'MASTER ITEM LIST'!A:A,'MASTER ITEM LIST'!D:D), "")</f>
        <v>LITER</v>
      </c>
      <c r="J1904" s="34">
        <f t="shared" si="2"/>
        <v>600</v>
      </c>
      <c r="K1904" s="196">
        <v>300.0</v>
      </c>
      <c r="L1904" s="70" t="s">
        <v>1217</v>
      </c>
    </row>
    <row r="1905" ht="22.5" customHeight="1">
      <c r="A1905" s="29">
        <v>46251.0</v>
      </c>
      <c r="B1905" s="31" t="s">
        <v>1937</v>
      </c>
      <c r="C1905" s="32" t="s">
        <v>1210</v>
      </c>
      <c r="D1905" s="198" t="str">
        <f t="array" ref="D1905">IF(E1905="", "", XLOOKUP(E1905, 'MASTER ITEM LIST'!B:B, 'MASTER ITEM LIST'!A:A, "Code Not Found"))</f>
        <v>NAX108</v>
      </c>
      <c r="E1905" s="199" t="s">
        <v>960</v>
      </c>
      <c r="F1905" s="31"/>
      <c r="G1905" s="195" t="s">
        <v>1211</v>
      </c>
      <c r="H1905" s="31">
        <v>2.0</v>
      </c>
      <c r="I1905" s="31" t="str">
        <f t="array" ref="I1905">IFERROR(XLOOKUP(D1905,'MASTER ITEM LIST'!A:A,'MASTER ITEM LIST'!D:D), "")</f>
        <v>LITER</v>
      </c>
      <c r="J1905" s="34">
        <f t="shared" si="2"/>
        <v>700</v>
      </c>
      <c r="K1905" s="196">
        <v>1400.0</v>
      </c>
      <c r="L1905" s="70" t="s">
        <v>1217</v>
      </c>
    </row>
    <row r="1906" ht="22.5" customHeight="1">
      <c r="A1906" s="29">
        <v>46251.0</v>
      </c>
      <c r="B1906" s="31" t="s">
        <v>1937</v>
      </c>
      <c r="C1906" s="32" t="s">
        <v>1210</v>
      </c>
      <c r="D1906" s="198" t="str">
        <f t="array" ref="D1906">IF(E1906="", "", XLOOKUP(E1906, 'MASTER ITEM LIST'!B:B, 'MASTER ITEM LIST'!A:A, "Code Not Found"))</f>
        <v>SOB757</v>
      </c>
      <c r="E1906" s="199" t="s">
        <v>91</v>
      </c>
      <c r="F1906" s="31"/>
      <c r="G1906" s="195" t="s">
        <v>1211</v>
      </c>
      <c r="H1906" s="31">
        <v>0.5</v>
      </c>
      <c r="I1906" s="31" t="str">
        <f t="array" ref="I1906">IFERROR(XLOOKUP(D1906,'MASTER ITEM LIST'!A:A,'MASTER ITEM LIST'!D:D), "")</f>
        <v>GAL</v>
      </c>
      <c r="J1906" s="34">
        <f t="shared" si="2"/>
        <v>800</v>
      </c>
      <c r="K1906" s="196">
        <v>400.0</v>
      </c>
      <c r="L1906" s="70" t="s">
        <v>1217</v>
      </c>
    </row>
    <row r="1907" ht="22.5" customHeight="1">
      <c r="A1907" s="29">
        <v>46251.0</v>
      </c>
      <c r="B1907" s="31" t="s">
        <v>1937</v>
      </c>
      <c r="C1907" s="32" t="s">
        <v>1210</v>
      </c>
      <c r="D1907" s="198" t="str">
        <f t="array" ref="D1907">IF(E1907="", "", XLOOKUP(E1907, 'MASTER ITEM LIST'!B:B, 'MASTER ITEM LIST'!A:A, "Code Not Found"))</f>
        <v>EA120</v>
      </c>
      <c r="E1907" s="199" t="s">
        <v>1048</v>
      </c>
      <c r="F1907" s="31"/>
      <c r="G1907" s="195" t="s">
        <v>1211</v>
      </c>
      <c r="H1907" s="31">
        <v>4.0</v>
      </c>
      <c r="I1907" s="31" t="str">
        <f t="array" ref="I1907">IFERROR(XLOOKUP(D1907,'MASTER ITEM LIST'!A:A,'MASTER ITEM LIST'!D:D), "")</f>
        <v>PC/S</v>
      </c>
      <c r="J1907" s="34">
        <f t="shared" si="2"/>
        <v>25</v>
      </c>
      <c r="K1907" s="196">
        <v>100.0</v>
      </c>
      <c r="L1907" s="70" t="s">
        <v>1217</v>
      </c>
    </row>
    <row r="1908" ht="22.5" customHeight="1">
      <c r="A1908" s="29">
        <v>46251.0</v>
      </c>
      <c r="B1908" s="31" t="s">
        <v>1937</v>
      </c>
      <c r="C1908" s="32" t="s">
        <v>1210</v>
      </c>
      <c r="D1908" s="198" t="str">
        <f t="array" ref="D1908">IF(E1908="", "", XLOOKUP(E1908, 'MASTER ITEM LIST'!B:B, 'MASTER ITEM LIST'!A:A, "Code Not Found"))</f>
        <v>EA240</v>
      </c>
      <c r="E1908" s="199" t="s">
        <v>1044</v>
      </c>
      <c r="F1908" s="31"/>
      <c r="G1908" s="195" t="s">
        <v>1211</v>
      </c>
      <c r="H1908" s="31">
        <v>3.0</v>
      </c>
      <c r="I1908" s="31" t="str">
        <f t="array" ref="I1908">IFERROR(XLOOKUP(D1908,'MASTER ITEM LIST'!A:A,'MASTER ITEM LIST'!D:D), "")</f>
        <v>PC/S</v>
      </c>
      <c r="J1908" s="34">
        <f t="shared" si="2"/>
        <v>25</v>
      </c>
      <c r="K1908" s="196">
        <v>75.0</v>
      </c>
      <c r="L1908" s="70" t="s">
        <v>1217</v>
      </c>
    </row>
    <row r="1909" ht="22.5" customHeight="1">
      <c r="A1909" s="29">
        <v>46251.0</v>
      </c>
      <c r="B1909" s="31" t="s">
        <v>1939</v>
      </c>
      <c r="C1909" s="32" t="s">
        <v>1210</v>
      </c>
      <c r="D1909" s="198" t="str">
        <f t="array" ref="D1909">IF(E1909="", "", XLOOKUP(E1909, 'MASTER ITEM LIST'!B:B, 'MASTER ITEM LIST'!A:A, "Code Not Found"))</f>
        <v>EA320</v>
      </c>
      <c r="E1909" s="199" t="s">
        <v>1050</v>
      </c>
      <c r="F1909" s="31"/>
      <c r="G1909" s="195" t="s">
        <v>1211</v>
      </c>
      <c r="H1909" s="31">
        <v>4.0</v>
      </c>
      <c r="I1909" s="31" t="str">
        <f t="array" ref="I1909">IFERROR(XLOOKUP(D1909,'MASTER ITEM LIST'!A:A,'MASTER ITEM LIST'!D:D), "")</f>
        <v>PCS</v>
      </c>
      <c r="J1909" s="34">
        <f t="shared" si="2"/>
        <v>25</v>
      </c>
      <c r="K1909" s="196">
        <v>100.0</v>
      </c>
      <c r="L1909" s="70" t="s">
        <v>1217</v>
      </c>
    </row>
    <row r="1910" ht="22.5" customHeight="1">
      <c r="A1910" s="29">
        <v>46251.0</v>
      </c>
      <c r="B1910" s="31" t="s">
        <v>1939</v>
      </c>
      <c r="C1910" s="32" t="s">
        <v>1210</v>
      </c>
      <c r="D1910" s="198" t="str">
        <f t="array" ref="D1910">IF(E1910="", "", XLOOKUP(E1910, 'MASTER ITEM LIST'!B:B, 'MASTER ITEM LIST'!A:A, "Code Not Found"))</f>
        <v>CRO-MT3/4</v>
      </c>
      <c r="E1910" s="199" t="s">
        <v>1103</v>
      </c>
      <c r="F1910" s="31"/>
      <c r="G1910" s="195" t="s">
        <v>1211</v>
      </c>
      <c r="H1910" s="31">
        <v>3.0</v>
      </c>
      <c r="I1910" s="31" t="str">
        <f t="array" ref="I1910">IFERROR(XLOOKUP(D1910,'MASTER ITEM LIST'!A:A,'MASTER ITEM LIST'!D:D), "")</f>
        <v>PC/S</v>
      </c>
      <c r="J1910" s="34">
        <f t="shared" si="2"/>
        <v>35</v>
      </c>
      <c r="K1910" s="196">
        <v>105.0</v>
      </c>
      <c r="L1910" s="70" t="s">
        <v>1217</v>
      </c>
    </row>
    <row r="1911" ht="22.5" customHeight="1">
      <c r="A1911" s="29">
        <v>46251.0</v>
      </c>
      <c r="B1911" s="31" t="s">
        <v>1939</v>
      </c>
      <c r="C1911" s="32" t="s">
        <v>1210</v>
      </c>
      <c r="D1911" s="198" t="str">
        <f t="array" ref="D1911">IF(E1911="", "", XLOOKUP(E1911, 'MASTER ITEM LIST'!B:B, 'MASTER ITEM LIST'!A:A, "Code Not Found"))</f>
        <v>MSC</v>
      </c>
      <c r="E1911" s="199" t="s">
        <v>518</v>
      </c>
      <c r="F1911" s="31"/>
      <c r="G1911" s="195" t="s">
        <v>1211</v>
      </c>
      <c r="H1911" s="31">
        <v>1.0</v>
      </c>
      <c r="I1911" s="31" t="str">
        <f t="array" ref="I1911">IFERROR(XLOOKUP(D1911,'MASTER ITEM LIST'!A:A,'MASTER ITEM LIST'!D:D), "")</f>
        <v>KG</v>
      </c>
      <c r="J1911" s="34">
        <f t="shared" si="2"/>
        <v>100</v>
      </c>
      <c r="K1911" s="196">
        <v>100.0</v>
      </c>
      <c r="L1911" s="70" t="s">
        <v>1217</v>
      </c>
    </row>
    <row r="1912" ht="22.5" customHeight="1">
      <c r="A1912" s="29">
        <v>46251.0</v>
      </c>
      <c r="B1912" s="31" t="s">
        <v>1939</v>
      </c>
      <c r="C1912" s="32" t="s">
        <v>1210</v>
      </c>
      <c r="D1912" s="198" t="str">
        <f t="array" ref="D1912">IF(E1912="", "", XLOOKUP(E1912, 'MASTER ITEM LIST'!B:B, 'MASTER ITEM LIST'!A:A, "Code Not Found"))</f>
        <v>EA1200</v>
      </c>
      <c r="E1912" s="199" t="s">
        <v>1047</v>
      </c>
      <c r="F1912" s="31"/>
      <c r="G1912" s="195" t="s">
        <v>1211</v>
      </c>
      <c r="H1912" s="31">
        <v>3.0</v>
      </c>
      <c r="I1912" s="31" t="str">
        <f t="array" ref="I1912">IFERROR(XLOOKUP(D1912,'MASTER ITEM LIST'!A:A,'MASTER ITEM LIST'!D:D), "")</f>
        <v>PC/S</v>
      </c>
      <c r="J1912" s="34">
        <f t="shared" si="2"/>
        <v>25</v>
      </c>
      <c r="K1912" s="196">
        <v>75.0</v>
      </c>
      <c r="L1912" s="70" t="s">
        <v>1217</v>
      </c>
    </row>
    <row r="1913" ht="22.5" customHeight="1">
      <c r="A1913" s="29">
        <v>46252.0</v>
      </c>
      <c r="B1913" s="31" t="s">
        <v>1940</v>
      </c>
      <c r="C1913" s="32" t="s">
        <v>1210</v>
      </c>
      <c r="D1913" s="198" t="str">
        <f t="array" ref="D1913">IF(E1913="", "", XLOOKUP(E1913, 'MASTER ITEM LIST'!B:B, 'MASTER ITEM LIST'!A:A, "Code Not Found"))</f>
        <v>CRO-MT3/4</v>
      </c>
      <c r="E1913" s="199" t="s">
        <v>1103</v>
      </c>
      <c r="F1913" s="31"/>
      <c r="G1913" s="195" t="s">
        <v>1211</v>
      </c>
      <c r="H1913" s="31">
        <v>35.0</v>
      </c>
      <c r="I1913" s="31" t="str">
        <f t="array" ref="I1913">IFERROR(XLOOKUP(D1913,'MASTER ITEM LIST'!A:A,'MASTER ITEM LIST'!D:D), "")</f>
        <v>PC/S</v>
      </c>
      <c r="J1913" s="34">
        <f t="shared" si="2"/>
        <v>8</v>
      </c>
      <c r="K1913" s="196">
        <v>280.0</v>
      </c>
      <c r="L1913" s="70" t="s">
        <v>1217</v>
      </c>
    </row>
    <row r="1914" ht="22.5" customHeight="1">
      <c r="A1914" s="29">
        <v>46252.0</v>
      </c>
      <c r="B1914" s="31" t="s">
        <v>1940</v>
      </c>
      <c r="C1914" s="32" t="s">
        <v>1210</v>
      </c>
      <c r="D1914" s="198" t="str">
        <f t="array" ref="D1914">IF(E1914="", "", XLOOKUP(E1914, 'MASTER ITEM LIST'!B:B, 'MASTER ITEM LIST'!A:A, "Code Not Found"))</f>
        <v>MSC</v>
      </c>
      <c r="E1914" s="199" t="s">
        <v>518</v>
      </c>
      <c r="F1914" s="31"/>
      <c r="G1914" s="195" t="s">
        <v>1211</v>
      </c>
      <c r="H1914" s="31">
        <v>2.0</v>
      </c>
      <c r="I1914" s="31" t="str">
        <f t="array" ref="I1914">IFERROR(XLOOKUP(D1914,'MASTER ITEM LIST'!A:A,'MASTER ITEM LIST'!D:D), "")</f>
        <v>KG</v>
      </c>
      <c r="J1914" s="34">
        <f t="shared" si="2"/>
        <v>100</v>
      </c>
      <c r="K1914" s="196">
        <v>200.0</v>
      </c>
      <c r="L1914" s="70" t="s">
        <v>1217</v>
      </c>
    </row>
    <row r="1915" ht="22.5" customHeight="1">
      <c r="A1915" s="29">
        <v>46252.0</v>
      </c>
      <c r="B1915" s="31" t="s">
        <v>1941</v>
      </c>
      <c r="C1915" s="32" t="s">
        <v>1210</v>
      </c>
      <c r="D1915" s="198" t="str">
        <f t="array" ref="D1915">IF(E1915="", "", XLOOKUP(E1915, 'MASTER ITEM LIST'!B:B, 'MASTER ITEM LIST'!A:A, "Code Not Found"))</f>
        <v>2B-PB-2</v>
      </c>
      <c r="E1915" s="199" t="s">
        <v>1149</v>
      </c>
      <c r="F1915" s="31"/>
      <c r="G1915" s="195" t="s">
        <v>1211</v>
      </c>
      <c r="H1915" s="31">
        <v>1.0</v>
      </c>
      <c r="I1915" s="31" t="str">
        <f t="array" ref="I1915">IFERROR(XLOOKUP(D1915,'MASTER ITEM LIST'!A:A,'MASTER ITEM LIST'!D:D), "")</f>
        <v>PC/S</v>
      </c>
      <c r="J1915" s="34">
        <f t="shared" si="2"/>
        <v>50</v>
      </c>
      <c r="K1915" s="196">
        <v>50.0</v>
      </c>
      <c r="L1915" s="70" t="s">
        <v>1217</v>
      </c>
    </row>
    <row r="1916" ht="22.5" customHeight="1">
      <c r="A1916" s="29">
        <v>46252.0</v>
      </c>
      <c r="B1916" s="31" t="s">
        <v>1941</v>
      </c>
      <c r="C1916" s="32" t="s">
        <v>1210</v>
      </c>
      <c r="D1916" s="198" t="str">
        <f t="array" ref="D1916">IF(E1916="", "", XLOOKUP(E1916, 'MASTER ITEM LIST'!B:B, 'MASTER ITEM LIST'!A:A, "Code Not Found"))</f>
        <v>2B-#4</v>
      </c>
      <c r="E1916" s="199" t="s">
        <v>1146</v>
      </c>
      <c r="F1916" s="31"/>
      <c r="G1916" s="195" t="s">
        <v>1211</v>
      </c>
      <c r="H1916" s="31">
        <v>1.0</v>
      </c>
      <c r="I1916" s="31" t="str">
        <f t="array" ref="I1916">IFERROR(XLOOKUP(D1916,'MASTER ITEM LIST'!A:A,'MASTER ITEM LIST'!D:D), "")</f>
        <v>PC/S</v>
      </c>
      <c r="J1916" s="34">
        <f t="shared" si="2"/>
        <v>65</v>
      </c>
      <c r="K1916" s="196">
        <v>65.0</v>
      </c>
      <c r="L1916" s="70" t="s">
        <v>1217</v>
      </c>
    </row>
    <row r="1917" ht="22.5" customHeight="1">
      <c r="A1917" s="29">
        <v>46252.0</v>
      </c>
      <c r="B1917" s="31" t="s">
        <v>1941</v>
      </c>
      <c r="C1917" s="32" t="s">
        <v>1210</v>
      </c>
      <c r="D1917" s="198" t="str">
        <f t="array" ref="D1917">IF(E1917="", "", XLOOKUP(E1917, 'MASTER ITEM LIST'!B:B, 'MASTER ITEM LIST'!A:A, "Code Not Found"))</f>
        <v>QDEMIX-1L</v>
      </c>
      <c r="E1917" s="199" t="s">
        <v>135</v>
      </c>
      <c r="F1917" s="31" t="s">
        <v>1850</v>
      </c>
      <c r="G1917" s="195" t="s">
        <v>1211</v>
      </c>
      <c r="H1917" s="31">
        <v>1.0</v>
      </c>
      <c r="I1917" s="31" t="str">
        <f t="array" ref="I1917">IFERROR(XLOOKUP(D1917,'MASTER ITEM LIST'!A:A,'MASTER ITEM LIST'!D:D), "")</f>
        <v>LITER</v>
      </c>
      <c r="J1917" s="34">
        <f t="shared" si="2"/>
        <v>380</v>
      </c>
      <c r="K1917" s="196">
        <v>380.0</v>
      </c>
      <c r="L1917" s="70" t="s">
        <v>1217</v>
      </c>
    </row>
    <row r="1918" ht="22.5" customHeight="1">
      <c r="A1918" s="29">
        <v>46252.0</v>
      </c>
      <c r="B1918" s="31" t="s">
        <v>1941</v>
      </c>
      <c r="C1918" s="32" t="s">
        <v>1210</v>
      </c>
      <c r="D1918" s="198" t="str">
        <f t="array" ref="D1918">IF(E1918="", "", XLOOKUP(E1918, 'MASTER ITEM LIST'!B:B, 'MASTER ITEM LIST'!A:A, "Code Not Found"))</f>
        <v>LATEXMIX-4L</v>
      </c>
      <c r="E1918" s="199" t="s">
        <v>1156</v>
      </c>
      <c r="F1918" s="31" t="s">
        <v>1942</v>
      </c>
      <c r="G1918" s="195" t="s">
        <v>1211</v>
      </c>
      <c r="H1918" s="31">
        <v>1.0</v>
      </c>
      <c r="I1918" s="31" t="str">
        <f t="array" ref="I1918">IFERROR(XLOOKUP(D1918,'MASTER ITEM LIST'!A:A,'MASTER ITEM LIST'!D:D), "")</f>
        <v>GALON</v>
      </c>
      <c r="J1918" s="34">
        <f t="shared" si="2"/>
        <v>980</v>
      </c>
      <c r="K1918" s="196">
        <v>980.0</v>
      </c>
      <c r="L1918" s="70" t="s">
        <v>1217</v>
      </c>
    </row>
    <row r="1919" ht="22.5" customHeight="1">
      <c r="A1919" s="29">
        <v>46252.0</v>
      </c>
      <c r="B1919" s="31" t="s">
        <v>1941</v>
      </c>
      <c r="C1919" s="32" t="s">
        <v>1210</v>
      </c>
      <c r="D1919" s="198" t="str">
        <f t="array" ref="D1919">IF(E1919="", "", XLOOKUP(E1919, 'MASTER ITEM LIST'!B:B, 'MASTER ITEM LIST'!A:A, "Code Not Found"))</f>
        <v>LATEXMIX-4L</v>
      </c>
      <c r="E1919" s="199" t="s">
        <v>1156</v>
      </c>
      <c r="F1919" s="31" t="s">
        <v>1943</v>
      </c>
      <c r="G1919" s="195" t="s">
        <v>1211</v>
      </c>
      <c r="H1919" s="31">
        <v>1.0</v>
      </c>
      <c r="I1919" s="31" t="str">
        <f t="array" ref="I1919">IFERROR(XLOOKUP(D1919,'MASTER ITEM LIST'!A:A,'MASTER ITEM LIST'!D:D), "")</f>
        <v>GALON</v>
      </c>
      <c r="J1919" s="34">
        <f t="shared" si="2"/>
        <v>980</v>
      </c>
      <c r="K1919" s="196">
        <v>980.0</v>
      </c>
      <c r="L1919" s="70" t="s">
        <v>1217</v>
      </c>
    </row>
    <row r="1920" ht="22.5" customHeight="1">
      <c r="A1920" s="29">
        <v>46252.0</v>
      </c>
      <c r="B1920" s="31" t="s">
        <v>1944</v>
      </c>
      <c r="C1920" s="32" t="s">
        <v>1210</v>
      </c>
      <c r="D1920" s="198" t="str">
        <f t="array" ref="D1920">IF(E1920="", "", XLOOKUP(E1920, 'MASTER ITEM LIST'!B:B, 'MASTER ITEM LIST'!A:A, "Code Not Found"))</f>
        <v>PREMILAMIX-1L</v>
      </c>
      <c r="E1920" s="199" t="s">
        <v>1151</v>
      </c>
      <c r="F1920" s="31" t="s">
        <v>1945</v>
      </c>
      <c r="G1920" s="195" t="s">
        <v>1211</v>
      </c>
      <c r="H1920" s="31">
        <v>0.25</v>
      </c>
      <c r="I1920" s="31" t="str">
        <f t="array" ref="I1920">IFERROR(XLOOKUP(D1920,'MASTER ITEM LIST'!A:A,'MASTER ITEM LIST'!D:D), "")</f>
        <v>LITER</v>
      </c>
      <c r="J1920" s="34">
        <f t="shared" si="2"/>
        <v>2600</v>
      </c>
      <c r="K1920" s="196">
        <v>650.0</v>
      </c>
      <c r="L1920" s="70" t="s">
        <v>1217</v>
      </c>
    </row>
    <row r="1921" ht="22.5" customHeight="1">
      <c r="A1921" s="29">
        <v>46252.0</v>
      </c>
      <c r="B1921" s="31" t="s">
        <v>1944</v>
      </c>
      <c r="C1921" s="32" t="s">
        <v>1210</v>
      </c>
      <c r="D1921" s="198" t="str">
        <f t="array" ref="D1921">IF(E1921="", "", XLOOKUP(E1921, 'MASTER ITEM LIST'!B:B, 'MASTER ITEM LIST'!A:A, "Code Not Found"))</f>
        <v>NAX108</v>
      </c>
      <c r="E1921" s="199" t="s">
        <v>960</v>
      </c>
      <c r="F1921" s="31"/>
      <c r="G1921" s="195" t="s">
        <v>1211</v>
      </c>
      <c r="H1921" s="31">
        <v>0.5</v>
      </c>
      <c r="I1921" s="31" t="str">
        <f t="array" ref="I1921">IFERROR(XLOOKUP(D1921,'MASTER ITEM LIST'!A:A,'MASTER ITEM LIST'!D:D), "")</f>
        <v>LITER</v>
      </c>
      <c r="J1921" s="34">
        <f t="shared" si="2"/>
        <v>720</v>
      </c>
      <c r="K1921" s="196">
        <v>360.0</v>
      </c>
      <c r="L1921" s="70" t="s">
        <v>1217</v>
      </c>
    </row>
    <row r="1922" ht="22.5" customHeight="1">
      <c r="A1922" s="29">
        <v>46252.0</v>
      </c>
      <c r="B1922" s="31" t="s">
        <v>1946</v>
      </c>
      <c r="C1922" s="32" t="s">
        <v>93</v>
      </c>
      <c r="D1922" s="198" t="str">
        <f t="array" ref="D1922">IF(E1922="", "", XLOOKUP(E1922, 'MASTER ITEM LIST'!B:B, 'MASTER ITEM LIST'!A:A, "Code Not Found"))</f>
        <v>SOB757</v>
      </c>
      <c r="E1922" s="199" t="s">
        <v>91</v>
      </c>
      <c r="F1922" s="31"/>
      <c r="G1922" s="195" t="s">
        <v>34</v>
      </c>
      <c r="H1922" s="31">
        <v>1.0</v>
      </c>
      <c r="I1922" s="31" t="str">
        <f t="array" ref="I1922">IFERROR(XLOOKUP(D1922,'MASTER ITEM LIST'!A:A,'MASTER ITEM LIST'!D:D), "")</f>
        <v>GAL</v>
      </c>
      <c r="J1922" s="34">
        <f t="shared" si="2"/>
        <v>780</v>
      </c>
      <c r="K1922" s="196">
        <v>780.0</v>
      </c>
      <c r="L1922" s="70" t="s">
        <v>42</v>
      </c>
    </row>
    <row r="1923" ht="22.5" customHeight="1">
      <c r="A1923" s="29">
        <v>46252.0</v>
      </c>
      <c r="B1923" s="31" t="s">
        <v>1946</v>
      </c>
      <c r="C1923" s="32" t="s">
        <v>93</v>
      </c>
      <c r="D1923" s="198" t="str">
        <f t="array" ref="D1923">IF(E1923="", "", XLOOKUP(E1923, 'MASTER ITEM LIST'!B:B, 'MASTER ITEM LIST'!A:A, "Code Not Found"))</f>
        <v>EA120</v>
      </c>
      <c r="E1923" s="199" t="s">
        <v>1048</v>
      </c>
      <c r="F1923" s="31"/>
      <c r="G1923" s="195" t="s">
        <v>34</v>
      </c>
      <c r="H1923" s="31">
        <v>10.0</v>
      </c>
      <c r="I1923" s="31" t="str">
        <f t="array" ref="I1923">IFERROR(XLOOKUP(D1923,'MASTER ITEM LIST'!A:A,'MASTER ITEM LIST'!D:D), "")</f>
        <v>PC/S</v>
      </c>
      <c r="J1923" s="34">
        <f t="shared" si="2"/>
        <v>25</v>
      </c>
      <c r="K1923" s="196">
        <v>250.0</v>
      </c>
      <c r="L1923" s="70" t="s">
        <v>42</v>
      </c>
    </row>
    <row r="1924" ht="22.5" customHeight="1">
      <c r="A1924" s="29">
        <v>46252.0</v>
      </c>
      <c r="B1924" s="31" t="s">
        <v>1946</v>
      </c>
      <c r="C1924" s="32" t="s">
        <v>93</v>
      </c>
      <c r="D1924" s="198" t="str">
        <f t="array" ref="D1924">IF(E1924="", "", XLOOKUP(E1924, 'MASTER ITEM LIST'!B:B, 'MASTER ITEM LIST'!A:A, "Code Not Found"))</f>
        <v>EA240</v>
      </c>
      <c r="E1924" s="199" t="s">
        <v>1044</v>
      </c>
      <c r="F1924" s="31"/>
      <c r="G1924" s="195" t="s">
        <v>34</v>
      </c>
      <c r="H1924" s="31">
        <v>10.0</v>
      </c>
      <c r="I1924" s="31" t="str">
        <f t="array" ref="I1924">IFERROR(XLOOKUP(D1924,'MASTER ITEM LIST'!A:A,'MASTER ITEM LIST'!D:D), "")</f>
        <v>PC/S</v>
      </c>
      <c r="J1924" s="34">
        <f t="shared" si="2"/>
        <v>25</v>
      </c>
      <c r="K1924" s="196">
        <v>250.0</v>
      </c>
      <c r="L1924" s="70" t="s">
        <v>42</v>
      </c>
    </row>
    <row r="1925" ht="22.5" customHeight="1">
      <c r="A1925" s="29">
        <v>46252.0</v>
      </c>
      <c r="B1925" s="31" t="s">
        <v>1947</v>
      </c>
      <c r="C1925" s="32" t="s">
        <v>1573</v>
      </c>
      <c r="D1925" s="198" t="str">
        <f t="array" ref="D1925">IF(E1925="", "", XLOOKUP(E1925, 'MASTER ITEM LIST'!B:B, 'MASTER ITEM LIST'!A:A, "Code Not Found"))</f>
        <v>NAT990-1L</v>
      </c>
      <c r="E1925" s="199" t="s">
        <v>852</v>
      </c>
      <c r="F1925" s="31"/>
      <c r="G1925" s="195" t="s">
        <v>34</v>
      </c>
      <c r="H1925" s="31">
        <v>-1.0</v>
      </c>
      <c r="I1925" s="31" t="str">
        <f t="array" ref="I1925">IFERROR(XLOOKUP(D1925,'MASTER ITEM LIST'!A:A,'MASTER ITEM LIST'!D:D), "")</f>
        <v>LITER</v>
      </c>
      <c r="J1925" s="34">
        <f t="shared" si="2"/>
        <v>980</v>
      </c>
      <c r="K1925" s="196">
        <v>-980.0</v>
      </c>
      <c r="L1925" s="70" t="s">
        <v>42</v>
      </c>
    </row>
    <row r="1926" ht="22.5" customHeight="1">
      <c r="A1926" s="29">
        <v>46252.0</v>
      </c>
      <c r="B1926" s="31" t="s">
        <v>1947</v>
      </c>
      <c r="C1926" s="32" t="s">
        <v>1573</v>
      </c>
      <c r="D1926" s="198" t="str">
        <f t="array" ref="D1926">IF(E1926="", "", XLOOKUP(E1926, 'MASTER ITEM LIST'!B:B, 'MASTER ITEM LIST'!A:A, "Code Not Found"))</f>
        <v>NAX108</v>
      </c>
      <c r="E1926" s="199" t="s">
        <v>960</v>
      </c>
      <c r="F1926" s="31"/>
      <c r="G1926" s="195" t="s">
        <v>34</v>
      </c>
      <c r="H1926" s="31">
        <v>3.0</v>
      </c>
      <c r="I1926" s="31" t="str">
        <f t="array" ref="I1926">IFERROR(XLOOKUP(D1926,'MASTER ITEM LIST'!A:A,'MASTER ITEM LIST'!D:D), "")</f>
        <v>LITER</v>
      </c>
      <c r="J1926" s="34">
        <f t="shared" si="2"/>
        <v>670</v>
      </c>
      <c r="K1926" s="196">
        <v>2010.0</v>
      </c>
      <c r="L1926" s="70" t="s">
        <v>42</v>
      </c>
    </row>
    <row r="1927" ht="22.5" customHeight="1">
      <c r="A1927" s="29">
        <v>46252.0</v>
      </c>
      <c r="B1927" s="31" t="s">
        <v>1947</v>
      </c>
      <c r="C1927" s="32" t="s">
        <v>1573</v>
      </c>
      <c r="D1927" s="198" t="str">
        <f t="array" ref="D1927">IF(E1927="", "", XLOOKUP(E1927, 'MASTER ITEM LIST'!B:B, 'MASTER ITEM LIST'!A:A, "Code Not Found"))</f>
        <v>NAT3974</v>
      </c>
      <c r="E1927" s="199" t="s">
        <v>885</v>
      </c>
      <c r="F1927" s="31"/>
      <c r="G1927" s="195" t="s">
        <v>34</v>
      </c>
      <c r="H1927" s="31">
        <v>1.0</v>
      </c>
      <c r="I1927" s="31" t="str">
        <f t="array" ref="I1927">IFERROR(XLOOKUP(D1927,'MASTER ITEM LIST'!A:A,'MASTER ITEM LIST'!D:D), "")</f>
        <v>LITER</v>
      </c>
      <c r="J1927" s="34">
        <f t="shared" si="2"/>
        <v>1180</v>
      </c>
      <c r="K1927" s="196">
        <v>1180.0</v>
      </c>
      <c r="L1927" s="70" t="s">
        <v>42</v>
      </c>
    </row>
    <row r="1928" ht="22.5" customHeight="1">
      <c r="A1928" s="29">
        <v>46252.0</v>
      </c>
      <c r="B1928" s="31" t="s">
        <v>1947</v>
      </c>
      <c r="C1928" s="32" t="s">
        <v>1573</v>
      </c>
      <c r="D1928" s="198" t="str">
        <f t="array" ref="D1928">IF(E1928="", "", XLOOKUP(E1928, 'MASTER ITEM LIST'!B:B, 'MASTER ITEM LIST'!A:A, "Code Not Found"))</f>
        <v>NAXQDUMIX-1L</v>
      </c>
      <c r="E1928" s="199" t="s">
        <v>1161</v>
      </c>
      <c r="F1928" s="31" t="s">
        <v>1850</v>
      </c>
      <c r="G1928" s="195" t="s">
        <v>34</v>
      </c>
      <c r="H1928" s="31">
        <v>1.0</v>
      </c>
      <c r="I1928" s="31" t="str">
        <f t="array" ref="I1928">IFERROR(XLOOKUP(D1928,'MASTER ITEM LIST'!A:A,'MASTER ITEM LIST'!D:D), "")</f>
        <v>LITER</v>
      </c>
      <c r="J1928" s="34">
        <f t="shared" si="2"/>
        <v>1000</v>
      </c>
      <c r="K1928" s="196">
        <v>1000.0</v>
      </c>
      <c r="L1928" s="70" t="s">
        <v>42</v>
      </c>
    </row>
    <row r="1929" ht="22.5" customHeight="1">
      <c r="A1929" s="29">
        <v>46252.0</v>
      </c>
      <c r="B1929" s="31"/>
      <c r="C1929" s="193"/>
      <c r="D1929" s="198" t="str">
        <f t="array" ref="D1929">IF(E1929="", "", XLOOKUP(E1929, 'MASTER ITEM LIST'!B:B, 'MASTER ITEM LIST'!A:A, "Code Not Found"))</f>
        <v/>
      </c>
      <c r="E1929" s="66"/>
      <c r="F1929" s="31"/>
      <c r="G1929" s="210"/>
      <c r="H1929" s="31"/>
      <c r="I1929" s="31" t="str">
        <f t="array" ref="I1929">IFERROR(XLOOKUP(D1929,'MASTER ITEM LIST'!A:A,'MASTER ITEM LIST'!D:D), "")</f>
        <v/>
      </c>
      <c r="J1929" s="34" t="str">
        <f t="shared" si="2"/>
        <v/>
      </c>
      <c r="K1929" s="69" t="str">
        <f t="shared" ref="K1929:K2000" si="3">IF(H1929="", "", H1929*J1929)</f>
        <v/>
      </c>
      <c r="L1929" s="211"/>
    </row>
    <row r="1930" ht="22.5" customHeight="1">
      <c r="A1930" s="29"/>
      <c r="B1930" s="31"/>
      <c r="C1930" s="193"/>
      <c r="D1930" s="198" t="str">
        <f t="array" ref="D1930">IF(E1930="", "", XLOOKUP(E1930, 'MASTER ITEM LIST'!B:B, 'MASTER ITEM LIST'!A:A, "Code Not Found"))</f>
        <v/>
      </c>
      <c r="E1930" s="66"/>
      <c r="F1930" s="31"/>
      <c r="G1930" s="210"/>
      <c r="H1930" s="31"/>
      <c r="I1930" s="31" t="str">
        <f t="array" ref="I1930">IFERROR(XLOOKUP(D1930,'MASTER ITEM LIST'!A:A,'MASTER ITEM LIST'!D:D), "")</f>
        <v/>
      </c>
      <c r="J1930" s="34" t="str">
        <f t="shared" si="2"/>
        <v/>
      </c>
      <c r="K1930" s="69" t="str">
        <f t="shared" si="3"/>
        <v/>
      </c>
      <c r="L1930" s="211"/>
    </row>
    <row r="1931" ht="22.5" customHeight="1">
      <c r="A1931" s="29"/>
      <c r="B1931" s="31"/>
      <c r="C1931" s="193"/>
      <c r="D1931" s="198" t="str">
        <f t="array" ref="D1931">IF(E1931="", "", XLOOKUP(E1931, 'MASTER ITEM LIST'!B:B, 'MASTER ITEM LIST'!A:A, "Code Not Found"))</f>
        <v/>
      </c>
      <c r="E1931" s="66"/>
      <c r="F1931" s="31"/>
      <c r="G1931" s="210"/>
      <c r="H1931" s="31"/>
      <c r="I1931" s="31" t="str">
        <f t="array" ref="I1931">IFERROR(XLOOKUP(D1931,'MASTER ITEM LIST'!A:A,'MASTER ITEM LIST'!D:D), "")</f>
        <v/>
      </c>
      <c r="J1931" s="34" t="str">
        <f t="shared" si="2"/>
        <v/>
      </c>
      <c r="K1931" s="69" t="str">
        <f t="shared" si="3"/>
        <v/>
      </c>
      <c r="L1931" s="211"/>
    </row>
    <row r="1932" ht="22.5" customHeight="1">
      <c r="A1932" s="29"/>
      <c r="B1932" s="31"/>
      <c r="C1932" s="193"/>
      <c r="D1932" s="198" t="str">
        <f t="array" ref="D1932">IF(E1932="", "", XLOOKUP(E1932, 'MASTER ITEM LIST'!B:B, 'MASTER ITEM LIST'!A:A, "Code Not Found"))</f>
        <v/>
      </c>
      <c r="E1932" s="66"/>
      <c r="F1932" s="31"/>
      <c r="G1932" s="210"/>
      <c r="H1932" s="31"/>
      <c r="I1932" s="31" t="str">
        <f t="array" ref="I1932">IFERROR(XLOOKUP(D1932,'MASTER ITEM LIST'!A:A,'MASTER ITEM LIST'!D:D), "")</f>
        <v/>
      </c>
      <c r="J1932" s="34" t="str">
        <f t="shared" si="2"/>
        <v/>
      </c>
      <c r="K1932" s="69" t="str">
        <f t="shared" si="3"/>
        <v/>
      </c>
      <c r="L1932" s="211"/>
    </row>
    <row r="1933" ht="22.5" customHeight="1">
      <c r="A1933" s="29"/>
      <c r="B1933" s="31"/>
      <c r="C1933" s="193"/>
      <c r="D1933" s="198" t="str">
        <f t="array" ref="D1933">IF(E1933="", "", XLOOKUP(E1933, 'MASTER ITEM LIST'!B:B, 'MASTER ITEM LIST'!A:A, "Code Not Found"))</f>
        <v/>
      </c>
      <c r="E1933" s="66"/>
      <c r="F1933" s="31"/>
      <c r="G1933" s="210"/>
      <c r="H1933" s="31"/>
      <c r="I1933" s="31" t="str">
        <f t="array" ref="I1933">IFERROR(XLOOKUP(D1933,'MASTER ITEM LIST'!A:A,'MASTER ITEM LIST'!D:D), "")</f>
        <v/>
      </c>
      <c r="J1933" s="34" t="str">
        <f t="shared" si="2"/>
        <v/>
      </c>
      <c r="K1933" s="69" t="str">
        <f t="shared" si="3"/>
        <v/>
      </c>
      <c r="L1933" s="211"/>
    </row>
    <row r="1934" ht="22.5" customHeight="1">
      <c r="A1934" s="29"/>
      <c r="B1934" s="31"/>
      <c r="C1934" s="193"/>
      <c r="D1934" s="198" t="str">
        <f t="array" ref="D1934">IF(E1934="", "", XLOOKUP(E1934, 'MASTER ITEM LIST'!B:B, 'MASTER ITEM LIST'!A:A, "Code Not Found"))</f>
        <v/>
      </c>
      <c r="E1934" s="66"/>
      <c r="F1934" s="31"/>
      <c r="G1934" s="210"/>
      <c r="H1934" s="31"/>
      <c r="I1934" s="31" t="str">
        <f t="array" ref="I1934">IFERROR(XLOOKUP(D1934,'MASTER ITEM LIST'!A:A,'MASTER ITEM LIST'!D:D), "")</f>
        <v/>
      </c>
      <c r="J1934" s="34" t="str">
        <f t="shared" si="2"/>
        <v/>
      </c>
      <c r="K1934" s="69" t="str">
        <f t="shared" si="3"/>
        <v/>
      </c>
      <c r="L1934" s="211"/>
    </row>
    <row r="1935" ht="22.5" customHeight="1">
      <c r="A1935" s="29"/>
      <c r="B1935" s="31"/>
      <c r="C1935" s="193"/>
      <c r="D1935" s="198" t="str">
        <f t="array" ref="D1935">IF(E1935="", "", XLOOKUP(E1935, 'MASTER ITEM LIST'!B:B, 'MASTER ITEM LIST'!A:A, "Code Not Found"))</f>
        <v/>
      </c>
      <c r="E1935" s="66"/>
      <c r="F1935" s="31"/>
      <c r="G1935" s="210"/>
      <c r="H1935" s="31"/>
      <c r="I1935" s="31" t="str">
        <f t="array" ref="I1935">IFERROR(XLOOKUP(D1935,'MASTER ITEM LIST'!A:A,'MASTER ITEM LIST'!D:D), "")</f>
        <v/>
      </c>
      <c r="J1935" s="34" t="str">
        <f t="shared" si="2"/>
        <v/>
      </c>
      <c r="K1935" s="69" t="str">
        <f t="shared" si="3"/>
        <v/>
      </c>
      <c r="L1935" s="211"/>
    </row>
    <row r="1936" ht="22.5" customHeight="1">
      <c r="A1936" s="29"/>
      <c r="B1936" s="31"/>
      <c r="C1936" s="193"/>
      <c r="D1936" s="198" t="str">
        <f t="array" ref="D1936">IF(E1936="", "", XLOOKUP(E1936, 'MASTER ITEM LIST'!B:B, 'MASTER ITEM LIST'!A:A, "Code Not Found"))</f>
        <v/>
      </c>
      <c r="E1936" s="66"/>
      <c r="F1936" s="31"/>
      <c r="G1936" s="210"/>
      <c r="H1936" s="31"/>
      <c r="I1936" s="31" t="str">
        <f t="array" ref="I1936">IFERROR(XLOOKUP(D1936,'MASTER ITEM LIST'!A:A,'MASTER ITEM LIST'!D:D), "")</f>
        <v/>
      </c>
      <c r="J1936" s="34" t="str">
        <f t="shared" si="2"/>
        <v/>
      </c>
      <c r="K1936" s="69" t="str">
        <f t="shared" si="3"/>
        <v/>
      </c>
      <c r="L1936" s="211"/>
    </row>
    <row r="1937" ht="22.5" customHeight="1">
      <c r="A1937" s="29"/>
      <c r="B1937" s="31"/>
      <c r="C1937" s="193"/>
      <c r="D1937" s="198" t="str">
        <f t="array" ref="D1937">IF(E1937="", "", XLOOKUP(E1937, 'MASTER ITEM LIST'!B:B, 'MASTER ITEM LIST'!A:A, "Code Not Found"))</f>
        <v/>
      </c>
      <c r="E1937" s="66"/>
      <c r="F1937" s="31"/>
      <c r="G1937" s="210"/>
      <c r="H1937" s="31"/>
      <c r="I1937" s="31" t="str">
        <f t="array" ref="I1937">IFERROR(XLOOKUP(D1937,'MASTER ITEM LIST'!A:A,'MASTER ITEM LIST'!D:D), "")</f>
        <v/>
      </c>
      <c r="J1937" s="34" t="str">
        <f t="shared" si="2"/>
        <v/>
      </c>
      <c r="K1937" s="69" t="str">
        <f t="shared" si="3"/>
        <v/>
      </c>
      <c r="L1937" s="211"/>
    </row>
    <row r="1938" ht="22.5" customHeight="1">
      <c r="A1938" s="29"/>
      <c r="B1938" s="31"/>
      <c r="C1938" s="193"/>
      <c r="D1938" s="198" t="str">
        <f t="array" ref="D1938">IF(E1938="", "", XLOOKUP(E1938, 'MASTER ITEM LIST'!B:B, 'MASTER ITEM LIST'!A:A, "Code Not Found"))</f>
        <v/>
      </c>
      <c r="E1938" s="66"/>
      <c r="F1938" s="31"/>
      <c r="G1938" s="210"/>
      <c r="H1938" s="31"/>
      <c r="I1938" s="31" t="str">
        <f t="array" ref="I1938">IFERROR(XLOOKUP(D1938,'MASTER ITEM LIST'!A:A,'MASTER ITEM LIST'!D:D), "")</f>
        <v/>
      </c>
      <c r="J1938" s="34" t="str">
        <f t="shared" si="2"/>
        <v/>
      </c>
      <c r="K1938" s="69" t="str">
        <f t="shared" si="3"/>
        <v/>
      </c>
      <c r="L1938" s="211"/>
    </row>
    <row r="1939" ht="22.5" customHeight="1">
      <c r="A1939" s="29"/>
      <c r="B1939" s="31"/>
      <c r="C1939" s="193"/>
      <c r="D1939" s="198" t="str">
        <f t="array" ref="D1939">IF(E1939="", "", XLOOKUP(E1939, 'MASTER ITEM LIST'!B:B, 'MASTER ITEM LIST'!A:A, "Code Not Found"))</f>
        <v/>
      </c>
      <c r="E1939" s="66"/>
      <c r="F1939" s="31"/>
      <c r="G1939" s="210"/>
      <c r="H1939" s="31"/>
      <c r="I1939" s="31" t="str">
        <f t="array" ref="I1939">IFERROR(XLOOKUP(D1939,'MASTER ITEM LIST'!A:A,'MASTER ITEM LIST'!D:D), "")</f>
        <v/>
      </c>
      <c r="J1939" s="34" t="str">
        <f t="shared" si="2"/>
        <v/>
      </c>
      <c r="K1939" s="69" t="str">
        <f t="shared" si="3"/>
        <v/>
      </c>
      <c r="L1939" s="211"/>
    </row>
    <row r="1940" ht="22.5" customHeight="1">
      <c r="A1940" s="29"/>
      <c r="B1940" s="31"/>
      <c r="C1940" s="193"/>
      <c r="D1940" s="198" t="str">
        <f t="array" ref="D1940">IF(E1940="", "", XLOOKUP(E1940, 'MASTER ITEM LIST'!B:B, 'MASTER ITEM LIST'!A:A, "Code Not Found"))</f>
        <v/>
      </c>
      <c r="E1940" s="66"/>
      <c r="F1940" s="31"/>
      <c r="G1940" s="210"/>
      <c r="H1940" s="31"/>
      <c r="I1940" s="31" t="str">
        <f t="array" ref="I1940">IFERROR(XLOOKUP(D1940,'MASTER ITEM LIST'!A:A,'MASTER ITEM LIST'!D:D), "")</f>
        <v/>
      </c>
      <c r="J1940" s="34" t="str">
        <f t="shared" si="2"/>
        <v/>
      </c>
      <c r="K1940" s="69" t="str">
        <f t="shared" si="3"/>
        <v/>
      </c>
      <c r="L1940" s="211"/>
    </row>
    <row r="1941" ht="22.5" customHeight="1">
      <c r="A1941" s="29"/>
      <c r="B1941" s="31"/>
      <c r="C1941" s="193"/>
      <c r="D1941" s="198" t="str">
        <f t="array" ref="D1941">IF(E1941="", "", XLOOKUP(E1941, 'MASTER ITEM LIST'!B:B, 'MASTER ITEM LIST'!A:A, "Code Not Found"))</f>
        <v/>
      </c>
      <c r="E1941" s="66"/>
      <c r="F1941" s="31"/>
      <c r="G1941" s="210"/>
      <c r="H1941" s="31"/>
      <c r="I1941" s="31" t="str">
        <f t="array" ref="I1941">IFERROR(XLOOKUP(D1941,'MASTER ITEM LIST'!A:A,'MASTER ITEM LIST'!D:D), "")</f>
        <v/>
      </c>
      <c r="J1941" s="34" t="str">
        <f t="shared" si="2"/>
        <v/>
      </c>
      <c r="K1941" s="69" t="str">
        <f t="shared" si="3"/>
        <v/>
      </c>
      <c r="L1941" s="211"/>
    </row>
    <row r="1942" ht="22.5" customHeight="1">
      <c r="A1942" s="29"/>
      <c r="B1942" s="31"/>
      <c r="C1942" s="193"/>
      <c r="D1942" s="198" t="str">
        <f t="array" ref="D1942">IF(E1942="", "", XLOOKUP(E1942, 'MASTER ITEM LIST'!B:B, 'MASTER ITEM LIST'!A:A, "Code Not Found"))</f>
        <v/>
      </c>
      <c r="E1942" s="66"/>
      <c r="F1942" s="31"/>
      <c r="G1942" s="210"/>
      <c r="H1942" s="31"/>
      <c r="I1942" s="31" t="str">
        <f t="array" ref="I1942">IFERROR(XLOOKUP(D1942,'MASTER ITEM LIST'!A:A,'MASTER ITEM LIST'!D:D), "")</f>
        <v/>
      </c>
      <c r="J1942" s="34" t="str">
        <f t="shared" si="2"/>
        <v/>
      </c>
      <c r="K1942" s="69" t="str">
        <f t="shared" si="3"/>
        <v/>
      </c>
      <c r="L1942" s="211"/>
    </row>
    <row r="1943" ht="22.5" customHeight="1">
      <c r="A1943" s="29"/>
      <c r="B1943" s="31"/>
      <c r="C1943" s="193"/>
      <c r="D1943" s="198" t="str">
        <f t="array" ref="D1943">IF(E1943="", "", XLOOKUP(E1943, 'MASTER ITEM LIST'!B:B, 'MASTER ITEM LIST'!A:A, "Code Not Found"))</f>
        <v/>
      </c>
      <c r="E1943" s="66"/>
      <c r="F1943" s="31"/>
      <c r="G1943" s="210"/>
      <c r="H1943" s="31"/>
      <c r="I1943" s="31" t="str">
        <f t="array" ref="I1943">IFERROR(XLOOKUP(D1943,'MASTER ITEM LIST'!A:A,'MASTER ITEM LIST'!D:D), "")</f>
        <v/>
      </c>
      <c r="J1943" s="34" t="str">
        <f t="shared" si="2"/>
        <v/>
      </c>
      <c r="K1943" s="69" t="str">
        <f t="shared" si="3"/>
        <v/>
      </c>
      <c r="L1943" s="211"/>
    </row>
    <row r="1944" ht="22.5" customHeight="1">
      <c r="A1944" s="29"/>
      <c r="B1944" s="31"/>
      <c r="C1944" s="193"/>
      <c r="D1944" s="198" t="str">
        <f t="array" ref="D1944">IF(E1944="", "", XLOOKUP(E1944, 'MASTER ITEM LIST'!B:B, 'MASTER ITEM LIST'!A:A, "Code Not Found"))</f>
        <v/>
      </c>
      <c r="E1944" s="66"/>
      <c r="F1944" s="31"/>
      <c r="G1944" s="210"/>
      <c r="H1944" s="31"/>
      <c r="I1944" s="31" t="str">
        <f t="array" ref="I1944">IFERROR(XLOOKUP(D1944,'MASTER ITEM LIST'!A:A,'MASTER ITEM LIST'!D:D), "")</f>
        <v/>
      </c>
      <c r="J1944" s="34" t="str">
        <f t="shared" si="2"/>
        <v/>
      </c>
      <c r="K1944" s="69" t="str">
        <f t="shared" si="3"/>
        <v/>
      </c>
      <c r="L1944" s="211"/>
    </row>
    <row r="1945" ht="22.5" customHeight="1">
      <c r="A1945" s="29"/>
      <c r="B1945" s="31"/>
      <c r="C1945" s="193"/>
      <c r="D1945" s="198" t="str">
        <f t="array" ref="D1945">IF(E1945="", "", XLOOKUP(E1945, 'MASTER ITEM LIST'!B:B, 'MASTER ITEM LIST'!A:A, "Code Not Found"))</f>
        <v/>
      </c>
      <c r="E1945" s="66"/>
      <c r="F1945" s="31"/>
      <c r="G1945" s="210"/>
      <c r="H1945" s="31"/>
      <c r="I1945" s="31" t="str">
        <f t="array" ref="I1945">IFERROR(XLOOKUP(D1945,'MASTER ITEM LIST'!A:A,'MASTER ITEM LIST'!D:D), "")</f>
        <v/>
      </c>
      <c r="J1945" s="34" t="str">
        <f t="shared" si="2"/>
        <v/>
      </c>
      <c r="K1945" s="69" t="str">
        <f t="shared" si="3"/>
        <v/>
      </c>
      <c r="L1945" s="211"/>
    </row>
    <row r="1946" ht="22.5" customHeight="1">
      <c r="A1946" s="29"/>
      <c r="B1946" s="31"/>
      <c r="C1946" s="193"/>
      <c r="D1946" s="198" t="str">
        <f t="array" ref="D1946">IF(E1946="", "", XLOOKUP(E1946, 'MASTER ITEM LIST'!B:B, 'MASTER ITEM LIST'!A:A, "Code Not Found"))</f>
        <v/>
      </c>
      <c r="E1946" s="66"/>
      <c r="F1946" s="31"/>
      <c r="G1946" s="210"/>
      <c r="H1946" s="31"/>
      <c r="I1946" s="31" t="str">
        <f t="array" ref="I1946">IFERROR(XLOOKUP(D1946,'MASTER ITEM LIST'!A:A,'MASTER ITEM LIST'!D:D), "")</f>
        <v/>
      </c>
      <c r="J1946" s="34" t="str">
        <f t="shared" si="2"/>
        <v/>
      </c>
      <c r="K1946" s="69" t="str">
        <f t="shared" si="3"/>
        <v/>
      </c>
      <c r="L1946" s="211"/>
    </row>
    <row r="1947" ht="22.5" customHeight="1">
      <c r="A1947" s="29"/>
      <c r="B1947" s="31"/>
      <c r="C1947" s="193"/>
      <c r="D1947" s="198" t="str">
        <f t="array" ref="D1947">IF(E1947="", "", XLOOKUP(E1947, 'MASTER ITEM LIST'!B:B, 'MASTER ITEM LIST'!A:A, "Code Not Found"))</f>
        <v/>
      </c>
      <c r="E1947" s="66"/>
      <c r="F1947" s="31"/>
      <c r="G1947" s="210"/>
      <c r="H1947" s="31"/>
      <c r="I1947" s="31" t="str">
        <f t="array" ref="I1947">IFERROR(XLOOKUP(D1947,'MASTER ITEM LIST'!A:A,'MASTER ITEM LIST'!D:D), "")</f>
        <v/>
      </c>
      <c r="J1947" s="34" t="str">
        <f t="shared" si="2"/>
        <v/>
      </c>
      <c r="K1947" s="69" t="str">
        <f t="shared" si="3"/>
        <v/>
      </c>
      <c r="L1947" s="211"/>
    </row>
    <row r="1948" ht="22.5" customHeight="1">
      <c r="A1948" s="29"/>
      <c r="B1948" s="31"/>
      <c r="C1948" s="193"/>
      <c r="D1948" s="198" t="str">
        <f t="array" ref="D1948">IF(E1948="", "", XLOOKUP(E1948, 'MASTER ITEM LIST'!B:B, 'MASTER ITEM LIST'!A:A, "Code Not Found"))</f>
        <v/>
      </c>
      <c r="E1948" s="66"/>
      <c r="F1948" s="31"/>
      <c r="G1948" s="210"/>
      <c r="H1948" s="31"/>
      <c r="I1948" s="31" t="str">
        <f t="array" ref="I1948">IFERROR(XLOOKUP(D1948,'MASTER ITEM LIST'!A:A,'MASTER ITEM LIST'!D:D), "")</f>
        <v/>
      </c>
      <c r="J1948" s="34" t="str">
        <f t="shared" si="2"/>
        <v/>
      </c>
      <c r="K1948" s="69" t="str">
        <f t="shared" si="3"/>
        <v/>
      </c>
      <c r="L1948" s="211"/>
    </row>
    <row r="1949" ht="22.5" customHeight="1">
      <c r="A1949" s="29"/>
      <c r="B1949" s="31"/>
      <c r="C1949" s="193"/>
      <c r="D1949" s="198" t="str">
        <f t="array" ref="D1949">IF(E1949="", "", XLOOKUP(E1949, 'MASTER ITEM LIST'!B:B, 'MASTER ITEM LIST'!A:A, "Code Not Found"))</f>
        <v/>
      </c>
      <c r="E1949" s="66"/>
      <c r="F1949" s="31"/>
      <c r="G1949" s="210"/>
      <c r="H1949" s="31"/>
      <c r="I1949" s="31" t="str">
        <f t="array" ref="I1949">IFERROR(XLOOKUP(D1949,'MASTER ITEM LIST'!A:A,'MASTER ITEM LIST'!D:D), "")</f>
        <v/>
      </c>
      <c r="J1949" s="34" t="str">
        <f t="shared" si="2"/>
        <v/>
      </c>
      <c r="K1949" s="69" t="str">
        <f t="shared" si="3"/>
        <v/>
      </c>
      <c r="L1949" s="211"/>
    </row>
    <row r="1950" ht="22.5" customHeight="1">
      <c r="A1950" s="29"/>
      <c r="B1950" s="31"/>
      <c r="C1950" s="193"/>
      <c r="D1950" s="198" t="str">
        <f t="array" ref="D1950">IF(E1950="", "", XLOOKUP(E1950, 'MASTER ITEM LIST'!B:B, 'MASTER ITEM LIST'!A:A, "Code Not Found"))</f>
        <v/>
      </c>
      <c r="E1950" s="66"/>
      <c r="F1950" s="31"/>
      <c r="G1950" s="210"/>
      <c r="H1950" s="31"/>
      <c r="I1950" s="31" t="str">
        <f t="array" ref="I1950">IFERROR(XLOOKUP(D1950,'MASTER ITEM LIST'!A:A,'MASTER ITEM LIST'!D:D), "")</f>
        <v/>
      </c>
      <c r="J1950" s="34" t="str">
        <f t="shared" si="2"/>
        <v/>
      </c>
      <c r="K1950" s="69" t="str">
        <f t="shared" si="3"/>
        <v/>
      </c>
      <c r="L1950" s="211"/>
    </row>
    <row r="1951" ht="22.5" customHeight="1">
      <c r="A1951" s="29"/>
      <c r="B1951" s="31"/>
      <c r="C1951" s="193"/>
      <c r="D1951" s="198" t="str">
        <f t="array" ref="D1951">IF(E1951="", "", XLOOKUP(E1951, 'MASTER ITEM LIST'!B:B, 'MASTER ITEM LIST'!A:A, "Code Not Found"))</f>
        <v/>
      </c>
      <c r="E1951" s="66"/>
      <c r="F1951" s="31"/>
      <c r="G1951" s="210"/>
      <c r="H1951" s="31"/>
      <c r="I1951" s="31" t="str">
        <f t="array" ref="I1951">IFERROR(XLOOKUP(D1951,'MASTER ITEM LIST'!A:A,'MASTER ITEM LIST'!D:D), "")</f>
        <v/>
      </c>
      <c r="J1951" s="34" t="str">
        <f t="shared" si="2"/>
        <v/>
      </c>
      <c r="K1951" s="69" t="str">
        <f t="shared" si="3"/>
        <v/>
      </c>
      <c r="L1951" s="211"/>
    </row>
    <row r="1952" ht="22.5" customHeight="1">
      <c r="A1952" s="29"/>
      <c r="B1952" s="31"/>
      <c r="C1952" s="193"/>
      <c r="D1952" s="198" t="str">
        <f t="array" ref="D1952">IF(E1952="", "", XLOOKUP(E1952, 'MASTER ITEM LIST'!B:B, 'MASTER ITEM LIST'!A:A, "Code Not Found"))</f>
        <v/>
      </c>
      <c r="E1952" s="66"/>
      <c r="F1952" s="31"/>
      <c r="G1952" s="210"/>
      <c r="H1952" s="31"/>
      <c r="I1952" s="31" t="str">
        <f t="array" ref="I1952">IFERROR(XLOOKUP(D1952,'MASTER ITEM LIST'!A:A,'MASTER ITEM LIST'!D:D), "")</f>
        <v/>
      </c>
      <c r="J1952" s="34" t="str">
        <f t="shared" si="2"/>
        <v/>
      </c>
      <c r="K1952" s="69" t="str">
        <f t="shared" si="3"/>
        <v/>
      </c>
      <c r="L1952" s="211"/>
    </row>
    <row r="1953" ht="22.5" customHeight="1">
      <c r="A1953" s="29"/>
      <c r="B1953" s="31"/>
      <c r="C1953" s="193"/>
      <c r="D1953" s="198" t="str">
        <f t="array" ref="D1953">IF(E1953="", "", XLOOKUP(E1953, 'MASTER ITEM LIST'!B:B, 'MASTER ITEM LIST'!A:A, "Code Not Found"))</f>
        <v/>
      </c>
      <c r="E1953" s="66"/>
      <c r="F1953" s="31"/>
      <c r="G1953" s="210"/>
      <c r="H1953" s="31"/>
      <c r="I1953" s="31" t="str">
        <f t="array" ref="I1953">IFERROR(XLOOKUP(D1953,'MASTER ITEM LIST'!A:A,'MASTER ITEM LIST'!D:D), "")</f>
        <v/>
      </c>
      <c r="J1953" s="34" t="str">
        <f t="shared" si="2"/>
        <v/>
      </c>
      <c r="K1953" s="69" t="str">
        <f t="shared" si="3"/>
        <v/>
      </c>
      <c r="L1953" s="211"/>
    </row>
    <row r="1954" ht="22.5" customHeight="1">
      <c r="A1954" s="29"/>
      <c r="B1954" s="31"/>
      <c r="C1954" s="193"/>
      <c r="D1954" s="198" t="str">
        <f t="array" ref="D1954">IF(E1954="", "", XLOOKUP(E1954, 'MASTER ITEM LIST'!B:B, 'MASTER ITEM LIST'!A:A, "Code Not Found"))</f>
        <v/>
      </c>
      <c r="E1954" s="66"/>
      <c r="F1954" s="31"/>
      <c r="G1954" s="210"/>
      <c r="H1954" s="31"/>
      <c r="I1954" s="31" t="str">
        <f t="array" ref="I1954">IFERROR(XLOOKUP(D1954,'MASTER ITEM LIST'!A:A,'MASTER ITEM LIST'!D:D), "")</f>
        <v/>
      </c>
      <c r="J1954" s="34" t="str">
        <f t="shared" si="2"/>
        <v/>
      </c>
      <c r="K1954" s="69" t="str">
        <f t="shared" si="3"/>
        <v/>
      </c>
      <c r="L1954" s="211"/>
    </row>
    <row r="1955" ht="22.5" customHeight="1">
      <c r="A1955" s="29"/>
      <c r="B1955" s="31"/>
      <c r="C1955" s="193"/>
      <c r="D1955" s="198" t="str">
        <f t="array" ref="D1955">IF(E1955="", "", XLOOKUP(E1955, 'MASTER ITEM LIST'!B:B, 'MASTER ITEM LIST'!A:A, "Code Not Found"))</f>
        <v/>
      </c>
      <c r="E1955" s="66"/>
      <c r="F1955" s="31"/>
      <c r="G1955" s="210"/>
      <c r="H1955" s="31"/>
      <c r="I1955" s="31" t="str">
        <f t="array" ref="I1955">IFERROR(XLOOKUP(D1955,'MASTER ITEM LIST'!A:A,'MASTER ITEM LIST'!D:D), "")</f>
        <v/>
      </c>
      <c r="J1955" s="34" t="str">
        <f t="shared" si="2"/>
        <v/>
      </c>
      <c r="K1955" s="69" t="str">
        <f t="shared" si="3"/>
        <v/>
      </c>
      <c r="L1955" s="211"/>
    </row>
    <row r="1956" ht="22.5" customHeight="1">
      <c r="A1956" s="29"/>
      <c r="B1956" s="31"/>
      <c r="C1956" s="193"/>
      <c r="D1956" s="198" t="str">
        <f t="array" ref="D1956">IF(E1956="", "", XLOOKUP(E1956, 'MASTER ITEM LIST'!B:B, 'MASTER ITEM LIST'!A:A, "Code Not Found"))</f>
        <v/>
      </c>
      <c r="E1956" s="66"/>
      <c r="F1956" s="31"/>
      <c r="G1956" s="210"/>
      <c r="H1956" s="31"/>
      <c r="I1956" s="31" t="str">
        <f t="array" ref="I1956">IFERROR(XLOOKUP(D1956,'MASTER ITEM LIST'!A:A,'MASTER ITEM LIST'!D:D), "")</f>
        <v/>
      </c>
      <c r="J1956" s="34" t="str">
        <f t="shared" si="2"/>
        <v/>
      </c>
      <c r="K1956" s="69" t="str">
        <f t="shared" si="3"/>
        <v/>
      </c>
      <c r="L1956" s="211"/>
    </row>
    <row r="1957" ht="22.5" customHeight="1">
      <c r="A1957" s="29"/>
      <c r="B1957" s="31"/>
      <c r="C1957" s="193"/>
      <c r="D1957" s="198" t="str">
        <f t="array" ref="D1957">IF(E1957="", "", XLOOKUP(E1957, 'MASTER ITEM LIST'!B:B, 'MASTER ITEM LIST'!A:A, "Code Not Found"))</f>
        <v/>
      </c>
      <c r="E1957" s="66"/>
      <c r="F1957" s="31"/>
      <c r="G1957" s="210"/>
      <c r="H1957" s="31"/>
      <c r="I1957" s="31" t="str">
        <f t="array" ref="I1957">IFERROR(XLOOKUP(D1957,'MASTER ITEM LIST'!A:A,'MASTER ITEM LIST'!D:D), "")</f>
        <v/>
      </c>
      <c r="J1957" s="34" t="str">
        <f t="shared" si="2"/>
        <v/>
      </c>
      <c r="K1957" s="69" t="str">
        <f t="shared" si="3"/>
        <v/>
      </c>
      <c r="L1957" s="211"/>
    </row>
    <row r="1958" ht="22.5" customHeight="1">
      <c r="A1958" s="29"/>
      <c r="B1958" s="31"/>
      <c r="C1958" s="193"/>
      <c r="D1958" s="198" t="str">
        <f t="array" ref="D1958">IF(E1958="", "", XLOOKUP(E1958, 'MASTER ITEM LIST'!B:B, 'MASTER ITEM LIST'!A:A, "Code Not Found"))</f>
        <v/>
      </c>
      <c r="E1958" s="66"/>
      <c r="F1958" s="31"/>
      <c r="G1958" s="210"/>
      <c r="H1958" s="31"/>
      <c r="I1958" s="31" t="str">
        <f t="array" ref="I1958">IFERROR(XLOOKUP(D1958,'MASTER ITEM LIST'!A:A,'MASTER ITEM LIST'!D:D), "")</f>
        <v/>
      </c>
      <c r="J1958" s="34" t="str">
        <f t="shared" si="2"/>
        <v/>
      </c>
      <c r="K1958" s="69" t="str">
        <f t="shared" si="3"/>
        <v/>
      </c>
      <c r="L1958" s="211"/>
    </row>
    <row r="1959" ht="22.5" customHeight="1">
      <c r="A1959" s="29"/>
      <c r="B1959" s="31"/>
      <c r="C1959" s="193"/>
      <c r="D1959" s="198" t="str">
        <f t="array" ref="D1959">IF(E1959="", "", XLOOKUP(E1959, 'MASTER ITEM LIST'!B:B, 'MASTER ITEM LIST'!A:A, "Code Not Found"))</f>
        <v/>
      </c>
      <c r="E1959" s="66"/>
      <c r="F1959" s="31"/>
      <c r="G1959" s="210"/>
      <c r="H1959" s="31"/>
      <c r="I1959" s="31" t="str">
        <f t="array" ref="I1959">IFERROR(XLOOKUP(D1959,'MASTER ITEM LIST'!A:A,'MASTER ITEM LIST'!D:D), "")</f>
        <v/>
      </c>
      <c r="J1959" s="34" t="str">
        <f t="shared" si="2"/>
        <v/>
      </c>
      <c r="K1959" s="69" t="str">
        <f t="shared" si="3"/>
        <v/>
      </c>
      <c r="L1959" s="211"/>
    </row>
    <row r="1960" ht="22.5" customHeight="1">
      <c r="A1960" s="29"/>
      <c r="B1960" s="31"/>
      <c r="C1960" s="193"/>
      <c r="D1960" s="198" t="str">
        <f t="array" ref="D1960">IF(E1960="", "", XLOOKUP(E1960, 'MASTER ITEM LIST'!B:B, 'MASTER ITEM LIST'!A:A, "Code Not Found"))</f>
        <v/>
      </c>
      <c r="E1960" s="66"/>
      <c r="F1960" s="31"/>
      <c r="G1960" s="210"/>
      <c r="H1960" s="31"/>
      <c r="I1960" s="31" t="str">
        <f t="array" ref="I1960">IFERROR(XLOOKUP(D1960,'MASTER ITEM LIST'!A:A,'MASTER ITEM LIST'!D:D), "")</f>
        <v/>
      </c>
      <c r="J1960" s="34" t="str">
        <f t="shared" si="2"/>
        <v/>
      </c>
      <c r="K1960" s="69" t="str">
        <f t="shared" si="3"/>
        <v/>
      </c>
      <c r="L1960" s="211"/>
    </row>
    <row r="1961" ht="22.5" customHeight="1">
      <c r="A1961" s="29"/>
      <c r="B1961" s="31"/>
      <c r="C1961" s="193"/>
      <c r="D1961" s="198" t="str">
        <f t="array" ref="D1961">IF(E1961="", "", XLOOKUP(E1961, 'MASTER ITEM LIST'!B:B, 'MASTER ITEM LIST'!A:A, "Code Not Found"))</f>
        <v/>
      </c>
      <c r="E1961" s="66"/>
      <c r="F1961" s="31"/>
      <c r="G1961" s="210"/>
      <c r="H1961" s="31"/>
      <c r="I1961" s="31" t="str">
        <f t="array" ref="I1961">IFERROR(XLOOKUP(D1961,'MASTER ITEM LIST'!A:A,'MASTER ITEM LIST'!D:D), "")</f>
        <v/>
      </c>
      <c r="J1961" s="34" t="str">
        <f t="shared" si="2"/>
        <v/>
      </c>
      <c r="K1961" s="69" t="str">
        <f t="shared" si="3"/>
        <v/>
      </c>
      <c r="L1961" s="211"/>
    </row>
    <row r="1962" ht="22.5" customHeight="1">
      <c r="A1962" s="29"/>
      <c r="B1962" s="31"/>
      <c r="C1962" s="193"/>
      <c r="D1962" s="198" t="str">
        <f t="array" ref="D1962">IF(E1962="", "", XLOOKUP(E1962, 'MASTER ITEM LIST'!B:B, 'MASTER ITEM LIST'!A:A, "Code Not Found"))</f>
        <v/>
      </c>
      <c r="E1962" s="66"/>
      <c r="F1962" s="31"/>
      <c r="G1962" s="210"/>
      <c r="H1962" s="31"/>
      <c r="I1962" s="31" t="str">
        <f t="array" ref="I1962">IFERROR(XLOOKUP(D1962,'MASTER ITEM LIST'!A:A,'MASTER ITEM LIST'!D:D), "")</f>
        <v/>
      </c>
      <c r="J1962" s="34" t="str">
        <f t="shared" si="2"/>
        <v/>
      </c>
      <c r="K1962" s="69" t="str">
        <f t="shared" si="3"/>
        <v/>
      </c>
      <c r="L1962" s="211"/>
    </row>
    <row r="1963" ht="22.5" customHeight="1">
      <c r="A1963" s="29"/>
      <c r="B1963" s="31"/>
      <c r="C1963" s="193"/>
      <c r="D1963" s="198" t="str">
        <f t="array" ref="D1963">IF(E1963="", "", XLOOKUP(E1963, 'MASTER ITEM LIST'!B:B, 'MASTER ITEM LIST'!A:A, "Code Not Found"))</f>
        <v/>
      </c>
      <c r="E1963" s="66"/>
      <c r="F1963" s="31"/>
      <c r="G1963" s="210"/>
      <c r="H1963" s="31"/>
      <c r="I1963" s="31" t="str">
        <f t="array" ref="I1963">IFERROR(XLOOKUP(D1963,'MASTER ITEM LIST'!A:A,'MASTER ITEM LIST'!D:D), "")</f>
        <v/>
      </c>
      <c r="J1963" s="34" t="str">
        <f t="shared" si="2"/>
        <v/>
      </c>
      <c r="K1963" s="69" t="str">
        <f t="shared" si="3"/>
        <v/>
      </c>
      <c r="L1963" s="211"/>
    </row>
    <row r="1964" ht="22.5" customHeight="1">
      <c r="A1964" s="29"/>
      <c r="B1964" s="31"/>
      <c r="C1964" s="193"/>
      <c r="D1964" s="198" t="str">
        <f t="array" ref="D1964">IF(E1964="", "", XLOOKUP(E1964, 'MASTER ITEM LIST'!B:B, 'MASTER ITEM LIST'!A:A, "Code Not Found"))</f>
        <v/>
      </c>
      <c r="E1964" s="66"/>
      <c r="F1964" s="31"/>
      <c r="G1964" s="210"/>
      <c r="H1964" s="31"/>
      <c r="I1964" s="31" t="str">
        <f t="array" ref="I1964">IFERROR(XLOOKUP(D1964,'MASTER ITEM LIST'!A:A,'MASTER ITEM LIST'!D:D), "")</f>
        <v/>
      </c>
      <c r="J1964" s="34" t="str">
        <f t="shared" si="2"/>
        <v/>
      </c>
      <c r="K1964" s="69" t="str">
        <f t="shared" si="3"/>
        <v/>
      </c>
      <c r="L1964" s="211"/>
    </row>
    <row r="1965" ht="22.5" customHeight="1">
      <c r="A1965" s="29"/>
      <c r="B1965" s="31"/>
      <c r="C1965" s="193"/>
      <c r="D1965" s="198" t="str">
        <f t="array" ref="D1965">IF(E1965="", "", XLOOKUP(E1965, 'MASTER ITEM LIST'!B:B, 'MASTER ITEM LIST'!A:A, "Code Not Found"))</f>
        <v/>
      </c>
      <c r="E1965" s="66"/>
      <c r="F1965" s="31"/>
      <c r="G1965" s="210"/>
      <c r="H1965" s="31"/>
      <c r="I1965" s="31" t="str">
        <f t="array" ref="I1965">IFERROR(XLOOKUP(D1965,'MASTER ITEM LIST'!A:A,'MASTER ITEM LIST'!D:D), "")</f>
        <v/>
      </c>
      <c r="J1965" s="34" t="str">
        <f t="shared" si="2"/>
        <v/>
      </c>
      <c r="K1965" s="69" t="str">
        <f t="shared" si="3"/>
        <v/>
      </c>
      <c r="L1965" s="211"/>
    </row>
    <row r="1966" ht="22.5" customHeight="1">
      <c r="A1966" s="29"/>
      <c r="B1966" s="31"/>
      <c r="C1966" s="193"/>
      <c r="D1966" s="198" t="str">
        <f t="array" ref="D1966">IF(E1966="", "", XLOOKUP(E1966, 'MASTER ITEM LIST'!B:B, 'MASTER ITEM LIST'!A:A, "Code Not Found"))</f>
        <v/>
      </c>
      <c r="E1966" s="66"/>
      <c r="F1966" s="31"/>
      <c r="G1966" s="210"/>
      <c r="H1966" s="31"/>
      <c r="I1966" s="31" t="str">
        <f t="array" ref="I1966">IFERROR(XLOOKUP(D1966,'MASTER ITEM LIST'!A:A,'MASTER ITEM LIST'!D:D), "")</f>
        <v/>
      </c>
      <c r="J1966" s="34" t="str">
        <f t="shared" si="2"/>
        <v/>
      </c>
      <c r="K1966" s="69" t="str">
        <f t="shared" si="3"/>
        <v/>
      </c>
      <c r="L1966" s="211"/>
    </row>
    <row r="1967" ht="22.5" customHeight="1">
      <c r="A1967" s="29"/>
      <c r="B1967" s="31"/>
      <c r="C1967" s="193"/>
      <c r="D1967" s="198" t="str">
        <f t="array" ref="D1967">IF(E1967="", "", XLOOKUP(E1967, 'MASTER ITEM LIST'!B:B, 'MASTER ITEM LIST'!A:A, "Code Not Found"))</f>
        <v/>
      </c>
      <c r="E1967" s="66"/>
      <c r="F1967" s="31"/>
      <c r="G1967" s="210"/>
      <c r="H1967" s="31"/>
      <c r="I1967" s="31" t="str">
        <f t="array" ref="I1967">IFERROR(XLOOKUP(D1967,'MASTER ITEM LIST'!A:A,'MASTER ITEM LIST'!D:D), "")</f>
        <v/>
      </c>
      <c r="J1967" s="34" t="str">
        <f t="shared" si="2"/>
        <v/>
      </c>
      <c r="K1967" s="69" t="str">
        <f t="shared" si="3"/>
        <v/>
      </c>
      <c r="L1967" s="211"/>
    </row>
    <row r="1968" ht="22.5" customHeight="1">
      <c r="A1968" s="29"/>
      <c r="B1968" s="31"/>
      <c r="C1968" s="193"/>
      <c r="D1968" s="198" t="str">
        <f t="array" ref="D1968">IF(E1968="", "", XLOOKUP(E1968, 'MASTER ITEM LIST'!B:B, 'MASTER ITEM LIST'!A:A, "Code Not Found"))</f>
        <v/>
      </c>
      <c r="E1968" s="66"/>
      <c r="F1968" s="31"/>
      <c r="G1968" s="210"/>
      <c r="H1968" s="31"/>
      <c r="I1968" s="31" t="str">
        <f t="array" ref="I1968">IFERROR(XLOOKUP(D1968,'MASTER ITEM LIST'!A:A,'MASTER ITEM LIST'!D:D), "")</f>
        <v/>
      </c>
      <c r="J1968" s="34" t="str">
        <f t="shared" si="2"/>
        <v/>
      </c>
      <c r="K1968" s="69" t="str">
        <f t="shared" si="3"/>
        <v/>
      </c>
      <c r="L1968" s="211"/>
    </row>
    <row r="1969" ht="22.5" customHeight="1">
      <c r="A1969" s="29"/>
      <c r="B1969" s="31"/>
      <c r="C1969" s="193"/>
      <c r="D1969" s="198" t="str">
        <f t="array" ref="D1969">IF(E1969="", "", XLOOKUP(E1969, 'MASTER ITEM LIST'!B:B, 'MASTER ITEM LIST'!A:A, "Code Not Found"))</f>
        <v/>
      </c>
      <c r="E1969" s="66"/>
      <c r="F1969" s="31"/>
      <c r="G1969" s="210"/>
      <c r="H1969" s="31"/>
      <c r="I1969" s="31" t="str">
        <f t="array" ref="I1969">IFERROR(XLOOKUP(D1969,'MASTER ITEM LIST'!A:A,'MASTER ITEM LIST'!D:D), "")</f>
        <v/>
      </c>
      <c r="J1969" s="34" t="str">
        <f t="shared" si="2"/>
        <v/>
      </c>
      <c r="K1969" s="69" t="str">
        <f t="shared" si="3"/>
        <v/>
      </c>
      <c r="L1969" s="211"/>
    </row>
    <row r="1970" ht="22.5" customHeight="1">
      <c r="A1970" s="29"/>
      <c r="B1970" s="31"/>
      <c r="C1970" s="193"/>
      <c r="D1970" s="198" t="str">
        <f t="array" ref="D1970">IF(E1970="", "", XLOOKUP(E1970, 'MASTER ITEM LIST'!B:B, 'MASTER ITEM LIST'!A:A, "Code Not Found"))</f>
        <v/>
      </c>
      <c r="E1970" s="66"/>
      <c r="F1970" s="31"/>
      <c r="G1970" s="210"/>
      <c r="H1970" s="31"/>
      <c r="I1970" s="31" t="str">
        <f t="array" ref="I1970">IFERROR(XLOOKUP(D1970,'MASTER ITEM LIST'!A:A,'MASTER ITEM LIST'!D:D), "")</f>
        <v/>
      </c>
      <c r="J1970" s="34" t="str">
        <f t="shared" si="2"/>
        <v/>
      </c>
      <c r="K1970" s="69" t="str">
        <f t="shared" si="3"/>
        <v/>
      </c>
      <c r="L1970" s="211"/>
    </row>
    <row r="1971" ht="22.5" customHeight="1">
      <c r="A1971" s="29"/>
      <c r="B1971" s="31"/>
      <c r="C1971" s="193"/>
      <c r="D1971" s="198" t="str">
        <f t="array" ref="D1971">IF(E1971="", "", XLOOKUP(E1971, 'MASTER ITEM LIST'!B:B, 'MASTER ITEM LIST'!A:A, "Code Not Found"))</f>
        <v/>
      </c>
      <c r="E1971" s="66"/>
      <c r="F1971" s="31"/>
      <c r="G1971" s="210"/>
      <c r="H1971" s="31"/>
      <c r="I1971" s="31" t="str">
        <f t="array" ref="I1971">IFERROR(XLOOKUP(D1971,'MASTER ITEM LIST'!A:A,'MASTER ITEM LIST'!D:D), "")</f>
        <v/>
      </c>
      <c r="J1971" s="34" t="str">
        <f t="shared" si="2"/>
        <v/>
      </c>
      <c r="K1971" s="69" t="str">
        <f t="shared" si="3"/>
        <v/>
      </c>
      <c r="L1971" s="211"/>
    </row>
    <row r="1972" ht="22.5" customHeight="1">
      <c r="A1972" s="29"/>
      <c r="B1972" s="31"/>
      <c r="C1972" s="193"/>
      <c r="D1972" s="198" t="str">
        <f t="array" ref="D1972">IF(E1972="", "", XLOOKUP(E1972, 'MASTER ITEM LIST'!B:B, 'MASTER ITEM LIST'!A:A, "Code Not Found"))</f>
        <v/>
      </c>
      <c r="E1972" s="66"/>
      <c r="F1972" s="31"/>
      <c r="G1972" s="210"/>
      <c r="H1972" s="31"/>
      <c r="I1972" s="31" t="str">
        <f t="array" ref="I1972">IFERROR(XLOOKUP(D1972,'MASTER ITEM LIST'!A:A,'MASTER ITEM LIST'!D:D), "")</f>
        <v/>
      </c>
      <c r="J1972" s="34" t="str">
        <f t="shared" si="2"/>
        <v/>
      </c>
      <c r="K1972" s="69" t="str">
        <f t="shared" si="3"/>
        <v/>
      </c>
      <c r="L1972" s="211"/>
    </row>
    <row r="1973" ht="22.5" customHeight="1">
      <c r="A1973" s="29"/>
      <c r="B1973" s="31"/>
      <c r="C1973" s="193"/>
      <c r="D1973" s="198" t="str">
        <f t="array" ref="D1973">IF(E1973="", "", XLOOKUP(E1973, 'MASTER ITEM LIST'!B:B, 'MASTER ITEM LIST'!A:A, "Code Not Found"))</f>
        <v/>
      </c>
      <c r="E1973" s="66"/>
      <c r="F1973" s="31"/>
      <c r="G1973" s="210"/>
      <c r="H1973" s="31"/>
      <c r="I1973" s="31" t="str">
        <f t="array" ref="I1973">IFERROR(XLOOKUP(D1973,'MASTER ITEM LIST'!A:A,'MASTER ITEM LIST'!D:D), "")</f>
        <v/>
      </c>
      <c r="J1973" s="34" t="str">
        <f t="shared" si="2"/>
        <v/>
      </c>
      <c r="K1973" s="69" t="str">
        <f t="shared" si="3"/>
        <v/>
      </c>
      <c r="L1973" s="211"/>
    </row>
    <row r="1974" ht="22.5" customHeight="1">
      <c r="A1974" s="29"/>
      <c r="B1974" s="31"/>
      <c r="C1974" s="193"/>
      <c r="D1974" s="198" t="str">
        <f t="array" ref="D1974">IF(E1974="", "", XLOOKUP(E1974, 'MASTER ITEM LIST'!B:B, 'MASTER ITEM LIST'!A:A, "Code Not Found"))</f>
        <v/>
      </c>
      <c r="E1974" s="66"/>
      <c r="F1974" s="31"/>
      <c r="G1974" s="210"/>
      <c r="H1974" s="31"/>
      <c r="I1974" s="31" t="str">
        <f t="array" ref="I1974">IFERROR(XLOOKUP(D1974,'MASTER ITEM LIST'!A:A,'MASTER ITEM LIST'!D:D), "")</f>
        <v/>
      </c>
      <c r="J1974" s="34" t="str">
        <f t="shared" si="2"/>
        <v/>
      </c>
      <c r="K1974" s="69" t="str">
        <f t="shared" si="3"/>
        <v/>
      </c>
      <c r="L1974" s="211"/>
    </row>
    <row r="1975" ht="22.5" customHeight="1">
      <c r="A1975" s="29"/>
      <c r="B1975" s="31"/>
      <c r="C1975" s="193"/>
      <c r="D1975" s="198" t="str">
        <f t="array" ref="D1975">IF(E1975="", "", XLOOKUP(E1975, 'MASTER ITEM LIST'!B:B, 'MASTER ITEM LIST'!A:A, "Code Not Found"))</f>
        <v/>
      </c>
      <c r="E1975" s="66"/>
      <c r="F1975" s="31"/>
      <c r="G1975" s="210"/>
      <c r="H1975" s="31"/>
      <c r="I1975" s="31" t="str">
        <f t="array" ref="I1975">IFERROR(XLOOKUP(D1975,'MASTER ITEM LIST'!A:A,'MASTER ITEM LIST'!D:D), "")</f>
        <v/>
      </c>
      <c r="J1975" s="34" t="str">
        <f t="shared" si="2"/>
        <v/>
      </c>
      <c r="K1975" s="69" t="str">
        <f t="shared" si="3"/>
        <v/>
      </c>
      <c r="L1975" s="211"/>
    </row>
    <row r="1976" ht="22.5" customHeight="1">
      <c r="A1976" s="29"/>
      <c r="B1976" s="31"/>
      <c r="C1976" s="193"/>
      <c r="D1976" s="198" t="str">
        <f t="array" ref="D1976">IF(E1976="", "", XLOOKUP(E1976, 'MASTER ITEM LIST'!B:B, 'MASTER ITEM LIST'!A:A, "Code Not Found"))</f>
        <v/>
      </c>
      <c r="E1976" s="66"/>
      <c r="F1976" s="31"/>
      <c r="G1976" s="210"/>
      <c r="H1976" s="31"/>
      <c r="I1976" s="31" t="str">
        <f t="array" ref="I1976">IFERROR(XLOOKUP(D1976,'MASTER ITEM LIST'!A:A,'MASTER ITEM LIST'!D:D), "")</f>
        <v/>
      </c>
      <c r="J1976" s="34" t="str">
        <f t="shared" si="2"/>
        <v/>
      </c>
      <c r="K1976" s="69" t="str">
        <f t="shared" si="3"/>
        <v/>
      </c>
      <c r="L1976" s="211"/>
    </row>
    <row r="1977" ht="22.5" customHeight="1">
      <c r="A1977" s="29"/>
      <c r="B1977" s="31"/>
      <c r="C1977" s="193"/>
      <c r="D1977" s="198" t="str">
        <f t="array" ref="D1977">IF(E1977="", "", XLOOKUP(E1977, 'MASTER ITEM LIST'!B:B, 'MASTER ITEM LIST'!A:A, "Code Not Found"))</f>
        <v/>
      </c>
      <c r="E1977" s="66"/>
      <c r="F1977" s="31"/>
      <c r="G1977" s="210"/>
      <c r="H1977" s="31"/>
      <c r="I1977" s="31" t="str">
        <f t="array" ref="I1977">IFERROR(XLOOKUP(D1977,'MASTER ITEM LIST'!A:A,'MASTER ITEM LIST'!D:D), "")</f>
        <v/>
      </c>
      <c r="J1977" s="34" t="str">
        <f t="shared" si="2"/>
        <v/>
      </c>
      <c r="K1977" s="69" t="str">
        <f t="shared" si="3"/>
        <v/>
      </c>
      <c r="L1977" s="211"/>
    </row>
    <row r="1978" ht="22.5" customHeight="1">
      <c r="A1978" s="29"/>
      <c r="B1978" s="31"/>
      <c r="C1978" s="193"/>
      <c r="D1978" s="198" t="str">
        <f t="array" ref="D1978">IF(E1978="", "", XLOOKUP(E1978, 'MASTER ITEM LIST'!B:B, 'MASTER ITEM LIST'!A:A, "Code Not Found"))</f>
        <v/>
      </c>
      <c r="E1978" s="66"/>
      <c r="F1978" s="31"/>
      <c r="G1978" s="210"/>
      <c r="H1978" s="31"/>
      <c r="I1978" s="31" t="str">
        <f t="array" ref="I1978">IFERROR(XLOOKUP(D1978,'MASTER ITEM LIST'!A:A,'MASTER ITEM LIST'!D:D), "")</f>
        <v/>
      </c>
      <c r="J1978" s="34" t="str">
        <f t="shared" si="2"/>
        <v/>
      </c>
      <c r="K1978" s="69" t="str">
        <f t="shared" si="3"/>
        <v/>
      </c>
      <c r="L1978" s="211"/>
    </row>
    <row r="1979" ht="22.5" customHeight="1">
      <c r="A1979" s="29"/>
      <c r="B1979" s="31"/>
      <c r="C1979" s="193"/>
      <c r="D1979" s="198" t="str">
        <f t="array" ref="D1979">IF(E1979="", "", XLOOKUP(E1979, 'MASTER ITEM LIST'!B:B, 'MASTER ITEM LIST'!A:A, "Code Not Found"))</f>
        <v/>
      </c>
      <c r="E1979" s="66"/>
      <c r="F1979" s="31"/>
      <c r="G1979" s="210"/>
      <c r="H1979" s="31"/>
      <c r="I1979" s="31" t="str">
        <f t="array" ref="I1979">IFERROR(XLOOKUP(D1979,'MASTER ITEM LIST'!A:A,'MASTER ITEM LIST'!D:D), "")</f>
        <v/>
      </c>
      <c r="J1979" s="34" t="str">
        <f t="shared" si="2"/>
        <v/>
      </c>
      <c r="K1979" s="69" t="str">
        <f t="shared" si="3"/>
        <v/>
      </c>
      <c r="L1979" s="211"/>
    </row>
    <row r="1980" ht="22.5" customHeight="1">
      <c r="A1980" s="29"/>
      <c r="B1980" s="31"/>
      <c r="C1980" s="193"/>
      <c r="D1980" s="198" t="str">
        <f t="array" ref="D1980">IF(E1980="", "", XLOOKUP(E1980, 'MASTER ITEM LIST'!B:B, 'MASTER ITEM LIST'!A:A, "Code Not Found"))</f>
        <v/>
      </c>
      <c r="E1980" s="66"/>
      <c r="F1980" s="31"/>
      <c r="G1980" s="210"/>
      <c r="H1980" s="31"/>
      <c r="I1980" s="31" t="str">
        <f t="array" ref="I1980">IFERROR(XLOOKUP(D1980,'MASTER ITEM LIST'!A:A,'MASTER ITEM LIST'!D:D), "")</f>
        <v/>
      </c>
      <c r="J1980" s="34" t="str">
        <f t="shared" si="2"/>
        <v/>
      </c>
      <c r="K1980" s="69" t="str">
        <f t="shared" si="3"/>
        <v/>
      </c>
      <c r="L1980" s="211"/>
    </row>
    <row r="1981" ht="22.5" customHeight="1">
      <c r="A1981" s="29"/>
      <c r="B1981" s="31"/>
      <c r="C1981" s="193"/>
      <c r="D1981" s="198" t="str">
        <f t="array" ref="D1981">IF(E1981="", "", XLOOKUP(E1981, 'MASTER ITEM LIST'!B:B, 'MASTER ITEM LIST'!A:A, "Code Not Found"))</f>
        <v/>
      </c>
      <c r="E1981" s="66"/>
      <c r="F1981" s="31"/>
      <c r="G1981" s="210"/>
      <c r="H1981" s="31"/>
      <c r="I1981" s="31" t="str">
        <f t="array" ref="I1981">IFERROR(XLOOKUP(D1981,'MASTER ITEM LIST'!A:A,'MASTER ITEM LIST'!D:D), "")</f>
        <v/>
      </c>
      <c r="J1981" s="34" t="str">
        <f t="shared" si="2"/>
        <v/>
      </c>
      <c r="K1981" s="69" t="str">
        <f t="shared" si="3"/>
        <v/>
      </c>
      <c r="L1981" s="211"/>
    </row>
    <row r="1982" ht="22.5" customHeight="1">
      <c r="A1982" s="29"/>
      <c r="B1982" s="31"/>
      <c r="C1982" s="193"/>
      <c r="D1982" s="198" t="str">
        <f t="array" ref="D1982">IF(E1982="", "", XLOOKUP(E1982, 'MASTER ITEM LIST'!B:B, 'MASTER ITEM LIST'!A:A, "Code Not Found"))</f>
        <v/>
      </c>
      <c r="E1982" s="66"/>
      <c r="F1982" s="31"/>
      <c r="G1982" s="210"/>
      <c r="H1982" s="31"/>
      <c r="I1982" s="31" t="str">
        <f t="array" ref="I1982">IFERROR(XLOOKUP(D1982,'MASTER ITEM LIST'!A:A,'MASTER ITEM LIST'!D:D), "")</f>
        <v/>
      </c>
      <c r="J1982" s="34" t="str">
        <f t="shared" si="2"/>
        <v/>
      </c>
      <c r="K1982" s="69" t="str">
        <f t="shared" si="3"/>
        <v/>
      </c>
      <c r="L1982" s="211"/>
    </row>
    <row r="1983" ht="22.5" customHeight="1">
      <c r="A1983" s="29"/>
      <c r="B1983" s="31"/>
      <c r="C1983" s="193"/>
      <c r="D1983" s="198" t="str">
        <f t="array" ref="D1983">IF(E1983="", "", XLOOKUP(E1983, 'MASTER ITEM LIST'!B:B, 'MASTER ITEM LIST'!A:A, "Code Not Found"))</f>
        <v/>
      </c>
      <c r="E1983" s="66"/>
      <c r="F1983" s="31"/>
      <c r="G1983" s="210"/>
      <c r="H1983" s="31"/>
      <c r="I1983" s="31" t="str">
        <f t="array" ref="I1983">IFERROR(XLOOKUP(D1983,'MASTER ITEM LIST'!A:A,'MASTER ITEM LIST'!D:D), "")</f>
        <v/>
      </c>
      <c r="J1983" s="34" t="str">
        <f t="shared" si="2"/>
        <v/>
      </c>
      <c r="K1983" s="69" t="str">
        <f t="shared" si="3"/>
        <v/>
      </c>
      <c r="L1983" s="211"/>
    </row>
    <row r="1984" ht="22.5" customHeight="1">
      <c r="A1984" s="29"/>
      <c r="B1984" s="31"/>
      <c r="C1984" s="193"/>
      <c r="D1984" s="198" t="str">
        <f t="array" ref="D1984">IF(E1984="", "", XLOOKUP(E1984, 'MASTER ITEM LIST'!B:B, 'MASTER ITEM LIST'!A:A, "Code Not Found"))</f>
        <v/>
      </c>
      <c r="E1984" s="66"/>
      <c r="F1984" s="31"/>
      <c r="G1984" s="210"/>
      <c r="H1984" s="31"/>
      <c r="I1984" s="31" t="str">
        <f t="array" ref="I1984">IFERROR(XLOOKUP(D1984,'MASTER ITEM LIST'!A:A,'MASTER ITEM LIST'!D:D), "")</f>
        <v/>
      </c>
      <c r="J1984" s="34" t="str">
        <f t="shared" si="2"/>
        <v/>
      </c>
      <c r="K1984" s="69" t="str">
        <f t="shared" si="3"/>
        <v/>
      </c>
      <c r="L1984" s="211"/>
    </row>
    <row r="1985" ht="22.5" customHeight="1">
      <c r="A1985" s="29"/>
      <c r="B1985" s="31"/>
      <c r="C1985" s="193"/>
      <c r="D1985" s="198" t="str">
        <f t="array" ref="D1985">IF(E1985="", "", XLOOKUP(E1985, 'MASTER ITEM LIST'!B:B, 'MASTER ITEM LIST'!A:A, "Code Not Found"))</f>
        <v/>
      </c>
      <c r="E1985" s="66"/>
      <c r="F1985" s="31"/>
      <c r="G1985" s="210"/>
      <c r="H1985" s="31"/>
      <c r="I1985" s="31" t="str">
        <f t="array" ref="I1985">IFERROR(XLOOKUP(D1985,'MASTER ITEM LIST'!A:A,'MASTER ITEM LIST'!D:D), "")</f>
        <v/>
      </c>
      <c r="J1985" s="34" t="str">
        <f t="shared" si="2"/>
        <v/>
      </c>
      <c r="K1985" s="69" t="str">
        <f t="shared" si="3"/>
        <v/>
      </c>
      <c r="L1985" s="211"/>
    </row>
    <row r="1986" ht="22.5" customHeight="1">
      <c r="A1986" s="29"/>
      <c r="B1986" s="31"/>
      <c r="C1986" s="193"/>
      <c r="D1986" s="198" t="str">
        <f t="array" ref="D1986">IF(E1986="", "", XLOOKUP(E1986, 'MASTER ITEM LIST'!B:B, 'MASTER ITEM LIST'!A:A, "Code Not Found"))</f>
        <v/>
      </c>
      <c r="E1986" s="66"/>
      <c r="F1986" s="31"/>
      <c r="G1986" s="210"/>
      <c r="H1986" s="31"/>
      <c r="I1986" s="31" t="str">
        <f t="array" ref="I1986">IFERROR(XLOOKUP(D1986,'MASTER ITEM LIST'!A:A,'MASTER ITEM LIST'!D:D), "")</f>
        <v/>
      </c>
      <c r="J1986" s="34" t="str">
        <f t="shared" si="2"/>
        <v/>
      </c>
      <c r="K1986" s="69" t="str">
        <f t="shared" si="3"/>
        <v/>
      </c>
      <c r="L1986" s="211"/>
    </row>
    <row r="1987" ht="22.5" customHeight="1">
      <c r="A1987" s="29"/>
      <c r="B1987" s="31"/>
      <c r="C1987" s="193"/>
      <c r="D1987" s="198" t="str">
        <f t="array" ref="D1987">IF(E1987="", "", XLOOKUP(E1987, 'MASTER ITEM LIST'!B:B, 'MASTER ITEM LIST'!A:A, "Code Not Found"))</f>
        <v/>
      </c>
      <c r="E1987" s="66"/>
      <c r="F1987" s="31"/>
      <c r="G1987" s="210"/>
      <c r="H1987" s="31"/>
      <c r="I1987" s="31" t="str">
        <f t="array" ref="I1987">IFERROR(XLOOKUP(D1987,'MASTER ITEM LIST'!A:A,'MASTER ITEM LIST'!D:D), "")</f>
        <v/>
      </c>
      <c r="J1987" s="34" t="str">
        <f t="shared" si="2"/>
        <v/>
      </c>
      <c r="K1987" s="69" t="str">
        <f t="shared" si="3"/>
        <v/>
      </c>
      <c r="L1987" s="211"/>
    </row>
    <row r="1988" ht="22.5" customHeight="1">
      <c r="A1988" s="29"/>
      <c r="B1988" s="31"/>
      <c r="C1988" s="193"/>
      <c r="D1988" s="198" t="str">
        <f t="array" ref="D1988">IF(E1988="", "", XLOOKUP(E1988, 'MASTER ITEM LIST'!B:B, 'MASTER ITEM LIST'!A:A, "Code Not Found"))</f>
        <v/>
      </c>
      <c r="E1988" s="66"/>
      <c r="F1988" s="31"/>
      <c r="G1988" s="210"/>
      <c r="H1988" s="31"/>
      <c r="I1988" s="31" t="str">
        <f t="array" ref="I1988">IFERROR(XLOOKUP(D1988,'MASTER ITEM LIST'!A:A,'MASTER ITEM LIST'!D:D), "")</f>
        <v/>
      </c>
      <c r="J1988" s="34" t="str">
        <f t="shared" si="2"/>
        <v/>
      </c>
      <c r="K1988" s="69" t="str">
        <f t="shared" si="3"/>
        <v/>
      </c>
      <c r="L1988" s="211"/>
    </row>
    <row r="1989" ht="22.5" customHeight="1">
      <c r="A1989" s="29"/>
      <c r="B1989" s="31"/>
      <c r="C1989" s="193"/>
      <c r="D1989" s="198" t="str">
        <f t="array" ref="D1989">IF(E1989="", "", XLOOKUP(E1989, 'MASTER ITEM LIST'!B:B, 'MASTER ITEM LIST'!A:A, "Code Not Found"))</f>
        <v/>
      </c>
      <c r="E1989" s="66"/>
      <c r="F1989" s="31"/>
      <c r="G1989" s="210"/>
      <c r="H1989" s="31"/>
      <c r="I1989" s="31" t="str">
        <f t="array" ref="I1989">IFERROR(XLOOKUP(D1989,'MASTER ITEM LIST'!A:A,'MASTER ITEM LIST'!D:D), "")</f>
        <v/>
      </c>
      <c r="J1989" s="34" t="str">
        <f t="shared" si="2"/>
        <v/>
      </c>
      <c r="K1989" s="69" t="str">
        <f t="shared" si="3"/>
        <v/>
      </c>
      <c r="L1989" s="211"/>
    </row>
    <row r="1990" ht="22.5" customHeight="1">
      <c r="A1990" s="29"/>
      <c r="B1990" s="31"/>
      <c r="C1990" s="193"/>
      <c r="D1990" s="198" t="str">
        <f t="array" ref="D1990">IF(E1990="", "", XLOOKUP(E1990, 'MASTER ITEM LIST'!B:B, 'MASTER ITEM LIST'!A:A, "Code Not Found"))</f>
        <v/>
      </c>
      <c r="E1990" s="66"/>
      <c r="F1990" s="31"/>
      <c r="G1990" s="210"/>
      <c r="H1990" s="31"/>
      <c r="I1990" s="31" t="str">
        <f t="array" ref="I1990">IFERROR(XLOOKUP(D1990,'MASTER ITEM LIST'!A:A,'MASTER ITEM LIST'!D:D), "")</f>
        <v/>
      </c>
      <c r="J1990" s="34" t="str">
        <f t="shared" si="2"/>
        <v/>
      </c>
      <c r="K1990" s="69" t="str">
        <f t="shared" si="3"/>
        <v/>
      </c>
      <c r="L1990" s="211"/>
    </row>
    <row r="1991" ht="22.5" customHeight="1">
      <c r="A1991" s="29"/>
      <c r="B1991" s="31"/>
      <c r="C1991" s="193"/>
      <c r="D1991" s="198" t="str">
        <f t="array" ref="D1991">IF(E1991="", "", XLOOKUP(E1991, 'MASTER ITEM LIST'!B:B, 'MASTER ITEM LIST'!A:A, "Code Not Found"))</f>
        <v/>
      </c>
      <c r="E1991" s="66"/>
      <c r="F1991" s="31"/>
      <c r="G1991" s="210"/>
      <c r="H1991" s="31"/>
      <c r="I1991" s="31" t="str">
        <f t="array" ref="I1991">IFERROR(XLOOKUP(D1991,'MASTER ITEM LIST'!A:A,'MASTER ITEM LIST'!D:D), "")</f>
        <v/>
      </c>
      <c r="J1991" s="34" t="str">
        <f t="shared" si="2"/>
        <v/>
      </c>
      <c r="K1991" s="69" t="str">
        <f t="shared" si="3"/>
        <v/>
      </c>
      <c r="L1991" s="211"/>
    </row>
    <row r="1992" ht="22.5" customHeight="1">
      <c r="A1992" s="29"/>
      <c r="B1992" s="31"/>
      <c r="C1992" s="193"/>
      <c r="D1992" s="198" t="str">
        <f t="array" ref="D1992">IF(E1992="", "", XLOOKUP(E1992, 'MASTER ITEM LIST'!B:B, 'MASTER ITEM LIST'!A:A, "Code Not Found"))</f>
        <v/>
      </c>
      <c r="E1992" s="66"/>
      <c r="F1992" s="31"/>
      <c r="G1992" s="210"/>
      <c r="H1992" s="31"/>
      <c r="I1992" s="31" t="str">
        <f t="array" ref="I1992">IFERROR(XLOOKUP(D1992,'MASTER ITEM LIST'!A:A,'MASTER ITEM LIST'!D:D), "")</f>
        <v/>
      </c>
      <c r="J1992" s="34" t="str">
        <f t="shared" si="2"/>
        <v/>
      </c>
      <c r="K1992" s="69" t="str">
        <f t="shared" si="3"/>
        <v/>
      </c>
      <c r="L1992" s="211"/>
    </row>
    <row r="1993" ht="22.5" customHeight="1">
      <c r="A1993" s="29"/>
      <c r="B1993" s="31"/>
      <c r="C1993" s="193"/>
      <c r="D1993" s="198" t="str">
        <f t="array" ref="D1993">IF(E1993="", "", XLOOKUP(E1993, 'MASTER ITEM LIST'!B:B, 'MASTER ITEM LIST'!A:A, "Code Not Found"))</f>
        <v/>
      </c>
      <c r="E1993" s="66"/>
      <c r="F1993" s="31"/>
      <c r="G1993" s="210"/>
      <c r="H1993" s="31"/>
      <c r="I1993" s="31" t="str">
        <f t="array" ref="I1993">IFERROR(XLOOKUP(D1993,'MASTER ITEM LIST'!A:A,'MASTER ITEM LIST'!D:D), "")</f>
        <v/>
      </c>
      <c r="J1993" s="34" t="str">
        <f t="shared" si="2"/>
        <v/>
      </c>
      <c r="K1993" s="69" t="str">
        <f t="shared" si="3"/>
        <v/>
      </c>
      <c r="L1993" s="211"/>
    </row>
    <row r="1994" ht="22.5" customHeight="1">
      <c r="A1994" s="29"/>
      <c r="B1994" s="31"/>
      <c r="C1994" s="193"/>
      <c r="D1994" s="198" t="str">
        <f t="array" ref="D1994">IF(E1994="", "", XLOOKUP(E1994, 'MASTER ITEM LIST'!B:B, 'MASTER ITEM LIST'!A:A, "Code Not Found"))</f>
        <v/>
      </c>
      <c r="E1994" s="66"/>
      <c r="F1994" s="31"/>
      <c r="G1994" s="210"/>
      <c r="H1994" s="31"/>
      <c r="I1994" s="31" t="str">
        <f t="array" ref="I1994">IFERROR(XLOOKUP(D1994,'MASTER ITEM LIST'!A:A,'MASTER ITEM LIST'!D:D), "")</f>
        <v/>
      </c>
      <c r="J1994" s="34" t="str">
        <f t="shared" si="2"/>
        <v/>
      </c>
      <c r="K1994" s="69" t="str">
        <f t="shared" si="3"/>
        <v/>
      </c>
      <c r="L1994" s="211"/>
    </row>
    <row r="1995" ht="22.5" customHeight="1">
      <c r="A1995" s="29"/>
      <c r="B1995" s="31"/>
      <c r="C1995" s="193"/>
      <c r="D1995" s="198" t="str">
        <f t="array" ref="D1995">IF(E1995="", "", XLOOKUP(E1995, 'MASTER ITEM LIST'!B:B, 'MASTER ITEM LIST'!A:A, "Code Not Found"))</f>
        <v/>
      </c>
      <c r="E1995" s="66"/>
      <c r="F1995" s="31"/>
      <c r="G1995" s="210"/>
      <c r="H1995" s="31"/>
      <c r="I1995" s="31" t="str">
        <f t="array" ref="I1995">IFERROR(XLOOKUP(D1995,'MASTER ITEM LIST'!A:A,'MASTER ITEM LIST'!D:D), "")</f>
        <v/>
      </c>
      <c r="J1995" s="34" t="str">
        <f t="shared" si="2"/>
        <v/>
      </c>
      <c r="K1995" s="69" t="str">
        <f t="shared" si="3"/>
        <v/>
      </c>
      <c r="L1995" s="211"/>
    </row>
    <row r="1996" ht="22.5" customHeight="1">
      <c r="A1996" s="29"/>
      <c r="B1996" s="31"/>
      <c r="C1996" s="193"/>
      <c r="D1996" s="198" t="str">
        <f t="array" ref="D1996">IF(E1996="", "", XLOOKUP(E1996, 'MASTER ITEM LIST'!B:B, 'MASTER ITEM LIST'!A:A, "Code Not Found"))</f>
        <v/>
      </c>
      <c r="E1996" s="66"/>
      <c r="F1996" s="31"/>
      <c r="G1996" s="210"/>
      <c r="H1996" s="31"/>
      <c r="I1996" s="31" t="str">
        <f t="array" ref="I1996">IFERROR(XLOOKUP(D1996,'MASTER ITEM LIST'!A:A,'MASTER ITEM LIST'!D:D), "")</f>
        <v/>
      </c>
      <c r="J1996" s="34" t="str">
        <f t="shared" si="2"/>
        <v/>
      </c>
      <c r="K1996" s="69" t="str">
        <f t="shared" si="3"/>
        <v/>
      </c>
      <c r="L1996" s="211"/>
    </row>
    <row r="1997" ht="22.5" customHeight="1">
      <c r="A1997" s="29"/>
      <c r="B1997" s="31"/>
      <c r="C1997" s="193"/>
      <c r="D1997" s="198" t="str">
        <f t="array" ref="D1997">IF(E1997="", "", XLOOKUP(E1997, 'MASTER ITEM LIST'!B:B, 'MASTER ITEM LIST'!A:A, "Code Not Found"))</f>
        <v/>
      </c>
      <c r="E1997" s="66"/>
      <c r="F1997" s="31"/>
      <c r="G1997" s="210"/>
      <c r="H1997" s="31"/>
      <c r="I1997" s="31" t="str">
        <f t="array" ref="I1997">IFERROR(XLOOKUP(D1997,'MASTER ITEM LIST'!A:A,'MASTER ITEM LIST'!D:D), "")</f>
        <v/>
      </c>
      <c r="J1997" s="34" t="str">
        <f t="shared" si="2"/>
        <v/>
      </c>
      <c r="K1997" s="69" t="str">
        <f t="shared" si="3"/>
        <v/>
      </c>
      <c r="L1997" s="211"/>
    </row>
    <row r="1998" ht="22.5" customHeight="1">
      <c r="A1998" s="29"/>
      <c r="B1998" s="31"/>
      <c r="C1998" s="193"/>
      <c r="D1998" s="198" t="str">
        <f t="array" ref="D1998">IF(E1998="", "", XLOOKUP(E1998, 'MASTER ITEM LIST'!B:B, 'MASTER ITEM LIST'!A:A, "Code Not Found"))</f>
        <v/>
      </c>
      <c r="E1998" s="66"/>
      <c r="F1998" s="31"/>
      <c r="G1998" s="210"/>
      <c r="H1998" s="31"/>
      <c r="I1998" s="31" t="str">
        <f t="array" ref="I1998">IFERROR(XLOOKUP(D1998,'MASTER ITEM LIST'!A:A,'MASTER ITEM LIST'!D:D), "")</f>
        <v/>
      </c>
      <c r="J1998" s="34" t="str">
        <f t="shared" si="2"/>
        <v/>
      </c>
      <c r="K1998" s="69" t="str">
        <f t="shared" si="3"/>
        <v/>
      </c>
      <c r="L1998" s="211"/>
    </row>
    <row r="1999" ht="22.5" customHeight="1">
      <c r="A1999" s="29"/>
      <c r="B1999" s="31"/>
      <c r="C1999" s="193"/>
      <c r="D1999" s="198" t="str">
        <f t="array" ref="D1999">IF(E1999="", "", XLOOKUP(E1999, 'MASTER ITEM LIST'!B:B, 'MASTER ITEM LIST'!A:A, "Code Not Found"))</f>
        <v/>
      </c>
      <c r="E1999" s="66"/>
      <c r="F1999" s="31"/>
      <c r="G1999" s="210"/>
      <c r="H1999" s="31"/>
      <c r="I1999" s="31" t="str">
        <f t="array" ref="I1999">IFERROR(XLOOKUP(D1999,'MASTER ITEM LIST'!A:A,'MASTER ITEM LIST'!D:D), "")</f>
        <v/>
      </c>
      <c r="J1999" s="34" t="str">
        <f t="shared" si="2"/>
        <v/>
      </c>
      <c r="K1999" s="69" t="str">
        <f t="shared" si="3"/>
        <v/>
      </c>
      <c r="L1999" s="211"/>
    </row>
    <row r="2000" ht="22.5" customHeight="1">
      <c r="A2000" s="29"/>
      <c r="B2000" s="31"/>
      <c r="C2000" s="193"/>
      <c r="D2000" s="198" t="str">
        <f t="array" ref="D2000">IF(E2000="", "", XLOOKUP(E2000, 'MASTER ITEM LIST'!B:B, 'MASTER ITEM LIST'!A:A, "Code Not Found"))</f>
        <v/>
      </c>
      <c r="E2000" s="66"/>
      <c r="F2000" s="31"/>
      <c r="G2000" s="210"/>
      <c r="H2000" s="31"/>
      <c r="I2000" s="31" t="str">
        <f t="array" ref="I2000">IFERROR(XLOOKUP(D2000,'MASTER ITEM LIST'!A:A,'MASTER ITEM LIST'!D:D), "")</f>
        <v/>
      </c>
      <c r="J2000" s="34" t="str">
        <f t="shared" si="2"/>
        <v/>
      </c>
      <c r="K2000" s="69" t="str">
        <f t="shared" si="3"/>
        <v/>
      </c>
      <c r="L2000" s="211"/>
    </row>
  </sheetData>
  <conditionalFormatting sqref="D397:D413 D415:D450 E439 D452:D471 D473:D487 D489:D512 L511 D516:D526 D529:D563 D565:D570 D572:D601 D603:D658 D660:D667 D669 D671:D676 D678:D683 D688:D689 D691:D694 D697:D700 D703:D705 D709:D711 D716:D717 D719:D722 D726:D727 D729 D737:D740 D742:D744 D749 D752 D754 D759 D770 D779 D801 D822 D834 D842:D843 D847:D848 D851 D853:D854 D868 D882:D883 D888 D903 D923 D925:D926 D981 D986 D993:D995 D1001:D1002 D1006 D1021 D1024 D1030 D1042:D1044 D1046 D1049:D1051 D1055 D1067:D1068 D1071 D1077 D1079:D1080 D1084 D1089:D1090 D1115 D1126 D1140 D1143:D1145 D1147 D1150:D1154 D1156 D1171 D1174:D1175 D1179 D1183:D1184 D1189 D1195 D1197:D1198 D1200 D1211 D1214 D1219:D1220 D1222:D1223 D1225 D1238 D1240 D1245 D1247:D1248 D1253 D1268:D1269 D1277 D1281 D1283 D1287 D1297 D1303 D1306:D1307 D1314:D1316 D1323:D1324 D1328 D1330 D1340:D1342 E1379 E1399:E1400 E1539">
    <cfRule type="expression" dxfId="5" priority="1">
      <formula>$E397&lt;0</formula>
    </cfRule>
  </conditionalFormatting>
  <conditionalFormatting sqref="D397:D413 D415:D450 E439 D452:D471 D473:D487 D489:D512 L511 D516:D526 D529:D563 D565:D570 D572:D601 D603:D658 D660:D667 D669 D671:D676 D678:D683 D688:D689 D691:D694 D697:D700 D703:D705 D709:D711 D716:D717 D719:D722 D726:D727 D729 D737:D740 D742:D744 D749 D752 D754 D759 D770 D779 D801 D822 D834 D842:D843 D847:D848 D851 D853:D854 D868 D882:D883 D888 D903 D923 D925:D926 D981 D986 D993:D995 D1001:D1002 D1006 D1021 D1024 D1030 D1042:D1044 D1046 D1049:D1051 D1055 D1067:D1068 D1071 D1077 D1079:D1080 D1084 D1089:D1090 D1115 D1126 D1140 D1143:D1145 D1147 D1150:D1154 D1156 D1171 D1174:D1175 D1179 D1183:D1184 D1189 D1195 D1197:D1198 D1200 D1211 D1214 D1219:D1220 D1222:D1223 D1225 D1238 D1240 D1245 D1247">
    <cfRule type="cellIs" dxfId="9" priority="2" operator="equal">
      <formula>4</formula>
    </cfRule>
  </conditionalFormatting>
  <conditionalFormatting sqref="D397:D413 D415:D450 E439 D452:D471 D473:D487 D489:D512 L511 D516:D526 D529:D563 D565:D570 D572:D601 D603:D658 D660:D667 D669 D671:D676 D678:D683 D688:D689 D691:D694 D697:D700 D703:D705 D709:D711 D716:D717 D719:D722 D726:D727 D729 D737:D740 D742:D744 D749 D752 D754 D759 D770 D779 D801 D822 D834 D842:D843 D847:D848 D851 D853:D854 D868 D882:D883 D888 D903 D923 D925:D926 D981 D986 D993:D995 D1001:D1002 D1006 D1021 D1024 D1030 D1042:D1044 D1046 D1049:D1051 D1055 D1067:D1068 D1071 D1077 D1079:D1080 D1084 D1089:D1090 D1115 D1126 D1140 D1143:D1145 D1147 D1150:D1154 D1156 D1171 D1174:D1175 D1179 D1183:D1184 D1189 D1195 D1197:D1198 D1200 D1211 D1214 D1219:D1220 D1222:D1223 D1225 D1238 D1240 D1245 D1247:D1248 D1253 D1268:D1269 D1277 D1281 D1283 D1287 D1297 D1303 D1306:D1307 D1314:D1316 D1323:D1324 D1328 D1330 D1340:D1342 E1379 E1399:E1400 E1539">
    <cfRule type="expression" dxfId="6" priority="3">
      <formula>AND($A397&lt;&gt;"", $E397=0)</formula>
    </cfRule>
  </conditionalFormatting>
  <dataValidations>
    <dataValidation type="list" allowBlank="1" sqref="G2:G2000">
      <formula1>"CASH,CHARGE,GCASH / BANK TRANSFER,CHARGE W/ PDC"</formula1>
    </dataValidation>
    <dataValidation type="list" allowBlank="1" sqref="L2:L2000">
      <formula1>"W/ PDC CHECK,PAID,UNPAID,RETURN/CREDIT MEMO,BILLED,GCASH / BANK TRANSFER"</formula1>
    </dataValidation>
    <dataValidation type="custom" allowBlank="1" showDropDown="1" sqref="A2:A2000">
      <formula1>OR(NOT(ISERROR(DATEVALUE(A2))), AND(ISNUMBER(A2), LEFT(CELL("format", A2))="D"))</formula1>
    </dataValidation>
    <dataValidation type="custom" allowBlank="1" showDropDown="1" sqref="J2:K2000">
      <formula1>AND(ISNUMBER(J2),(NOT(OR(NOT(ISERROR(DATEVALUE(J2))), AND(ISNUMBER(J2), LEFT(CELL("format", J2))="D")))))</formula1>
    </dataValidation>
    <dataValidation type="list" allowBlank="1" showDropDown="1" sqref="C2:D2000">
      <formula1>#REF!</formula1>
    </dataValidation>
    <dataValidation type="list" allowBlank="1" sqref="E2:E2000">
      <formula1>#REF!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13.38"/>
    <col customWidth="1" min="3" max="3" width="38.25"/>
    <col customWidth="1" min="4" max="4" width="19.13"/>
    <col customWidth="1" min="5" max="5" width="62.25"/>
    <col customWidth="1" min="6" max="6" width="15.5"/>
    <col customWidth="1" min="9" max="9" width="19.5"/>
    <col customWidth="1" min="10" max="10" width="23.5"/>
  </cols>
  <sheetData>
    <row r="1" ht="22.5" customHeight="1">
      <c r="A1" s="9" t="s">
        <v>9</v>
      </c>
      <c r="B1" s="9" t="s">
        <v>17</v>
      </c>
      <c r="C1" s="9" t="s">
        <v>20</v>
      </c>
      <c r="D1" s="14" t="s">
        <v>8</v>
      </c>
      <c r="E1" s="11" t="s">
        <v>11</v>
      </c>
      <c r="F1" s="9" t="s">
        <v>26</v>
      </c>
      <c r="G1" s="9" t="s">
        <v>22</v>
      </c>
      <c r="H1" s="11" t="s">
        <v>14</v>
      </c>
      <c r="I1" s="18" t="s">
        <v>24</v>
      </c>
      <c r="J1" s="21" t="s">
        <v>25</v>
      </c>
    </row>
    <row r="2" ht="22.5" customHeight="1">
      <c r="A2" s="29" t="s">
        <v>32</v>
      </c>
      <c r="B2" s="31" t="s">
        <v>36</v>
      </c>
      <c r="C2" s="32" t="s">
        <v>38</v>
      </c>
      <c r="D2" s="33" t="s">
        <v>40</v>
      </c>
      <c r="E2" s="35" t="str">
        <f t="array" ref="E2">IF(D2="", "", XLOOKUP(D2, 'MASTER ITEM LIST'!A:A, 'MASTER ITEM LIST'!B:B, ""))</f>
        <v>2B PAINT BRUSH #2</v>
      </c>
      <c r="F2" s="37" t="s">
        <v>41</v>
      </c>
      <c r="G2" s="31">
        <v>12.0</v>
      </c>
      <c r="H2" s="39" t="str">
        <f t="array" ref="H2">IFERROR(XLOOKUP(D2,'MASTER ITEM LIST'!A:A,'MASTER ITEM LIST'!D:D), "")</f>
        <v>PC/S</v>
      </c>
      <c r="I2" s="40">
        <v>30.5</v>
      </c>
      <c r="J2" s="41">
        <f t="shared" ref="J2:J498" si="1">IF(G2="", "",G2*I2)</f>
        <v>366</v>
      </c>
    </row>
    <row r="3" ht="22.5" customHeight="1">
      <c r="A3" s="17">
        <v>46112.0</v>
      </c>
      <c r="B3" s="19"/>
      <c r="C3" s="20" t="s">
        <v>49</v>
      </c>
      <c r="D3" s="42" t="s">
        <v>50</v>
      </c>
      <c r="E3" s="35" t="str">
        <f t="array" ref="E3">IF(D3="", "", XLOOKUP(D3, 'MASTER ITEM LIST'!A:A, 'MASTER ITEM LIST'!B:B, ""))</f>
        <v>NAX PREMILA MT904 SHADOWN GREEN 1L</v>
      </c>
      <c r="F3" s="43" t="s">
        <v>41</v>
      </c>
      <c r="G3" s="19">
        <v>3.0</v>
      </c>
      <c r="H3" s="39" t="str">
        <f t="array" ref="H3">IFERROR(XLOOKUP(D3,'MASTER ITEM LIST'!A:A,'MASTER ITEM LIST'!D:D), "")</f>
        <v>LTR/S</v>
      </c>
      <c r="I3" s="48">
        <v>1593.0</v>
      </c>
      <c r="J3" s="41">
        <f t="shared" si="1"/>
        <v>4779</v>
      </c>
    </row>
    <row r="4" ht="22.5" customHeight="1">
      <c r="A4" s="17">
        <v>46112.0</v>
      </c>
      <c r="B4" s="19"/>
      <c r="C4" s="20" t="s">
        <v>49</v>
      </c>
      <c r="D4" s="42" t="s">
        <v>56</v>
      </c>
      <c r="E4" s="35" t="str">
        <f t="array" ref="E4">IF(D4="", "", XLOOKUP(D4, 'MASTER ITEM LIST'!A:A, 'MASTER ITEM LIST'!B:B, ""))</f>
        <v>NAX PREMILA MT903 SUN GREEN 1L</v>
      </c>
      <c r="F4" s="43" t="s">
        <v>41</v>
      </c>
      <c r="G4" s="19">
        <v>3.0</v>
      </c>
      <c r="H4" s="39" t="str">
        <f t="array" ref="H4">IFERROR(XLOOKUP(D4,'MASTER ITEM LIST'!A:A,'MASTER ITEM LIST'!D:D), "")</f>
        <v>LTR/S</v>
      </c>
      <c r="I4" s="48">
        <v>1561.0</v>
      </c>
      <c r="J4" s="41">
        <f t="shared" si="1"/>
        <v>4683</v>
      </c>
    </row>
    <row r="5" ht="22.5" customHeight="1">
      <c r="A5" s="17">
        <v>46112.0</v>
      </c>
      <c r="B5" s="19"/>
      <c r="C5" s="20" t="s">
        <v>49</v>
      </c>
      <c r="D5" s="42" t="s">
        <v>60</v>
      </c>
      <c r="E5" s="35" t="str">
        <f t="array" ref="E5">IF(D5="", "", XLOOKUP(D5, 'MASTER ITEM LIST'!A:A, 'MASTER ITEM LIST'!B:B, ""))</f>
        <v>NAX PREMILA MT902 GRASS GREEN 1L</v>
      </c>
      <c r="F5" s="43" t="s">
        <v>41</v>
      </c>
      <c r="G5" s="19">
        <v>3.0</v>
      </c>
      <c r="H5" s="39" t="str">
        <f t="array" ref="H5">IFERROR(XLOOKUP(D5,'MASTER ITEM LIST'!A:A,'MASTER ITEM LIST'!D:D), "")</f>
        <v>LTR/S</v>
      </c>
      <c r="I5" s="48">
        <v>1593.0</v>
      </c>
      <c r="J5" s="41">
        <f t="shared" si="1"/>
        <v>4779</v>
      </c>
    </row>
    <row r="6" ht="22.5" customHeight="1">
      <c r="A6" s="17">
        <v>46112.0</v>
      </c>
      <c r="B6" s="19"/>
      <c r="C6" s="20" t="s">
        <v>49</v>
      </c>
      <c r="D6" s="42" t="s">
        <v>65</v>
      </c>
      <c r="E6" s="35" t="str">
        <f t="array" ref="E6">IF(D6="", "", XLOOKUP(D6, 'MASTER ITEM LIST'!A:A, 'MASTER ITEM LIST'!B:B, ""))</f>
        <v>NAX PREMILA MT807 VACANCE BLUE 1L</v>
      </c>
      <c r="F6" s="43" t="s">
        <v>41</v>
      </c>
      <c r="G6" s="19">
        <v>3.0</v>
      </c>
      <c r="H6" s="39" t="str">
        <f t="array" ref="H6">IFERROR(XLOOKUP(D6,'MASTER ITEM LIST'!A:A,'MASTER ITEM LIST'!D:D), "")</f>
        <v>LTR/S</v>
      </c>
      <c r="I6" s="48">
        <v>1593.0</v>
      </c>
      <c r="J6" s="41">
        <f t="shared" si="1"/>
        <v>4779</v>
      </c>
    </row>
    <row r="7" ht="22.5" customHeight="1">
      <c r="A7" s="17">
        <v>46112.0</v>
      </c>
      <c r="B7" s="19"/>
      <c r="C7" s="20" t="s">
        <v>49</v>
      </c>
      <c r="D7" s="42" t="s">
        <v>69</v>
      </c>
      <c r="E7" s="35" t="str">
        <f t="array" ref="E7">IF(D7="", "", XLOOKUP(D7, 'MASTER ITEM LIST'!A:A, 'MASTER ITEM LIST'!B:B, ""))</f>
        <v>NAX PREMILA MT806 HERMES BLUE 1L</v>
      </c>
      <c r="F7" s="43" t="s">
        <v>41</v>
      </c>
      <c r="G7" s="19">
        <v>2.0</v>
      </c>
      <c r="H7" s="39" t="str">
        <f t="array" ref="H7">IFERROR(XLOOKUP(D7,'MASTER ITEM LIST'!A:A,'MASTER ITEM LIST'!D:D), "")</f>
        <v>LTR/S</v>
      </c>
      <c r="I7" s="48">
        <v>1593.0</v>
      </c>
      <c r="J7" s="41">
        <f t="shared" si="1"/>
        <v>3186</v>
      </c>
    </row>
    <row r="8" ht="22.5" customHeight="1">
      <c r="A8" s="17">
        <v>46112.0</v>
      </c>
      <c r="B8" s="19"/>
      <c r="C8" s="20" t="s">
        <v>49</v>
      </c>
      <c r="D8" s="42" t="s">
        <v>76</v>
      </c>
      <c r="E8" s="35" t="str">
        <f t="array" ref="E8">IF(D8="", "", XLOOKUP(D8, 'MASTER ITEM LIST'!A:A, 'MASTER ITEM LIST'!B:B, ""))</f>
        <v>NAX PREMILA MT805 CUSTOM BLUE 1L</v>
      </c>
      <c r="F8" s="43" t="s">
        <v>41</v>
      </c>
      <c r="G8" s="19">
        <v>1.0</v>
      </c>
      <c r="H8" s="39" t="str">
        <f t="array" ref="H8">IFERROR(XLOOKUP(D8,'MASTER ITEM LIST'!A:A,'MASTER ITEM LIST'!D:D), "")</f>
        <v>LTR/S</v>
      </c>
      <c r="I8" s="48">
        <v>1593.0</v>
      </c>
      <c r="J8" s="41">
        <f t="shared" si="1"/>
        <v>1593</v>
      </c>
    </row>
    <row r="9" ht="22.5" customHeight="1">
      <c r="A9" s="17">
        <v>46112.0</v>
      </c>
      <c r="B9" s="19"/>
      <c r="C9" s="20" t="s">
        <v>49</v>
      </c>
      <c r="D9" s="42" t="s">
        <v>80</v>
      </c>
      <c r="E9" s="35" t="str">
        <f t="array" ref="E9">IF(D9="", "", XLOOKUP(D9, 'MASTER ITEM LIST'!A:A, 'MASTER ITEM LIST'!B:B, ""))</f>
        <v>NAX PREMILA MT804 ORIENT BLUE 1L</v>
      </c>
      <c r="F9" s="43" t="s">
        <v>41</v>
      </c>
      <c r="G9" s="19">
        <v>1.0</v>
      </c>
      <c r="H9" s="39" t="str">
        <f t="array" ref="H9">IFERROR(XLOOKUP(D9,'MASTER ITEM LIST'!A:A,'MASTER ITEM LIST'!D:D), "")</f>
        <v>LTR/S</v>
      </c>
      <c r="I9" s="48">
        <v>1593.0</v>
      </c>
      <c r="J9" s="41">
        <f t="shared" si="1"/>
        <v>1593</v>
      </c>
    </row>
    <row r="10" ht="22.5" customHeight="1">
      <c r="A10" s="17">
        <v>46112.0</v>
      </c>
      <c r="B10" s="19"/>
      <c r="C10" s="20" t="s">
        <v>49</v>
      </c>
      <c r="D10" s="42" t="s">
        <v>88</v>
      </c>
      <c r="E10" s="35" t="str">
        <f t="array" ref="E10">IF(D10="", "", XLOOKUP(D10, 'MASTER ITEM LIST'!A:A, 'MASTER ITEM LIST'!B:B, ""))</f>
        <v>NAX PREMILA MT803 FRESH BLUE 1L</v>
      </c>
      <c r="F10" s="43" t="s">
        <v>41</v>
      </c>
      <c r="G10" s="19">
        <v>2.0</v>
      </c>
      <c r="H10" s="39" t="str">
        <f t="array" ref="H10">IFERROR(XLOOKUP(D10,'MASTER ITEM LIST'!A:A,'MASTER ITEM LIST'!D:D), "")</f>
        <v>LTR/S</v>
      </c>
      <c r="I10" s="48">
        <v>1593.0</v>
      </c>
      <c r="J10" s="41">
        <f t="shared" si="1"/>
        <v>3186</v>
      </c>
    </row>
    <row r="11" ht="22.5" customHeight="1">
      <c r="A11" s="17">
        <v>46112.0</v>
      </c>
      <c r="B11" s="19"/>
      <c r="C11" s="20" t="s">
        <v>49</v>
      </c>
      <c r="D11" s="42" t="s">
        <v>95</v>
      </c>
      <c r="E11" s="35" t="str">
        <f t="array" ref="E11">IF(D11="", "", XLOOKUP(D11, 'MASTER ITEM LIST'!A:A, 'MASTER ITEM LIST'!B:B, ""))</f>
        <v>NAX PREMILA MT801 CYANINE BLUE 1L</v>
      </c>
      <c r="F11" s="43" t="s">
        <v>41</v>
      </c>
      <c r="G11" s="19">
        <v>3.0</v>
      </c>
      <c r="H11" s="39" t="str">
        <f t="array" ref="H11">IFERROR(XLOOKUP(D11,'MASTER ITEM LIST'!A:A,'MASTER ITEM LIST'!D:D), "")</f>
        <v>LTR/S</v>
      </c>
      <c r="I11" s="48">
        <v>1593.0</v>
      </c>
      <c r="J11" s="41">
        <f t="shared" si="1"/>
        <v>4779</v>
      </c>
    </row>
    <row r="12" ht="22.5" customHeight="1">
      <c r="A12" s="17">
        <v>46112.0</v>
      </c>
      <c r="B12" s="19"/>
      <c r="C12" s="20" t="s">
        <v>49</v>
      </c>
      <c r="D12" s="42" t="s">
        <v>96</v>
      </c>
      <c r="E12" s="35" t="str">
        <f t="array" ref="E12">IF(D12="", "", XLOOKUP(D12, 'MASTER ITEM LIST'!A:A, 'MASTER ITEM LIST'!B:B, ""))</f>
        <v>NAX PREMILA MT705 FLORA VIOLET 1L</v>
      </c>
      <c r="F12" s="43" t="s">
        <v>41</v>
      </c>
      <c r="G12" s="19">
        <v>4.0</v>
      </c>
      <c r="H12" s="39" t="str">
        <f t="array" ref="H12">IFERROR(XLOOKUP(D12,'MASTER ITEM LIST'!A:A,'MASTER ITEM LIST'!D:D), "")</f>
        <v>LTR/S</v>
      </c>
      <c r="I12" s="48">
        <v>1896.0</v>
      </c>
      <c r="J12" s="41">
        <f t="shared" si="1"/>
        <v>7584</v>
      </c>
    </row>
    <row r="13" ht="22.5" customHeight="1">
      <c r="A13" s="17">
        <v>46112.0</v>
      </c>
      <c r="B13" s="19"/>
      <c r="C13" s="20" t="s">
        <v>49</v>
      </c>
      <c r="D13" s="42" t="s">
        <v>102</v>
      </c>
      <c r="E13" s="35" t="str">
        <f t="array" ref="E13">IF(D13="", "", XLOOKUP(D13, 'MASTER ITEM LIST'!A:A, 'MASTER ITEM LIST'!B:B, ""))</f>
        <v>NAX PREMILA MT704 FINE VIOLET 1L</v>
      </c>
      <c r="F13" s="43" t="s">
        <v>41</v>
      </c>
      <c r="G13" s="19">
        <v>3.0</v>
      </c>
      <c r="H13" s="39" t="str">
        <f t="array" ref="H13">IFERROR(XLOOKUP(D13,'MASTER ITEM LIST'!A:A,'MASTER ITEM LIST'!D:D), "")</f>
        <v>LTR/S</v>
      </c>
      <c r="I13" s="48">
        <v>1593.0</v>
      </c>
      <c r="J13" s="41">
        <f t="shared" si="1"/>
        <v>4779</v>
      </c>
    </row>
    <row r="14" ht="22.5" customHeight="1">
      <c r="A14" s="17">
        <v>46112.0</v>
      </c>
      <c r="B14" s="19"/>
      <c r="C14" s="20" t="s">
        <v>49</v>
      </c>
      <c r="D14" s="42" t="s">
        <v>106</v>
      </c>
      <c r="E14" s="35" t="str">
        <f t="array" ref="E14">IF(D14="", "", XLOOKUP(D14, 'MASTER ITEM LIST'!A:A, 'MASTER ITEM LIST'!B:B, ""))</f>
        <v>NAX PREMILA MT607 AUTUMN RED 1L</v>
      </c>
      <c r="F14" s="43" t="s">
        <v>41</v>
      </c>
      <c r="G14" s="19">
        <v>1.0</v>
      </c>
      <c r="H14" s="39" t="str">
        <f t="array" ref="H14">IFERROR(XLOOKUP(D14,'MASTER ITEM LIST'!A:A,'MASTER ITEM LIST'!D:D), "")</f>
        <v>LTR/S</v>
      </c>
      <c r="I14" s="48">
        <v>2048.0</v>
      </c>
      <c r="J14" s="41">
        <f t="shared" si="1"/>
        <v>2048</v>
      </c>
    </row>
    <row r="15" ht="22.5" customHeight="1">
      <c r="A15" s="17">
        <v>46112.0</v>
      </c>
      <c r="B15" s="19"/>
      <c r="C15" s="20" t="s">
        <v>49</v>
      </c>
      <c r="D15" s="42" t="s">
        <v>110</v>
      </c>
      <c r="E15" s="35" t="str">
        <f t="array" ref="E15">IF(D15="", "", XLOOKUP(D15, 'MASTER ITEM LIST'!A:A, 'MASTER ITEM LIST'!B:B, ""))</f>
        <v>NAX PREMILA MT606 GIRAFFE YELLOW 1L</v>
      </c>
      <c r="F15" s="43" t="s">
        <v>41</v>
      </c>
      <c r="G15" s="19">
        <v>2.0</v>
      </c>
      <c r="H15" s="39" t="str">
        <f t="array" ref="H15">IFERROR(XLOOKUP(D15,'MASTER ITEM LIST'!A:A,'MASTER ITEM LIST'!D:D), "")</f>
        <v>LTR/S</v>
      </c>
      <c r="I15" s="48">
        <v>1608.0</v>
      </c>
      <c r="J15" s="41">
        <f t="shared" si="1"/>
        <v>3216</v>
      </c>
    </row>
    <row r="16" ht="22.5" customHeight="1">
      <c r="A16" s="17">
        <v>46112.0</v>
      </c>
      <c r="B16" s="19"/>
      <c r="C16" s="20" t="s">
        <v>49</v>
      </c>
      <c r="D16" s="42" t="s">
        <v>116</v>
      </c>
      <c r="E16" s="35" t="str">
        <f t="array" ref="E16">IF(D16="", "", XLOOKUP(D16, 'MASTER ITEM LIST'!A:A, 'MASTER ITEM LIST'!B:B, ""))</f>
        <v>NAX PREMILA MT604 EXTRA MAROON 1L</v>
      </c>
      <c r="F16" s="43" t="s">
        <v>41</v>
      </c>
      <c r="G16" s="19">
        <v>1.0</v>
      </c>
      <c r="H16" s="39" t="str">
        <f t="array" ref="H16">IFERROR(XLOOKUP(D16,'MASTER ITEM LIST'!A:A,'MASTER ITEM LIST'!D:D), "")</f>
        <v>LTR/S</v>
      </c>
      <c r="I16" s="48">
        <v>2048.0</v>
      </c>
      <c r="J16" s="41">
        <f t="shared" si="1"/>
        <v>2048</v>
      </c>
    </row>
    <row r="17" ht="22.5" customHeight="1">
      <c r="A17" s="17">
        <v>46112.0</v>
      </c>
      <c r="B17" s="19"/>
      <c r="C17" s="20" t="s">
        <v>49</v>
      </c>
      <c r="D17" s="42" t="s">
        <v>120</v>
      </c>
      <c r="E17" s="35" t="str">
        <f t="array" ref="E17">IF(D17="", "", XLOOKUP(D17, 'MASTER ITEM LIST'!A:A, 'MASTER ITEM LIST'!B:B, ""))</f>
        <v>NAX PREMILA MT603 CINQUASIA BROWN 1L</v>
      </c>
      <c r="F17" s="43" t="s">
        <v>41</v>
      </c>
      <c r="G17" s="19">
        <v>3.0</v>
      </c>
      <c r="H17" s="39" t="str">
        <f t="array" ref="H17">IFERROR(XLOOKUP(D17,'MASTER ITEM LIST'!A:A,'MASTER ITEM LIST'!D:D), "")</f>
        <v>LTR/S</v>
      </c>
      <c r="I17" s="48">
        <v>1896.0</v>
      </c>
      <c r="J17" s="41">
        <f t="shared" si="1"/>
        <v>5688</v>
      </c>
    </row>
    <row r="18" ht="22.5" customHeight="1">
      <c r="A18" s="17">
        <v>46112.0</v>
      </c>
      <c r="B18" s="19"/>
      <c r="C18" s="20" t="s">
        <v>49</v>
      </c>
      <c r="D18" s="42" t="s">
        <v>128</v>
      </c>
      <c r="E18" s="35" t="str">
        <f t="array" ref="E18">IF(D18="", "", XLOOKUP(D18, 'MASTER ITEM LIST'!A:A, 'MASTER ITEM LIST'!B:B, ""))</f>
        <v>NAX PREMILA MT602 PEGASUS MAROON 1L</v>
      </c>
      <c r="F18" s="43" t="s">
        <v>41</v>
      </c>
      <c r="G18" s="19">
        <v>3.0</v>
      </c>
      <c r="H18" s="39" t="str">
        <f t="array" ref="H18">IFERROR(XLOOKUP(D18,'MASTER ITEM LIST'!A:A,'MASTER ITEM LIST'!D:D), "")</f>
        <v>LTR/S</v>
      </c>
      <c r="I18" s="48">
        <v>2302.0</v>
      </c>
      <c r="J18" s="41">
        <f t="shared" si="1"/>
        <v>6906</v>
      </c>
    </row>
    <row r="19" ht="22.5" customHeight="1">
      <c r="A19" s="17">
        <v>46112.0</v>
      </c>
      <c r="B19" s="19"/>
      <c r="C19" s="20" t="s">
        <v>49</v>
      </c>
      <c r="D19" s="42" t="s">
        <v>131</v>
      </c>
      <c r="E19" s="35" t="str">
        <f t="array" ref="E19">IF(D19="", "", XLOOKUP(D19, 'MASTER ITEM LIST'!A:A, 'MASTER ITEM LIST'!B:B, ""))</f>
        <v>NAX PREMILA MT601 IRON RED 1L</v>
      </c>
      <c r="F19" s="43" t="s">
        <v>41</v>
      </c>
      <c r="G19" s="19">
        <v>3.0</v>
      </c>
      <c r="H19" s="39" t="str">
        <f t="array" ref="H19">IFERROR(XLOOKUP(D19,'MASTER ITEM LIST'!A:A,'MASTER ITEM LIST'!D:D), "")</f>
        <v>LTR/S</v>
      </c>
      <c r="I19" s="48">
        <v>1849.0</v>
      </c>
      <c r="J19" s="41">
        <f t="shared" si="1"/>
        <v>5547</v>
      </c>
    </row>
    <row r="20" ht="22.5" customHeight="1">
      <c r="A20" s="17">
        <v>46112.0</v>
      </c>
      <c r="B20" s="19"/>
      <c r="C20" s="20" t="s">
        <v>49</v>
      </c>
      <c r="D20" s="42" t="s">
        <v>137</v>
      </c>
      <c r="E20" s="35" t="str">
        <f t="array" ref="E20">IF(D20="", "", XLOOKUP(D20, 'MASTER ITEM LIST'!A:A, 'MASTER ITEM LIST'!B:B, ""))</f>
        <v>NAX PREMILA MT508 INDIAN RED 1L</v>
      </c>
      <c r="F20" s="43" t="s">
        <v>41</v>
      </c>
      <c r="G20" s="19">
        <v>2.0</v>
      </c>
      <c r="H20" s="39" t="str">
        <f t="array" ref="H20">IFERROR(XLOOKUP(D20,'MASTER ITEM LIST'!A:A,'MASTER ITEM LIST'!D:D), "")</f>
        <v>LTR/S</v>
      </c>
      <c r="I20" s="48">
        <v>2349.0</v>
      </c>
      <c r="J20" s="41">
        <f t="shared" si="1"/>
        <v>4698</v>
      </c>
    </row>
    <row r="21" ht="22.5" customHeight="1">
      <c r="A21" s="17">
        <v>46112.0</v>
      </c>
      <c r="B21" s="19"/>
      <c r="C21" s="20" t="s">
        <v>49</v>
      </c>
      <c r="D21" s="42" t="s">
        <v>143</v>
      </c>
      <c r="E21" s="35" t="str">
        <f t="array" ref="E21">IF(D21="", "", XLOOKUP(D21, 'MASTER ITEM LIST'!A:A, 'MASTER ITEM LIST'!B:B, ""))</f>
        <v>NAX PREMILA MT507 RUBY RED 1L</v>
      </c>
      <c r="F21" s="43" t="s">
        <v>41</v>
      </c>
      <c r="G21" s="19">
        <v>3.0</v>
      </c>
      <c r="H21" s="39" t="str">
        <f t="array" ref="H21">IFERROR(XLOOKUP(D21,'MASTER ITEM LIST'!A:A,'MASTER ITEM LIST'!D:D), "")</f>
        <v>LTR/S</v>
      </c>
      <c r="I21" s="48">
        <v>2867.0</v>
      </c>
      <c r="J21" s="41">
        <f t="shared" si="1"/>
        <v>8601</v>
      </c>
    </row>
    <row r="22" ht="22.5" customHeight="1">
      <c r="A22" s="17">
        <v>46112.0</v>
      </c>
      <c r="B22" s="19"/>
      <c r="C22" s="20" t="s">
        <v>49</v>
      </c>
      <c r="D22" s="42" t="s">
        <v>149</v>
      </c>
      <c r="E22" s="35" t="str">
        <f t="array" ref="E22">IF(D22="", "", XLOOKUP(D22, 'MASTER ITEM LIST'!A:A, 'MASTER ITEM LIST'!B:B, ""))</f>
        <v>NAX PREMILA MT506 CINQUASIA RED 1L</v>
      </c>
      <c r="F22" s="43" t="s">
        <v>41</v>
      </c>
      <c r="G22" s="19">
        <v>3.0</v>
      </c>
      <c r="H22" s="39" t="str">
        <f t="array" ref="H22">IFERROR(XLOOKUP(D22,'MASTER ITEM LIST'!A:A,'MASTER ITEM LIST'!D:D), "")</f>
        <v>LTR/S</v>
      </c>
      <c r="I22" s="48">
        <v>1896.0</v>
      </c>
      <c r="J22" s="41">
        <f t="shared" si="1"/>
        <v>5688</v>
      </c>
    </row>
    <row r="23" ht="22.5" customHeight="1">
      <c r="A23" s="17">
        <v>46112.0</v>
      </c>
      <c r="B23" s="19"/>
      <c r="C23" s="20" t="s">
        <v>49</v>
      </c>
      <c r="D23" s="42" t="s">
        <v>154</v>
      </c>
      <c r="E23" s="35" t="str">
        <f t="array" ref="E23">IF(D23="", "", XLOOKUP(D23, 'MASTER ITEM LIST'!A:A, 'MASTER ITEM LIST'!B:B, ""))</f>
        <v>NAX PREMILA MT505 SPARK RED 1L</v>
      </c>
      <c r="F23" s="43" t="s">
        <v>41</v>
      </c>
      <c r="G23" s="19">
        <v>3.0</v>
      </c>
      <c r="H23" s="39" t="str">
        <f t="array" ref="H23">IFERROR(XLOOKUP(D23,'MASTER ITEM LIST'!A:A,'MASTER ITEM LIST'!D:D), "")</f>
        <v>LTR/S</v>
      </c>
      <c r="I23" s="48">
        <v>2900.0</v>
      </c>
      <c r="J23" s="41">
        <f t="shared" si="1"/>
        <v>8700</v>
      </c>
    </row>
    <row r="24" ht="22.5" customHeight="1">
      <c r="A24" s="17">
        <v>46112.0</v>
      </c>
      <c r="B24" s="19"/>
      <c r="C24" s="20" t="s">
        <v>49</v>
      </c>
      <c r="D24" s="42" t="s">
        <v>159</v>
      </c>
      <c r="E24" s="35" t="str">
        <f t="array" ref="E24">IF(D24="", "", XLOOKUP(D24, 'MASTER ITEM LIST'!A:A, 'MASTER ITEM LIST'!B:B, ""))</f>
        <v>NAX PREMILA MT501 STRONG RED 1L</v>
      </c>
      <c r="F24" s="43" t="s">
        <v>41</v>
      </c>
      <c r="G24" s="19">
        <v>3.0</v>
      </c>
      <c r="H24" s="39" t="str">
        <f t="array" ref="H24">IFERROR(XLOOKUP(D24,'MASTER ITEM LIST'!A:A,'MASTER ITEM LIST'!D:D), "")</f>
        <v>LTR/S</v>
      </c>
      <c r="I24" s="48">
        <v>2048.0</v>
      </c>
      <c r="J24" s="41">
        <f t="shared" si="1"/>
        <v>6144</v>
      </c>
    </row>
    <row r="25" ht="22.5" customHeight="1">
      <c r="A25" s="17">
        <v>46112.0</v>
      </c>
      <c r="B25" s="19"/>
      <c r="C25" s="20" t="s">
        <v>49</v>
      </c>
      <c r="D25" s="42" t="s">
        <v>164</v>
      </c>
      <c r="E25" s="35" t="str">
        <f t="array" ref="E25">IF(D25="", "", XLOOKUP(D25, 'MASTER ITEM LIST'!A:A, 'MASTER ITEM LIST'!B:B, ""))</f>
        <v>NAX PREMILA MT405 SUN ORANGE 1L</v>
      </c>
      <c r="F25" s="43" t="s">
        <v>41</v>
      </c>
      <c r="G25" s="19">
        <v>1.0</v>
      </c>
      <c r="H25" s="39" t="str">
        <f t="array" ref="H25">IFERROR(XLOOKUP(D25,'MASTER ITEM LIST'!A:A,'MASTER ITEM LIST'!D:D), "")</f>
        <v>LTR/S</v>
      </c>
      <c r="I25" s="48">
        <v>1896.0</v>
      </c>
      <c r="J25" s="41">
        <f t="shared" si="1"/>
        <v>1896</v>
      </c>
    </row>
    <row r="26" ht="22.5" customHeight="1">
      <c r="A26" s="17">
        <v>46112.0</v>
      </c>
      <c r="B26" s="19"/>
      <c r="C26" s="20" t="s">
        <v>49</v>
      </c>
      <c r="D26" s="42" t="s">
        <v>168</v>
      </c>
      <c r="E26" s="35" t="str">
        <f t="array" ref="E26">IF(D26="", "", XLOOKUP(D26, 'MASTER ITEM LIST'!A:A, 'MASTER ITEM LIST'!B:B, ""))</f>
        <v>NAX PREMILA MT401 MAXIM ORANGE 1L</v>
      </c>
      <c r="F26" s="43" t="s">
        <v>41</v>
      </c>
      <c r="G26" s="19">
        <v>2.0</v>
      </c>
      <c r="H26" s="39" t="str">
        <f t="array" ref="H26">IFERROR(XLOOKUP(D26,'MASTER ITEM LIST'!A:A,'MASTER ITEM LIST'!D:D), "")</f>
        <v>LTR/S</v>
      </c>
      <c r="I26" s="48">
        <v>2426.0</v>
      </c>
      <c r="J26" s="41">
        <f t="shared" si="1"/>
        <v>4852</v>
      </c>
    </row>
    <row r="27" ht="22.5" customHeight="1">
      <c r="A27" s="17">
        <v>46112.0</v>
      </c>
      <c r="B27" s="19"/>
      <c r="C27" s="20" t="s">
        <v>49</v>
      </c>
      <c r="D27" s="42" t="s">
        <v>173</v>
      </c>
      <c r="E27" s="35" t="str">
        <f t="array" ref="E27">IF(D27="", "", XLOOKUP(D27, 'MASTER ITEM LIST'!A:A, 'MASTER ITEM LIST'!B:B, ""))</f>
        <v>NAX PREMILA MT307 EXTRA YELLOW 1L</v>
      </c>
      <c r="F27" s="43" t="s">
        <v>41</v>
      </c>
      <c r="G27" s="19">
        <v>2.0</v>
      </c>
      <c r="H27" s="39" t="str">
        <f t="array" ref="H27">IFERROR(XLOOKUP(D27,'MASTER ITEM LIST'!A:A,'MASTER ITEM LIST'!D:D), "")</f>
        <v>LTR/S</v>
      </c>
      <c r="I27" s="48">
        <v>2958.0</v>
      </c>
      <c r="J27" s="41">
        <f t="shared" si="1"/>
        <v>5916</v>
      </c>
    </row>
    <row r="28" ht="22.5" customHeight="1">
      <c r="A28" s="17">
        <v>46112.0</v>
      </c>
      <c r="B28" s="19"/>
      <c r="C28" s="20" t="s">
        <v>49</v>
      </c>
      <c r="D28" s="42" t="s">
        <v>180</v>
      </c>
      <c r="E28" s="35" t="str">
        <f t="array" ref="E28">IF(D28="", "", XLOOKUP(D28, 'MASTER ITEM LIST'!A:A, 'MASTER ITEM LIST'!B:B, ""))</f>
        <v>NAX PREMILA MT305 NATURAL YELLOW 1L</v>
      </c>
      <c r="F28" s="43" t="s">
        <v>41</v>
      </c>
      <c r="G28" s="19">
        <v>2.0</v>
      </c>
      <c r="H28" s="39" t="str">
        <f t="array" ref="H28">IFERROR(XLOOKUP(D28,'MASTER ITEM LIST'!A:A,'MASTER ITEM LIST'!D:D), "")</f>
        <v>LTR/S</v>
      </c>
      <c r="I28" s="48">
        <v>1744.0</v>
      </c>
      <c r="J28" s="41">
        <f t="shared" si="1"/>
        <v>3488</v>
      </c>
    </row>
    <row r="29" ht="22.5" customHeight="1">
      <c r="A29" s="17">
        <v>46112.0</v>
      </c>
      <c r="B29" s="19"/>
      <c r="C29" s="20" t="s">
        <v>49</v>
      </c>
      <c r="D29" s="42" t="s">
        <v>184</v>
      </c>
      <c r="E29" s="35" t="str">
        <f t="array" ref="E29">IF(D29="", "", XLOOKUP(D29, 'MASTER ITEM LIST'!A:A, 'MASTER ITEM LIST'!B:B, ""))</f>
        <v>NAX PREMILA MT304 GAILY YELLOW 1L</v>
      </c>
      <c r="F29" s="43" t="s">
        <v>41</v>
      </c>
      <c r="G29" s="19">
        <v>2.0</v>
      </c>
      <c r="H29" s="39" t="str">
        <f t="array" ref="H29">IFERROR(XLOOKUP(D29,'MASTER ITEM LIST'!A:A,'MASTER ITEM LIST'!D:D), "")</f>
        <v>LTR/S</v>
      </c>
      <c r="I29" s="48">
        <v>3600.0</v>
      </c>
      <c r="J29" s="41">
        <f t="shared" si="1"/>
        <v>7200</v>
      </c>
    </row>
    <row r="30" ht="22.5" customHeight="1">
      <c r="A30" s="17">
        <v>46112.0</v>
      </c>
      <c r="B30" s="19"/>
      <c r="C30" s="20" t="s">
        <v>49</v>
      </c>
      <c r="D30" s="42" t="s">
        <v>189</v>
      </c>
      <c r="E30" s="35" t="str">
        <f t="array" ref="E30">IF(D30="", "", XLOOKUP(D30, 'MASTER ITEM LIST'!A:A, 'MASTER ITEM LIST'!B:B, ""))</f>
        <v>NAX PREMILA MT303 FINE YELLOW 1L</v>
      </c>
      <c r="F30" s="43" t="s">
        <v>41</v>
      </c>
      <c r="G30" s="19">
        <v>1.0</v>
      </c>
      <c r="H30" s="39" t="str">
        <f t="array" ref="H30">IFERROR(XLOOKUP(D30,'MASTER ITEM LIST'!A:A,'MASTER ITEM LIST'!D:D), "")</f>
        <v>LTR/S</v>
      </c>
      <c r="I30" s="48">
        <v>1896.0</v>
      </c>
      <c r="J30" s="41">
        <f t="shared" si="1"/>
        <v>1896</v>
      </c>
    </row>
    <row r="31" ht="22.5" customHeight="1">
      <c r="A31" s="17">
        <v>46112.0</v>
      </c>
      <c r="B31" s="19"/>
      <c r="C31" s="20" t="s">
        <v>49</v>
      </c>
      <c r="D31" s="42" t="s">
        <v>194</v>
      </c>
      <c r="E31" s="35" t="str">
        <f t="array" ref="E31">IF(D31="", "", XLOOKUP(D31, 'MASTER ITEM LIST'!A:A, 'MASTER ITEM LIST'!B:B, ""))</f>
        <v>NAX PREMILA MT302 JEWEL YELLOW 1L</v>
      </c>
      <c r="F31" s="43" t="s">
        <v>41</v>
      </c>
      <c r="G31" s="19">
        <v>2.0</v>
      </c>
      <c r="H31" s="39" t="str">
        <f t="array" ref="H31">IFERROR(XLOOKUP(D31,'MASTER ITEM LIST'!A:A,'MASTER ITEM LIST'!D:D), "")</f>
        <v>LTR/S</v>
      </c>
      <c r="I31" s="48">
        <v>1896.0</v>
      </c>
      <c r="J31" s="41">
        <f t="shared" si="1"/>
        <v>3792</v>
      </c>
    </row>
    <row r="32" ht="22.5" customHeight="1">
      <c r="A32" s="17">
        <v>46112.0</v>
      </c>
      <c r="B32" s="19"/>
      <c r="C32" s="20" t="s">
        <v>49</v>
      </c>
      <c r="D32" s="42" t="s">
        <v>199</v>
      </c>
      <c r="E32" s="35" t="str">
        <f t="array" ref="E32">IF(D32="", "", XLOOKUP(D32, 'MASTER ITEM LIST'!A:A, 'MASTER ITEM LIST'!B:B, ""))</f>
        <v>NAX PREMILA MT301 MAPICO YELLOW 1L</v>
      </c>
      <c r="F32" s="43" t="s">
        <v>41</v>
      </c>
      <c r="G32" s="19">
        <v>3.0</v>
      </c>
      <c r="H32" s="39" t="str">
        <f t="array" ref="H32">IFERROR(XLOOKUP(D32,'MASTER ITEM LIST'!A:A,'MASTER ITEM LIST'!D:D), "")</f>
        <v>LTR/S</v>
      </c>
      <c r="I32" s="48">
        <v>1896.0</v>
      </c>
      <c r="J32" s="41">
        <f t="shared" si="1"/>
        <v>5688</v>
      </c>
    </row>
    <row r="33" ht="22.5" customHeight="1">
      <c r="A33" s="17">
        <v>46112.0</v>
      </c>
      <c r="B33" s="19"/>
      <c r="C33" s="20" t="s">
        <v>49</v>
      </c>
      <c r="D33" s="42" t="s">
        <v>202</v>
      </c>
      <c r="E33" s="35" t="str">
        <f t="array" ref="E33">IF(D33="", "", XLOOKUP(D33, 'MASTER ITEM LIST'!A:A, 'MASTER ITEM LIST'!B:B, ""))</f>
        <v>NAX PREMILA MT203 DEEP BLACK 1L</v>
      </c>
      <c r="F33" s="43" t="s">
        <v>41</v>
      </c>
      <c r="G33" s="19">
        <v>2.0</v>
      </c>
      <c r="H33" s="39" t="str">
        <f t="array" ref="H33">IFERROR(XLOOKUP(D33,'MASTER ITEM LIST'!A:A,'MASTER ITEM LIST'!D:D), "")</f>
        <v>LTR/S</v>
      </c>
      <c r="I33" s="48">
        <v>1668.0</v>
      </c>
      <c r="J33" s="41">
        <f t="shared" si="1"/>
        <v>3336</v>
      </c>
    </row>
    <row r="34" ht="22.5" customHeight="1">
      <c r="A34" s="17">
        <v>46112.0</v>
      </c>
      <c r="B34" s="19"/>
      <c r="C34" s="20" t="s">
        <v>49</v>
      </c>
      <c r="D34" s="42" t="s">
        <v>207</v>
      </c>
      <c r="E34" s="35" t="str">
        <f t="array" ref="E34">IF(D34="", "", XLOOKUP(D34, 'MASTER ITEM LIST'!A:A, 'MASTER ITEM LIST'!B:B, ""))</f>
        <v>NAX PREMILA MT202 TINTING BLACK NP 1L</v>
      </c>
      <c r="F34" s="43" t="s">
        <v>41</v>
      </c>
      <c r="G34" s="19">
        <v>1.0</v>
      </c>
      <c r="H34" s="39" t="str">
        <f t="array" ref="H34">IFERROR(XLOOKUP(D34,'MASTER ITEM LIST'!A:A,'MASTER ITEM LIST'!D:D), "")</f>
        <v>LTR/S</v>
      </c>
      <c r="I34" s="48">
        <v>1090.0</v>
      </c>
      <c r="J34" s="41">
        <f t="shared" si="1"/>
        <v>1090</v>
      </c>
    </row>
    <row r="35" ht="22.5" customHeight="1">
      <c r="A35" s="17">
        <v>46112.0</v>
      </c>
      <c r="B35" s="19"/>
      <c r="C35" s="20" t="s">
        <v>49</v>
      </c>
      <c r="D35" s="42" t="s">
        <v>210</v>
      </c>
      <c r="E35" s="35" t="str">
        <f t="array" ref="E35">IF(D35="", "", XLOOKUP(D35, 'MASTER ITEM LIST'!A:A, 'MASTER ITEM LIST'!B:B, ""))</f>
        <v>NAX PREMILA MT201 BLUE BLACK 1L</v>
      </c>
      <c r="F35" s="43" t="s">
        <v>41</v>
      </c>
      <c r="G35" s="19">
        <v>4.0</v>
      </c>
      <c r="H35" s="39" t="str">
        <f t="array" ref="H35">IFERROR(XLOOKUP(D35,'MASTER ITEM LIST'!A:A,'MASTER ITEM LIST'!D:D), "")</f>
        <v>LTR/S</v>
      </c>
      <c r="I35" s="48">
        <v>1090.0</v>
      </c>
      <c r="J35" s="41">
        <f t="shared" si="1"/>
        <v>4360</v>
      </c>
    </row>
    <row r="36" ht="22.5" customHeight="1">
      <c r="A36" s="17">
        <v>46112.0</v>
      </c>
      <c r="B36" s="19"/>
      <c r="C36" s="20" t="s">
        <v>49</v>
      </c>
      <c r="D36" s="42" t="s">
        <v>221</v>
      </c>
      <c r="E36" s="35" t="str">
        <f t="array" ref="E36">IF(D36="", "", XLOOKUP(D36, 'MASTER ITEM LIST'!A:A, 'MASTER ITEM LIST'!B:B, ""))</f>
        <v>NAX PREMILA MT175 GRAPHITE 1L</v>
      </c>
      <c r="F36" s="43" t="s">
        <v>41</v>
      </c>
      <c r="G36" s="19">
        <v>2.0</v>
      </c>
      <c r="H36" s="39" t="str">
        <f t="array" ref="H36">IFERROR(XLOOKUP(D36,'MASTER ITEM LIST'!A:A,'MASTER ITEM LIST'!D:D), "")</f>
        <v>LTR/S</v>
      </c>
      <c r="I36" s="48">
        <v>1896.0</v>
      </c>
      <c r="J36" s="41">
        <f t="shared" si="1"/>
        <v>3792</v>
      </c>
    </row>
    <row r="37" ht="22.5" customHeight="1">
      <c r="A37" s="17">
        <v>46112.0</v>
      </c>
      <c r="B37" s="19"/>
      <c r="C37" s="20" t="s">
        <v>49</v>
      </c>
      <c r="D37" s="42" t="s">
        <v>226</v>
      </c>
      <c r="E37" s="35" t="str">
        <f t="array" ref="E37">IF(D37="", "", XLOOKUP(D37, 'MASTER ITEM LIST'!A:A, 'MASTER ITEM LIST'!B:B, ""))</f>
        <v>NAX PREMILA MT172 OPAL COLOR 1L</v>
      </c>
      <c r="F37" s="43" t="s">
        <v>41</v>
      </c>
      <c r="G37" s="19">
        <v>3.0</v>
      </c>
      <c r="H37" s="39" t="str">
        <f t="array" ref="H37">IFERROR(XLOOKUP(D37,'MASTER ITEM LIST'!A:A,'MASTER ITEM LIST'!D:D), "")</f>
        <v>LTR/S</v>
      </c>
      <c r="I37" s="48">
        <v>2996.0</v>
      </c>
      <c r="J37" s="41">
        <f t="shared" si="1"/>
        <v>8988</v>
      </c>
    </row>
    <row r="38" ht="22.5" customHeight="1">
      <c r="A38" s="17">
        <v>46112.0</v>
      </c>
      <c r="B38" s="19"/>
      <c r="C38" s="20" t="s">
        <v>49</v>
      </c>
      <c r="D38" s="42" t="s">
        <v>232</v>
      </c>
      <c r="E38" s="35" t="str">
        <f t="array" ref="E38">IF(D38="", "", XLOOKUP(D38, 'MASTER ITEM LIST'!A:A, 'MASTER ITEM LIST'!B:B, ""))</f>
        <v>NAX PREMILA MT170 OPAL COLOR LS 1L</v>
      </c>
      <c r="F38" s="43" t="s">
        <v>41</v>
      </c>
      <c r="G38" s="19">
        <v>2.0</v>
      </c>
      <c r="H38" s="39" t="str">
        <f t="array" ref="H38">IFERROR(XLOOKUP(D38,'MASTER ITEM LIST'!A:A,'MASTER ITEM LIST'!D:D), "")</f>
        <v>LTR/S</v>
      </c>
      <c r="I38" s="48">
        <v>1376.0</v>
      </c>
      <c r="J38" s="41">
        <f t="shared" si="1"/>
        <v>2752</v>
      </c>
    </row>
    <row r="39" ht="22.5" customHeight="1">
      <c r="A39" s="17">
        <v>46112.0</v>
      </c>
      <c r="B39" s="19"/>
      <c r="C39" s="20" t="s">
        <v>49</v>
      </c>
      <c r="D39" s="42" t="s">
        <v>238</v>
      </c>
      <c r="E39" s="35" t="str">
        <f t="array" ref="E39">IF(D39="", "", XLOOKUP(D39, 'MASTER ITEM LIST'!A:A, 'MASTER ITEM LIST'!B:B, ""))</f>
        <v>NAX PREMILA MT136 METALLIC ORANGE 1L</v>
      </c>
      <c r="F39" s="43" t="s">
        <v>41</v>
      </c>
      <c r="G39" s="19">
        <v>2.0</v>
      </c>
      <c r="H39" s="39" t="str">
        <f t="array" ref="H39">IFERROR(XLOOKUP(D39,'MASTER ITEM LIST'!A:A,'MASTER ITEM LIST'!D:D), "")</f>
        <v>LTR/S</v>
      </c>
      <c r="I39" s="48">
        <v>5050.0</v>
      </c>
      <c r="J39" s="41">
        <f t="shared" si="1"/>
        <v>10100</v>
      </c>
    </row>
    <row r="40" ht="22.5" customHeight="1">
      <c r="A40" s="17">
        <v>46112.0</v>
      </c>
      <c r="B40" s="19"/>
      <c r="C40" s="20" t="s">
        <v>49</v>
      </c>
      <c r="D40" s="42" t="s">
        <v>240</v>
      </c>
      <c r="E40" s="35" t="str">
        <f t="array" ref="E40">IF(D40="", "", XLOOKUP(D40, 'MASTER ITEM LIST'!A:A, 'MASTER ITEM LIST'!B:B, ""))</f>
        <v>NAX PREMILA MT134 METALLIC GOLD 1L</v>
      </c>
      <c r="F40" s="43" t="s">
        <v>41</v>
      </c>
      <c r="G40" s="19">
        <v>2.0</v>
      </c>
      <c r="H40" s="39" t="str">
        <f t="array" ref="H40">IFERROR(XLOOKUP(D40,'MASTER ITEM LIST'!A:A,'MASTER ITEM LIST'!D:D), "")</f>
        <v>LTR/S</v>
      </c>
      <c r="I40" s="48">
        <v>3600.0</v>
      </c>
      <c r="J40" s="41">
        <f t="shared" si="1"/>
        <v>7200</v>
      </c>
    </row>
    <row r="41" ht="22.5" customHeight="1">
      <c r="A41" s="17">
        <v>46112.0</v>
      </c>
      <c r="B41" s="19"/>
      <c r="C41" s="20" t="s">
        <v>49</v>
      </c>
      <c r="D41" s="42" t="s">
        <v>245</v>
      </c>
      <c r="E41" s="35" t="str">
        <f t="array" ref="E41">IF(D41="", "", XLOOKUP(D41, 'MASTER ITEM LIST'!A:A, 'MASTER ITEM LIST'!B:B, ""))</f>
        <v>NAX PREMILA MT103 WHITE LS 1L</v>
      </c>
      <c r="F41" s="43" t="s">
        <v>41</v>
      </c>
      <c r="G41" s="19">
        <v>2.0</v>
      </c>
      <c r="H41" s="39" t="str">
        <f t="array" ref="H41">IFERROR(XLOOKUP(D41,'MASTER ITEM LIST'!A:A,'MASTER ITEM LIST'!D:D), "")</f>
        <v>LTR/S</v>
      </c>
      <c r="I41" s="48">
        <v>1090.0</v>
      </c>
      <c r="J41" s="41">
        <f t="shared" si="1"/>
        <v>2180</v>
      </c>
    </row>
    <row r="42" ht="22.5" customHeight="1">
      <c r="A42" s="17">
        <v>46112.0</v>
      </c>
      <c r="B42" s="19"/>
      <c r="C42" s="20" t="s">
        <v>49</v>
      </c>
      <c r="D42" s="42" t="s">
        <v>249</v>
      </c>
      <c r="E42" s="35" t="str">
        <f t="array" ref="E42">IF(D42="", "", XLOOKUP(D42, 'MASTER ITEM LIST'!A:A, 'MASTER ITEM LIST'!B:B, ""))</f>
        <v>NAX PREMILA MT100 WHITE HS 4L</v>
      </c>
      <c r="F42" s="43" t="s">
        <v>41</v>
      </c>
      <c r="G42" s="19">
        <v>3.0</v>
      </c>
      <c r="H42" s="39" t="str">
        <f t="array" ref="H42">IFERROR(XLOOKUP(D42,'MASTER ITEM LIST'!A:A,'MASTER ITEM LIST'!D:D), "")</f>
        <v>GAL/S</v>
      </c>
      <c r="I42" s="48">
        <v>4160.0</v>
      </c>
      <c r="J42" s="41">
        <f t="shared" si="1"/>
        <v>12480</v>
      </c>
    </row>
    <row r="43" ht="22.5" customHeight="1">
      <c r="A43" s="17">
        <v>46112.0</v>
      </c>
      <c r="B43" s="19"/>
      <c r="C43" s="20" t="s">
        <v>49</v>
      </c>
      <c r="D43" s="42" t="s">
        <v>256</v>
      </c>
      <c r="E43" s="35" t="str">
        <f t="array" ref="E43">IF(D43="", "", XLOOKUP(D43, 'MASTER ITEM LIST'!A:A, 'MASTER ITEM LIST'!B:B, ""))</f>
        <v>NAX PREMILA MT100 WHITE HS 1L</v>
      </c>
      <c r="F43" s="43" t="s">
        <v>41</v>
      </c>
      <c r="G43" s="19">
        <v>6.0</v>
      </c>
      <c r="H43" s="39" t="str">
        <f t="array" ref="H43">IFERROR(XLOOKUP(D43,'MASTER ITEM LIST'!A:A,'MASTER ITEM LIST'!D:D), "")</f>
        <v>LTR/S</v>
      </c>
      <c r="I43" s="48">
        <v>1090.0</v>
      </c>
      <c r="J43" s="41">
        <f t="shared" si="1"/>
        <v>6540</v>
      </c>
    </row>
    <row r="44" ht="22.5" customHeight="1">
      <c r="A44" s="17">
        <v>46112.0</v>
      </c>
      <c r="B44" s="19"/>
      <c r="C44" s="20" t="s">
        <v>49</v>
      </c>
      <c r="D44" s="42" t="s">
        <v>266</v>
      </c>
      <c r="E44" s="35" t="str">
        <f t="array" ref="E44">IF(D44="", "", XLOOKUP(D44, 'MASTER ITEM LIST'!A:A, 'MASTER ITEM LIST'!B:B, ""))</f>
        <v>NAX PREMILA MT096 MICA BASE 3M CRYSTAL SILVER 1L</v>
      </c>
      <c r="F44" s="43" t="s">
        <v>41</v>
      </c>
      <c r="G44" s="19">
        <v>2.0</v>
      </c>
      <c r="H44" s="39" t="str">
        <f t="array" ref="H44">IFERROR(XLOOKUP(D44,'MASTER ITEM LIST'!A:A,'MASTER ITEM LIST'!D:D), "")</f>
        <v>LTR/S</v>
      </c>
      <c r="I44" s="48">
        <v>6000.0</v>
      </c>
      <c r="J44" s="41">
        <f t="shared" si="1"/>
        <v>12000</v>
      </c>
    </row>
    <row r="45" ht="22.5" customHeight="1">
      <c r="A45" s="17">
        <v>46112.0</v>
      </c>
      <c r="B45" s="19"/>
      <c r="C45" s="20" t="s">
        <v>49</v>
      </c>
      <c r="D45" s="42" t="s">
        <v>275</v>
      </c>
      <c r="E45" s="35" t="str">
        <f t="array" ref="E45">IF(D45="", "", XLOOKUP(D45, 'MASTER ITEM LIST'!A:A, 'MASTER ITEM LIST'!B:B, ""))</f>
        <v>NAX PREMILA MT093 MICA BASE 5G BLUE GREEN 1L</v>
      </c>
      <c r="F45" s="43" t="s">
        <v>41</v>
      </c>
      <c r="G45" s="19">
        <v>2.0</v>
      </c>
      <c r="H45" s="39" t="str">
        <f t="array" ref="H45">IFERROR(XLOOKUP(D45,'MASTER ITEM LIST'!A:A,'MASTER ITEM LIST'!D:D), "")</f>
        <v>LTR/S</v>
      </c>
      <c r="I45" s="48">
        <v>3000.0</v>
      </c>
      <c r="J45" s="41">
        <f t="shared" si="1"/>
        <v>6000</v>
      </c>
    </row>
    <row r="46" ht="22.5" customHeight="1">
      <c r="A46" s="17">
        <v>46112.0</v>
      </c>
      <c r="B46" s="19"/>
      <c r="C46" s="20" t="s">
        <v>49</v>
      </c>
      <c r="D46" s="42" t="s">
        <v>287</v>
      </c>
      <c r="E46" s="35" t="str">
        <f t="array" ref="E46">IF(D46="", "", XLOOKUP(D46, 'MASTER ITEM LIST'!A:A, 'MASTER ITEM LIST'!B:B, ""))</f>
        <v>NAX PREMILA MT086 MICA BASE 6B MEDIUM BLUE 1L</v>
      </c>
      <c r="F46" s="43" t="s">
        <v>41</v>
      </c>
      <c r="G46" s="19">
        <v>2.0</v>
      </c>
      <c r="H46" s="39" t="str">
        <f t="array" ref="H46">IFERROR(XLOOKUP(D46,'MASTER ITEM LIST'!A:A,'MASTER ITEM LIST'!D:D), "")</f>
        <v>LTR/S</v>
      </c>
      <c r="I46" s="48">
        <v>3000.0</v>
      </c>
      <c r="J46" s="41">
        <f t="shared" si="1"/>
        <v>6000</v>
      </c>
    </row>
    <row r="47" ht="22.5" customHeight="1">
      <c r="A47" s="17">
        <v>46112.0</v>
      </c>
      <c r="B47" s="19"/>
      <c r="C47" s="20" t="s">
        <v>49</v>
      </c>
      <c r="D47" s="42" t="s">
        <v>295</v>
      </c>
      <c r="E47" s="35" t="str">
        <f t="array" ref="E47">IF(D47="", "", XLOOKUP(D47, 'MASTER ITEM LIST'!A:A, 'MASTER ITEM LIST'!B:B, ""))</f>
        <v>NAX PREMILA MT085 MICA BASE 4G GREEN 1L</v>
      </c>
      <c r="F47" s="43" t="s">
        <v>41</v>
      </c>
      <c r="G47" s="19">
        <v>3.0</v>
      </c>
      <c r="H47" s="39" t="str">
        <f t="array" ref="H47">IFERROR(XLOOKUP(D47,'MASTER ITEM LIST'!A:A,'MASTER ITEM LIST'!D:D), "")</f>
        <v>LTR/S</v>
      </c>
      <c r="I47" s="48">
        <v>3000.0</v>
      </c>
      <c r="J47" s="41">
        <f t="shared" si="1"/>
        <v>9000</v>
      </c>
    </row>
    <row r="48" ht="22.5" customHeight="1">
      <c r="A48" s="17">
        <v>46112.0</v>
      </c>
      <c r="B48" s="19"/>
      <c r="C48" s="20" t="s">
        <v>49</v>
      </c>
      <c r="D48" s="42" t="s">
        <v>301</v>
      </c>
      <c r="E48" s="35" t="str">
        <f t="array" ref="E48">IF(D48="", "", XLOOKUP(D48, 'MASTER ITEM LIST'!A:A, 'MASTER ITEM LIST'!B:B, ""))</f>
        <v>NAX PREMILA MT083 MICA BASE 4R RED 1L</v>
      </c>
      <c r="F48" s="43" t="s">
        <v>41</v>
      </c>
      <c r="G48" s="19">
        <v>3.0</v>
      </c>
      <c r="H48" s="39" t="str">
        <f t="array" ref="H48">IFERROR(XLOOKUP(D48,'MASTER ITEM LIST'!A:A,'MASTER ITEM LIST'!D:D), "")</f>
        <v>LTR/S</v>
      </c>
      <c r="I48" s="48">
        <v>3000.0</v>
      </c>
      <c r="J48" s="41">
        <f t="shared" si="1"/>
        <v>9000</v>
      </c>
    </row>
    <row r="49" ht="22.5" customHeight="1">
      <c r="A49" s="17">
        <v>46112.0</v>
      </c>
      <c r="B49" s="19"/>
      <c r="C49" s="20" t="s">
        <v>49</v>
      </c>
      <c r="D49" s="42" t="s">
        <v>305</v>
      </c>
      <c r="E49" s="35" t="str">
        <f t="array" ref="E49">IF(D49="", "", XLOOKUP(D49, 'MASTER ITEM LIST'!A:A, 'MASTER ITEM LIST'!B:B, ""))</f>
        <v>NAX PREMILA MT081 MICA BASE 3PK RUTILE RED 1L</v>
      </c>
      <c r="F49" s="43" t="s">
        <v>41</v>
      </c>
      <c r="G49" s="19">
        <v>3.0</v>
      </c>
      <c r="H49" s="39" t="str">
        <f t="array" ref="H49">IFERROR(XLOOKUP(D49,'MASTER ITEM LIST'!A:A,'MASTER ITEM LIST'!D:D), "")</f>
        <v>LTR/S</v>
      </c>
      <c r="I49" s="48">
        <v>3000.0</v>
      </c>
      <c r="J49" s="41">
        <f t="shared" si="1"/>
        <v>9000</v>
      </c>
    </row>
    <row r="50" ht="22.5" customHeight="1">
      <c r="A50" s="17">
        <v>46112.0</v>
      </c>
      <c r="B50" s="19"/>
      <c r="C50" s="20" t="s">
        <v>49</v>
      </c>
      <c r="D50" s="42" t="s">
        <v>310</v>
      </c>
      <c r="E50" s="35" t="str">
        <f t="array" ref="E50">IF(D50="", "", XLOOKUP(D50, 'MASTER ITEM LIST'!A:A, 'MASTER ITEM LIST'!B:B, ""))</f>
        <v>NAX PREMILA MT080 MICA BASE 3G FINE GREEN 1L</v>
      </c>
      <c r="F50" s="43" t="s">
        <v>41</v>
      </c>
      <c r="G50" s="19">
        <v>4.0</v>
      </c>
      <c r="H50" s="39" t="str">
        <f t="array" ref="H50">IFERROR(XLOOKUP(D50,'MASTER ITEM LIST'!A:A,'MASTER ITEM LIST'!D:D), "")</f>
        <v>LTR/S</v>
      </c>
      <c r="I50" s="48">
        <v>3000.0</v>
      </c>
      <c r="J50" s="41">
        <f t="shared" si="1"/>
        <v>12000</v>
      </c>
    </row>
    <row r="51" ht="22.5" customHeight="1">
      <c r="A51" s="17">
        <v>46112.0</v>
      </c>
      <c r="B51" s="19"/>
      <c r="C51" s="20" t="s">
        <v>49</v>
      </c>
      <c r="D51" s="42" t="s">
        <v>318</v>
      </c>
      <c r="E51" s="35" t="str">
        <f t="array" ref="E51">IF(D51="", "", XLOOKUP(D51, 'MASTER ITEM LIST'!A:A, 'MASTER ITEM LIST'!B:B, ""))</f>
        <v>NAX PREMILA MT079 MICA BASE 2V VIOLET 1L</v>
      </c>
      <c r="F51" s="43" t="s">
        <v>41</v>
      </c>
      <c r="G51" s="19">
        <v>3.0</v>
      </c>
      <c r="H51" s="39" t="str">
        <f t="array" ref="H51">IFERROR(XLOOKUP(D51,'MASTER ITEM LIST'!A:A,'MASTER ITEM LIST'!D:D), "")</f>
        <v>LTR/S</v>
      </c>
      <c r="I51" s="48">
        <v>3000.0</v>
      </c>
      <c r="J51" s="41">
        <f t="shared" si="1"/>
        <v>9000</v>
      </c>
    </row>
    <row r="52" ht="22.5" customHeight="1">
      <c r="A52" s="17">
        <v>46112.0</v>
      </c>
      <c r="B52" s="19"/>
      <c r="C52" s="20" t="s">
        <v>49</v>
      </c>
      <c r="D52" s="42" t="s">
        <v>324</v>
      </c>
      <c r="E52" s="35" t="str">
        <f t="array" ref="E52">IF(D52="", "", XLOOKUP(D52, 'MASTER ITEM LIST'!A:A, 'MASTER ITEM LIST'!B:B, ""))</f>
        <v>NAX PREMILA MT078 MICA BASE 5W BRIGHT WHITE 1L</v>
      </c>
      <c r="F52" s="43" t="s">
        <v>41</v>
      </c>
      <c r="G52" s="19">
        <v>2.0</v>
      </c>
      <c r="H52" s="39" t="str">
        <f t="array" ref="H52">IFERROR(XLOOKUP(D52,'MASTER ITEM LIST'!A:A,'MASTER ITEM LIST'!D:D), "")</f>
        <v>LTR/S</v>
      </c>
      <c r="I52" s="48">
        <v>3000.0</v>
      </c>
      <c r="J52" s="41">
        <f t="shared" si="1"/>
        <v>6000</v>
      </c>
    </row>
    <row r="53" ht="22.5" customHeight="1">
      <c r="A53" s="17">
        <v>46112.0</v>
      </c>
      <c r="B53" s="19"/>
      <c r="C53" s="20" t="s">
        <v>49</v>
      </c>
      <c r="D53" s="42" t="s">
        <v>329</v>
      </c>
      <c r="E53" s="35" t="str">
        <f t="array" ref="E53">IF(D53="", "", XLOOKUP(D53, 'MASTER ITEM LIST'!A:A, 'MASTER ITEM LIST'!B:B, ""))</f>
        <v>NAX PREMILA MT076 MICA BASE 4Y PLATINUM GOLD 1L</v>
      </c>
      <c r="F53" s="43" t="s">
        <v>41</v>
      </c>
      <c r="G53" s="19">
        <v>2.0</v>
      </c>
      <c r="H53" s="39" t="str">
        <f t="array" ref="H53">IFERROR(XLOOKUP(D53,'MASTER ITEM LIST'!A:A,'MASTER ITEM LIST'!D:D), "")</f>
        <v>LTR/S</v>
      </c>
      <c r="I53" s="48">
        <v>3000.0</v>
      </c>
      <c r="J53" s="41">
        <f t="shared" si="1"/>
        <v>6000</v>
      </c>
    </row>
    <row r="54" ht="22.5" customHeight="1">
      <c r="A54" s="17">
        <v>46112.0</v>
      </c>
      <c r="B54" s="19"/>
      <c r="C54" s="20" t="s">
        <v>49</v>
      </c>
      <c r="D54" s="42" t="s">
        <v>338</v>
      </c>
      <c r="E54" s="35" t="str">
        <f t="array" ref="E54">IF(D54="", "", XLOOKUP(D54, 'MASTER ITEM LIST'!A:A, 'MASTER ITEM LIST'!B:B, ""))</f>
        <v>NAX PREMILA MT075 MICA BASE 3Y FINE GOLD 1L</v>
      </c>
      <c r="F54" s="43" t="s">
        <v>41</v>
      </c>
      <c r="G54" s="19">
        <v>3.0</v>
      </c>
      <c r="H54" s="39" t="str">
        <f t="array" ref="H54">IFERROR(XLOOKUP(D54,'MASTER ITEM LIST'!A:A,'MASTER ITEM LIST'!D:D), "")</f>
        <v>LTR/S</v>
      </c>
      <c r="I54" s="48">
        <v>3000.0</v>
      </c>
      <c r="J54" s="41">
        <f t="shared" si="1"/>
        <v>9000</v>
      </c>
    </row>
    <row r="55" ht="22.5" customHeight="1">
      <c r="A55" s="17">
        <v>46112.0</v>
      </c>
      <c r="B55" s="19"/>
      <c r="C55" s="20" t="s">
        <v>49</v>
      </c>
      <c r="D55" s="42" t="s">
        <v>344</v>
      </c>
      <c r="E55" s="35" t="str">
        <f t="array" ref="E55">IF(D55="", "", XLOOKUP(D55, 'MASTER ITEM LIST'!A:A, 'MASTER ITEM LIST'!B:B, ""))</f>
        <v>NAX PREMILA MT072 MICA BASE 2W LUSTRE SATIN 1L</v>
      </c>
      <c r="F55" s="43" t="s">
        <v>41</v>
      </c>
      <c r="G55" s="19">
        <v>3.0</v>
      </c>
      <c r="H55" s="39" t="str">
        <f t="array" ref="H55">IFERROR(XLOOKUP(D55,'MASTER ITEM LIST'!A:A,'MASTER ITEM LIST'!D:D), "")</f>
        <v>LTR/S</v>
      </c>
      <c r="I55" s="48">
        <v>3000.0</v>
      </c>
      <c r="J55" s="41">
        <f t="shared" si="1"/>
        <v>9000</v>
      </c>
    </row>
    <row r="56" ht="22.5" customHeight="1">
      <c r="A56" s="17">
        <v>46112.0</v>
      </c>
      <c r="B56" s="19"/>
      <c r="C56" s="20" t="s">
        <v>49</v>
      </c>
      <c r="D56" s="42" t="s">
        <v>352</v>
      </c>
      <c r="E56" s="35" t="str">
        <f t="array" ref="E56">IF(D56="", "", XLOOKUP(D56, 'MASTER ITEM LIST'!A:A, 'MASTER ITEM LIST'!B:B, ""))</f>
        <v>NAX PREMILA MT071 MICA BASE 5B BLUE 1L</v>
      </c>
      <c r="F56" s="43" t="s">
        <v>41</v>
      </c>
      <c r="G56" s="19">
        <v>2.0</v>
      </c>
      <c r="H56" s="39" t="str">
        <f t="array" ref="H56">IFERROR(XLOOKUP(D56,'MASTER ITEM LIST'!A:A,'MASTER ITEM LIST'!D:D), "")</f>
        <v>LTR/S</v>
      </c>
      <c r="I56" s="48">
        <v>3000.0</v>
      </c>
      <c r="J56" s="41">
        <f t="shared" si="1"/>
        <v>6000</v>
      </c>
    </row>
    <row r="57" ht="22.5" customHeight="1">
      <c r="A57" s="17">
        <v>46112.0</v>
      </c>
      <c r="B57" s="19"/>
      <c r="C57" s="20" t="s">
        <v>49</v>
      </c>
      <c r="D57" s="42" t="s">
        <v>357</v>
      </c>
      <c r="E57" s="35" t="str">
        <f t="array" ref="E57">IF(D57="", "", XLOOKUP(D57, 'MASTER ITEM LIST'!A:A, 'MASTER ITEM LIST'!B:B, ""))</f>
        <v>NAX PREMILA MT 06M NEO MICA BASE 3AG GREEN 1L</v>
      </c>
      <c r="F57" s="43" t="s">
        <v>41</v>
      </c>
      <c r="G57" s="19">
        <v>3.0</v>
      </c>
      <c r="H57" s="39" t="str">
        <f t="array" ref="H57">IFERROR(XLOOKUP(D57,'MASTER ITEM LIST'!A:A,'MASTER ITEM LIST'!D:D), "")</f>
        <v>LTR/S</v>
      </c>
      <c r="I57" s="48">
        <v>3650.0</v>
      </c>
      <c r="J57" s="41">
        <f t="shared" si="1"/>
        <v>10950</v>
      </c>
    </row>
    <row r="58" ht="22.5" customHeight="1">
      <c r="A58" s="17">
        <v>46112.0</v>
      </c>
      <c r="B58" s="19"/>
      <c r="C58" s="20" t="s">
        <v>49</v>
      </c>
      <c r="D58" s="42" t="s">
        <v>361</v>
      </c>
      <c r="E58" s="35" t="str">
        <f t="array" ref="E58">IF(D58="", "", XLOOKUP(D58, 'MASTER ITEM LIST'!A:A, 'MASTER ITEM LIST'!B:B, ""))</f>
        <v>NAX PREMILA MT06H NEO MICA BASE 3AB BLUE 1L</v>
      </c>
      <c r="F58" s="43" t="s">
        <v>41</v>
      </c>
      <c r="G58" s="19">
        <v>2.0</v>
      </c>
      <c r="H58" s="39" t="str">
        <f t="array" ref="H58">IFERROR(XLOOKUP(D58,'MASTER ITEM LIST'!A:A,'MASTER ITEM LIST'!D:D), "")</f>
        <v>LTR/S</v>
      </c>
      <c r="I58" s="48">
        <v>3650.0</v>
      </c>
      <c r="J58" s="41">
        <f t="shared" si="1"/>
        <v>7300</v>
      </c>
    </row>
    <row r="59" ht="22.5" customHeight="1">
      <c r="A59" s="17">
        <v>46112.0</v>
      </c>
      <c r="B59" s="19"/>
      <c r="C59" s="20" t="s">
        <v>49</v>
      </c>
      <c r="D59" s="42" t="s">
        <v>366</v>
      </c>
      <c r="E59" s="35" t="str">
        <f t="array" ref="E59">IF(D59="", "", XLOOKUP(D59, 'MASTER ITEM LIST'!A:A, 'MASTER ITEM LIST'!B:B, ""))</f>
        <v>NAX PREMILA MT06A NEO MICA BASE 3YG YELLOW 1L</v>
      </c>
      <c r="F59" s="43" t="s">
        <v>41</v>
      </c>
      <c r="G59" s="19">
        <v>2.0</v>
      </c>
      <c r="H59" s="39" t="str">
        <f t="array" ref="H59">IFERROR(XLOOKUP(D59,'MASTER ITEM LIST'!A:A,'MASTER ITEM LIST'!D:D), "")</f>
        <v>LTR/S</v>
      </c>
      <c r="I59" s="48">
        <v>3650.0</v>
      </c>
      <c r="J59" s="41">
        <f t="shared" si="1"/>
        <v>7300</v>
      </c>
    </row>
    <row r="60" ht="22.5" customHeight="1">
      <c r="A60" s="17">
        <v>46112.0</v>
      </c>
      <c r="B60" s="19"/>
      <c r="C60" s="20" t="s">
        <v>49</v>
      </c>
      <c r="D60" s="42" t="s">
        <v>373</v>
      </c>
      <c r="E60" s="35" t="str">
        <f t="array" ref="E60">IF(D60="", "", XLOOKUP(D60, 'MASTER ITEM LIST'!A:A, 'MASTER ITEM LIST'!B:B, ""))</f>
        <v>NAX PREMILA MT068 MICA BASE 3U RADIANT RED 1L</v>
      </c>
      <c r="F60" s="43" t="s">
        <v>41</v>
      </c>
      <c r="G60" s="19">
        <v>2.0</v>
      </c>
      <c r="H60" s="39" t="str">
        <f t="array" ref="H60">IFERROR(XLOOKUP(D60,'MASTER ITEM LIST'!A:A,'MASTER ITEM LIST'!D:D), "")</f>
        <v>LTR/S</v>
      </c>
      <c r="I60" s="48">
        <v>6000.0</v>
      </c>
      <c r="J60" s="41">
        <f t="shared" si="1"/>
        <v>12000</v>
      </c>
    </row>
    <row r="61" ht="22.5" customHeight="1">
      <c r="A61" s="17">
        <v>46112.0</v>
      </c>
      <c r="B61" s="19"/>
      <c r="C61" s="20" t="s">
        <v>49</v>
      </c>
      <c r="D61" s="42" t="s">
        <v>377</v>
      </c>
      <c r="E61" s="35" t="str">
        <f t="array" ref="E61">IF(D61="", "", XLOOKUP(D61, 'MASTER ITEM LIST'!A:A, 'MASTER ITEM LIST'!B:B, ""))</f>
        <v>NAX PREMILA MT067 MICA BASE 2K RED BROWN 1L</v>
      </c>
      <c r="F61" s="43" t="s">
        <v>41</v>
      </c>
      <c r="G61" s="19">
        <v>4.0</v>
      </c>
      <c r="H61" s="39" t="str">
        <f t="array" ref="H61">IFERROR(XLOOKUP(D61,'MASTER ITEM LIST'!A:A,'MASTER ITEM LIST'!D:D), "")</f>
        <v>LTR/S</v>
      </c>
      <c r="I61" s="48">
        <v>3000.0</v>
      </c>
      <c r="J61" s="41">
        <f t="shared" si="1"/>
        <v>12000</v>
      </c>
    </row>
    <row r="62" ht="22.5" customHeight="1">
      <c r="A62" s="17">
        <v>46112.0</v>
      </c>
      <c r="B62" s="19"/>
      <c r="C62" s="20" t="s">
        <v>49</v>
      </c>
      <c r="D62" s="42" t="s">
        <v>382</v>
      </c>
      <c r="E62" s="35" t="str">
        <f t="array" ref="E62">IF(D62="", "", XLOOKUP(D62, 'MASTER ITEM LIST'!A:A, 'MASTER ITEM LIST'!B:B, ""))</f>
        <v>NAX PREMILA MT066 MICA BASE 2R FINE RUSSET 1L</v>
      </c>
      <c r="F62" s="43" t="s">
        <v>41</v>
      </c>
      <c r="G62" s="19">
        <v>4.0</v>
      </c>
      <c r="H62" s="39" t="str">
        <f t="array" ref="H62">IFERROR(XLOOKUP(D62,'MASTER ITEM LIST'!A:A,'MASTER ITEM LIST'!D:D), "")</f>
        <v>LTR/S</v>
      </c>
      <c r="I62" s="48">
        <v>3000.0</v>
      </c>
      <c r="J62" s="41">
        <f t="shared" si="1"/>
        <v>12000</v>
      </c>
    </row>
    <row r="63" ht="22.5" customHeight="1">
      <c r="A63" s="17">
        <v>46112.0</v>
      </c>
      <c r="B63" s="19"/>
      <c r="C63" s="20" t="s">
        <v>49</v>
      </c>
      <c r="D63" s="42" t="s">
        <v>387</v>
      </c>
      <c r="E63" s="35" t="str">
        <f t="array" ref="E63">IF(D63="", "", XLOOKUP(D63, 'MASTER ITEM LIST'!A:A, 'MASTER ITEM LIST'!B:B, ""))</f>
        <v>NAX PREMILA MT065 MICA BASE 3B FINE BLUE 1L</v>
      </c>
      <c r="F63" s="43" t="s">
        <v>41</v>
      </c>
      <c r="G63" s="19">
        <v>3.0</v>
      </c>
      <c r="H63" s="39" t="str">
        <f t="array" ref="H63">IFERROR(XLOOKUP(D63,'MASTER ITEM LIST'!A:A,'MASTER ITEM LIST'!D:D), "")</f>
        <v>LTR/S</v>
      </c>
      <c r="I63" s="48">
        <v>3000.0</v>
      </c>
      <c r="J63" s="41">
        <f t="shared" si="1"/>
        <v>9000</v>
      </c>
    </row>
    <row r="64" ht="22.5" customHeight="1">
      <c r="A64" s="17">
        <v>46112.0</v>
      </c>
      <c r="B64" s="19"/>
      <c r="C64" s="20" t="s">
        <v>49</v>
      </c>
      <c r="D64" s="42" t="s">
        <v>398</v>
      </c>
      <c r="E64" s="35" t="str">
        <f t="array" ref="E64">IF(D64="", "", XLOOKUP(D64, 'MASTER ITEM LIST'!A:A, 'MASTER ITEM LIST'!B:B, ""))</f>
        <v>NAX PREMILA MT061 MICA BASE 6W FINE SATIN 1L</v>
      </c>
      <c r="F64" s="43" t="s">
        <v>41</v>
      </c>
      <c r="G64" s="19">
        <v>3.0</v>
      </c>
      <c r="H64" s="39" t="str">
        <f t="array" ref="H64">IFERROR(XLOOKUP(D64,'MASTER ITEM LIST'!A:A,'MASTER ITEM LIST'!D:D), "")</f>
        <v>LTR/S</v>
      </c>
      <c r="I64" s="48">
        <v>3000.0</v>
      </c>
      <c r="J64" s="41">
        <f t="shared" si="1"/>
        <v>9000</v>
      </c>
    </row>
    <row r="65" ht="22.5" customHeight="1">
      <c r="A65" s="17">
        <v>46112.0</v>
      </c>
      <c r="B65" s="19"/>
      <c r="C65" s="20" t="s">
        <v>49</v>
      </c>
      <c r="D65" s="42" t="s">
        <v>404</v>
      </c>
      <c r="E65" s="35" t="str">
        <f t="array" ref="E65">IF(D65="", "", XLOOKUP(D65, 'MASTER ITEM LIST'!A:A, 'MASTER ITEM LIST'!B:B, ""))</f>
        <v>NAX PREMILA MT051 MICA BASE 2BZ BRONZE 1L</v>
      </c>
      <c r="F65" s="43" t="s">
        <v>41</v>
      </c>
      <c r="G65" s="19">
        <v>2.0</v>
      </c>
      <c r="H65" s="39" t="str">
        <f t="array" ref="H65">IFERROR(XLOOKUP(D65,'MASTER ITEM LIST'!A:A,'MASTER ITEM LIST'!D:D), "")</f>
        <v>LTR/S</v>
      </c>
      <c r="I65" s="48">
        <v>3000.0</v>
      </c>
      <c r="J65" s="41">
        <f t="shared" si="1"/>
        <v>6000</v>
      </c>
    </row>
    <row r="66" ht="22.5" customHeight="1">
      <c r="A66" s="17">
        <v>46112.0</v>
      </c>
      <c r="B66" s="19"/>
      <c r="C66" s="20" t="s">
        <v>49</v>
      </c>
      <c r="D66" s="42" t="s">
        <v>412</v>
      </c>
      <c r="E66" s="35" t="str">
        <f t="array" ref="E66">IF(D66="", "", XLOOKUP(D66, 'MASTER ITEM LIST'!A:A, 'MASTER ITEM LIST'!B:B, ""))</f>
        <v>NAX PREMILA MT050 MICA BASE 2ST SCRAB RED 1L</v>
      </c>
      <c r="F66" s="43" t="s">
        <v>41</v>
      </c>
      <c r="G66" s="19">
        <v>1.0</v>
      </c>
      <c r="H66" s="39" t="str">
        <f t="array" ref="H66">IFERROR(XLOOKUP(D66,'MASTER ITEM LIST'!A:A,'MASTER ITEM LIST'!D:D), "")</f>
        <v>LTR/S</v>
      </c>
      <c r="I66" s="48">
        <v>3000.0</v>
      </c>
      <c r="J66" s="41">
        <f t="shared" si="1"/>
        <v>3000</v>
      </c>
    </row>
    <row r="67" ht="22.5" customHeight="1">
      <c r="A67" s="17">
        <v>46112.0</v>
      </c>
      <c r="B67" s="19"/>
      <c r="C67" s="20" t="s">
        <v>49</v>
      </c>
      <c r="D67" s="42" t="s">
        <v>416</v>
      </c>
      <c r="E67" s="35" t="str">
        <f t="array" ref="E67">IF(D67="", "", XLOOKUP(D67, 'MASTER ITEM LIST'!A:A, 'MASTER ITEM LIST'!B:B, ""))</f>
        <v>NAX PREMILA MT033 WHITE MET. MEDIUM FINE 1L</v>
      </c>
      <c r="F67" s="43" t="s">
        <v>41</v>
      </c>
      <c r="G67" s="19">
        <v>2.0</v>
      </c>
      <c r="H67" s="39" t="str">
        <f t="array" ref="H67">IFERROR(XLOOKUP(D67,'MASTER ITEM LIST'!A:A,'MASTER ITEM LIST'!D:D), "")</f>
        <v>LTR/S</v>
      </c>
      <c r="I67" s="48">
        <v>1995.0</v>
      </c>
      <c r="J67" s="41">
        <f t="shared" si="1"/>
        <v>3990</v>
      </c>
    </row>
    <row r="68" ht="22.5" customHeight="1">
      <c r="A68" s="17">
        <v>46112.0</v>
      </c>
      <c r="B68" s="19"/>
      <c r="C68" s="20" t="s">
        <v>49</v>
      </c>
      <c r="D68" s="42" t="s">
        <v>421</v>
      </c>
      <c r="E68" s="35" t="str">
        <f t="array" ref="E68">IF(D68="", "", XLOOKUP(D68, 'MASTER ITEM LIST'!A:A, 'MASTER ITEM LIST'!B:B, ""))</f>
        <v>NAX PREMILA MT030 WHITE MET. SNOW FINE 1L</v>
      </c>
      <c r="F68" s="43" t="s">
        <v>41</v>
      </c>
      <c r="G68" s="19">
        <v>1.0</v>
      </c>
      <c r="H68" s="39" t="str">
        <f t="array" ref="H68">IFERROR(XLOOKUP(D68,'MASTER ITEM LIST'!A:A,'MASTER ITEM LIST'!D:D), "")</f>
        <v>LTR/S</v>
      </c>
      <c r="I68" s="48">
        <v>1745.0</v>
      </c>
      <c r="J68" s="41">
        <f t="shared" si="1"/>
        <v>1745</v>
      </c>
    </row>
    <row r="69" ht="22.5" customHeight="1">
      <c r="A69" s="17">
        <v>46112.0</v>
      </c>
      <c r="B69" s="19"/>
      <c r="C69" s="20" t="s">
        <v>49</v>
      </c>
      <c r="D69" s="42" t="s">
        <v>423</v>
      </c>
      <c r="E69" s="35" t="str">
        <f t="array" ref="E69">IF(D69="", "", XLOOKUP(D69, 'MASTER ITEM LIST'!A:A, 'MASTER ITEM LIST'!B:B, ""))</f>
        <v>NAX PREMILA MT028 HIGH SPARKLE SUPER GLAMOUR 1L</v>
      </c>
      <c r="F69" s="43" t="s">
        <v>41</v>
      </c>
      <c r="G69" s="19">
        <v>3.0</v>
      </c>
      <c r="H69" s="39" t="str">
        <f t="array" ref="H69">IFERROR(XLOOKUP(D69,'MASTER ITEM LIST'!A:A,'MASTER ITEM LIST'!D:D), "")</f>
        <v>LTR/S</v>
      </c>
      <c r="I69" s="48">
        <v>2150.0</v>
      </c>
      <c r="J69" s="41">
        <f t="shared" si="1"/>
        <v>6450</v>
      </c>
    </row>
    <row r="70" ht="22.5" customHeight="1">
      <c r="A70" s="17">
        <v>46112.0</v>
      </c>
      <c r="B70" s="19"/>
      <c r="C70" s="20" t="s">
        <v>49</v>
      </c>
      <c r="D70" s="42" t="s">
        <v>429</v>
      </c>
      <c r="E70" s="35" t="str">
        <f t="array" ref="E70">IF(D70="", "", XLOOKUP(D70, 'MASTER ITEM LIST'!A:A, 'MASTER ITEM LIST'!B:B, ""))</f>
        <v>NAX PREMILA MT025 HIGH SPARKLE SUPER COARSE 1L</v>
      </c>
      <c r="F70" s="43" t="s">
        <v>41</v>
      </c>
      <c r="G70" s="19">
        <v>1.0</v>
      </c>
      <c r="H70" s="39" t="str">
        <f t="array" ref="H70">IFERROR(XLOOKUP(D70,'MASTER ITEM LIST'!A:A,'MASTER ITEM LIST'!D:D), "")</f>
        <v>LTR/S</v>
      </c>
      <c r="I70" s="48">
        <v>1745.0</v>
      </c>
      <c r="J70" s="41">
        <f t="shared" si="1"/>
        <v>1745</v>
      </c>
    </row>
    <row r="71" ht="22.5" customHeight="1">
      <c r="A71" s="17">
        <v>46112.0</v>
      </c>
      <c r="B71" s="19"/>
      <c r="C71" s="20" t="s">
        <v>49</v>
      </c>
      <c r="D71" s="42" t="s">
        <v>434</v>
      </c>
      <c r="E71" s="35" t="str">
        <f t="array" ref="E71">IF(D71="", "", XLOOKUP(D71, 'MASTER ITEM LIST'!A:A, 'MASTER ITEM LIST'!B:B, ""))</f>
        <v>NAX PREMILA MT023 HIGH SPARKLE FINE 1L</v>
      </c>
      <c r="F71" s="43" t="s">
        <v>41</v>
      </c>
      <c r="G71" s="19">
        <v>3.0</v>
      </c>
      <c r="H71" s="39" t="str">
        <f t="array" ref="H71">IFERROR(XLOOKUP(D71,'MASTER ITEM LIST'!A:A,'MASTER ITEM LIST'!D:D), "")</f>
        <v>LTR/S</v>
      </c>
      <c r="I71" s="48">
        <v>1994.0</v>
      </c>
      <c r="J71" s="41">
        <f t="shared" si="1"/>
        <v>5982</v>
      </c>
    </row>
    <row r="72" ht="22.5" customHeight="1">
      <c r="A72" s="17">
        <v>46112.0</v>
      </c>
      <c r="B72" s="19"/>
      <c r="C72" s="20" t="s">
        <v>49</v>
      </c>
      <c r="D72" s="42" t="s">
        <v>441</v>
      </c>
      <c r="E72" s="35" t="str">
        <f t="array" ref="E72">IF(D72="", "", XLOOKUP(D72, 'MASTER ITEM LIST'!A:A, 'MASTER ITEM LIST'!B:B, ""))</f>
        <v>NAX PREMILA MT012 MET. BASE FINE 1L</v>
      </c>
      <c r="F72" s="43" t="s">
        <v>41</v>
      </c>
      <c r="G72" s="19">
        <v>1.0</v>
      </c>
      <c r="H72" s="39" t="str">
        <f t="array" ref="H72">IFERROR(XLOOKUP(D72,'MASTER ITEM LIST'!A:A,'MASTER ITEM LIST'!D:D), "")</f>
        <v>LTR/S</v>
      </c>
      <c r="I72" s="48">
        <v>1745.0</v>
      </c>
      <c r="J72" s="41">
        <f t="shared" si="1"/>
        <v>1745</v>
      </c>
    </row>
    <row r="73" ht="22.5" customHeight="1">
      <c r="A73" s="17">
        <v>46112.0</v>
      </c>
      <c r="B73" s="19"/>
      <c r="C73" s="20" t="s">
        <v>49</v>
      </c>
      <c r="D73" s="42" t="s">
        <v>447</v>
      </c>
      <c r="E73" s="35" t="str">
        <f t="array" ref="E73">IF(D73="", "", XLOOKUP(D73, 'MASTER ITEM LIST'!A:A, 'MASTER ITEM LIST'!B:B, ""))</f>
        <v>NAX PREMILA MT008 CRYSTAL SILVER COARSE 1L</v>
      </c>
      <c r="F73" s="43" t="s">
        <v>41</v>
      </c>
      <c r="G73" s="19">
        <v>3.0</v>
      </c>
      <c r="H73" s="39" t="str">
        <f t="array" ref="H73">IFERROR(XLOOKUP(D73,'MASTER ITEM LIST'!A:A,'MASTER ITEM LIST'!D:D), "")</f>
        <v>LTR/S</v>
      </c>
      <c r="I73" s="48">
        <v>2150.0</v>
      </c>
      <c r="J73" s="41">
        <f t="shared" si="1"/>
        <v>6450</v>
      </c>
    </row>
    <row r="74" ht="22.5" customHeight="1">
      <c r="A74" s="17">
        <v>46112.0</v>
      </c>
      <c r="B74" s="19"/>
      <c r="C74" s="20" t="s">
        <v>49</v>
      </c>
      <c r="D74" s="42" t="s">
        <v>453</v>
      </c>
      <c r="E74" s="35" t="str">
        <f t="array" ref="E74">IF(D74="", "", XLOOKUP(D74, 'MASTER ITEM LIST'!A:A, 'MASTER ITEM LIST'!B:B, ""))</f>
        <v>NAX PREMILA MT006 CRYSTAL SILVER MEDIUM 1L</v>
      </c>
      <c r="F74" s="43" t="s">
        <v>41</v>
      </c>
      <c r="G74" s="19">
        <v>2.0</v>
      </c>
      <c r="H74" s="39" t="str">
        <f t="array" ref="H74">IFERROR(XLOOKUP(D74,'MASTER ITEM LIST'!A:A,'MASTER ITEM LIST'!D:D), "")</f>
        <v>LTR/S</v>
      </c>
      <c r="I74" s="48">
        <v>2150.0</v>
      </c>
      <c r="J74" s="41">
        <f t="shared" si="1"/>
        <v>4300</v>
      </c>
    </row>
    <row r="75" ht="22.5" customHeight="1">
      <c r="A75" s="17">
        <v>46112.0</v>
      </c>
      <c r="B75" s="19"/>
      <c r="C75" s="20" t="s">
        <v>49</v>
      </c>
      <c r="D75" s="42" t="s">
        <v>460</v>
      </c>
      <c r="E75" s="35" t="str">
        <f t="array" ref="E75">IF(D75="", "", XLOOKUP(D75, 'MASTER ITEM LIST'!A:A, 'MASTER ITEM LIST'!B:B, ""))</f>
        <v>NAX PREMILA MT004 CRYSTAL SILVER COARSE 1L</v>
      </c>
      <c r="F75" s="43" t="s">
        <v>41</v>
      </c>
      <c r="G75" s="19">
        <v>2.0</v>
      </c>
      <c r="H75" s="39" t="str">
        <f t="array" ref="H75">IFERROR(XLOOKUP(D75,'MASTER ITEM LIST'!A:A,'MASTER ITEM LIST'!D:D), "")</f>
        <v>LTR/S</v>
      </c>
      <c r="I75" s="48">
        <v>2150.0</v>
      </c>
      <c r="J75" s="41">
        <f t="shared" si="1"/>
        <v>4300</v>
      </c>
    </row>
    <row r="76" ht="22.5" customHeight="1">
      <c r="A76" s="17">
        <v>46112.0</v>
      </c>
      <c r="B76" s="19"/>
      <c r="C76" s="20" t="s">
        <v>49</v>
      </c>
      <c r="D76" s="42" t="s">
        <v>465</v>
      </c>
      <c r="E76" s="35" t="str">
        <f t="array" ref="E76">IF(D76="", "", XLOOKUP(D76, 'MASTER ITEM LIST'!A:A, 'MASTER ITEM LIST'!B:B, ""))</f>
        <v>NAX PREMILA MT003 CRYSTAL SILVER MEDIUM 1L</v>
      </c>
      <c r="F76" s="43" t="s">
        <v>41</v>
      </c>
      <c r="G76" s="19">
        <v>1.0</v>
      </c>
      <c r="H76" s="39" t="str">
        <f t="array" ref="H76">IFERROR(XLOOKUP(D76,'MASTER ITEM LIST'!A:A,'MASTER ITEM LIST'!D:D), "")</f>
        <v>LTR/S</v>
      </c>
      <c r="I76" s="48">
        <v>2150.0</v>
      </c>
      <c r="J76" s="41">
        <f t="shared" si="1"/>
        <v>2150</v>
      </c>
    </row>
    <row r="77" ht="22.5" customHeight="1">
      <c r="A77" s="17">
        <v>46112.0</v>
      </c>
      <c r="B77" s="19"/>
      <c r="C77" s="20" t="s">
        <v>49</v>
      </c>
      <c r="D77" s="42" t="s">
        <v>471</v>
      </c>
      <c r="E77" s="35" t="str">
        <f t="array" ref="E77">IF(D77="", "", XLOOKUP(D77, 'MASTER ITEM LIST'!A:A, 'MASTER ITEM LIST'!B:B, ""))</f>
        <v>NAX PREMILA MT002 CRYSTAL SILVER FINE 1L</v>
      </c>
      <c r="F77" s="43" t="s">
        <v>41</v>
      </c>
      <c r="G77" s="19">
        <v>4.0</v>
      </c>
      <c r="H77" s="39" t="str">
        <f t="array" ref="H77">IFERROR(XLOOKUP(D77,'MASTER ITEM LIST'!A:A,'MASTER ITEM LIST'!D:D), "")</f>
        <v>LTR/S</v>
      </c>
      <c r="I77" s="48">
        <v>2150.0</v>
      </c>
      <c r="J77" s="41">
        <f t="shared" si="1"/>
        <v>8600</v>
      </c>
    </row>
    <row r="78" ht="22.5" customHeight="1">
      <c r="A78" s="17">
        <v>46112.0</v>
      </c>
      <c r="B78" s="19"/>
      <c r="C78" s="20" t="s">
        <v>49</v>
      </c>
      <c r="D78" s="42" t="s">
        <v>476</v>
      </c>
      <c r="E78" s="35" t="str">
        <f t="array" ref="E78">IF(D78="", "", XLOOKUP(D78, 'MASTER ITEM LIST'!A:A, 'MASTER ITEM LIST'!B:B, ""))</f>
        <v>NAX PREMILA MT001 CRYSTAL SILVER EXTRA FINE 1L</v>
      </c>
      <c r="F78" s="43" t="s">
        <v>41</v>
      </c>
      <c r="G78" s="19">
        <v>3.0</v>
      </c>
      <c r="H78" s="39" t="str">
        <f t="array" ref="H78">IFERROR(XLOOKUP(D78,'MASTER ITEM LIST'!A:A,'MASTER ITEM LIST'!D:D), "")</f>
        <v>LTR/S</v>
      </c>
      <c r="I78" s="48">
        <v>2150.0</v>
      </c>
      <c r="J78" s="41">
        <f t="shared" si="1"/>
        <v>6450</v>
      </c>
    </row>
    <row r="79" ht="22.5" customHeight="1">
      <c r="A79" s="17">
        <v>46112.0</v>
      </c>
      <c r="B79" s="19"/>
      <c r="C79" s="20" t="s">
        <v>49</v>
      </c>
      <c r="D79" s="42" t="s">
        <v>481</v>
      </c>
      <c r="E79" s="35" t="str">
        <f t="array" ref="E79">IF(D79="", "", XLOOKUP(D79, 'MASTER ITEM LIST'!A:A, 'MASTER ITEM LIST'!B:B, ""))</f>
        <v>NAX NAT-1062 QDU 040 SUPER WHITE 1L</v>
      </c>
      <c r="F79" s="43" t="s">
        <v>41</v>
      </c>
      <c r="G79" s="19">
        <v>3.0</v>
      </c>
      <c r="H79" s="39" t="str">
        <f t="array" ref="H79">IFERROR(XLOOKUP(D79,'MASTER ITEM LIST'!A:A,'MASTER ITEM LIST'!D:D), "")</f>
        <v>LITER</v>
      </c>
      <c r="I79" s="48">
        <v>442.0</v>
      </c>
      <c r="J79" s="41">
        <f t="shared" si="1"/>
        <v>1326</v>
      </c>
    </row>
    <row r="80" ht="22.5" customHeight="1">
      <c r="A80" s="17">
        <v>46112.0</v>
      </c>
      <c r="B80" s="19"/>
      <c r="C80" s="20" t="s">
        <v>49</v>
      </c>
      <c r="D80" s="42" t="s">
        <v>487</v>
      </c>
      <c r="E80" s="35" t="str">
        <f t="array" ref="E80">IF(D80="", "", XLOOKUP(D80, 'MASTER ITEM LIST'!A:A, 'MASTER ITEM LIST'!B:B, ""))</f>
        <v>NAX NAT-10100 NH-585 PEARL WHITE MICA 1L</v>
      </c>
      <c r="F80" s="43" t="s">
        <v>41</v>
      </c>
      <c r="G80" s="19">
        <v>5.0</v>
      </c>
      <c r="H80" s="39" t="str">
        <f t="array" ref="H80">IFERROR(XLOOKUP(D80,'MASTER ITEM LIST'!A:A,'MASTER ITEM LIST'!D:D), "")</f>
        <v>LITER</v>
      </c>
      <c r="I80" s="48">
        <v>675.0</v>
      </c>
      <c r="J80" s="41">
        <f t="shared" si="1"/>
        <v>3375</v>
      </c>
    </row>
    <row r="81" ht="22.5" customHeight="1">
      <c r="A81" s="17">
        <v>46112.0</v>
      </c>
      <c r="B81" s="19"/>
      <c r="C81" s="20" t="s">
        <v>49</v>
      </c>
      <c r="D81" s="42" t="s">
        <v>492</v>
      </c>
      <c r="E81" s="35" t="str">
        <f t="array" ref="E81">IF(D81="", "", XLOOKUP(D81, 'MASTER ITEM LIST'!A:A, 'MASTER ITEM LIST'!B:B, ""))</f>
        <v>NAX NAT-992 TTC BLACK NO.8 1L</v>
      </c>
      <c r="F81" s="43" t="s">
        <v>41</v>
      </c>
      <c r="G81" s="19">
        <v>6.0</v>
      </c>
      <c r="H81" s="39" t="str">
        <f t="array" ref="H81">IFERROR(XLOOKUP(D81,'MASTER ITEM LIST'!A:A,'MASTER ITEM LIST'!D:D), "")</f>
        <v>LITER</v>
      </c>
      <c r="I81" s="48">
        <v>410.0</v>
      </c>
      <c r="J81" s="41">
        <f t="shared" si="1"/>
        <v>2460</v>
      </c>
    </row>
    <row r="82" ht="22.5" customHeight="1">
      <c r="A82" s="17">
        <v>46112.0</v>
      </c>
      <c r="B82" s="19"/>
      <c r="C82" s="20" t="s">
        <v>49</v>
      </c>
      <c r="D82" s="42" t="s">
        <v>94</v>
      </c>
      <c r="E82" s="35" t="str">
        <f t="array" ref="E82">IF(D82="", "", XLOOKUP(D82, 'MASTER ITEM LIST'!A:A, 'MASTER ITEM LIST'!B:B, ""))</f>
        <v>NAX NAT-990 TTC BLACK 4L</v>
      </c>
      <c r="F82" s="43" t="s">
        <v>41</v>
      </c>
      <c r="G82" s="19">
        <v>10.0</v>
      </c>
      <c r="H82" s="39" t="str">
        <f t="array" ref="H82">IFERROR(XLOOKUP(D82,'MASTER ITEM LIST'!A:A,'MASTER ITEM LIST'!D:D), "")</f>
        <v>GAL</v>
      </c>
      <c r="I82" s="48">
        <v>1518.0</v>
      </c>
      <c r="J82" s="41">
        <f t="shared" si="1"/>
        <v>15180</v>
      </c>
    </row>
    <row r="83" ht="22.5" customHeight="1">
      <c r="A83" s="17">
        <v>46112.0</v>
      </c>
      <c r="B83" s="19"/>
      <c r="C83" s="20" t="s">
        <v>49</v>
      </c>
      <c r="D83" s="42" t="s">
        <v>501</v>
      </c>
      <c r="E83" s="35" t="str">
        <f t="array" ref="E83">IF(D83="", "", XLOOKUP(D83, 'MASTER ITEM LIST'!A:A, 'MASTER ITEM LIST'!B:B, ""))</f>
        <v>NAX NAT-990 TTC BLACK 1L</v>
      </c>
      <c r="F83" s="43" t="s">
        <v>41</v>
      </c>
      <c r="G83" s="19">
        <v>11.0</v>
      </c>
      <c r="H83" s="39" t="str">
        <f t="array" ref="H83">IFERROR(XLOOKUP(D83,'MASTER ITEM LIST'!A:A,'MASTER ITEM LIST'!D:D), "")</f>
        <v>LITER</v>
      </c>
      <c r="I83" s="48">
        <v>409.0</v>
      </c>
      <c r="J83" s="41">
        <f t="shared" si="1"/>
        <v>4499</v>
      </c>
    </row>
    <row r="84" ht="22.5" customHeight="1">
      <c r="A84" s="17">
        <v>46112.0</v>
      </c>
      <c r="B84" s="19"/>
      <c r="C84" s="20" t="s">
        <v>49</v>
      </c>
      <c r="D84" s="42" t="s">
        <v>508</v>
      </c>
      <c r="E84" s="35" t="str">
        <f t="array" ref="E84">IF(D84="", "", XLOOKUP(D84, 'MASTER ITEM LIST'!A:A, 'MASTER ITEM LIST'!B:B, ""))</f>
        <v>NAX NAT-745 TTC MEDIUM SPARKLE SILVER 1L</v>
      </c>
      <c r="F84" s="43" t="s">
        <v>41</v>
      </c>
      <c r="G84" s="19">
        <v>6.0</v>
      </c>
      <c r="H84" s="39" t="str">
        <f t="array" ref="H84">IFERROR(XLOOKUP(D84,'MASTER ITEM LIST'!A:A,'MASTER ITEM LIST'!D:D), "")</f>
        <v>LITER</v>
      </c>
      <c r="I84" s="48">
        <v>830.0</v>
      </c>
      <c r="J84" s="41">
        <f t="shared" si="1"/>
        <v>4980</v>
      </c>
    </row>
    <row r="85" ht="22.5" customHeight="1">
      <c r="A85" s="17">
        <v>46112.0</v>
      </c>
      <c r="B85" s="19"/>
      <c r="C85" s="20" t="s">
        <v>49</v>
      </c>
      <c r="D85" s="42" t="s">
        <v>511</v>
      </c>
      <c r="E85" s="35" t="str">
        <f t="array" ref="E85">IF(D85="", "", XLOOKUP(D85, 'MASTER ITEM LIST'!A:A, 'MASTER ITEM LIST'!B:B, ""))</f>
        <v>NAX NAT-740 TTC ULTRA FINE SILVER 1L</v>
      </c>
      <c r="F85" s="43" t="s">
        <v>41</v>
      </c>
      <c r="G85" s="19">
        <v>6.0</v>
      </c>
      <c r="H85" s="39" t="str">
        <f t="array" ref="H85">IFERROR(XLOOKUP(D85,'MASTER ITEM LIST'!A:A,'MASTER ITEM LIST'!D:D), "")</f>
        <v>LITER</v>
      </c>
      <c r="I85" s="48">
        <v>470.0</v>
      </c>
      <c r="J85" s="41">
        <f t="shared" si="1"/>
        <v>2820</v>
      </c>
    </row>
    <row r="86" ht="22.5" customHeight="1">
      <c r="A86" s="17">
        <v>46112.0</v>
      </c>
      <c r="B86" s="19"/>
      <c r="C86" s="20" t="s">
        <v>49</v>
      </c>
      <c r="D86" s="42" t="s">
        <v>517</v>
      </c>
      <c r="E86" s="35" t="str">
        <f t="array" ref="E86">IF(D86="", "", XLOOKUP(D86, 'MASTER ITEM LIST'!A:A, 'MASTER ITEM LIST'!B:B, ""))</f>
        <v>NAX NAT-736 TTC HI-SPARKLE EXTRA COARSE 1L</v>
      </c>
      <c r="F86" s="43" t="s">
        <v>41</v>
      </c>
      <c r="G86" s="19">
        <v>3.0</v>
      </c>
      <c r="H86" s="39" t="str">
        <f t="array" ref="H86">IFERROR(XLOOKUP(D86,'MASTER ITEM LIST'!A:A,'MASTER ITEM LIST'!D:D), "")</f>
        <v>LITER</v>
      </c>
      <c r="I86" s="48">
        <v>685.0</v>
      </c>
      <c r="J86" s="41">
        <f t="shared" si="1"/>
        <v>2055</v>
      </c>
    </row>
    <row r="87" ht="22.5" customHeight="1">
      <c r="A87" s="17">
        <v>46112.0</v>
      </c>
      <c r="B87" s="19"/>
      <c r="C87" s="20" t="s">
        <v>49</v>
      </c>
      <c r="D87" s="42" t="s">
        <v>519</v>
      </c>
      <c r="E87" s="35" t="str">
        <f t="array" ref="E87">IF(D87="", "", XLOOKUP(D87, 'MASTER ITEM LIST'!A:A, 'MASTER ITEM LIST'!B:B, ""))</f>
        <v>NAX NAT-733 TTC SUPER FINE WHITE SILVER 1L</v>
      </c>
      <c r="F87" s="43" t="s">
        <v>41</v>
      </c>
      <c r="G87" s="19">
        <v>9.0</v>
      </c>
      <c r="H87" s="39" t="str">
        <f t="array" ref="H87">IFERROR(XLOOKUP(D87,'MASTER ITEM LIST'!A:A,'MASTER ITEM LIST'!D:D), "")</f>
        <v>LITER</v>
      </c>
      <c r="I87" s="48">
        <v>436.0</v>
      </c>
      <c r="J87" s="41">
        <f t="shared" si="1"/>
        <v>3924</v>
      </c>
    </row>
    <row r="88" ht="22.5" customHeight="1">
      <c r="A88" s="17">
        <v>46112.0</v>
      </c>
      <c r="B88" s="19"/>
      <c r="C88" s="20" t="s">
        <v>49</v>
      </c>
      <c r="D88" s="42" t="s">
        <v>524</v>
      </c>
      <c r="E88" s="35" t="str">
        <f t="array" ref="E88">IF(D88="", "", XLOOKUP(D88, 'MASTER ITEM LIST'!A:A, 'MASTER ITEM LIST'!B:B, ""))</f>
        <v>NAX NAT-729 TTC HI-SPARKLE FINE SILVER 1L</v>
      </c>
      <c r="F88" s="43" t="s">
        <v>41</v>
      </c>
      <c r="G88" s="19">
        <v>6.0</v>
      </c>
      <c r="H88" s="39" t="str">
        <f t="array" ref="H88">IFERROR(XLOOKUP(D88,'MASTER ITEM LIST'!A:A,'MASTER ITEM LIST'!D:D), "")</f>
        <v>LITER</v>
      </c>
      <c r="I88" s="48">
        <v>760.0</v>
      </c>
      <c r="J88" s="41">
        <f t="shared" si="1"/>
        <v>4560</v>
      </c>
    </row>
    <row r="89" ht="22.5" customHeight="1">
      <c r="A89" s="17">
        <v>46112.0</v>
      </c>
      <c r="B89" s="19"/>
      <c r="C89" s="20" t="s">
        <v>49</v>
      </c>
      <c r="D89" s="42" t="s">
        <v>527</v>
      </c>
      <c r="E89" s="35" t="str">
        <f t="array" ref="E89">IF(D89="", "", XLOOKUP(D89, 'MASTER ITEM LIST'!A:A, 'MASTER ITEM LIST'!B:B, ""))</f>
        <v>NAX NAT-728 TTC SPARKLE ORANGE METALLIC 1L</v>
      </c>
      <c r="F89" s="43" t="s">
        <v>41</v>
      </c>
      <c r="G89" s="19">
        <v>1.0</v>
      </c>
      <c r="H89" s="39" t="str">
        <f t="array" ref="H89">IFERROR(XLOOKUP(D89,'MASTER ITEM LIST'!A:A,'MASTER ITEM LIST'!D:D), "")</f>
        <v>LITER</v>
      </c>
      <c r="I89" s="48">
        <v>995.0</v>
      </c>
      <c r="J89" s="41">
        <f t="shared" si="1"/>
        <v>995</v>
      </c>
    </row>
    <row r="90" ht="22.5" customHeight="1">
      <c r="A90" s="17">
        <v>46112.0</v>
      </c>
      <c r="B90" s="19"/>
      <c r="C90" s="20" t="s">
        <v>49</v>
      </c>
      <c r="D90" s="42" t="s">
        <v>532</v>
      </c>
      <c r="E90" s="35" t="str">
        <f t="array" ref="E90">IF(D90="", "", XLOOKUP(D90, 'MASTER ITEM LIST'!A:A, 'MASTER ITEM LIST'!B:B, ""))</f>
        <v>NAX NAT-727 TTC HI-SPARKLE MIDCOARSE SILVER 1L</v>
      </c>
      <c r="F90" s="43" t="s">
        <v>41</v>
      </c>
      <c r="G90" s="19">
        <v>6.0</v>
      </c>
      <c r="H90" s="39" t="str">
        <f t="array" ref="H90">IFERROR(XLOOKUP(D90,'MASTER ITEM LIST'!A:A,'MASTER ITEM LIST'!D:D), "")</f>
        <v>LITER</v>
      </c>
      <c r="I90" s="48">
        <v>1085.0</v>
      </c>
      <c r="J90" s="41">
        <f t="shared" si="1"/>
        <v>6510</v>
      </c>
    </row>
    <row r="91" ht="22.5" customHeight="1">
      <c r="A91" s="17">
        <v>46112.0</v>
      </c>
      <c r="B91" s="19"/>
      <c r="C91" s="20" t="s">
        <v>49</v>
      </c>
      <c r="D91" s="42" t="s">
        <v>536</v>
      </c>
      <c r="E91" s="35" t="str">
        <f t="array" ref="E91">IF(D91="", "", XLOOKUP(D91, 'MASTER ITEM LIST'!A:A, 'MASTER ITEM LIST'!B:B, ""))</f>
        <v>NAX NAT-725 TTC SPARKLE MID-COARSE SILVER 1L</v>
      </c>
      <c r="F91" s="43" t="s">
        <v>41</v>
      </c>
      <c r="G91" s="19">
        <v>6.0</v>
      </c>
      <c r="H91" s="39" t="str">
        <f t="array" ref="H91">IFERROR(XLOOKUP(D91,'MASTER ITEM LIST'!A:A,'MASTER ITEM LIST'!D:D), "")</f>
        <v>LITER</v>
      </c>
      <c r="I91" s="48">
        <v>652.0</v>
      </c>
      <c r="J91" s="41">
        <f t="shared" si="1"/>
        <v>3912</v>
      </c>
    </row>
    <row r="92" ht="22.5" customHeight="1">
      <c r="A92" s="17">
        <v>46112.0</v>
      </c>
      <c r="B92" s="19"/>
      <c r="C92" s="20" t="s">
        <v>49</v>
      </c>
      <c r="D92" s="42" t="s">
        <v>542</v>
      </c>
      <c r="E92" s="35" t="str">
        <f t="array" ref="E92">IF(D92="", "", XLOOKUP(D92, 'MASTER ITEM LIST'!A:A, 'MASTER ITEM LIST'!B:B, ""))</f>
        <v>NAX NAT-720 TTC SPARKLE WHITE SILVER 1L</v>
      </c>
      <c r="F92" s="43" t="s">
        <v>41</v>
      </c>
      <c r="G92" s="19">
        <v>6.0</v>
      </c>
      <c r="H92" s="39" t="str">
        <f t="array" ref="H92">IFERROR(XLOOKUP(D92,'MASTER ITEM LIST'!A:A,'MASTER ITEM LIST'!D:D), "")</f>
        <v>LITER</v>
      </c>
      <c r="I92" s="48">
        <v>621.0</v>
      </c>
      <c r="J92" s="41">
        <f t="shared" si="1"/>
        <v>3726</v>
      </c>
    </row>
    <row r="93" ht="22.5" customHeight="1">
      <c r="A93" s="17">
        <v>46112.0</v>
      </c>
      <c r="B93" s="19"/>
      <c r="C93" s="20" t="s">
        <v>49</v>
      </c>
      <c r="D93" s="42" t="s">
        <v>546</v>
      </c>
      <c r="E93" s="35" t="str">
        <f t="array" ref="E93">IF(D93="", "", XLOOKUP(D93, 'MASTER ITEM LIST'!A:A, 'MASTER ITEM LIST'!B:B, ""))</f>
        <v>NAX NAT-719 TTC COARSE SILVER 4L</v>
      </c>
      <c r="F93" s="43" t="s">
        <v>41</v>
      </c>
      <c r="G93" s="19">
        <v>4.0</v>
      </c>
      <c r="H93" s="39" t="str">
        <f t="array" ref="H93">IFERROR(XLOOKUP(D93,'MASTER ITEM LIST'!A:A,'MASTER ITEM LIST'!D:D), "")</f>
        <v>GAL</v>
      </c>
      <c r="I93" s="48">
        <v>2325.0</v>
      </c>
      <c r="J93" s="41">
        <f t="shared" si="1"/>
        <v>9300</v>
      </c>
    </row>
    <row r="94" ht="22.5" customHeight="1">
      <c r="A94" s="17">
        <v>46112.0</v>
      </c>
      <c r="B94" s="19"/>
      <c r="C94" s="20" t="s">
        <v>49</v>
      </c>
      <c r="D94" s="42" t="s">
        <v>553</v>
      </c>
      <c r="E94" s="35" t="str">
        <f t="array" ref="E94">IF(D94="", "", XLOOKUP(D94, 'MASTER ITEM LIST'!A:A, 'MASTER ITEM LIST'!B:B, ""))</f>
        <v>NAX NAT-719 TTC COARSE SILVER 1L</v>
      </c>
      <c r="F94" s="43" t="s">
        <v>41</v>
      </c>
      <c r="G94" s="19">
        <v>9.0</v>
      </c>
      <c r="H94" s="39" t="str">
        <f t="array" ref="H94">IFERROR(XLOOKUP(D94,'MASTER ITEM LIST'!A:A,'MASTER ITEM LIST'!D:D), "")</f>
        <v>LITER</v>
      </c>
      <c r="I94" s="48">
        <v>595.0</v>
      </c>
      <c r="J94" s="41">
        <f t="shared" si="1"/>
        <v>5355</v>
      </c>
    </row>
    <row r="95" ht="22.5" customHeight="1">
      <c r="A95" s="17">
        <v>46112.0</v>
      </c>
      <c r="B95" s="19"/>
      <c r="C95" s="20" t="s">
        <v>49</v>
      </c>
      <c r="D95" s="42" t="s">
        <v>559</v>
      </c>
      <c r="E95" s="35" t="str">
        <f t="array" ref="E95">IF(D95="", "", XLOOKUP(D95, 'MASTER ITEM LIST'!A:A, 'MASTER ITEM LIST'!B:B, ""))</f>
        <v>NAX NAT-716 TTC SPARKLE SILVER 1L</v>
      </c>
      <c r="F95" s="43" t="s">
        <v>41</v>
      </c>
      <c r="G95" s="19">
        <v>6.0</v>
      </c>
      <c r="H95" s="39" t="str">
        <f t="array" ref="H95">IFERROR(XLOOKUP(D95,'MASTER ITEM LIST'!A:A,'MASTER ITEM LIST'!D:D), "")</f>
        <v>LITER</v>
      </c>
      <c r="I95" s="48">
        <v>422.0</v>
      </c>
      <c r="J95" s="41">
        <f t="shared" si="1"/>
        <v>2532</v>
      </c>
    </row>
    <row r="96" ht="22.5" customHeight="1">
      <c r="A96" s="17">
        <v>46112.0</v>
      </c>
      <c r="B96" s="19"/>
      <c r="C96" s="20" t="s">
        <v>49</v>
      </c>
      <c r="D96" s="42" t="s">
        <v>562</v>
      </c>
      <c r="E96" s="35" t="str">
        <f t="array" ref="E96">IF(D96="", "", XLOOKUP(D96, 'MASTER ITEM LIST'!A:A, 'MASTER ITEM LIST'!B:B, ""))</f>
        <v>NAX NAT-715 TTC FINE SILVER 1L</v>
      </c>
      <c r="F96" s="43" t="s">
        <v>41</v>
      </c>
      <c r="G96" s="19">
        <v>3.0</v>
      </c>
      <c r="H96" s="39" t="str">
        <f t="array" ref="H96">IFERROR(XLOOKUP(D96,'MASTER ITEM LIST'!A:A,'MASTER ITEM LIST'!D:D), "")</f>
        <v>LITER</v>
      </c>
      <c r="I96" s="48">
        <v>422.0</v>
      </c>
      <c r="J96" s="41">
        <f t="shared" si="1"/>
        <v>1266</v>
      </c>
    </row>
    <row r="97" ht="22.5" customHeight="1">
      <c r="A97" s="17">
        <v>46112.0</v>
      </c>
      <c r="B97" s="19"/>
      <c r="C97" s="20" t="s">
        <v>49</v>
      </c>
      <c r="D97" s="42" t="s">
        <v>569</v>
      </c>
      <c r="E97" s="35" t="str">
        <f t="array" ref="E97">IF(D97="", "", XLOOKUP(D97, 'MASTER ITEM LIST'!A:A, 'MASTER ITEM LIST'!B:B, ""))</f>
        <v>NAX NAT-712 TTC MEDIUM FINE SILVER 1L</v>
      </c>
      <c r="F97" s="43" t="s">
        <v>41</v>
      </c>
      <c r="G97" s="19">
        <v>7.0</v>
      </c>
      <c r="H97" s="39" t="str">
        <f t="array" ref="H97">IFERROR(XLOOKUP(D97,'MASTER ITEM LIST'!A:A,'MASTER ITEM LIST'!D:D), "")</f>
        <v>LITER</v>
      </c>
      <c r="I97" s="48">
        <v>581.0</v>
      </c>
      <c r="J97" s="41">
        <f t="shared" si="1"/>
        <v>4067</v>
      </c>
    </row>
    <row r="98" ht="22.5" customHeight="1">
      <c r="A98" s="17">
        <v>46112.0</v>
      </c>
      <c r="B98" s="19"/>
      <c r="C98" s="20" t="s">
        <v>49</v>
      </c>
      <c r="D98" s="42" t="s">
        <v>573</v>
      </c>
      <c r="E98" s="35" t="str">
        <f t="array" ref="E98">IF(D98="", "", XLOOKUP(D98, 'MASTER ITEM LIST'!A:A, 'MASTER ITEM LIST'!B:B, ""))</f>
        <v>NAX NAT-595 TTC CYANINE BLUE 1L</v>
      </c>
      <c r="F98" s="43" t="s">
        <v>41</v>
      </c>
      <c r="G98" s="19">
        <v>5.0</v>
      </c>
      <c r="H98" s="39" t="str">
        <f t="array" ref="H98">IFERROR(XLOOKUP(D98,'MASTER ITEM LIST'!A:A,'MASTER ITEM LIST'!D:D), "")</f>
        <v>LITER</v>
      </c>
      <c r="I98" s="48">
        <v>498.0</v>
      </c>
      <c r="J98" s="41">
        <f t="shared" si="1"/>
        <v>2490</v>
      </c>
    </row>
    <row r="99" ht="22.5" customHeight="1">
      <c r="A99" s="17">
        <v>46112.0</v>
      </c>
      <c r="B99" s="19"/>
      <c r="C99" s="20" t="s">
        <v>49</v>
      </c>
      <c r="D99" s="42" t="s">
        <v>580</v>
      </c>
      <c r="E99" s="35" t="str">
        <f t="array" ref="E99">IF(D99="", "", XLOOKUP(D99, 'MASTER ITEM LIST'!A:A, 'MASTER ITEM LIST'!B:B, ""))</f>
        <v>NAX NAT-557 TTC BLUE NO.9 1L</v>
      </c>
      <c r="F99" s="43" t="s">
        <v>41</v>
      </c>
      <c r="G99" s="19">
        <v>6.0</v>
      </c>
      <c r="H99" s="39" t="str">
        <f t="array" ref="H99">IFERROR(XLOOKUP(D99,'MASTER ITEM LIST'!A:A,'MASTER ITEM LIST'!D:D), "")</f>
        <v>LITER</v>
      </c>
      <c r="I99" s="48">
        <v>450.0</v>
      </c>
      <c r="J99" s="41">
        <f t="shared" si="1"/>
        <v>2700</v>
      </c>
    </row>
    <row r="100" ht="22.5" customHeight="1">
      <c r="A100" s="17">
        <v>46112.0</v>
      </c>
      <c r="B100" s="19"/>
      <c r="C100" s="20" t="s">
        <v>49</v>
      </c>
      <c r="D100" s="42" t="s">
        <v>585</v>
      </c>
      <c r="E100" s="35" t="str">
        <f t="array" ref="E100">IF(D100="", "", XLOOKUP(D100, 'MASTER ITEM LIST'!A:A, 'MASTER ITEM LIST'!B:B, ""))</f>
        <v>NAX NAT-556 TTC BLUE NO.8 1L</v>
      </c>
      <c r="F100" s="43" t="s">
        <v>41</v>
      </c>
      <c r="G100" s="19">
        <v>2.0</v>
      </c>
      <c r="H100" s="39" t="str">
        <f t="array" ref="H100">IFERROR(XLOOKUP(D100,'MASTER ITEM LIST'!A:A,'MASTER ITEM LIST'!D:D), "")</f>
        <v>LITER</v>
      </c>
      <c r="I100" s="48">
        <v>620.0</v>
      </c>
      <c r="J100" s="41">
        <f t="shared" si="1"/>
        <v>1240</v>
      </c>
    </row>
    <row r="101" ht="22.5" customHeight="1">
      <c r="A101" s="17">
        <v>46112.0</v>
      </c>
      <c r="B101" s="19"/>
      <c r="C101" s="20" t="s">
        <v>49</v>
      </c>
      <c r="D101" s="42" t="s">
        <v>590</v>
      </c>
      <c r="E101" s="35" t="str">
        <f t="array" ref="E101">IF(D101="", "", XLOOKUP(D101, 'MASTER ITEM LIST'!A:A, 'MASTER ITEM LIST'!B:B, ""))</f>
        <v>NAX NAT-555 TTC BLUE NO.7 1L</v>
      </c>
      <c r="F101" s="43" t="s">
        <v>41</v>
      </c>
      <c r="G101" s="19">
        <v>6.0</v>
      </c>
      <c r="H101" s="39" t="str">
        <f t="array" ref="H101">IFERROR(XLOOKUP(D101,'MASTER ITEM LIST'!A:A,'MASTER ITEM LIST'!D:D), "")</f>
        <v>LITER</v>
      </c>
      <c r="I101" s="48">
        <v>517.0</v>
      </c>
      <c r="J101" s="41">
        <f t="shared" si="1"/>
        <v>3102</v>
      </c>
    </row>
    <row r="102" ht="22.5" customHeight="1">
      <c r="A102" s="17">
        <v>46112.0</v>
      </c>
      <c r="B102" s="19"/>
      <c r="C102" s="20" t="s">
        <v>49</v>
      </c>
      <c r="D102" s="42" t="s">
        <v>596</v>
      </c>
      <c r="E102" s="35" t="str">
        <f t="array" ref="E102">IF(D102="", "", XLOOKUP(D102, 'MASTER ITEM LIST'!A:A, 'MASTER ITEM LIST'!B:B, ""))</f>
        <v>NAX NAT-550 TTC SUPER BLUE 1L</v>
      </c>
      <c r="F102" s="43" t="s">
        <v>41</v>
      </c>
      <c r="G102" s="19">
        <v>2.0</v>
      </c>
      <c r="H102" s="39" t="str">
        <f t="array" ref="H102">IFERROR(XLOOKUP(D102,'MASTER ITEM LIST'!A:A,'MASTER ITEM LIST'!D:D), "")</f>
        <v>LITER</v>
      </c>
      <c r="I102" s="48">
        <v>435.0</v>
      </c>
      <c r="J102" s="41">
        <f t="shared" si="1"/>
        <v>870</v>
      </c>
    </row>
    <row r="103" ht="22.5" customHeight="1">
      <c r="A103" s="17">
        <v>46112.0</v>
      </c>
      <c r="B103" s="19"/>
      <c r="C103" s="20" t="s">
        <v>49</v>
      </c>
      <c r="D103" s="42" t="s">
        <v>602</v>
      </c>
      <c r="E103" s="35" t="str">
        <f t="array" ref="E103">IF(D103="", "", XLOOKUP(D103, 'MASTER ITEM LIST'!A:A, 'MASTER ITEM LIST'!B:B, ""))</f>
        <v>NAX NAT-530 TTC FINE BLUE 1L</v>
      </c>
      <c r="F103" s="43" t="s">
        <v>41</v>
      </c>
      <c r="G103" s="19">
        <v>3.0</v>
      </c>
      <c r="H103" s="39" t="str">
        <f t="array" ref="H103">IFERROR(XLOOKUP(D103,'MASTER ITEM LIST'!A:A,'MASTER ITEM LIST'!D:D), "")</f>
        <v>LITER</v>
      </c>
      <c r="I103" s="48">
        <v>1090.0</v>
      </c>
      <c r="J103" s="41">
        <f t="shared" si="1"/>
        <v>3270</v>
      </c>
    </row>
    <row r="104" ht="22.5" customHeight="1">
      <c r="A104" s="17">
        <v>46112.0</v>
      </c>
      <c r="B104" s="19"/>
      <c r="C104" s="20" t="s">
        <v>49</v>
      </c>
      <c r="D104" s="42" t="s">
        <v>607</v>
      </c>
      <c r="E104" s="35" t="str">
        <f t="array" ref="E104">IF(D104="", "", XLOOKUP(D104, 'MASTER ITEM LIST'!A:A, 'MASTER ITEM LIST'!B:B, ""))</f>
        <v>NAX NAT-490 TTC EVERGREEN 1L</v>
      </c>
      <c r="F104" s="43" t="s">
        <v>41</v>
      </c>
      <c r="G104" s="19">
        <v>5.0</v>
      </c>
      <c r="H104" s="39" t="str">
        <f t="array" ref="H104">IFERROR(XLOOKUP(D104,'MASTER ITEM LIST'!A:A,'MASTER ITEM LIST'!D:D), "")</f>
        <v>LITER</v>
      </c>
      <c r="I104" s="48">
        <v>500.0</v>
      </c>
      <c r="J104" s="41">
        <f t="shared" si="1"/>
        <v>2500</v>
      </c>
    </row>
    <row r="105" ht="22.5" customHeight="1">
      <c r="A105" s="17">
        <v>46112.0</v>
      </c>
      <c r="B105" s="19"/>
      <c r="C105" s="20" t="s">
        <v>49</v>
      </c>
      <c r="D105" s="42" t="s">
        <v>611</v>
      </c>
      <c r="E105" s="35" t="str">
        <f t="array" ref="E105">IF(D105="", "", XLOOKUP(D105, 'MASTER ITEM LIST'!A:A, 'MASTER ITEM LIST'!B:B, ""))</f>
        <v>NAX NAT-410 TTC CYANINE GREEN 1L</v>
      </c>
      <c r="F105" s="43" t="s">
        <v>41</v>
      </c>
      <c r="G105" s="19">
        <v>7.0</v>
      </c>
      <c r="H105" s="39" t="str">
        <f t="array" ref="H105">IFERROR(XLOOKUP(D105,'MASTER ITEM LIST'!A:A,'MASTER ITEM LIST'!D:D), "")</f>
        <v>LITER</v>
      </c>
      <c r="I105" s="48">
        <v>683.0</v>
      </c>
      <c r="J105" s="41">
        <f t="shared" si="1"/>
        <v>4781</v>
      </c>
    </row>
    <row r="106" ht="22.5" customHeight="1">
      <c r="A106" s="17">
        <v>46112.0</v>
      </c>
      <c r="B106" s="19"/>
      <c r="C106" s="20" t="s">
        <v>49</v>
      </c>
      <c r="D106" s="42" t="s">
        <v>615</v>
      </c>
      <c r="E106" s="35" t="str">
        <f t="array" ref="E106">IF(D106="", "", XLOOKUP(D106, 'MASTER ITEM LIST'!A:A, 'MASTER ITEM LIST'!B:B, ""))</f>
        <v>NAX NAT-390 TTC IRON YELLOW 1L</v>
      </c>
      <c r="F106" s="43" t="s">
        <v>41</v>
      </c>
      <c r="G106" s="19">
        <v>9.0</v>
      </c>
      <c r="H106" s="39" t="str">
        <f t="array" ref="H106">IFERROR(XLOOKUP(D106,'MASTER ITEM LIST'!A:A,'MASTER ITEM LIST'!D:D), "")</f>
        <v>LITER</v>
      </c>
      <c r="I106" s="48">
        <v>367.0</v>
      </c>
      <c r="J106" s="41">
        <f t="shared" si="1"/>
        <v>3303</v>
      </c>
    </row>
    <row r="107" ht="22.5" customHeight="1">
      <c r="A107" s="17">
        <v>46112.0</v>
      </c>
      <c r="B107" s="19"/>
      <c r="C107" s="20" t="s">
        <v>49</v>
      </c>
      <c r="D107" s="42" t="s">
        <v>619</v>
      </c>
      <c r="E107" s="35" t="str">
        <f t="array" ref="E107">IF(D107="", "", XLOOKUP(D107, 'MASTER ITEM LIST'!A:A, 'MASTER ITEM LIST'!B:B, ""))</f>
        <v>NAX NAT-380 TTC SUPER YELLOW 1L</v>
      </c>
      <c r="F107" s="43" t="s">
        <v>41</v>
      </c>
      <c r="G107" s="19">
        <v>4.0</v>
      </c>
      <c r="H107" s="39" t="str">
        <f t="array" ref="H107">IFERROR(XLOOKUP(D107,'MASTER ITEM LIST'!A:A,'MASTER ITEM LIST'!D:D), "")</f>
        <v>LITER</v>
      </c>
      <c r="I107" s="48">
        <v>1035.0</v>
      </c>
      <c r="J107" s="41">
        <f t="shared" si="1"/>
        <v>4140</v>
      </c>
    </row>
    <row r="108" ht="22.5" customHeight="1">
      <c r="A108" s="17">
        <v>46112.0</v>
      </c>
      <c r="B108" s="19"/>
      <c r="C108" s="20" t="s">
        <v>49</v>
      </c>
      <c r="D108" s="42" t="s">
        <v>623</v>
      </c>
      <c r="E108" s="35" t="str">
        <f t="array" ref="E108">IF(D108="", "", XLOOKUP(D108, 'MASTER ITEM LIST'!A:A, 'MASTER ITEM LIST'!B:B, ""))</f>
        <v>NAX NAT-321 TTC HOSTAPERM YELLOW 1L</v>
      </c>
      <c r="F108" s="43" t="s">
        <v>41</v>
      </c>
      <c r="G108" s="19">
        <v>11.0</v>
      </c>
      <c r="H108" s="39" t="str">
        <f t="array" ref="H108">IFERROR(XLOOKUP(D108,'MASTER ITEM LIST'!A:A,'MASTER ITEM LIST'!D:D), "")</f>
        <v>LITER</v>
      </c>
      <c r="I108" s="48">
        <v>897.0</v>
      </c>
      <c r="J108" s="41">
        <f t="shared" si="1"/>
        <v>9867</v>
      </c>
    </row>
    <row r="109" ht="22.5" customHeight="1">
      <c r="A109" s="17">
        <v>46112.0</v>
      </c>
      <c r="B109" s="19"/>
      <c r="C109" s="20" t="s">
        <v>49</v>
      </c>
      <c r="D109" s="42" t="s">
        <v>630</v>
      </c>
      <c r="E109" s="35" t="str">
        <f t="array" ref="E109">IF(D109="", "", XLOOKUP(D109, 'MASTER ITEM LIST'!A:A, 'MASTER ITEM LIST'!B:B, ""))</f>
        <v>NAX NAT-320 TTC GOLD YELLOW 1L</v>
      </c>
      <c r="F109" s="43" t="s">
        <v>41</v>
      </c>
      <c r="G109" s="19">
        <v>7.0</v>
      </c>
      <c r="H109" s="39" t="str">
        <f t="array" ref="H109">IFERROR(XLOOKUP(D109,'MASTER ITEM LIST'!A:A,'MASTER ITEM LIST'!D:D), "")</f>
        <v>LITER</v>
      </c>
      <c r="I109" s="48">
        <v>425.0</v>
      </c>
      <c r="J109" s="41">
        <f t="shared" si="1"/>
        <v>2975</v>
      </c>
    </row>
    <row r="110" ht="22.5" customHeight="1">
      <c r="A110" s="17">
        <v>46112.0</v>
      </c>
      <c r="B110" s="19"/>
      <c r="C110" s="20" t="s">
        <v>49</v>
      </c>
      <c r="D110" s="42" t="s">
        <v>636</v>
      </c>
      <c r="E110" s="35" t="str">
        <f t="array" ref="E110">IF(D110="", "", XLOOKUP(D110, 'MASTER ITEM LIST'!A:A, 'MASTER ITEM LIST'!B:B, ""))</f>
        <v>NAX NAT-305 TTC GREEN YELLOW 1L</v>
      </c>
      <c r="F110" s="43" t="s">
        <v>41</v>
      </c>
      <c r="G110" s="19">
        <v>5.0</v>
      </c>
      <c r="H110" s="39" t="str">
        <f t="array" ref="H110">IFERROR(XLOOKUP(D110,'MASTER ITEM LIST'!A:A,'MASTER ITEM LIST'!D:D), "")</f>
        <v>LITER</v>
      </c>
      <c r="I110" s="48">
        <v>1380.0</v>
      </c>
      <c r="J110" s="41">
        <f t="shared" si="1"/>
        <v>6900</v>
      </c>
    </row>
    <row r="111" ht="22.5" customHeight="1">
      <c r="A111" s="17">
        <v>46112.0</v>
      </c>
      <c r="B111" s="19"/>
      <c r="C111" s="20" t="s">
        <v>49</v>
      </c>
      <c r="D111" s="42" t="s">
        <v>639</v>
      </c>
      <c r="E111" s="35" t="str">
        <f t="array" ref="E111">IF(D111="", "", XLOOKUP(D111, 'MASTER ITEM LIST'!A:A, 'MASTER ITEM LIST'!B:B, ""))</f>
        <v>NAX NAT-210 TTC SUPER ORANGE 1L</v>
      </c>
      <c r="F111" s="43" t="s">
        <v>41</v>
      </c>
      <c r="G111" s="19">
        <v>6.0</v>
      </c>
      <c r="H111" s="39" t="str">
        <f t="array" ref="H111">IFERROR(XLOOKUP(D111,'MASTER ITEM LIST'!A:A,'MASTER ITEM LIST'!D:D), "")</f>
        <v>LITER</v>
      </c>
      <c r="I111" s="48">
        <v>1511.0</v>
      </c>
      <c r="J111" s="41">
        <f t="shared" si="1"/>
        <v>9066</v>
      </c>
    </row>
    <row r="112" ht="22.5" customHeight="1">
      <c r="A112" s="17">
        <v>46112.0</v>
      </c>
      <c r="B112" s="19"/>
      <c r="C112" s="20" t="s">
        <v>49</v>
      </c>
      <c r="D112" s="42" t="s">
        <v>642</v>
      </c>
      <c r="E112" s="35" t="str">
        <f t="array" ref="E112">IF(D112="", "", XLOOKUP(D112, 'MASTER ITEM LIST'!A:A, 'MASTER ITEM LIST'!B:B, ""))</f>
        <v>NAX NAT-196 TTC PURPLISH RED 1L</v>
      </c>
      <c r="F112" s="43" t="s">
        <v>41</v>
      </c>
      <c r="G112" s="19">
        <v>14.0</v>
      </c>
      <c r="H112" s="39" t="str">
        <f t="array" ref="H112">IFERROR(XLOOKUP(D112,'MASTER ITEM LIST'!A:A,'MASTER ITEM LIST'!D:D), "")</f>
        <v>LITER</v>
      </c>
      <c r="I112" s="48">
        <v>1125.0</v>
      </c>
      <c r="J112" s="41">
        <f t="shared" si="1"/>
        <v>15750</v>
      </c>
    </row>
    <row r="113" ht="22.5" customHeight="1">
      <c r="A113" s="17">
        <v>46112.0</v>
      </c>
      <c r="B113" s="19"/>
      <c r="C113" s="20" t="s">
        <v>49</v>
      </c>
      <c r="D113" s="42" t="s">
        <v>648</v>
      </c>
      <c r="E113" s="35" t="str">
        <f t="array" ref="E113">IF(D113="", "", XLOOKUP(D113, 'MASTER ITEM LIST'!A:A, 'MASTER ITEM LIST'!B:B, ""))</f>
        <v>NAX NAT-192 TTC BRIGHT RED 1L</v>
      </c>
      <c r="F113" s="43" t="s">
        <v>41</v>
      </c>
      <c r="G113" s="19">
        <v>4.0</v>
      </c>
      <c r="H113" s="39" t="str">
        <f t="array" ref="H113">IFERROR(XLOOKUP(D113,'MASTER ITEM LIST'!A:A,'MASTER ITEM LIST'!D:D), "")</f>
        <v>LITER</v>
      </c>
      <c r="I113" s="48">
        <v>540.0</v>
      </c>
      <c r="J113" s="41">
        <f t="shared" si="1"/>
        <v>2160</v>
      </c>
    </row>
    <row r="114" ht="22.5" customHeight="1">
      <c r="A114" s="17">
        <v>46112.0</v>
      </c>
      <c r="B114" s="19"/>
      <c r="C114" s="20" t="s">
        <v>49</v>
      </c>
      <c r="D114" s="42" t="s">
        <v>667</v>
      </c>
      <c r="E114" s="35" t="str">
        <f t="array" ref="E114">IF(D114="", "", XLOOKUP(D114, 'MASTER ITEM LIST'!A:A, 'MASTER ITEM LIST'!B:B, ""))</f>
        <v>NAX NAT-190 TTC IRON RED 1L</v>
      </c>
      <c r="F114" s="43" t="s">
        <v>41</v>
      </c>
      <c r="G114" s="19">
        <v>5.0</v>
      </c>
      <c r="H114" s="39" t="str">
        <f t="array" ref="H114">IFERROR(XLOOKUP(D114,'MASTER ITEM LIST'!A:A,'MASTER ITEM LIST'!D:D), "")</f>
        <v>LITER</v>
      </c>
      <c r="I114" s="48">
        <v>395.0</v>
      </c>
      <c r="J114" s="41">
        <f t="shared" si="1"/>
        <v>1975</v>
      </c>
    </row>
    <row r="115" ht="22.5" customHeight="1">
      <c r="A115" s="17">
        <v>46112.0</v>
      </c>
      <c r="B115" s="19"/>
      <c r="C115" s="20" t="s">
        <v>49</v>
      </c>
      <c r="D115" s="42" t="s">
        <v>672</v>
      </c>
      <c r="E115" s="35" t="str">
        <f t="array" ref="E115">IF(D115="", "", XLOOKUP(D115, 'MASTER ITEM LIST'!A:A, 'MASTER ITEM LIST'!B:B, ""))</f>
        <v>NAX NAT-180 TTC STRAWBERRY RED 1L</v>
      </c>
      <c r="F115" s="43" t="s">
        <v>41</v>
      </c>
      <c r="G115" s="19">
        <v>6.0</v>
      </c>
      <c r="H115" s="39" t="str">
        <f t="array" ref="H115">IFERROR(XLOOKUP(D115,'MASTER ITEM LIST'!A:A,'MASTER ITEM LIST'!D:D), "")</f>
        <v>LITER</v>
      </c>
      <c r="I115" s="48">
        <v>895.0</v>
      </c>
      <c r="J115" s="41">
        <f t="shared" si="1"/>
        <v>5370</v>
      </c>
    </row>
    <row r="116" ht="22.5" customHeight="1">
      <c r="A116" s="17">
        <v>46112.0</v>
      </c>
      <c r="B116" s="19"/>
      <c r="C116" s="20" t="s">
        <v>49</v>
      </c>
      <c r="D116" s="42" t="s">
        <v>678</v>
      </c>
      <c r="E116" s="35" t="str">
        <f t="array" ref="E116">IF(D116="", "", XLOOKUP(D116, 'MASTER ITEM LIST'!A:A, 'MASTER ITEM LIST'!B:B, ""))</f>
        <v>NAX NAT-149 TTC DARK MAROON 1L</v>
      </c>
      <c r="F116" s="43" t="s">
        <v>41</v>
      </c>
      <c r="G116" s="19">
        <v>12.0</v>
      </c>
      <c r="H116" s="39" t="str">
        <f t="array" ref="H116">IFERROR(XLOOKUP(D116,'MASTER ITEM LIST'!A:A,'MASTER ITEM LIST'!D:D), "")</f>
        <v>LITER</v>
      </c>
      <c r="I116" s="48">
        <v>1110.0</v>
      </c>
      <c r="J116" s="41">
        <f t="shared" si="1"/>
        <v>13320</v>
      </c>
    </row>
    <row r="117" ht="22.5" customHeight="1">
      <c r="A117" s="17">
        <v>46112.0</v>
      </c>
      <c r="B117" s="19"/>
      <c r="C117" s="20" t="s">
        <v>49</v>
      </c>
      <c r="D117" s="42" t="s">
        <v>681</v>
      </c>
      <c r="E117" s="35" t="str">
        <f t="array" ref="E117">IF(D117="", "", XLOOKUP(D117, 'MASTER ITEM LIST'!A:A, 'MASTER ITEM LIST'!B:B, ""))</f>
        <v>NAX NAT-147 TTC THRENE RED 1L</v>
      </c>
      <c r="F117" s="43" t="s">
        <v>41</v>
      </c>
      <c r="G117" s="19">
        <v>9.0</v>
      </c>
      <c r="H117" s="39" t="str">
        <f t="array" ref="H117">IFERROR(XLOOKUP(D117,'MASTER ITEM LIST'!A:A,'MASTER ITEM LIST'!D:D), "")</f>
        <v>LITER</v>
      </c>
      <c r="I117" s="48">
        <v>1120.0</v>
      </c>
      <c r="J117" s="41">
        <f t="shared" si="1"/>
        <v>10080</v>
      </c>
    </row>
    <row r="118" ht="22.5" customHeight="1">
      <c r="A118" s="17">
        <v>46112.0</v>
      </c>
      <c r="B118" s="19"/>
      <c r="C118" s="20" t="s">
        <v>49</v>
      </c>
      <c r="D118" s="42" t="s">
        <v>686</v>
      </c>
      <c r="E118" s="35" t="str">
        <f t="array" ref="E118">IF(D118="", "", XLOOKUP(D118, 'MASTER ITEM LIST'!A:A, 'MASTER ITEM LIST'!B:B, ""))</f>
        <v>NAX NAT-143 TTC FLAME RED 1L</v>
      </c>
      <c r="F118" s="37" t="s">
        <v>41</v>
      </c>
      <c r="G118" s="31">
        <v>12.0</v>
      </c>
      <c r="H118" s="39" t="str">
        <f t="array" ref="H118">IFERROR(XLOOKUP(D118,'MASTER ITEM LIST'!A:A,'MASTER ITEM LIST'!D:D), "")</f>
        <v>LITER</v>
      </c>
      <c r="I118" s="40">
        <v>1315.0</v>
      </c>
      <c r="J118" s="41">
        <f t="shared" si="1"/>
        <v>15780</v>
      </c>
    </row>
    <row r="119" ht="22.5" customHeight="1">
      <c r="A119" s="17">
        <v>46112.0</v>
      </c>
      <c r="B119" s="19"/>
      <c r="C119" s="20" t="s">
        <v>49</v>
      </c>
      <c r="D119" s="42" t="s">
        <v>689</v>
      </c>
      <c r="E119" s="35" t="str">
        <f t="array" ref="E119">IF(D119="", "", XLOOKUP(D119, 'MASTER ITEM LIST'!A:A, 'MASTER ITEM LIST'!B:B, ""))</f>
        <v>NAX NAT-1305 TTC 211 MICA BASE 1L</v>
      </c>
      <c r="F119" s="37" t="s">
        <v>41</v>
      </c>
      <c r="G119" s="31">
        <v>6.0</v>
      </c>
      <c r="H119" s="39" t="str">
        <f t="array" ref="H119">IFERROR(XLOOKUP(D119,'MASTER ITEM LIST'!A:A,'MASTER ITEM LIST'!D:D), "")</f>
        <v>LITER</v>
      </c>
      <c r="I119" s="40">
        <v>1542.0</v>
      </c>
      <c r="J119" s="41">
        <f t="shared" si="1"/>
        <v>9252</v>
      </c>
    </row>
    <row r="120" ht="22.5" customHeight="1">
      <c r="A120" s="17">
        <v>46112.0</v>
      </c>
      <c r="B120" s="19"/>
      <c r="C120" s="20" t="s">
        <v>49</v>
      </c>
      <c r="D120" s="42" t="s">
        <v>694</v>
      </c>
      <c r="E120" s="35" t="str">
        <f t="array" ref="E120">IF(D120="", "", XLOOKUP(D120, 'MASTER ITEM LIST'!A:A, 'MASTER ITEM LIST'!B:B, ""))</f>
        <v>NAX NAT-1304 TTC CRYSTALLINE ORANGE 1L</v>
      </c>
      <c r="F120" s="37" t="s">
        <v>41</v>
      </c>
      <c r="G120" s="31">
        <v>3.0</v>
      </c>
      <c r="H120" s="39" t="str">
        <f t="array" ref="H120">IFERROR(XLOOKUP(D120,'MASTER ITEM LIST'!A:A,'MASTER ITEM LIST'!D:D), "")</f>
        <v>LITER</v>
      </c>
      <c r="I120" s="40">
        <v>1956.0</v>
      </c>
      <c r="J120" s="41">
        <f t="shared" si="1"/>
        <v>5868</v>
      </c>
    </row>
    <row r="121" ht="22.5" customHeight="1">
      <c r="A121" s="17">
        <v>46112.0</v>
      </c>
      <c r="B121" s="19"/>
      <c r="C121" s="20" t="s">
        <v>49</v>
      </c>
      <c r="D121" s="42" t="s">
        <v>702</v>
      </c>
      <c r="E121" s="35" t="str">
        <f t="array" ref="E121">IF(D121="", "", XLOOKUP(D121, 'MASTER ITEM LIST'!A:A, 'MASTER ITEM LIST'!B:B, ""))</f>
        <v>NAX NAT-1303 TTC OMEGA PEARL 1L</v>
      </c>
      <c r="F121" s="37" t="s">
        <v>41</v>
      </c>
      <c r="G121" s="31">
        <v>6.0</v>
      </c>
      <c r="H121" s="39" t="str">
        <f t="array" ref="H121">IFERROR(XLOOKUP(D121,'MASTER ITEM LIST'!A:A,'MASTER ITEM LIST'!D:D), "")</f>
        <v>LITER</v>
      </c>
      <c r="I121" s="40">
        <v>1956.0</v>
      </c>
      <c r="J121" s="41">
        <f t="shared" si="1"/>
        <v>11736</v>
      </c>
    </row>
    <row r="122" ht="22.5" customHeight="1">
      <c r="A122" s="17">
        <v>46112.0</v>
      </c>
      <c r="B122" s="19"/>
      <c r="C122" s="20" t="s">
        <v>49</v>
      </c>
      <c r="D122" s="42" t="s">
        <v>705</v>
      </c>
      <c r="E122" s="35" t="str">
        <f t="array" ref="E122">IF(D122="", "", XLOOKUP(D122, 'MASTER ITEM LIST'!A:A, 'MASTER ITEM LIST'!B:B, ""))</f>
        <v>NAX NAT-1301 TTC XIRALLIC BLUE MICA 1L</v>
      </c>
      <c r="F122" s="37" t="s">
        <v>41</v>
      </c>
      <c r="G122" s="31">
        <v>5.0</v>
      </c>
      <c r="H122" s="39" t="str">
        <f t="array" ref="H122">IFERROR(XLOOKUP(D122,'MASTER ITEM LIST'!A:A,'MASTER ITEM LIST'!D:D), "")</f>
        <v>LITER</v>
      </c>
      <c r="I122" s="40">
        <v>1956.0</v>
      </c>
      <c r="J122" s="41">
        <f t="shared" si="1"/>
        <v>9780</v>
      </c>
    </row>
    <row r="123" ht="22.5" customHeight="1">
      <c r="A123" s="17">
        <v>46112.0</v>
      </c>
      <c r="B123" s="19"/>
      <c r="C123" s="20" t="s">
        <v>49</v>
      </c>
      <c r="D123" s="42" t="s">
        <v>710</v>
      </c>
      <c r="E123" s="35" t="str">
        <f t="array" ref="E123">IF(D123="", "", XLOOKUP(D123, 'MASTER ITEM LIST'!A:A, 'MASTER ITEM LIST'!B:B, ""))</f>
        <v>NAX NAT-1300 TTC CRYSTALLINE SILVER 1L</v>
      </c>
      <c r="F123" s="37" t="s">
        <v>41</v>
      </c>
      <c r="G123" s="31">
        <v>5.0</v>
      </c>
      <c r="H123" s="39" t="str">
        <f t="array" ref="H123">IFERROR(XLOOKUP(D123,'MASTER ITEM LIST'!A:A,'MASTER ITEM LIST'!D:D), "")</f>
        <v>LITER</v>
      </c>
      <c r="I123" s="40">
        <v>1956.0</v>
      </c>
      <c r="J123" s="41">
        <f t="shared" si="1"/>
        <v>9780</v>
      </c>
    </row>
    <row r="124" ht="22.5" customHeight="1">
      <c r="A124" s="17">
        <v>46112.0</v>
      </c>
      <c r="B124" s="19"/>
      <c r="C124" s="20" t="s">
        <v>49</v>
      </c>
      <c r="D124" s="42" t="s">
        <v>715</v>
      </c>
      <c r="E124" s="35" t="str">
        <f t="array" ref="E124">IF(D124="", "", XLOOKUP(D124, 'MASTER ITEM LIST'!A:A, 'MASTER ITEM LIST'!B:B, ""))</f>
        <v>NAX NAT-1180 TTC OYSTER WHITE MICA 1L</v>
      </c>
      <c r="F124" s="37" t="s">
        <v>41</v>
      </c>
      <c r="G124" s="31">
        <v>6.0</v>
      </c>
      <c r="H124" s="39" t="str">
        <f t="array" ref="H124">IFERROR(XLOOKUP(D124,'MASTER ITEM LIST'!A:A,'MASTER ITEM LIST'!D:D), "")</f>
        <v>LITER</v>
      </c>
      <c r="I124" s="40">
        <v>1543.0</v>
      </c>
      <c r="J124" s="41">
        <f t="shared" si="1"/>
        <v>9258</v>
      </c>
    </row>
    <row r="125" ht="22.5" customHeight="1">
      <c r="A125" s="17">
        <v>46112.0</v>
      </c>
      <c r="B125" s="19"/>
      <c r="C125" s="20" t="s">
        <v>49</v>
      </c>
      <c r="D125" s="42" t="s">
        <v>720</v>
      </c>
      <c r="E125" s="35" t="str">
        <f t="array" ref="E125">IF(D125="", "", XLOOKUP(D125, 'MASTER ITEM LIST'!A:A, 'MASTER ITEM LIST'!B:B, ""))</f>
        <v>NAX NAT-1175 TTC MEDIUM FINE BLUE MICA 1L</v>
      </c>
      <c r="F125" s="37" t="s">
        <v>41</v>
      </c>
      <c r="G125" s="31">
        <v>5.0</v>
      </c>
      <c r="H125" s="39" t="str">
        <f t="array" ref="H125">IFERROR(XLOOKUP(D125,'MASTER ITEM LIST'!A:A,'MASTER ITEM LIST'!D:D), "")</f>
        <v>LITER</v>
      </c>
      <c r="I125" s="40">
        <v>798.0</v>
      </c>
      <c r="J125" s="41">
        <f t="shared" si="1"/>
        <v>3990</v>
      </c>
    </row>
    <row r="126" ht="22.5" customHeight="1">
      <c r="A126" s="17">
        <v>46112.0</v>
      </c>
      <c r="B126" s="19"/>
      <c r="C126" s="20" t="s">
        <v>49</v>
      </c>
      <c r="D126" s="42" t="s">
        <v>723</v>
      </c>
      <c r="E126" s="35" t="str">
        <f t="array" ref="E126">IF(D126="", "", XLOOKUP(D126, 'MASTER ITEM LIST'!A:A, 'MASTER ITEM LIST'!B:B, ""))</f>
        <v>NAX NAT-1173 TTC EXTRA FINE WHITE MICA 1L</v>
      </c>
      <c r="F126" s="37" t="s">
        <v>41</v>
      </c>
      <c r="G126" s="31">
        <v>6.0</v>
      </c>
      <c r="H126" s="39" t="str">
        <f t="array" ref="H126">IFERROR(XLOOKUP(D126,'MASTER ITEM LIST'!A:A,'MASTER ITEM LIST'!D:D), "")</f>
        <v>LITER</v>
      </c>
      <c r="I126" s="40">
        <v>1599.0</v>
      </c>
      <c r="J126" s="41">
        <f t="shared" si="1"/>
        <v>9594</v>
      </c>
    </row>
    <row r="127" ht="22.5" customHeight="1">
      <c r="A127" s="17">
        <v>46112.0</v>
      </c>
      <c r="B127" s="19"/>
      <c r="C127" s="20" t="s">
        <v>49</v>
      </c>
      <c r="D127" s="42" t="s">
        <v>725</v>
      </c>
      <c r="E127" s="35" t="str">
        <f t="array" ref="E127">IF(D127="", "", XLOOKUP(D127, 'MASTER ITEM LIST'!A:A, 'MASTER ITEM LIST'!B:B, ""))</f>
        <v>NAX NAT-1172 TTC BRIGHT GREEN MICA 1L</v>
      </c>
      <c r="F127" s="37" t="s">
        <v>41</v>
      </c>
      <c r="G127" s="31">
        <v>6.0</v>
      </c>
      <c r="H127" s="39" t="str">
        <f t="array" ref="H127">IFERROR(XLOOKUP(D127,'MASTER ITEM LIST'!A:A,'MASTER ITEM LIST'!D:D), "")</f>
        <v>LITER</v>
      </c>
      <c r="I127" s="40">
        <v>910.0</v>
      </c>
      <c r="J127" s="41">
        <f t="shared" si="1"/>
        <v>5460</v>
      </c>
    </row>
    <row r="128" ht="22.5" customHeight="1">
      <c r="A128" s="17">
        <v>46112.0</v>
      </c>
      <c r="B128" s="19"/>
      <c r="C128" s="20" t="s">
        <v>49</v>
      </c>
      <c r="D128" s="42" t="s">
        <v>729</v>
      </c>
      <c r="E128" s="35" t="str">
        <f t="array" ref="E128">IF(D128="", "", XLOOKUP(D128, 'MASTER ITEM LIST'!A:A, 'MASTER ITEM LIST'!B:B, ""))</f>
        <v>NAX NAT-1171 TTC ULTRA FINE BLUE MICA 1L</v>
      </c>
      <c r="F128" s="37" t="s">
        <v>41</v>
      </c>
      <c r="G128" s="31">
        <v>6.0</v>
      </c>
      <c r="H128" s="39" t="str">
        <f t="array" ref="H128">IFERROR(XLOOKUP(D128,'MASTER ITEM LIST'!A:A,'MASTER ITEM LIST'!D:D), "")</f>
        <v>LITER</v>
      </c>
      <c r="I128" s="40">
        <v>840.0</v>
      </c>
      <c r="J128" s="41">
        <f t="shared" si="1"/>
        <v>5040</v>
      </c>
    </row>
    <row r="129" ht="22.5" customHeight="1">
      <c r="A129" s="17">
        <v>46112.0</v>
      </c>
      <c r="B129" s="19"/>
      <c r="C129" s="20" t="s">
        <v>49</v>
      </c>
      <c r="D129" s="42" t="s">
        <v>731</v>
      </c>
      <c r="E129" s="35" t="str">
        <f t="array" ref="E129">IF(D129="", "", XLOOKUP(D129, 'MASTER ITEM LIST'!A:A, 'MASTER ITEM LIST'!B:B, ""))</f>
        <v>NAX NAT-1167 TTC PALE GREEN MICA 1L</v>
      </c>
      <c r="F129" s="37" t="s">
        <v>41</v>
      </c>
      <c r="G129" s="31">
        <v>6.0</v>
      </c>
      <c r="H129" s="39" t="str">
        <f t="array" ref="H129">IFERROR(XLOOKUP(D129,'MASTER ITEM LIST'!A:A,'MASTER ITEM LIST'!D:D), "")</f>
        <v>LITER</v>
      </c>
      <c r="I129" s="40">
        <v>840.0</v>
      </c>
      <c r="J129" s="41">
        <f t="shared" si="1"/>
        <v>5040</v>
      </c>
    </row>
    <row r="130" ht="22.5" customHeight="1">
      <c r="A130" s="17">
        <v>46112.0</v>
      </c>
      <c r="B130" s="19"/>
      <c r="C130" s="20" t="s">
        <v>49</v>
      </c>
      <c r="D130" s="42" t="s">
        <v>733</v>
      </c>
      <c r="E130" s="35" t="str">
        <f t="array" ref="E130">IF(D130="", "", XLOOKUP(D130, 'MASTER ITEM LIST'!A:A, 'MASTER ITEM LIST'!B:B, ""))</f>
        <v>NAX NAT-1166 TTC EARTH BROWN MICA 1L</v>
      </c>
      <c r="F130" s="37" t="s">
        <v>41</v>
      </c>
      <c r="G130" s="31">
        <v>6.0</v>
      </c>
      <c r="H130" s="39" t="str">
        <f t="array" ref="H130">IFERROR(XLOOKUP(D130,'MASTER ITEM LIST'!A:A,'MASTER ITEM LIST'!D:D), "")</f>
        <v>LITER</v>
      </c>
      <c r="I130" s="40">
        <v>886.0</v>
      </c>
      <c r="J130" s="41">
        <f t="shared" si="1"/>
        <v>5316</v>
      </c>
    </row>
    <row r="131" ht="22.5" customHeight="1">
      <c r="A131" s="17">
        <v>46112.0</v>
      </c>
      <c r="B131" s="19"/>
      <c r="C131" s="20" t="s">
        <v>49</v>
      </c>
      <c r="D131" s="42" t="s">
        <v>735</v>
      </c>
      <c r="E131" s="35" t="str">
        <f t="array" ref="E131">IF(D131="", "", XLOOKUP(D131, 'MASTER ITEM LIST'!A:A, 'MASTER ITEM LIST'!B:B, ""))</f>
        <v>NAX NAT-1165 TTC HI-LITE RED 1L</v>
      </c>
      <c r="F131" s="37" t="s">
        <v>41</v>
      </c>
      <c r="G131" s="31">
        <v>1.0</v>
      </c>
      <c r="H131" s="39" t="str">
        <f t="array" ref="H131">IFERROR(XLOOKUP(D131,'MASTER ITEM LIST'!A:A,'MASTER ITEM LIST'!D:D), "")</f>
        <v>LITER</v>
      </c>
      <c r="I131" s="40">
        <v>780.0</v>
      </c>
      <c r="J131" s="41">
        <f t="shared" si="1"/>
        <v>780</v>
      </c>
    </row>
    <row r="132" ht="22.5" customHeight="1">
      <c r="A132" s="17">
        <v>46112.0</v>
      </c>
      <c r="B132" s="19"/>
      <c r="C132" s="20" t="s">
        <v>49</v>
      </c>
      <c r="D132" s="42" t="s">
        <v>737</v>
      </c>
      <c r="E132" s="35" t="str">
        <f t="array" ref="E132">IF(D132="", "", XLOOKUP(D132, 'MASTER ITEM LIST'!A:A, 'MASTER ITEM LIST'!B:B, ""))</f>
        <v>NAX NAT-1164 TTC BRIGHT GOLD MICA 1L</v>
      </c>
      <c r="F132" s="37" t="s">
        <v>41</v>
      </c>
      <c r="G132" s="31">
        <v>3.0</v>
      </c>
      <c r="H132" s="39" t="str">
        <f t="array" ref="H132">IFERROR(XLOOKUP(D132,'MASTER ITEM LIST'!A:A,'MASTER ITEM LIST'!D:D), "")</f>
        <v>LITER</v>
      </c>
      <c r="I132" s="40">
        <v>640.0</v>
      </c>
      <c r="J132" s="41">
        <f t="shared" si="1"/>
        <v>1920</v>
      </c>
    </row>
    <row r="133" ht="22.5" customHeight="1">
      <c r="A133" s="17">
        <v>46112.0</v>
      </c>
      <c r="B133" s="19"/>
      <c r="C133" s="20" t="s">
        <v>49</v>
      </c>
      <c r="D133" s="42" t="s">
        <v>739</v>
      </c>
      <c r="E133" s="35" t="str">
        <f t="array" ref="E133">IF(D133="", "", XLOOKUP(D133, 'MASTER ITEM LIST'!A:A, 'MASTER ITEM LIST'!B:B, ""))</f>
        <v>NAX NAT-1163 TTC FINE GREEN MICA 1L</v>
      </c>
      <c r="F133" s="37" t="s">
        <v>41</v>
      </c>
      <c r="G133" s="31">
        <v>5.0</v>
      </c>
      <c r="H133" s="39" t="str">
        <f t="array" ref="H133">IFERROR(XLOOKUP(D133,'MASTER ITEM LIST'!A:A,'MASTER ITEM LIST'!D:D), "")</f>
        <v>LITER</v>
      </c>
      <c r="I133" s="40">
        <v>780.0</v>
      </c>
      <c r="J133" s="41">
        <f t="shared" si="1"/>
        <v>3900</v>
      </c>
    </row>
    <row r="134" ht="22.5" customHeight="1">
      <c r="A134" s="17">
        <v>46112.0</v>
      </c>
      <c r="B134" s="19"/>
      <c r="C134" s="20" t="s">
        <v>49</v>
      </c>
      <c r="D134" s="42" t="s">
        <v>742</v>
      </c>
      <c r="E134" s="35" t="str">
        <f t="array" ref="E134">IF(D134="", "", XLOOKUP(D134, 'MASTER ITEM LIST'!A:A, 'MASTER ITEM LIST'!B:B, ""))</f>
        <v>NAX NAT-1160 TTC RED COPPER MICA 1L</v>
      </c>
      <c r="F134" s="37" t="s">
        <v>41</v>
      </c>
      <c r="G134" s="31">
        <v>6.0</v>
      </c>
      <c r="H134" s="39" t="str">
        <f t="array" ref="H134">IFERROR(XLOOKUP(D134,'MASTER ITEM LIST'!A:A,'MASTER ITEM LIST'!D:D), "")</f>
        <v>LITER</v>
      </c>
      <c r="I134" s="40">
        <v>694.0</v>
      </c>
      <c r="J134" s="41">
        <f t="shared" si="1"/>
        <v>4164</v>
      </c>
    </row>
    <row r="135" ht="22.5" customHeight="1">
      <c r="A135" s="17">
        <v>46112.0</v>
      </c>
      <c r="B135" s="19"/>
      <c r="C135" s="20" t="s">
        <v>49</v>
      </c>
      <c r="D135" s="42" t="s">
        <v>744</v>
      </c>
      <c r="E135" s="35" t="str">
        <f t="array" ref="E135">IF(D135="", "", XLOOKUP(D135, 'MASTER ITEM LIST'!A:A, 'MASTER ITEM LIST'!B:B, ""))</f>
        <v>NAX NAT-1158 TTC SUPER FINE COPPER MICA 1L</v>
      </c>
      <c r="F135" s="37" t="s">
        <v>41</v>
      </c>
      <c r="G135" s="31">
        <v>4.0</v>
      </c>
      <c r="H135" s="39" t="str">
        <f t="array" ref="H135">IFERROR(XLOOKUP(D135,'MASTER ITEM LIST'!A:A,'MASTER ITEM LIST'!D:D), "")</f>
        <v>LITER</v>
      </c>
      <c r="I135" s="40">
        <v>780.0</v>
      </c>
      <c r="J135" s="41">
        <f t="shared" si="1"/>
        <v>3120</v>
      </c>
    </row>
    <row r="136" ht="22.5" customHeight="1">
      <c r="A136" s="17">
        <v>46112.0</v>
      </c>
      <c r="B136" s="19"/>
      <c r="C136" s="20" t="s">
        <v>49</v>
      </c>
      <c r="D136" s="42" t="s">
        <v>748</v>
      </c>
      <c r="E136" s="35" t="str">
        <f t="array" ref="E136">IF(D136="", "", XLOOKUP(D136, 'MASTER ITEM LIST'!A:A, 'MASTER ITEM LIST'!B:B, ""))</f>
        <v>NAX NAT-1157 TTC BRIGHT COPPER MICA 1L</v>
      </c>
      <c r="F136" s="37" t="s">
        <v>41</v>
      </c>
      <c r="G136" s="31">
        <v>3.0</v>
      </c>
      <c r="H136" s="39" t="str">
        <f t="array" ref="H136">IFERROR(XLOOKUP(D136,'MASTER ITEM LIST'!A:A,'MASTER ITEM LIST'!D:D), "")</f>
        <v>LITER</v>
      </c>
      <c r="I136" s="40">
        <v>780.0</v>
      </c>
      <c r="J136" s="41">
        <f t="shared" si="1"/>
        <v>2340</v>
      </c>
    </row>
    <row r="137" ht="22.5" customHeight="1">
      <c r="A137" s="17">
        <v>46112.0</v>
      </c>
      <c r="B137" s="19"/>
      <c r="C137" s="20" t="s">
        <v>49</v>
      </c>
      <c r="D137" s="42" t="s">
        <v>751</v>
      </c>
      <c r="E137" s="35" t="str">
        <f t="array" ref="E137">IF(D137="", "", XLOOKUP(D137, 'MASTER ITEM LIST'!A:A, 'MASTER ITEM LIST'!B:B, ""))</f>
        <v>NAX NAT-1153 TTC SUPER RED MICA 1L</v>
      </c>
      <c r="F137" s="37" t="s">
        <v>41</v>
      </c>
      <c r="G137" s="31">
        <v>2.0</v>
      </c>
      <c r="H137" s="39" t="str">
        <f t="array" ref="H137">IFERROR(XLOOKUP(D137,'MASTER ITEM LIST'!A:A,'MASTER ITEM LIST'!D:D), "")</f>
        <v>LITER</v>
      </c>
      <c r="I137" s="40">
        <v>780.0</v>
      </c>
      <c r="J137" s="41">
        <f t="shared" si="1"/>
        <v>1560</v>
      </c>
    </row>
    <row r="138" ht="22.5" customHeight="1">
      <c r="A138" s="17">
        <v>46112.0</v>
      </c>
      <c r="B138" s="19"/>
      <c r="C138" s="20" t="s">
        <v>49</v>
      </c>
      <c r="D138" s="42" t="s">
        <v>754</v>
      </c>
      <c r="E138" s="35" t="str">
        <f t="array" ref="E138">IF(D138="", "", XLOOKUP(D138, 'MASTER ITEM LIST'!A:A, 'MASTER ITEM LIST'!B:B, ""))</f>
        <v>NAX NAT-1114 TTC GREEN MICA 1L</v>
      </c>
      <c r="F138" s="37" t="s">
        <v>41</v>
      </c>
      <c r="G138" s="31">
        <v>4.0</v>
      </c>
      <c r="H138" s="39" t="str">
        <f t="array" ref="H138">IFERROR(XLOOKUP(D138,'MASTER ITEM LIST'!A:A,'MASTER ITEM LIST'!D:D), "")</f>
        <v>LITER</v>
      </c>
      <c r="I138" s="40">
        <v>661.0</v>
      </c>
      <c r="J138" s="41">
        <f t="shared" si="1"/>
        <v>2644</v>
      </c>
    </row>
    <row r="139" ht="22.5" customHeight="1">
      <c r="A139" s="17">
        <v>46112.0</v>
      </c>
      <c r="B139" s="19"/>
      <c r="C139" s="20" t="s">
        <v>49</v>
      </c>
      <c r="D139" s="42" t="s">
        <v>756</v>
      </c>
      <c r="E139" s="35" t="str">
        <f t="array" ref="E139">IF(D139="", "", XLOOKUP(D139, 'MASTER ITEM LIST'!A:A, 'MASTER ITEM LIST'!B:B, ""))</f>
        <v>NAX NAT-1113 TTC FINE BLUE MICA 1L</v>
      </c>
      <c r="F139" s="37" t="s">
        <v>41</v>
      </c>
      <c r="G139" s="31">
        <v>2.0</v>
      </c>
      <c r="H139" s="39" t="str">
        <f t="array" ref="H139">IFERROR(XLOOKUP(D139,'MASTER ITEM LIST'!A:A,'MASTER ITEM LIST'!D:D), "")</f>
        <v>LITER</v>
      </c>
      <c r="I139" s="40">
        <v>661.0</v>
      </c>
      <c r="J139" s="41">
        <f t="shared" si="1"/>
        <v>1322</v>
      </c>
    </row>
    <row r="140" ht="22.5" customHeight="1">
      <c r="A140" s="17">
        <v>46112.0</v>
      </c>
      <c r="B140" s="19"/>
      <c r="C140" s="20" t="s">
        <v>49</v>
      </c>
      <c r="D140" s="42" t="s">
        <v>759</v>
      </c>
      <c r="E140" s="35" t="str">
        <f t="array" ref="E140">IF(D140="", "", XLOOKUP(D140, 'MASTER ITEM LIST'!A:A, 'MASTER ITEM LIST'!B:B, ""))</f>
        <v>NAX NAT-1110 TTC BRIGHT WHITE 4L</v>
      </c>
      <c r="F140" s="37" t="s">
        <v>41</v>
      </c>
      <c r="G140" s="31">
        <v>5.0</v>
      </c>
      <c r="H140" s="39" t="str">
        <f t="array" ref="H140">IFERROR(XLOOKUP(D140,'MASTER ITEM LIST'!A:A,'MASTER ITEM LIST'!D:D), "")</f>
        <v>GAL</v>
      </c>
      <c r="I140" s="40">
        <v>2400.0</v>
      </c>
      <c r="J140" s="41">
        <f t="shared" si="1"/>
        <v>12000</v>
      </c>
    </row>
    <row r="141" ht="22.5" customHeight="1">
      <c r="A141" s="17">
        <v>46112.0</v>
      </c>
      <c r="B141" s="19"/>
      <c r="C141" s="20" t="s">
        <v>49</v>
      </c>
      <c r="D141" s="42" t="s">
        <v>762</v>
      </c>
      <c r="E141" s="35" t="str">
        <f t="array" ref="E141">IF(D141="", "", XLOOKUP(D141, 'MASTER ITEM LIST'!A:A, 'MASTER ITEM LIST'!B:B, ""))</f>
        <v>NAX NAT-1110 TTC BRIGHT WHITE 1L</v>
      </c>
      <c r="F141" s="37" t="s">
        <v>41</v>
      </c>
      <c r="G141" s="31">
        <v>6.0</v>
      </c>
      <c r="H141" s="39" t="str">
        <f t="array" ref="H141">IFERROR(XLOOKUP(D141,'MASTER ITEM LIST'!A:A,'MASTER ITEM LIST'!D:D), "")</f>
        <v>LITER</v>
      </c>
      <c r="I141" s="40">
        <v>635.0</v>
      </c>
      <c r="J141" s="41">
        <f t="shared" si="1"/>
        <v>3810</v>
      </c>
    </row>
    <row r="142" ht="22.5" customHeight="1">
      <c r="A142" s="17">
        <v>46112.0</v>
      </c>
      <c r="B142" s="19"/>
      <c r="C142" s="20" t="s">
        <v>49</v>
      </c>
      <c r="D142" s="42" t="s">
        <v>764</v>
      </c>
      <c r="E142" s="35" t="str">
        <f t="array" ref="E142">IF(D142="", "", XLOOKUP(D142, 'MASTER ITEM LIST'!A:A, 'MASTER ITEM LIST'!B:B, ""))</f>
        <v>NAX NAT-1107 TTC FINE RED MICA 1L</v>
      </c>
      <c r="F142" s="37" t="s">
        <v>41</v>
      </c>
      <c r="G142" s="31">
        <v>6.0</v>
      </c>
      <c r="H142" s="39" t="str">
        <f t="array" ref="H142">IFERROR(XLOOKUP(D142,'MASTER ITEM LIST'!A:A,'MASTER ITEM LIST'!D:D), "")</f>
        <v>LITER</v>
      </c>
      <c r="I142" s="40">
        <v>779.0</v>
      </c>
      <c r="J142" s="41">
        <f t="shared" si="1"/>
        <v>4674</v>
      </c>
    </row>
    <row r="143" ht="22.5" customHeight="1">
      <c r="A143" s="17">
        <v>46112.0</v>
      </c>
      <c r="B143" s="19"/>
      <c r="C143" s="20" t="s">
        <v>49</v>
      </c>
      <c r="D143" s="42" t="s">
        <v>767</v>
      </c>
      <c r="E143" s="35" t="str">
        <f t="array" ref="E143">IF(D143="", "", XLOOKUP(D143, 'MASTER ITEM LIST'!A:A, 'MASTER ITEM LIST'!B:B, ""))</f>
        <v>NAX NAT-1106 TTC PEARL BLUE MICA 1L</v>
      </c>
      <c r="F143" s="37" t="s">
        <v>41</v>
      </c>
      <c r="G143" s="31">
        <v>3.0</v>
      </c>
      <c r="H143" s="39" t="str">
        <f t="array" ref="H143">IFERROR(XLOOKUP(D143,'MASTER ITEM LIST'!A:A,'MASTER ITEM LIST'!D:D), "")</f>
        <v>LITER</v>
      </c>
      <c r="I143" s="40">
        <v>863.0</v>
      </c>
      <c r="J143" s="41">
        <f t="shared" si="1"/>
        <v>2589</v>
      </c>
    </row>
    <row r="144" ht="22.5" customHeight="1">
      <c r="A144" s="17">
        <v>46112.0</v>
      </c>
      <c r="B144" s="19"/>
      <c r="C144" s="20" t="s">
        <v>49</v>
      </c>
      <c r="D144" s="42" t="s">
        <v>771</v>
      </c>
      <c r="E144" s="35" t="str">
        <f t="array" ref="E144">IF(D144="", "", XLOOKUP(D144, 'MASTER ITEM LIST'!A:A, 'MASTER ITEM LIST'!B:B, ""))</f>
        <v>NAX NAT-103 TTC OPAL 1L</v>
      </c>
      <c r="F144" s="37" t="s">
        <v>41</v>
      </c>
      <c r="G144" s="31">
        <v>6.0</v>
      </c>
      <c r="H144" s="39" t="str">
        <f t="array" ref="H144">IFERROR(XLOOKUP(D144,'MASTER ITEM LIST'!A:A,'MASTER ITEM LIST'!D:D), "")</f>
        <v>LITER</v>
      </c>
      <c r="I144" s="40">
        <v>1215.0</v>
      </c>
      <c r="J144" s="41">
        <f t="shared" si="1"/>
        <v>7290</v>
      </c>
    </row>
    <row r="145" ht="22.5" customHeight="1">
      <c r="A145" s="17">
        <v>46112.0</v>
      </c>
      <c r="B145" s="19"/>
      <c r="C145" s="20" t="s">
        <v>49</v>
      </c>
      <c r="D145" s="42" t="s">
        <v>304</v>
      </c>
      <c r="E145" s="35" t="str">
        <f t="array" ref="E145">IF(D145="", "", XLOOKUP(D145, 'MASTER ITEM LIST'!A:A, 'MASTER ITEM LIST'!B:B, ""))</f>
        <v>NAX NAT-100 TTC WHITE 4L</v>
      </c>
      <c r="F145" s="37" t="s">
        <v>41</v>
      </c>
      <c r="G145" s="31">
        <v>2.0</v>
      </c>
      <c r="H145" s="39" t="str">
        <f t="array" ref="H145">IFERROR(XLOOKUP(D145,'MASTER ITEM LIST'!A:A,'MASTER ITEM LIST'!D:D), "")</f>
        <v>GAL</v>
      </c>
      <c r="I145" s="40">
        <v>1500.0</v>
      </c>
      <c r="J145" s="41">
        <f t="shared" si="1"/>
        <v>3000</v>
      </c>
    </row>
    <row r="146" ht="22.5" customHeight="1">
      <c r="A146" s="17">
        <v>46112.0</v>
      </c>
      <c r="B146" s="19"/>
      <c r="C146" s="20" t="s">
        <v>49</v>
      </c>
      <c r="D146" s="42" t="s">
        <v>776</v>
      </c>
      <c r="E146" s="35" t="str">
        <f t="array" ref="E146">IF(D146="", "", XLOOKUP(D146, 'MASTER ITEM LIST'!A:A, 'MASTER ITEM LIST'!B:B, ""))</f>
        <v>METALGUARD EPOXY PRIMER BLACK WITH HARDENER 4L</v>
      </c>
      <c r="F146" s="37" t="s">
        <v>41</v>
      </c>
      <c r="G146" s="31">
        <v>10.5</v>
      </c>
      <c r="H146" s="39" t="str">
        <f t="array" ref="H146">IFERROR(XLOOKUP(D146,'MASTER ITEM LIST'!A:A,'MASTER ITEM LIST'!D:D), "")</f>
        <v>GAL</v>
      </c>
      <c r="I146" s="40">
        <v>710.0</v>
      </c>
      <c r="J146" s="41">
        <f t="shared" si="1"/>
        <v>7455</v>
      </c>
    </row>
    <row r="147" ht="22.5" customHeight="1">
      <c r="A147" s="17">
        <v>46112.0</v>
      </c>
      <c r="B147" s="19"/>
      <c r="C147" s="20" t="s">
        <v>49</v>
      </c>
      <c r="D147" s="42" t="s">
        <v>779</v>
      </c>
      <c r="E147" s="35" t="str">
        <f t="array" ref="E147">IF(D147="", "", XLOOKUP(D147, 'MASTER ITEM LIST'!A:A, 'MASTER ITEM LIST'!B:B, ""))</f>
        <v>METALGUARD EPOXY PRIMER GRAY WITH HARDENER 4L</v>
      </c>
      <c r="F147" s="37" t="s">
        <v>41</v>
      </c>
      <c r="G147" s="31">
        <v>7.25</v>
      </c>
      <c r="H147" s="39" t="str">
        <f t="array" ref="H147">IFERROR(XLOOKUP(D147,'MASTER ITEM LIST'!A:A,'MASTER ITEM LIST'!D:D), "")</f>
        <v>GAL</v>
      </c>
      <c r="I147" s="40">
        <v>685.0</v>
      </c>
      <c r="J147" s="41">
        <f t="shared" si="1"/>
        <v>4966.25</v>
      </c>
    </row>
    <row r="148" ht="22.5" customHeight="1">
      <c r="A148" s="17">
        <v>46112.0</v>
      </c>
      <c r="B148" s="19"/>
      <c r="C148" s="20" t="s">
        <v>49</v>
      </c>
      <c r="D148" s="42" t="s">
        <v>782</v>
      </c>
      <c r="E148" s="35" t="str">
        <f t="array" ref="E148">IF(D148="", "", XLOOKUP(D148, 'MASTER ITEM LIST'!A:A, 'MASTER ITEM LIST'!B:B, ""))</f>
        <v>METALGUARD EPOXY PRIMER RED OXIDE WITH HARDENER 1L</v>
      </c>
      <c r="F148" s="37" t="s">
        <v>41</v>
      </c>
      <c r="G148" s="31">
        <v>30.0</v>
      </c>
      <c r="H148" s="39" t="str">
        <f t="array" ref="H148">IFERROR(XLOOKUP(D148,'MASTER ITEM LIST'!A:A,'MASTER ITEM LIST'!D:D), "")</f>
        <v>LITER</v>
      </c>
      <c r="I148" s="40">
        <v>193.0</v>
      </c>
      <c r="J148" s="41">
        <f t="shared" si="1"/>
        <v>5790</v>
      </c>
    </row>
    <row r="149" ht="22.5" customHeight="1">
      <c r="A149" s="17">
        <v>46112.0</v>
      </c>
      <c r="B149" s="19"/>
      <c r="C149" s="20" t="s">
        <v>49</v>
      </c>
      <c r="D149" s="42" t="s">
        <v>604</v>
      </c>
      <c r="E149" s="35" t="str">
        <f t="array" ref="E149">IF(D149="", "", XLOOKUP(D149, 'MASTER ITEM LIST'!A:A, 'MASTER ITEM LIST'!B:B, ""))</f>
        <v>METALGUARD EPOXY PRIMER WHITE WITH HARDENER 4L</v>
      </c>
      <c r="F149" s="37" t="s">
        <v>41</v>
      </c>
      <c r="G149" s="31">
        <v>6.57</v>
      </c>
      <c r="H149" s="39" t="str">
        <f t="array" ref="H149">IFERROR(XLOOKUP(D149,'MASTER ITEM LIST'!A:A,'MASTER ITEM LIST'!D:D), "")</f>
        <v>GAL</v>
      </c>
      <c r="I149" s="40">
        <v>710.0</v>
      </c>
      <c r="J149" s="41">
        <f t="shared" si="1"/>
        <v>4664.7</v>
      </c>
    </row>
    <row r="150" ht="22.5" customHeight="1">
      <c r="A150" s="17">
        <v>46112.0</v>
      </c>
      <c r="B150" s="19"/>
      <c r="C150" s="20" t="s">
        <v>49</v>
      </c>
      <c r="D150" s="42" t="s">
        <v>452</v>
      </c>
      <c r="E150" s="35" t="str">
        <f t="array" ref="E150">IF(D150="", "", XLOOKUP(D150, 'MASTER ITEM LIST'!A:A, 'MASTER ITEM LIST'!B:B, ""))</f>
        <v>NIPPON DOU CLASSIC SG 715 WHITE 5L</v>
      </c>
      <c r="F150" s="37" t="s">
        <v>41</v>
      </c>
      <c r="G150" s="31">
        <v>5.0</v>
      </c>
      <c r="H150" s="39" t="str">
        <f t="array" ref="H150">IFERROR(XLOOKUP(D150,'MASTER ITEM LIST'!A:A,'MASTER ITEM LIST'!D:D), "")</f>
        <v>GAL</v>
      </c>
      <c r="I150" s="40">
        <v>828.0</v>
      </c>
      <c r="J150" s="41">
        <f t="shared" si="1"/>
        <v>4140</v>
      </c>
    </row>
    <row r="151" ht="22.5" customHeight="1">
      <c r="A151" s="17">
        <v>46112.0</v>
      </c>
      <c r="B151" s="19"/>
      <c r="C151" s="20" t="s">
        <v>49</v>
      </c>
      <c r="D151" s="42" t="s">
        <v>620</v>
      </c>
      <c r="E151" s="35" t="str">
        <f t="array" ref="E151">IF(D151="", "", XLOOKUP(D151, 'MASTER ITEM LIST'!A:A, 'MASTER ITEM LIST'!B:B, ""))</f>
        <v>NIPPON DOU CLASSIC SG WHITE 715 15L</v>
      </c>
      <c r="F151" s="37" t="s">
        <v>41</v>
      </c>
      <c r="G151" s="31">
        <v>2.0</v>
      </c>
      <c r="H151" s="39" t="str">
        <f t="array" ref="H151">IFERROR(XLOOKUP(D151,'MASTER ITEM LIST'!A:A,'MASTER ITEM LIST'!D:D), "")</f>
        <v>PAIL</v>
      </c>
      <c r="I151" s="40">
        <v>2680.0</v>
      </c>
      <c r="J151" s="41">
        <f t="shared" si="1"/>
        <v>5360</v>
      </c>
    </row>
    <row r="152" ht="22.5" customHeight="1">
      <c r="A152" s="17">
        <v>46112.0</v>
      </c>
      <c r="B152" s="19"/>
      <c r="C152" s="20" t="s">
        <v>49</v>
      </c>
      <c r="D152" s="42" t="s">
        <v>646</v>
      </c>
      <c r="E152" s="35" t="str">
        <f t="array" ref="E152">IF(D152="", "", XLOOKUP(D152, 'MASTER ITEM LIST'!A:A, 'MASTER ITEM LIST'!B:B, ""))</f>
        <v>NIPPON DOU CLASSIC FLAT WHITE 701 5L</v>
      </c>
      <c r="F152" s="37" t="s">
        <v>41</v>
      </c>
      <c r="G152" s="31">
        <v>3.0</v>
      </c>
      <c r="H152" s="39" t="str">
        <f t="array" ref="H152">IFERROR(XLOOKUP(D152,'MASTER ITEM LIST'!A:A,'MASTER ITEM LIST'!D:D), "")</f>
        <v>GAL</v>
      </c>
      <c r="I152" s="40">
        <v>630.0</v>
      </c>
      <c r="J152" s="41">
        <f t="shared" si="1"/>
        <v>1890</v>
      </c>
    </row>
    <row r="153" ht="22.5" customHeight="1">
      <c r="A153" s="17">
        <v>46112.0</v>
      </c>
      <c r="B153" s="19"/>
      <c r="C153" s="20" t="s">
        <v>49</v>
      </c>
      <c r="D153" s="42" t="s">
        <v>649</v>
      </c>
      <c r="E153" s="35" t="str">
        <f t="array" ref="E153">IF(D153="", "", XLOOKUP(D153, 'MASTER ITEM LIST'!A:A, 'MASTER ITEM LIST'!B:B, ""))</f>
        <v>NIPPON DOU CLASSIC FLAT WHITE 701 1L</v>
      </c>
      <c r="F153" s="37" t="s">
        <v>41</v>
      </c>
      <c r="G153" s="31">
        <v>8.0</v>
      </c>
      <c r="H153" s="39" t="str">
        <f t="array" ref="H153">IFERROR(XLOOKUP(D153,'MASTER ITEM LIST'!A:A,'MASTER ITEM LIST'!D:D), "")</f>
        <v>LITER</v>
      </c>
      <c r="I153" s="40">
        <v>165.0</v>
      </c>
      <c r="J153" s="41">
        <f t="shared" si="1"/>
        <v>1320</v>
      </c>
    </row>
    <row r="154" ht="22.5" customHeight="1">
      <c r="A154" s="17">
        <v>46112.0</v>
      </c>
      <c r="B154" s="19"/>
      <c r="C154" s="20" t="s">
        <v>49</v>
      </c>
      <c r="D154" s="42" t="s">
        <v>651</v>
      </c>
      <c r="E154" s="35" t="str">
        <f t="array" ref="E154">IF(D154="", "", XLOOKUP(D154, 'MASTER ITEM LIST'!A:A, 'MASTER ITEM LIST'!B:B, ""))</f>
        <v>NIPPON DOU CLASSIC FLAT WHITE 701 15L</v>
      </c>
      <c r="F154" s="37" t="s">
        <v>41</v>
      </c>
      <c r="G154" s="31">
        <v>4.0</v>
      </c>
      <c r="H154" s="39" t="str">
        <f t="array" ref="H154">IFERROR(XLOOKUP(D154,'MASTER ITEM LIST'!A:A,'MASTER ITEM LIST'!D:D), "")</f>
        <v>PAIL</v>
      </c>
      <c r="I154" s="40">
        <v>2130.0</v>
      </c>
      <c r="J154" s="41">
        <f t="shared" si="1"/>
        <v>8520</v>
      </c>
    </row>
    <row r="155" ht="22.5" customHeight="1">
      <c r="A155" s="17">
        <v>46112.0</v>
      </c>
      <c r="B155" s="19"/>
      <c r="C155" s="20" t="s">
        <v>49</v>
      </c>
      <c r="D155" s="42" t="s">
        <v>330</v>
      </c>
      <c r="E155" s="35" t="str">
        <f t="array" ref="E155">IF(D155="", "", XLOOKUP(D155, 'MASTER ITEM LIST'!A:A, 'MASTER ITEM LIST'!B:B, ""))</f>
        <v>Q-SHIELD EXTRA HG-710 GLOSS WHITE 5L</v>
      </c>
      <c r="F155" s="37" t="s">
        <v>41</v>
      </c>
      <c r="G155" s="31">
        <v>17.0</v>
      </c>
      <c r="H155" s="39" t="str">
        <f t="array" ref="H155">IFERROR(XLOOKUP(D155,'MASTER ITEM LIST'!A:A,'MASTER ITEM LIST'!D:D), "")</f>
        <v>GAL</v>
      </c>
      <c r="I155" s="40">
        <v>851.0</v>
      </c>
      <c r="J155" s="41">
        <f t="shared" si="1"/>
        <v>14467</v>
      </c>
    </row>
    <row r="156" ht="22.5" customHeight="1">
      <c r="A156" s="17">
        <v>46112.0</v>
      </c>
      <c r="B156" s="19"/>
      <c r="C156" s="20" t="s">
        <v>49</v>
      </c>
      <c r="D156" s="42" t="s">
        <v>341</v>
      </c>
      <c r="E156" s="35" t="str">
        <f t="array" ref="E156">IF(D156="", "", XLOOKUP(D156, 'MASTER ITEM LIST'!A:A, 'MASTER ITEM LIST'!B:B, ""))</f>
        <v>Q-SHIELD EXTRA HG-710 GLOSS WHITE 15L</v>
      </c>
      <c r="F156" s="37" t="s">
        <v>41</v>
      </c>
      <c r="G156" s="31">
        <v>4.0</v>
      </c>
      <c r="H156" s="39" t="str">
        <f t="array" ref="H156">IFERROR(XLOOKUP(D156,'MASTER ITEM LIST'!A:A,'MASTER ITEM LIST'!D:D), "")</f>
        <v>PAIL</v>
      </c>
      <c r="I156" s="40">
        <v>2442.0</v>
      </c>
      <c r="J156" s="41">
        <f t="shared" si="1"/>
        <v>9768</v>
      </c>
    </row>
    <row r="157" ht="22.5" customHeight="1">
      <c r="A157" s="17">
        <v>46112.0</v>
      </c>
      <c r="B157" s="19"/>
      <c r="C157" s="20" t="s">
        <v>49</v>
      </c>
      <c r="D157" s="42" t="s">
        <v>466</v>
      </c>
      <c r="E157" s="35" t="str">
        <f t="array" ref="E157">IF(D157="", "", XLOOKUP(D157, 'MASTER ITEM LIST'!A:A, 'MASTER ITEM LIST'!B:B, ""))</f>
        <v>PLATONE QDE ROYAL BLUE 4L</v>
      </c>
      <c r="F157" s="37" t="s">
        <v>41</v>
      </c>
      <c r="G157" s="31">
        <v>5.0</v>
      </c>
      <c r="H157" s="39" t="str">
        <f t="array" ref="H157">IFERROR(XLOOKUP(D157,'MASTER ITEM LIST'!A:A,'MASTER ITEM LIST'!D:D), "")</f>
        <v>GAL</v>
      </c>
      <c r="I157" s="40">
        <v>698.0</v>
      </c>
      <c r="J157" s="41">
        <f t="shared" si="1"/>
        <v>3490</v>
      </c>
    </row>
    <row r="158" ht="22.5" customHeight="1">
      <c r="A158" s="17">
        <v>46112.0</v>
      </c>
      <c r="B158" s="19"/>
      <c r="C158" s="20" t="s">
        <v>49</v>
      </c>
      <c r="D158" s="42" t="s">
        <v>472</v>
      </c>
      <c r="E158" s="35" t="str">
        <f t="array" ref="E158">IF(D158="", "", XLOOKUP(D158, 'MASTER ITEM LIST'!A:A, 'MASTER ITEM LIST'!B:B, ""))</f>
        <v>PLATONE QDE JADE GREEN 4L</v>
      </c>
      <c r="F158" s="37" t="s">
        <v>41</v>
      </c>
      <c r="G158" s="31">
        <v>1.0</v>
      </c>
      <c r="H158" s="39" t="str">
        <f t="array" ref="H158">IFERROR(XLOOKUP(D158,'MASTER ITEM LIST'!A:A,'MASTER ITEM LIST'!D:D), "")</f>
        <v>GAL</v>
      </c>
      <c r="I158" s="40">
        <v>732.0</v>
      </c>
      <c r="J158" s="41">
        <f t="shared" si="1"/>
        <v>732</v>
      </c>
    </row>
    <row r="159" ht="22.5" customHeight="1">
      <c r="A159" s="17">
        <v>46112.0</v>
      </c>
      <c r="B159" s="19"/>
      <c r="C159" s="20" t="s">
        <v>49</v>
      </c>
      <c r="D159" s="42" t="s">
        <v>474</v>
      </c>
      <c r="E159" s="35" t="str">
        <f t="array" ref="E159">IF(D159="", "", XLOOKUP(D159, 'MASTER ITEM LIST'!A:A, 'MASTER ITEM LIST'!B:B, ""))</f>
        <v>PLATONE QDE INTERNATIONAL RED 4L</v>
      </c>
      <c r="F159" s="37" t="s">
        <v>41</v>
      </c>
      <c r="G159" s="31">
        <v>2.0</v>
      </c>
      <c r="H159" s="39" t="str">
        <f t="array" ref="H159">IFERROR(XLOOKUP(D159,'MASTER ITEM LIST'!A:A,'MASTER ITEM LIST'!D:D), "")</f>
        <v>GAL</v>
      </c>
      <c r="I159" s="40">
        <v>773.0</v>
      </c>
      <c r="J159" s="41">
        <f t="shared" si="1"/>
        <v>1546</v>
      </c>
    </row>
    <row r="160" ht="22.5" customHeight="1">
      <c r="A160" s="17">
        <v>46112.0</v>
      </c>
      <c r="B160" s="19"/>
      <c r="C160" s="20" t="s">
        <v>49</v>
      </c>
      <c r="D160" s="42" t="s">
        <v>483</v>
      </c>
      <c r="E160" s="35" t="str">
        <f t="array" ref="E160">IF(D160="", "", XLOOKUP(D160, 'MASTER ITEM LIST'!A:A, 'MASTER ITEM LIST'!B:B, ""))</f>
        <v>PLATONE QDE CHOCOLATE BROWN 4L</v>
      </c>
      <c r="F160" s="37" t="s">
        <v>41</v>
      </c>
      <c r="G160" s="31">
        <v>3.0</v>
      </c>
      <c r="H160" s="39" t="str">
        <f t="array" ref="H160">IFERROR(XLOOKUP(D160,'MASTER ITEM LIST'!A:A,'MASTER ITEM LIST'!D:D), "")</f>
        <v>GAL</v>
      </c>
      <c r="I160" s="40">
        <v>668.0</v>
      </c>
      <c r="J160" s="41">
        <f t="shared" si="1"/>
        <v>2004</v>
      </c>
    </row>
    <row r="161" ht="22.5" customHeight="1">
      <c r="A161" s="17">
        <v>46112.0</v>
      </c>
      <c r="B161" s="19"/>
      <c r="C161" s="20" t="s">
        <v>49</v>
      </c>
      <c r="D161" s="42" t="s">
        <v>334</v>
      </c>
      <c r="E161" s="35" t="str">
        <f t="array" ref="E161">IF(D161="", "", XLOOKUP(D161, 'MASTER ITEM LIST'!A:A, 'MASTER ITEM LIST'!B:B, ""))</f>
        <v>PLATONE QDE BLACK 4L</v>
      </c>
      <c r="F161" s="37" t="s">
        <v>41</v>
      </c>
      <c r="G161" s="31">
        <v>8.0</v>
      </c>
      <c r="H161" s="39" t="str">
        <f t="array" ref="H161">IFERROR(XLOOKUP(D161,'MASTER ITEM LIST'!A:A,'MASTER ITEM LIST'!D:D), "")</f>
        <v>GAL</v>
      </c>
      <c r="I161" s="40">
        <v>661.0</v>
      </c>
      <c r="J161" s="41">
        <f t="shared" si="1"/>
        <v>5288</v>
      </c>
    </row>
    <row r="162" ht="22.5" customHeight="1">
      <c r="A162" s="17">
        <v>46112.0</v>
      </c>
      <c r="B162" s="19"/>
      <c r="C162" s="20" t="s">
        <v>49</v>
      </c>
      <c r="D162" s="42" t="s">
        <v>565</v>
      </c>
      <c r="E162" s="35" t="str">
        <f t="array" ref="E162">IF(D162="", "", XLOOKUP(D162, 'MASTER ITEM LIST'!A:A, 'MASTER ITEM LIST'!B:B, ""))</f>
        <v>NIPPON EXTREME QDU WARM YELLOW 4L</v>
      </c>
      <c r="F162" s="37" t="s">
        <v>41</v>
      </c>
      <c r="G162" s="31">
        <v>6.0</v>
      </c>
      <c r="H162" s="39" t="str">
        <f t="array" ref="H162">IFERROR(XLOOKUP(D162,'MASTER ITEM LIST'!A:A,'MASTER ITEM LIST'!D:D), "")</f>
        <v>GAL/S</v>
      </c>
      <c r="I162" s="40">
        <v>1630.0</v>
      </c>
      <c r="J162" s="41">
        <f t="shared" si="1"/>
        <v>9780</v>
      </c>
    </row>
    <row r="163" ht="22.5" customHeight="1">
      <c r="A163" s="17">
        <v>46112.0</v>
      </c>
      <c r="B163" s="19"/>
      <c r="C163" s="20" t="s">
        <v>49</v>
      </c>
      <c r="D163" s="42" t="s">
        <v>578</v>
      </c>
      <c r="E163" s="35" t="str">
        <f t="array" ref="E163">IF(D163="", "", XLOOKUP(D163, 'MASTER ITEM LIST'!A:A, 'MASTER ITEM LIST'!B:B, ""))</f>
        <v>NIPPON EXTREME QDU GREEN 4L</v>
      </c>
      <c r="F163" s="37" t="s">
        <v>41</v>
      </c>
      <c r="G163" s="31">
        <v>2.0</v>
      </c>
      <c r="H163" s="39" t="str">
        <f t="array" ref="H163">IFERROR(XLOOKUP(D163,'MASTER ITEM LIST'!A:A,'MASTER ITEM LIST'!D:D), "")</f>
        <v>GAL</v>
      </c>
      <c r="I163" s="40">
        <v>1630.0</v>
      </c>
      <c r="J163" s="41">
        <f t="shared" si="1"/>
        <v>3260</v>
      </c>
    </row>
    <row r="164" ht="22.5" customHeight="1">
      <c r="A164" s="17">
        <v>46112.0</v>
      </c>
      <c r="B164" s="19"/>
      <c r="C164" s="20" t="s">
        <v>49</v>
      </c>
      <c r="D164" s="42" t="s">
        <v>563</v>
      </c>
      <c r="E164" s="35" t="str">
        <f t="array" ref="E164">IF(D164="", "", XLOOKUP(D164, 'MASTER ITEM LIST'!A:A, 'MASTER ITEM LIST'!B:B, ""))</f>
        <v>NIPPON EXTREME QDU WHITE 4L</v>
      </c>
      <c r="F164" s="37" t="s">
        <v>41</v>
      </c>
      <c r="G164" s="31">
        <v>1.0</v>
      </c>
      <c r="H164" s="39" t="str">
        <f t="array" ref="H164">IFERROR(XLOOKUP(D164,'MASTER ITEM LIST'!A:A,'MASTER ITEM LIST'!D:D), "")</f>
        <v>GAL</v>
      </c>
      <c r="I164" s="40">
        <v>1550.0</v>
      </c>
      <c r="J164" s="41">
        <f t="shared" si="1"/>
        <v>1550</v>
      </c>
    </row>
    <row r="165" ht="22.5" customHeight="1">
      <c r="A165" s="17">
        <v>46112.0</v>
      </c>
      <c r="B165" s="19"/>
      <c r="C165" s="20" t="s">
        <v>49</v>
      </c>
      <c r="D165" s="42" t="s">
        <v>560</v>
      </c>
      <c r="E165" s="35" t="str">
        <f t="array" ref="E165">IF(D165="", "", XLOOKUP(D165, 'MASTER ITEM LIST'!A:A, 'MASTER ITEM LIST'!B:B, ""))</f>
        <v>NIPPON EXTREME QDU YELLOW 4L</v>
      </c>
      <c r="F165" s="37" t="s">
        <v>41</v>
      </c>
      <c r="G165" s="31">
        <v>12.0</v>
      </c>
      <c r="H165" s="39" t="str">
        <f t="array" ref="H165">IFERROR(XLOOKUP(D165,'MASTER ITEM LIST'!A:A,'MASTER ITEM LIST'!D:D), "")</f>
        <v>GAL</v>
      </c>
      <c r="I165" s="40">
        <v>1630.0</v>
      </c>
      <c r="J165" s="41">
        <f t="shared" si="1"/>
        <v>19560</v>
      </c>
    </row>
    <row r="166" ht="22.5" customHeight="1">
      <c r="A166" s="17">
        <v>46112.0</v>
      </c>
      <c r="B166" s="19"/>
      <c r="C166" s="20" t="s">
        <v>49</v>
      </c>
      <c r="D166" s="42" t="s">
        <v>574</v>
      </c>
      <c r="E166" s="35" t="str">
        <f t="array" ref="E166">IF(D166="", "", XLOOKUP(D166, 'MASTER ITEM LIST'!A:A, 'MASTER ITEM LIST'!B:B, ""))</f>
        <v>NIPPON EXTREME QDU ORANGE 4L</v>
      </c>
      <c r="F166" s="37" t="s">
        <v>41</v>
      </c>
      <c r="G166" s="31">
        <v>4.0</v>
      </c>
      <c r="H166" s="39" t="str">
        <f t="array" ref="H166">IFERROR(XLOOKUP(D166,'MASTER ITEM LIST'!A:A,'MASTER ITEM LIST'!D:D), "")</f>
        <v>GAL</v>
      </c>
      <c r="I166" s="40">
        <v>1630.0</v>
      </c>
      <c r="J166" s="41">
        <f t="shared" si="1"/>
        <v>6520</v>
      </c>
    </row>
    <row r="167" ht="22.5" customHeight="1">
      <c r="A167" s="17">
        <v>46112.0</v>
      </c>
      <c r="B167" s="19"/>
      <c r="C167" s="20" t="s">
        <v>49</v>
      </c>
      <c r="D167" s="42" t="s">
        <v>177</v>
      </c>
      <c r="E167" s="35" t="str">
        <f t="array" ref="E167">IF(D167="", "", XLOOKUP(D167, 'MASTER ITEM LIST'!A:A, 'MASTER ITEM LIST'!B:B, ""))</f>
        <v>UNO LACQUER THINNER BOT</v>
      </c>
      <c r="F167" s="37" t="s">
        <v>41</v>
      </c>
      <c r="G167" s="31">
        <v>17.0</v>
      </c>
      <c r="H167" s="39" t="str">
        <f t="array" ref="H167">IFERROR(XLOOKUP(D167,'MASTER ITEM LIST'!A:A,'MASTER ITEM LIST'!D:D), "")</f>
        <v>BOT</v>
      </c>
      <c r="I167" s="40">
        <v>50.0</v>
      </c>
      <c r="J167" s="41">
        <f t="shared" si="1"/>
        <v>850</v>
      </c>
    </row>
    <row r="168" ht="22.5" customHeight="1">
      <c r="A168" s="17">
        <v>46112.0</v>
      </c>
      <c r="B168" s="19"/>
      <c r="C168" s="20" t="s">
        <v>49</v>
      </c>
      <c r="D168" s="42" t="s">
        <v>182</v>
      </c>
      <c r="E168" s="35" t="str">
        <f t="array" ref="E168">IF(D168="", "", XLOOKUP(D168, 'MASTER ITEM LIST'!A:A, 'MASTER ITEM LIST'!B:B, ""))</f>
        <v>UNO LACQUER THINNER 4L</v>
      </c>
      <c r="F168" s="37" t="s">
        <v>41</v>
      </c>
      <c r="G168" s="31">
        <v>5.0</v>
      </c>
      <c r="H168" s="39" t="str">
        <f t="array" ref="H168">IFERROR(XLOOKUP(D168,'MASTER ITEM LIST'!A:A,'MASTER ITEM LIST'!D:D), "")</f>
        <v>GAL/S</v>
      </c>
      <c r="I168" s="40">
        <v>360.0</v>
      </c>
      <c r="J168" s="41">
        <f t="shared" si="1"/>
        <v>1800</v>
      </c>
    </row>
    <row r="169" ht="22.5" customHeight="1">
      <c r="A169" s="17">
        <v>46112.0</v>
      </c>
      <c r="B169" s="19"/>
      <c r="C169" s="20" t="s">
        <v>49</v>
      </c>
      <c r="D169" s="42" t="s">
        <v>190</v>
      </c>
      <c r="E169" s="35" t="str">
        <f t="array" ref="E169">IF(D169="", "", XLOOKUP(D169, 'MASTER ITEM LIST'!A:A, 'MASTER ITEM LIST'!B:B, ""))</f>
        <v>TIMEOUT URETHANE THINNER 4L</v>
      </c>
      <c r="F169" s="37" t="s">
        <v>41</v>
      </c>
      <c r="G169" s="31">
        <v>1.0</v>
      </c>
      <c r="H169" s="39" t="str">
        <f t="array" ref="H169">IFERROR(XLOOKUP(D169,'MASTER ITEM LIST'!A:A,'MASTER ITEM LIST'!D:D), "")</f>
        <v>GAL</v>
      </c>
      <c r="I169" s="40">
        <v>510.0</v>
      </c>
      <c r="J169" s="41">
        <f t="shared" si="1"/>
        <v>510</v>
      </c>
    </row>
    <row r="170" ht="22.5" customHeight="1">
      <c r="A170" s="17">
        <v>46112.0</v>
      </c>
      <c r="B170" s="19"/>
      <c r="C170" s="20" t="s">
        <v>49</v>
      </c>
      <c r="D170" s="42" t="s">
        <v>706</v>
      </c>
      <c r="E170" s="35" t="str">
        <f t="array" ref="E170">IF(D170="", "", XLOOKUP(D170, 'MASTER ITEM LIST'!A:A, 'MASTER ITEM LIST'!B:B, ""))</f>
        <v>NAX SOB745 BLENDING THINNER 4L</v>
      </c>
      <c r="F170" s="37" t="s">
        <v>41</v>
      </c>
      <c r="G170" s="31">
        <v>5.5</v>
      </c>
      <c r="H170" s="39" t="str">
        <f t="array" ref="H170">IFERROR(XLOOKUP(D170,'MASTER ITEM LIST'!A:A,'MASTER ITEM LIST'!D:D), "")</f>
        <v>GAL</v>
      </c>
      <c r="I170" s="40">
        <v>786.0</v>
      </c>
      <c r="J170" s="41">
        <f t="shared" si="1"/>
        <v>4323</v>
      </c>
    </row>
    <row r="171" ht="22.5" customHeight="1">
      <c r="A171" s="17">
        <v>46112.0</v>
      </c>
      <c r="B171" s="19"/>
      <c r="C171" s="20" t="s">
        <v>49</v>
      </c>
      <c r="D171" s="42" t="s">
        <v>676</v>
      </c>
      <c r="E171" s="35" t="str">
        <f t="array" ref="E171">IF(D171="", "", XLOOKUP(D171, 'MASTER ITEM LIST'!A:A, 'MASTER ITEM LIST'!B:B, ""))</f>
        <v>NIPPON ACRYLIC GLOSS THINNER 4L</v>
      </c>
      <c r="F171" s="37" t="s">
        <v>41</v>
      </c>
      <c r="G171" s="31">
        <v>24.0</v>
      </c>
      <c r="H171" s="39" t="str">
        <f t="array" ref="H171">IFERROR(XLOOKUP(D171,'MASTER ITEM LIST'!A:A,'MASTER ITEM LIST'!D:D), "")</f>
        <v>GAL/S</v>
      </c>
      <c r="I171" s="40">
        <v>450.0</v>
      </c>
      <c r="J171" s="41">
        <f t="shared" si="1"/>
        <v>10800</v>
      </c>
    </row>
    <row r="172" ht="22.5" customHeight="1">
      <c r="A172" s="17">
        <v>46112.0</v>
      </c>
      <c r="B172" s="19"/>
      <c r="C172" s="20" t="s">
        <v>49</v>
      </c>
      <c r="D172" s="42" t="s">
        <v>390</v>
      </c>
      <c r="E172" s="35" t="str">
        <f t="array" ref="E172">IF(D172="", "", XLOOKUP(D172, 'MASTER ITEM LIST'!A:A, 'MASTER ITEM LIST'!B:B, ""))</f>
        <v>NIPPON EPOXY THINNER 4L</v>
      </c>
      <c r="F172" s="37" t="s">
        <v>41</v>
      </c>
      <c r="G172" s="31">
        <v>5.7</v>
      </c>
      <c r="H172" s="39" t="str">
        <f t="array" ref="H172">IFERROR(XLOOKUP(D172,'MASTER ITEM LIST'!A:A,'MASTER ITEM LIST'!D:D), "")</f>
        <v>GAL/S</v>
      </c>
      <c r="I172" s="40">
        <v>550.0</v>
      </c>
      <c r="J172" s="41">
        <f t="shared" si="1"/>
        <v>3135</v>
      </c>
    </row>
    <row r="173" ht="22.5" customHeight="1">
      <c r="A173" s="17">
        <v>46112.0</v>
      </c>
      <c r="B173" s="19"/>
      <c r="C173" s="20" t="s">
        <v>49</v>
      </c>
      <c r="D173" s="42" t="s">
        <v>415</v>
      </c>
      <c r="E173" s="35" t="str">
        <f t="array" ref="E173">IF(D173="", "", XLOOKUP(D173, 'MASTER ITEM LIST'!A:A, 'MASTER ITEM LIST'!B:B, ""))</f>
        <v>NAX PREMILA NP9700 HS 2K CLEAR WITH HARDENER 1L</v>
      </c>
      <c r="F173" s="37" t="s">
        <v>41</v>
      </c>
      <c r="G173" s="31">
        <v>3.0</v>
      </c>
      <c r="H173" s="39" t="str">
        <f t="array" ref="H173">IFERROR(XLOOKUP(D173,'MASTER ITEM LIST'!A:A,'MASTER ITEM LIST'!D:D), "")</f>
        <v>LITER</v>
      </c>
      <c r="I173" s="40">
        <v>1030.0</v>
      </c>
      <c r="J173" s="41">
        <f t="shared" si="1"/>
        <v>3090</v>
      </c>
    </row>
    <row r="174" ht="22.5" customHeight="1">
      <c r="A174" s="17">
        <v>46112.0</v>
      </c>
      <c r="B174" s="19"/>
      <c r="C174" s="20" t="s">
        <v>49</v>
      </c>
      <c r="D174" s="42" t="s">
        <v>213</v>
      </c>
      <c r="E174" s="35" t="str">
        <f t="array" ref="E174">IF(D174="", "", XLOOKUP(D174, 'MASTER ITEM LIST'!A:A, 'MASTER ITEM LIST'!B:B, ""))</f>
        <v>NAX PREMILA NP9200 2K CLEAR WITH HARDENER 1L</v>
      </c>
      <c r="F174" s="37" t="s">
        <v>41</v>
      </c>
      <c r="G174" s="31">
        <v>10.5</v>
      </c>
      <c r="H174" s="39" t="str">
        <f t="array" ref="H174">IFERROR(XLOOKUP(D174,'MASTER ITEM LIST'!A:A,'MASTER ITEM LIST'!D:D), "")</f>
        <v>LITER</v>
      </c>
      <c r="I174" s="40">
        <v>871.0</v>
      </c>
      <c r="J174" s="41">
        <f t="shared" si="1"/>
        <v>9145.5</v>
      </c>
    </row>
    <row r="175" ht="22.5" customHeight="1">
      <c r="A175" s="17">
        <v>46112.0</v>
      </c>
      <c r="B175" s="19"/>
      <c r="C175" s="20" t="s">
        <v>49</v>
      </c>
      <c r="D175" s="42" t="s">
        <v>160</v>
      </c>
      <c r="E175" s="35" t="str">
        <f t="array" ref="E175">IF(D175="", "", XLOOKUP(D175, 'MASTER ITEM LIST'!A:A, 'MASTER ITEM LIST'!B:B, ""))</f>
        <v>NAX 141 NAX MAXIMA URETHANE FD CLEAR WITH HARDENER 1L</v>
      </c>
      <c r="F175" s="37" t="s">
        <v>41</v>
      </c>
      <c r="G175" s="31">
        <v>73.25</v>
      </c>
      <c r="H175" s="39" t="str">
        <f t="array" ref="H175">IFERROR(XLOOKUP(D175,'MASTER ITEM LIST'!A:A,'MASTER ITEM LIST'!D:D), "")</f>
        <v>LITER</v>
      </c>
      <c r="I175" s="40">
        <v>344.0</v>
      </c>
      <c r="J175" s="41">
        <f t="shared" si="1"/>
        <v>25198</v>
      </c>
    </row>
    <row r="176" ht="22.5" customHeight="1">
      <c r="A176" s="17">
        <v>46112.0</v>
      </c>
      <c r="B176" s="19"/>
      <c r="C176" s="20" t="s">
        <v>49</v>
      </c>
      <c r="D176" s="42" t="s">
        <v>53</v>
      </c>
      <c r="E176" s="35" t="str">
        <f t="array" ref="E176">IF(D176="", "", XLOOKUP(D176, 'MASTER ITEM LIST'!A:A, 'MASTER ITEM LIST'!B:B, ""))</f>
        <v>NAX 108 CERAMIC 2K CLEAR WITH HARDENER 1L</v>
      </c>
      <c r="F176" s="37" t="s">
        <v>41</v>
      </c>
      <c r="G176" s="31">
        <v>10.0</v>
      </c>
      <c r="H176" s="39" t="str">
        <f t="array" ref="H176">IFERROR(XLOOKUP(D176,'MASTER ITEM LIST'!A:A,'MASTER ITEM LIST'!D:D), "")</f>
        <v>LITER</v>
      </c>
      <c r="I176" s="40">
        <v>460.0</v>
      </c>
      <c r="J176" s="41">
        <f t="shared" si="1"/>
        <v>4600</v>
      </c>
    </row>
    <row r="177" ht="22.5" customHeight="1">
      <c r="A177" s="17">
        <v>46112.0</v>
      </c>
      <c r="B177" s="19"/>
      <c r="C177" s="20" t="s">
        <v>49</v>
      </c>
      <c r="D177" s="42" t="s">
        <v>703</v>
      </c>
      <c r="E177" s="35" t="str">
        <f t="array" ref="E177">IF(D177="", "", XLOOKUP(D177, 'MASTER ITEM LIST'!A:A, 'MASTER ITEM LIST'!B:B, ""))</f>
        <v>NAX SOD145 SOLVENT NAPTHA/DEGREASER 4L</v>
      </c>
      <c r="F177" s="37" t="s">
        <v>41</v>
      </c>
      <c r="G177" s="31">
        <v>4.0</v>
      </c>
      <c r="H177" s="39" t="str">
        <f t="array" ref="H177">IFERROR(XLOOKUP(D177,'MASTER ITEM LIST'!A:A,'MASTER ITEM LIST'!D:D), "")</f>
        <v>GAL</v>
      </c>
      <c r="I177" s="40">
        <v>445.0</v>
      </c>
      <c r="J177" s="41">
        <f t="shared" si="1"/>
        <v>1780</v>
      </c>
    </row>
    <row r="178" ht="22.5" customHeight="1">
      <c r="A178" s="17">
        <v>46112.0</v>
      </c>
      <c r="B178" s="19"/>
      <c r="C178" s="20" t="s">
        <v>49</v>
      </c>
      <c r="D178" s="42" t="s">
        <v>828</v>
      </c>
      <c r="E178" s="35" t="str">
        <f t="array" ref="E178">IF(D178="", "", XLOOKUP(D178, 'MASTER ITEM LIST'!A:A, 'MASTER ITEM LIST'!B:B, ""))</f>
        <v>NAX PP BUMPER PRIMER GRAY 1L</v>
      </c>
      <c r="F178" s="37" t="s">
        <v>41</v>
      </c>
      <c r="G178" s="31">
        <v>13.0</v>
      </c>
      <c r="H178" s="39" t="str">
        <f t="array" ref="H178">IFERROR(XLOOKUP(D178,'MASTER ITEM LIST'!A:A,'MASTER ITEM LIST'!D:D), "")</f>
        <v>LITER</v>
      </c>
      <c r="I178" s="40">
        <v>496.0</v>
      </c>
      <c r="J178" s="41">
        <f t="shared" si="1"/>
        <v>6448</v>
      </c>
    </row>
    <row r="179" ht="22.5" customHeight="1">
      <c r="A179" s="17">
        <v>46112.0</v>
      </c>
      <c r="B179" s="19"/>
      <c r="C179" s="20" t="s">
        <v>49</v>
      </c>
      <c r="D179" s="42" t="s">
        <v>528</v>
      </c>
      <c r="E179" s="35" t="str">
        <f t="array" ref="E179">IF(D179="", "", XLOOKUP(D179, 'MASTER ITEM LIST'!A:A, 'MASTER ITEM LIST'!B:B, ""))</f>
        <v>NIPPON PAINT FILLERMAX BODY FILLER WITH HARDENER 4KG</v>
      </c>
      <c r="F179" s="37" t="s">
        <v>41</v>
      </c>
      <c r="G179" s="31">
        <v>1.0</v>
      </c>
      <c r="H179" s="39" t="str">
        <f t="array" ref="H179">IFERROR(XLOOKUP(D179,'MASTER ITEM LIST'!A:A,'MASTER ITEM LIST'!D:D), "")</f>
        <v>GAL</v>
      </c>
      <c r="I179" s="40">
        <v>565.0</v>
      </c>
      <c r="J179" s="41">
        <f t="shared" si="1"/>
        <v>565</v>
      </c>
    </row>
    <row r="180" ht="22.5" customHeight="1">
      <c r="A180" s="17">
        <v>46112.0</v>
      </c>
      <c r="B180" s="19"/>
      <c r="C180" s="20" t="s">
        <v>49</v>
      </c>
      <c r="D180" s="42" t="s">
        <v>835</v>
      </c>
      <c r="E180" s="35" t="str">
        <f t="array" ref="E180">IF(D180="", "", XLOOKUP(D180, 'MASTER ITEM LIST'!A:A, 'MASTER ITEM LIST'!B:B, ""))</f>
        <v>NAX EXTREME EPOXY ENAMEL WHITE WITH HARDENER 4L</v>
      </c>
      <c r="F180" s="37" t="s">
        <v>41</v>
      </c>
      <c r="G180" s="31">
        <v>7.0</v>
      </c>
      <c r="H180" s="39" t="str">
        <f t="array" ref="H180">IFERROR(XLOOKUP(D180,'MASTER ITEM LIST'!A:A,'MASTER ITEM LIST'!D:D), "")</f>
        <v>GAL</v>
      </c>
      <c r="I180" s="40">
        <v>1320.0</v>
      </c>
      <c r="J180" s="41">
        <f t="shared" si="1"/>
        <v>9240</v>
      </c>
    </row>
    <row r="181" ht="22.5" customHeight="1">
      <c r="A181" s="17">
        <v>46112.0</v>
      </c>
      <c r="B181" s="19"/>
      <c r="C181" s="20" t="s">
        <v>49</v>
      </c>
      <c r="D181" s="42" t="s">
        <v>838</v>
      </c>
      <c r="E181" s="35" t="str">
        <f t="array" ref="E181">IF(D181="", "", XLOOKUP(D181, 'MASTER ITEM LIST'!A:A, 'MASTER ITEM LIST'!B:B, ""))</f>
        <v>NAX EXTREME EPOXY ENAMEL BLACK WITH HARDENER 4L</v>
      </c>
      <c r="F181" s="37" t="s">
        <v>41</v>
      </c>
      <c r="G181" s="31">
        <v>8.0</v>
      </c>
      <c r="H181" s="39" t="str">
        <f t="array" ref="H181">IFERROR(XLOOKUP(D181,'MASTER ITEM LIST'!A:A,'MASTER ITEM LIST'!D:D), "")</f>
        <v>GAL</v>
      </c>
      <c r="I181" s="40">
        <v>1050.0</v>
      </c>
      <c r="J181" s="41">
        <f t="shared" si="1"/>
        <v>8400</v>
      </c>
    </row>
    <row r="182" ht="22.5" customHeight="1">
      <c r="A182" s="17">
        <v>46112.0</v>
      </c>
      <c r="B182" s="19"/>
      <c r="C182" s="20" t="s">
        <v>49</v>
      </c>
      <c r="D182" s="42" t="s">
        <v>697</v>
      </c>
      <c r="E182" s="35" t="str">
        <f t="array" ref="E182">IF(D182="", "", XLOOKUP(D182, 'MASTER ITEM LIST'!A:A, 'MASTER ITEM LIST'!B:B, ""))</f>
        <v>NIPPELAC ACE BRIGHT WHITE 4L</v>
      </c>
      <c r="F182" s="37" t="s">
        <v>41</v>
      </c>
      <c r="G182" s="31">
        <v>12.0</v>
      </c>
      <c r="H182" s="39" t="str">
        <f t="array" ref="H182">IFERROR(XLOOKUP(D182,'MASTER ITEM LIST'!A:A,'MASTER ITEM LIST'!D:D), "")</f>
        <v>GAL</v>
      </c>
      <c r="I182" s="40">
        <v>1000.0</v>
      </c>
      <c r="J182" s="41">
        <f t="shared" si="1"/>
        <v>12000</v>
      </c>
    </row>
    <row r="183" ht="22.5" customHeight="1">
      <c r="A183" s="17">
        <v>46112.0</v>
      </c>
      <c r="B183" s="19"/>
      <c r="C183" s="20" t="s">
        <v>49</v>
      </c>
      <c r="D183" s="42" t="s">
        <v>695</v>
      </c>
      <c r="E183" s="35" t="str">
        <f t="array" ref="E183">IF(D183="", "", XLOOKUP(D183, 'MASTER ITEM LIST'!A:A, 'MASTER ITEM LIST'!B:B, ""))</f>
        <v>NIPPELAC ACE JET BLACK 4L</v>
      </c>
      <c r="F183" s="37" t="s">
        <v>41</v>
      </c>
      <c r="G183" s="31">
        <v>9.0</v>
      </c>
      <c r="H183" s="39" t="str">
        <f t="array" ref="H183">IFERROR(XLOOKUP(D183,'MASTER ITEM LIST'!A:A,'MASTER ITEM LIST'!D:D), "")</f>
        <v>GAL</v>
      </c>
      <c r="I183" s="40">
        <v>1050.0</v>
      </c>
      <c r="J183" s="41">
        <f t="shared" si="1"/>
        <v>9450</v>
      </c>
    </row>
    <row r="184" ht="22.5" customHeight="1">
      <c r="A184" s="17">
        <v>46112.0</v>
      </c>
      <c r="B184" s="19"/>
      <c r="C184" s="20" t="s">
        <v>49</v>
      </c>
      <c r="D184" s="42" t="s">
        <v>690</v>
      </c>
      <c r="E184" s="35" t="str">
        <f t="array" ref="E184">IF(D184="", "", XLOOKUP(D184, 'MASTER ITEM LIST'!A:A, 'MASTER ITEM LIST'!B:B, ""))</f>
        <v>NIPPELAC ACE LEMON YELLOW 4L</v>
      </c>
      <c r="F184" s="37" t="s">
        <v>41</v>
      </c>
      <c r="G184" s="31">
        <v>6.0</v>
      </c>
      <c r="H184" s="39" t="str">
        <f t="array" ref="H184">IFERROR(XLOOKUP(D184,'MASTER ITEM LIST'!A:A,'MASTER ITEM LIST'!D:D), "")</f>
        <v>GAL</v>
      </c>
      <c r="I184" s="40">
        <v>1120.0</v>
      </c>
      <c r="J184" s="41">
        <f t="shared" si="1"/>
        <v>6720</v>
      </c>
    </row>
    <row r="185" ht="22.5" customHeight="1">
      <c r="A185" s="17">
        <v>46112.0</v>
      </c>
      <c r="B185" s="19"/>
      <c r="C185" s="20" t="s">
        <v>49</v>
      </c>
      <c r="D185" s="42" t="s">
        <v>684</v>
      </c>
      <c r="E185" s="35" t="str">
        <f t="array" ref="E185">IF(D185="", "", XLOOKUP(D185, 'MASTER ITEM LIST'!A:A, 'MASTER ITEM LIST'!B:B, ""))</f>
        <v>NIPPELAC ACE RED TRIPPLE 8 4L</v>
      </c>
      <c r="F185" s="37" t="s">
        <v>41</v>
      </c>
      <c r="G185" s="31">
        <v>8.0</v>
      </c>
      <c r="H185" s="39" t="str">
        <f t="array" ref="H185">IFERROR(XLOOKUP(D185,'MASTER ITEM LIST'!A:A,'MASTER ITEM LIST'!D:D), "")</f>
        <v>GAL</v>
      </c>
      <c r="I185" s="40">
        <v>1850.0</v>
      </c>
      <c r="J185" s="41">
        <f t="shared" si="1"/>
        <v>14800</v>
      </c>
    </row>
    <row r="186" ht="22.5" customHeight="1">
      <c r="A186" s="17">
        <v>46112.0</v>
      </c>
      <c r="B186" s="19"/>
      <c r="C186" s="20" t="s">
        <v>49</v>
      </c>
      <c r="D186" s="42" t="s">
        <v>682</v>
      </c>
      <c r="E186" s="35" t="str">
        <f t="array" ref="E186">IF(D186="", "", XLOOKUP(D186, 'MASTER ITEM LIST'!A:A, 'MASTER ITEM LIST'!B:B, ""))</f>
        <v>NIPPELAC ACE THALO GREEN 4L</v>
      </c>
      <c r="F186" s="37" t="s">
        <v>41</v>
      </c>
      <c r="G186" s="31">
        <v>6.0</v>
      </c>
      <c r="H186" s="39" t="str">
        <f t="array" ref="H186">IFERROR(XLOOKUP(D186,'MASTER ITEM LIST'!A:A,'MASTER ITEM LIST'!D:D), "")</f>
        <v>GAL</v>
      </c>
      <c r="I186" s="40">
        <v>1215.0</v>
      </c>
      <c r="J186" s="41">
        <f t="shared" si="1"/>
        <v>7290</v>
      </c>
    </row>
    <row r="187" ht="22.5" customHeight="1">
      <c r="A187" s="17">
        <v>46112.0</v>
      </c>
      <c r="B187" s="19"/>
      <c r="C187" s="20" t="s">
        <v>49</v>
      </c>
      <c r="D187" s="42" t="s">
        <v>718</v>
      </c>
      <c r="E187" s="35" t="str">
        <f t="array" ref="E187">IF(D187="", "", XLOOKUP(D187, 'MASTER ITEM LIST'!A:A, 'MASTER ITEM LIST'!B:B, ""))</f>
        <v>NAX PREMILA NB100 B/C BINDER 4L</v>
      </c>
      <c r="F187" s="37" t="s">
        <v>41</v>
      </c>
      <c r="G187" s="31">
        <v>3.0</v>
      </c>
      <c r="H187" s="39" t="str">
        <f t="array" ref="H187">IFERROR(XLOOKUP(D187,'MASTER ITEM LIST'!A:A,'MASTER ITEM LIST'!D:D), "")</f>
        <v>GAL</v>
      </c>
      <c r="I187" s="40">
        <v>2100.0</v>
      </c>
      <c r="J187" s="41">
        <f t="shared" si="1"/>
        <v>6300</v>
      </c>
    </row>
    <row r="188" ht="22.5" customHeight="1">
      <c r="A188" s="17">
        <v>46112.0</v>
      </c>
      <c r="B188" s="19"/>
      <c r="C188" s="20" t="s">
        <v>49</v>
      </c>
      <c r="D188" s="42" t="s">
        <v>714</v>
      </c>
      <c r="E188" s="35" t="str">
        <f t="array" ref="E188">IF(D188="", "", XLOOKUP(D188, 'MASTER ITEM LIST'!A:A, 'MASTER ITEM LIST'!B:B, ""))</f>
        <v>NAX PREMILA NB200 BINDER</v>
      </c>
      <c r="F188" s="37" t="s">
        <v>41</v>
      </c>
      <c r="G188" s="31">
        <v>1.0</v>
      </c>
      <c r="H188" s="39" t="str">
        <f t="array" ref="H188">IFERROR(XLOOKUP(D188,'MASTER ITEM LIST'!A:A,'MASTER ITEM LIST'!D:D), "")</f>
        <v>GAL</v>
      </c>
      <c r="I188" s="40">
        <v>2100.0</v>
      </c>
      <c r="J188" s="41">
        <f t="shared" si="1"/>
        <v>2100</v>
      </c>
    </row>
    <row r="189" ht="22.5" customHeight="1">
      <c r="A189" s="17">
        <v>46112.0</v>
      </c>
      <c r="B189" s="19"/>
      <c r="C189" s="20" t="s">
        <v>49</v>
      </c>
      <c r="D189" s="42" t="s">
        <v>846</v>
      </c>
      <c r="E189" s="35" t="str">
        <f t="array" ref="E189">IF(D189="", "", XLOOKUP(D189, 'MASTER ITEM LIST'!A:A, 'MASTER ITEM LIST'!B:B, ""))</f>
        <v>NAX PREMILA 2K NB200 HARDENER</v>
      </c>
      <c r="F189" s="37" t="s">
        <v>41</v>
      </c>
      <c r="G189" s="31">
        <v>1.0</v>
      </c>
      <c r="H189" s="39" t="str">
        <f t="array" ref="H189">IFERROR(XLOOKUP(D189,'MASTER ITEM LIST'!A:A,'MASTER ITEM LIST'!D:D), "")</f>
        <v>LTR</v>
      </c>
      <c r="I189" s="40">
        <v>1030.0</v>
      </c>
      <c r="J189" s="41">
        <f t="shared" si="1"/>
        <v>1030</v>
      </c>
    </row>
    <row r="190" ht="22.5" customHeight="1">
      <c r="A190" s="17">
        <v>46112.0</v>
      </c>
      <c r="B190" s="19"/>
      <c r="C190" s="20" t="s">
        <v>49</v>
      </c>
      <c r="D190" s="42" t="s">
        <v>551</v>
      </c>
      <c r="E190" s="35" t="str">
        <f t="array" ref="E190">IF(D190="", "", XLOOKUP(D190, 'MASTER ITEM LIST'!A:A, 'MASTER ITEM LIST'!B:B, ""))</f>
        <v>NIPPON FLATWALL ENAMEL WHITE 4L</v>
      </c>
      <c r="F190" s="37" t="s">
        <v>41</v>
      </c>
      <c r="G190" s="31">
        <v>15.0</v>
      </c>
      <c r="H190" s="39" t="str">
        <f t="array" ref="H190">IFERROR(XLOOKUP(D190,'MASTER ITEM LIST'!A:A,'MASTER ITEM LIST'!D:D), "")</f>
        <v>GAL</v>
      </c>
      <c r="I190" s="40">
        <v>615.0</v>
      </c>
      <c r="J190" s="41">
        <f t="shared" si="1"/>
        <v>9225</v>
      </c>
    </row>
    <row r="191" ht="22.5" customHeight="1">
      <c r="A191" s="17">
        <v>46112.0</v>
      </c>
      <c r="B191" s="19"/>
      <c r="C191" s="20" t="s">
        <v>49</v>
      </c>
      <c r="D191" s="42" t="s">
        <v>670</v>
      </c>
      <c r="E191" s="35" t="str">
        <f t="array" ref="E191">IF(D191="", "", XLOOKUP(D191, 'MASTER ITEM LIST'!A:A, 'MASTER ITEM LIST'!B:B, ""))</f>
        <v>NIPPON CLEAR GLOSS LACQUER 4L</v>
      </c>
      <c r="F191" s="37" t="s">
        <v>41</v>
      </c>
      <c r="G191" s="31">
        <v>4.0</v>
      </c>
      <c r="H191" s="39" t="str">
        <f t="array" ref="H191">IFERROR(XLOOKUP(D191,'MASTER ITEM LIST'!A:A,'MASTER ITEM LIST'!D:D), "")</f>
        <v>GAL</v>
      </c>
      <c r="I191" s="40">
        <v>660.0</v>
      </c>
      <c r="J191" s="41">
        <f t="shared" si="1"/>
        <v>2640</v>
      </c>
    </row>
    <row r="192" ht="22.5" customHeight="1">
      <c r="A192" s="17">
        <v>46112.0</v>
      </c>
      <c r="B192" s="19"/>
      <c r="C192" s="20" t="s">
        <v>49</v>
      </c>
      <c r="D192" s="42" t="s">
        <v>410</v>
      </c>
      <c r="E192" s="35" t="str">
        <f t="array" ref="E192">IF(D192="", "", XLOOKUP(D192, 'MASTER ITEM LIST'!A:A, 'MASTER ITEM LIST'!B:B, ""))</f>
        <v>NAX NAX21 URETHANE HAEDENER</v>
      </c>
      <c r="F192" s="37" t="s">
        <v>41</v>
      </c>
      <c r="G192" s="31">
        <v>29.0</v>
      </c>
      <c r="H192" s="39" t="str">
        <f t="array" ref="H192">IFERROR(XLOOKUP(D192,'MASTER ITEM LIST'!A:A,'MASTER ITEM LIST'!D:D), "")</f>
        <v>CANS</v>
      </c>
      <c r="I192" s="40">
        <v>190.0</v>
      </c>
      <c r="J192" s="41">
        <f t="shared" si="1"/>
        <v>5510</v>
      </c>
    </row>
    <row r="193" ht="22.5" customHeight="1">
      <c r="A193" s="17">
        <v>46112.0</v>
      </c>
      <c r="B193" s="19"/>
      <c r="C193" s="20" t="s">
        <v>49</v>
      </c>
      <c r="D193" s="42" t="s">
        <v>233</v>
      </c>
      <c r="E193" s="35" t="str">
        <f t="array" ref="E193">IF(D193="", "", XLOOKUP(D193, 'MASTER ITEM LIST'!A:A, 'MASTER ITEM LIST'!B:B, ""))</f>
        <v>NAX ALPHA HB SPRAY FILLER GRAY WITH HARDENER 1L</v>
      </c>
      <c r="F193" s="37" t="s">
        <v>41</v>
      </c>
      <c r="G193" s="31">
        <v>9.84</v>
      </c>
      <c r="H193" s="39" t="str">
        <f t="array" ref="H193">IFERROR(XLOOKUP(D193,'MASTER ITEM LIST'!A:A,'MASTER ITEM LIST'!D:D), "")</f>
        <v>LITER</v>
      </c>
      <c r="I193" s="40">
        <v>363.0</v>
      </c>
      <c r="J193" s="41">
        <f t="shared" si="1"/>
        <v>3571.92</v>
      </c>
    </row>
    <row r="194" ht="22.5" customHeight="1">
      <c r="A194" s="17">
        <v>46112.0</v>
      </c>
      <c r="B194" s="19"/>
      <c r="C194" s="20" t="s">
        <v>49</v>
      </c>
      <c r="D194" s="42" t="s">
        <v>397</v>
      </c>
      <c r="E194" s="35" t="str">
        <f t="array" ref="E194">IF(D194="", "", XLOOKUP(D194, 'MASTER ITEM LIST'!A:A, 'MASTER ITEM LIST'!B:B, ""))</f>
        <v>NIPPON HS FILLER 1L</v>
      </c>
      <c r="F194" s="37" t="s">
        <v>41</v>
      </c>
      <c r="G194" s="31">
        <v>10.0</v>
      </c>
      <c r="H194" s="39" t="str">
        <f t="array" ref="H194">IFERROR(XLOOKUP(D194,'MASTER ITEM LIST'!A:A,'MASTER ITEM LIST'!D:D), "")</f>
        <v>LITER</v>
      </c>
      <c r="I194" s="40">
        <v>550.0</v>
      </c>
      <c r="J194" s="41">
        <f t="shared" si="1"/>
        <v>5500</v>
      </c>
    </row>
    <row r="195" ht="22.5" customHeight="1">
      <c r="A195" s="17">
        <v>46112.0</v>
      </c>
      <c r="B195" s="19"/>
      <c r="C195" s="20" t="s">
        <v>49</v>
      </c>
      <c r="D195" s="42" t="s">
        <v>547</v>
      </c>
      <c r="E195" s="35" t="str">
        <f t="array" ref="E195">IF(D195="", "", XLOOKUP(D195, 'MASTER ITEM LIST'!A:A, 'MASTER ITEM LIST'!B:B, ""))</f>
        <v>NIPPON FLEXI-SEAL 146 GRAY 5KG</v>
      </c>
      <c r="F195" s="37" t="s">
        <v>41</v>
      </c>
      <c r="G195" s="31">
        <v>1.0</v>
      </c>
      <c r="H195" s="39" t="str">
        <f t="array" ref="H195">IFERROR(XLOOKUP(D195,'MASTER ITEM LIST'!A:A,'MASTER ITEM LIST'!D:D), "")</f>
        <v>5KG</v>
      </c>
      <c r="I195" s="40">
        <v>1342.0</v>
      </c>
      <c r="J195" s="41">
        <f t="shared" si="1"/>
        <v>1342</v>
      </c>
    </row>
    <row r="196" ht="22.5" customHeight="1">
      <c r="A196" s="17">
        <v>46112.0</v>
      </c>
      <c r="B196" s="19"/>
      <c r="C196" s="20" t="s">
        <v>49</v>
      </c>
      <c r="D196" s="42" t="s">
        <v>864</v>
      </c>
      <c r="E196" s="35" t="str">
        <f t="array" ref="E196">IF(D196="", "", XLOOKUP(D196, 'MASTER ITEM LIST'!A:A, 'MASTER ITEM LIST'!B:B, ""))</f>
        <v>NIPPON FLEXI-SEAL 145 WHITE 5KG</v>
      </c>
      <c r="F196" s="37" t="s">
        <v>41</v>
      </c>
      <c r="G196" s="31">
        <v>2.0</v>
      </c>
      <c r="H196" s="39" t="str">
        <f t="array" ref="H196">IFERROR(XLOOKUP(D196,'MASTER ITEM LIST'!A:A,'MASTER ITEM LIST'!D:D), "")</f>
        <v>5KG</v>
      </c>
      <c r="I196" s="40">
        <v>1342.0</v>
      </c>
      <c r="J196" s="41">
        <f t="shared" si="1"/>
        <v>2684</v>
      </c>
    </row>
    <row r="197" ht="22.5" customHeight="1">
      <c r="A197" s="17">
        <v>46112.0</v>
      </c>
      <c r="B197" s="19"/>
      <c r="C197" s="20" t="s">
        <v>49</v>
      </c>
      <c r="D197" s="42" t="s">
        <v>673</v>
      </c>
      <c r="E197" s="35" t="str">
        <f t="array" ref="E197">IF(D197="", "", XLOOKUP(D197, 'MASTER ITEM LIST'!A:A, 'MASTER ITEM LIST'!B:B, ""))</f>
        <v>NIPPON ACRYLIC SKIMCOAT 5KG</v>
      </c>
      <c r="F197" s="37" t="s">
        <v>41</v>
      </c>
      <c r="G197" s="31">
        <v>7.0</v>
      </c>
      <c r="H197" s="39" t="str">
        <f t="array" ref="H197">IFERROR(XLOOKUP(D197,'MASTER ITEM LIST'!A:A,'MASTER ITEM LIST'!D:D), "")</f>
        <v>5KG</v>
      </c>
      <c r="I197" s="40">
        <v>402.0</v>
      </c>
      <c r="J197" s="41">
        <f t="shared" si="1"/>
        <v>2814</v>
      </c>
    </row>
    <row r="198" ht="22.5" customHeight="1">
      <c r="A198" s="17">
        <v>46112.0</v>
      </c>
      <c r="B198" s="19"/>
      <c r="C198" s="20" t="s">
        <v>49</v>
      </c>
      <c r="D198" s="42" t="s">
        <v>869</v>
      </c>
      <c r="E198" s="35" t="str">
        <f t="array" ref="E198">IF(D198="", "", XLOOKUP(D198, 'MASTER ITEM LIST'!A:A, 'MASTER ITEM LIST'!B:B, ""))</f>
        <v>BOSTIK ULTRAFINO SKIMCOAT WHITE 20KG</v>
      </c>
      <c r="F198" s="37" t="s">
        <v>41</v>
      </c>
      <c r="G198" s="31">
        <v>16.0</v>
      </c>
      <c r="H198" s="39" t="str">
        <f t="array" ref="H198">IFERROR(XLOOKUP(D198,'MASTER ITEM LIST'!A:A,'MASTER ITEM LIST'!D:D), "")</f>
        <v>BAG</v>
      </c>
      <c r="I198" s="40">
        <v>495.0</v>
      </c>
      <c r="J198" s="41">
        <f t="shared" si="1"/>
        <v>7920</v>
      </c>
    </row>
    <row r="199" ht="22.5" customHeight="1">
      <c r="A199" s="17">
        <v>46112.0</v>
      </c>
      <c r="B199" s="19"/>
      <c r="C199" s="20" t="s">
        <v>49</v>
      </c>
      <c r="D199" s="42" t="s">
        <v>253</v>
      </c>
      <c r="E199" s="35" t="str">
        <f t="array" ref="E199">IF(D199="", "", XLOOKUP(D199, 'MASTER ITEM LIST'!A:A, 'MASTER ITEM LIST'!B:B, ""))</f>
        <v>ROBERLO RUBBING COMPOUND 1KG</v>
      </c>
      <c r="F199" s="37" t="s">
        <v>41</v>
      </c>
      <c r="G199" s="31">
        <v>6.75</v>
      </c>
      <c r="H199" s="39" t="str">
        <f t="array" ref="H199">IFERROR(XLOOKUP(D199,'MASTER ITEM LIST'!A:A,'MASTER ITEM LIST'!D:D), "")</f>
        <v>KG</v>
      </c>
      <c r="I199" s="40">
        <v>780.0</v>
      </c>
      <c r="J199" s="41">
        <f t="shared" si="1"/>
        <v>5265</v>
      </c>
    </row>
    <row r="200" ht="22.5" customHeight="1">
      <c r="A200" s="17">
        <v>46112.0</v>
      </c>
      <c r="B200" s="19"/>
      <c r="C200" s="20" t="s">
        <v>49</v>
      </c>
      <c r="D200" s="42" t="s">
        <v>247</v>
      </c>
      <c r="E200" s="35" t="str">
        <f t="array" ref="E200">IF(D200="", "", XLOOKUP(D200, 'MASTER ITEM LIST'!A:A, 'MASTER ITEM LIST'!B:B, ""))</f>
        <v>ROBFILTER PAINT STRAINER 125M</v>
      </c>
      <c r="F200" s="37" t="s">
        <v>41</v>
      </c>
      <c r="G200" s="31">
        <v>15.0</v>
      </c>
      <c r="H200" s="39" t="str">
        <f t="array" ref="H200">IFERROR(XLOOKUP(D200,'MASTER ITEM LIST'!A:A,'MASTER ITEM LIST'!D:D), "")</f>
        <v>PC/S</v>
      </c>
      <c r="I200" s="40">
        <v>11.0</v>
      </c>
      <c r="J200" s="41">
        <f t="shared" si="1"/>
        <v>165</v>
      </c>
    </row>
    <row r="201" ht="22.5" customHeight="1">
      <c r="A201" s="17">
        <v>46112.0</v>
      </c>
      <c r="B201" s="19"/>
      <c r="C201" s="20" t="s">
        <v>49</v>
      </c>
      <c r="D201" s="42" t="s">
        <v>345</v>
      </c>
      <c r="E201" s="35" t="str">
        <f t="array" ref="E201">IF(D201="", "", XLOOKUP(D201, 'MASTER ITEM LIST'!A:A, 'MASTER ITEM LIST'!B:B, ""))</f>
        <v>PYLOX LAZER WHITE 02</v>
      </c>
      <c r="F201" s="37" t="s">
        <v>41</v>
      </c>
      <c r="G201" s="31">
        <v>7.0</v>
      </c>
      <c r="H201" s="39" t="str">
        <f t="array" ref="H201">IFERROR(XLOOKUP(D201,'MASTER ITEM LIST'!A:A,'MASTER ITEM LIST'!D:D), "")</f>
        <v>CAN</v>
      </c>
      <c r="I201" s="40">
        <v>95.0</v>
      </c>
      <c r="J201" s="41">
        <f t="shared" si="1"/>
        <v>665</v>
      </c>
    </row>
    <row r="202" ht="22.5" customHeight="1">
      <c r="A202" s="17">
        <v>46112.0</v>
      </c>
      <c r="B202" s="19"/>
      <c r="C202" s="20" t="s">
        <v>49</v>
      </c>
      <c r="D202" s="42" t="s">
        <v>347</v>
      </c>
      <c r="E202" s="35" t="str">
        <f t="array" ref="E202">IF(D202="", "", XLOOKUP(D202, 'MASTER ITEM LIST'!A:A, 'MASTER ITEM LIST'!B:B, ""))</f>
        <v>PYLOX LAZER VIOLET 20</v>
      </c>
      <c r="F202" s="37" t="s">
        <v>41</v>
      </c>
      <c r="G202" s="31">
        <v>10.0</v>
      </c>
      <c r="H202" s="39" t="str">
        <f t="array" ref="H202">IFERROR(XLOOKUP(D202,'MASTER ITEM LIST'!A:A,'MASTER ITEM LIST'!D:D), "")</f>
        <v>CAN</v>
      </c>
      <c r="I202" s="40">
        <v>95.0</v>
      </c>
      <c r="J202" s="41">
        <f t="shared" si="1"/>
        <v>950</v>
      </c>
    </row>
    <row r="203" ht="22.5" customHeight="1">
      <c r="A203" s="17">
        <v>46112.0</v>
      </c>
      <c r="B203" s="19"/>
      <c r="C203" s="20" t="s">
        <v>49</v>
      </c>
      <c r="D203" s="42" t="s">
        <v>353</v>
      </c>
      <c r="E203" s="35" t="str">
        <f t="array" ref="E203">IF(D203="", "", XLOOKUP(D203, 'MASTER ITEM LIST'!A:A, 'MASTER ITEM LIST'!B:B, ""))</f>
        <v>PYLOX LAZER SKY BLUE 22</v>
      </c>
      <c r="F203" s="37" t="s">
        <v>41</v>
      </c>
      <c r="G203" s="31">
        <v>6.0</v>
      </c>
      <c r="H203" s="39" t="str">
        <f t="array" ref="H203">IFERROR(XLOOKUP(D203,'MASTER ITEM LIST'!A:A,'MASTER ITEM LIST'!D:D), "")</f>
        <v>CAN</v>
      </c>
      <c r="I203" s="40">
        <v>95.0</v>
      </c>
      <c r="J203" s="41">
        <f t="shared" si="1"/>
        <v>570</v>
      </c>
    </row>
    <row r="204" ht="22.5" customHeight="1">
      <c r="A204" s="17">
        <v>46112.0</v>
      </c>
      <c r="B204" s="19"/>
      <c r="C204" s="20" t="s">
        <v>49</v>
      </c>
      <c r="D204" s="42" t="s">
        <v>355</v>
      </c>
      <c r="E204" s="35" t="str">
        <f t="array" ref="E204">IF(D204="", "", XLOOKUP(D204, 'MASTER ITEM LIST'!A:A, 'MASTER ITEM LIST'!B:B, ""))</f>
        <v>PYLOX LAZER SILVER 42</v>
      </c>
      <c r="F204" s="37" t="s">
        <v>41</v>
      </c>
      <c r="G204" s="31">
        <v>9.0</v>
      </c>
      <c r="H204" s="39" t="str">
        <f t="array" ref="H204">IFERROR(XLOOKUP(D204,'MASTER ITEM LIST'!A:A,'MASTER ITEM LIST'!D:D), "")</f>
        <v>CAN</v>
      </c>
      <c r="I204" s="40">
        <v>95.0</v>
      </c>
      <c r="J204" s="41">
        <f t="shared" si="1"/>
        <v>855</v>
      </c>
    </row>
    <row r="205" ht="22.5" customHeight="1">
      <c r="A205" s="17">
        <v>46112.0</v>
      </c>
      <c r="B205" s="19"/>
      <c r="C205" s="20" t="s">
        <v>49</v>
      </c>
      <c r="D205" s="42" t="s">
        <v>358</v>
      </c>
      <c r="E205" s="35" t="str">
        <f t="array" ref="E205">IF(D205="", "", XLOOKUP(D205, 'MASTER ITEM LIST'!A:A, 'MASTER ITEM LIST'!B:B, ""))</f>
        <v>PYLOX LAZER PRIMER GRAY 145</v>
      </c>
      <c r="F205" s="37" t="s">
        <v>41</v>
      </c>
      <c r="G205" s="31">
        <v>6.0</v>
      </c>
      <c r="H205" s="39" t="str">
        <f t="array" ref="H205">IFERROR(XLOOKUP(D205,'MASTER ITEM LIST'!A:A,'MASTER ITEM LIST'!D:D), "")</f>
        <v>CAN</v>
      </c>
      <c r="I205" s="40">
        <v>95.0</v>
      </c>
      <c r="J205" s="41">
        <f t="shared" si="1"/>
        <v>570</v>
      </c>
    </row>
    <row r="206" ht="22.5" customHeight="1">
      <c r="A206" s="17">
        <v>46112.0</v>
      </c>
      <c r="B206" s="19"/>
      <c r="C206" s="20" t="s">
        <v>49</v>
      </c>
      <c r="D206" s="42" t="s">
        <v>362</v>
      </c>
      <c r="E206" s="35" t="str">
        <f t="array" ref="E206">IF(D206="", "", XLOOKUP(D206, 'MASTER ITEM LIST'!A:A, 'MASTER ITEM LIST'!B:B, ""))</f>
        <v>PYLOX LAZER MATT WHITE 03</v>
      </c>
      <c r="F206" s="37" t="s">
        <v>41</v>
      </c>
      <c r="G206" s="31">
        <v>7.0</v>
      </c>
      <c r="H206" s="39" t="str">
        <f t="array" ref="H206">IFERROR(XLOOKUP(D206,'MASTER ITEM LIST'!A:A,'MASTER ITEM LIST'!D:D), "")</f>
        <v>CAN</v>
      </c>
      <c r="I206" s="40">
        <v>95.0</v>
      </c>
      <c r="J206" s="41">
        <f t="shared" si="1"/>
        <v>665</v>
      </c>
    </row>
    <row r="207" ht="22.5" customHeight="1">
      <c r="A207" s="17">
        <v>46112.0</v>
      </c>
      <c r="B207" s="19"/>
      <c r="C207" s="20" t="s">
        <v>49</v>
      </c>
      <c r="D207" s="42" t="s">
        <v>364</v>
      </c>
      <c r="E207" s="35" t="str">
        <f t="array" ref="E207">IF(D207="", "", XLOOKUP(D207, 'MASTER ITEM LIST'!A:A, 'MASTER ITEM LIST'!B:B, ""))</f>
        <v>PYLOX LAZER LIGHT GREEN 33</v>
      </c>
      <c r="F207" s="37" t="s">
        <v>41</v>
      </c>
      <c r="G207" s="31">
        <v>5.0</v>
      </c>
      <c r="H207" s="39" t="str">
        <f t="array" ref="H207">IFERROR(XLOOKUP(D207,'MASTER ITEM LIST'!A:A,'MASTER ITEM LIST'!D:D), "")</f>
        <v>CAN</v>
      </c>
      <c r="I207" s="40">
        <v>95.0</v>
      </c>
      <c r="J207" s="41">
        <f t="shared" si="1"/>
        <v>475</v>
      </c>
    </row>
    <row r="208" ht="22.5" customHeight="1">
      <c r="A208" s="17">
        <v>46112.0</v>
      </c>
      <c r="B208" s="19"/>
      <c r="C208" s="20" t="s">
        <v>49</v>
      </c>
      <c r="D208" s="42" t="s">
        <v>367</v>
      </c>
      <c r="E208" s="35" t="str">
        <f t="array" ref="E208">IF(D208="", "", XLOOKUP(D208, 'MASTER ITEM LIST'!A:A, 'MASTER ITEM LIST'!B:B, ""))</f>
        <v>PYLOX LAZER HEAT RESISTANT SILVER 709</v>
      </c>
      <c r="F208" s="37" t="s">
        <v>41</v>
      </c>
      <c r="G208" s="31">
        <v>4.0</v>
      </c>
      <c r="H208" s="39" t="str">
        <f t="array" ref="H208">IFERROR(XLOOKUP(D208,'MASTER ITEM LIST'!A:A,'MASTER ITEM LIST'!D:D), "")</f>
        <v>CAN</v>
      </c>
      <c r="I208" s="40">
        <v>162.0</v>
      </c>
      <c r="J208" s="41">
        <f t="shared" si="1"/>
        <v>648</v>
      </c>
    </row>
    <row r="209" ht="22.5" customHeight="1">
      <c r="A209" s="17">
        <v>46112.0</v>
      </c>
      <c r="B209" s="19"/>
      <c r="C209" s="20" t="s">
        <v>49</v>
      </c>
      <c r="D209" s="42" t="s">
        <v>374</v>
      </c>
      <c r="E209" s="35" t="str">
        <f t="array" ref="E209">IF(D209="", "", XLOOKUP(D209, 'MASTER ITEM LIST'!A:A, 'MASTER ITEM LIST'!B:B, ""))</f>
        <v>PYLOX LAZER GOLD 705</v>
      </c>
      <c r="F209" s="37" t="s">
        <v>41</v>
      </c>
      <c r="G209" s="31">
        <v>11.0</v>
      </c>
      <c r="H209" s="39" t="str">
        <f t="array" ref="H209">IFERROR(XLOOKUP(D209,'MASTER ITEM LIST'!A:A,'MASTER ITEM LIST'!D:D), "")</f>
        <v>CAN</v>
      </c>
      <c r="I209" s="40">
        <v>117.0</v>
      </c>
      <c r="J209" s="41">
        <f t="shared" si="1"/>
        <v>1287</v>
      </c>
    </row>
    <row r="210" ht="22.5" customHeight="1">
      <c r="A210" s="17">
        <v>46112.0</v>
      </c>
      <c r="B210" s="19"/>
      <c r="C210" s="20" t="s">
        <v>49</v>
      </c>
      <c r="D210" s="42" t="s">
        <v>340</v>
      </c>
      <c r="E210" s="35" t="str">
        <f t="array" ref="E210">IF(D210="", "", XLOOKUP(D210, 'MASTER ITEM LIST'!A:A, 'MASTER ITEM LIST'!B:B, ""))</f>
        <v>PYLOX LAZER GLOSS BLACK 48</v>
      </c>
      <c r="F210" s="37" t="s">
        <v>41</v>
      </c>
      <c r="G210" s="31">
        <v>10.0</v>
      </c>
      <c r="H210" s="39" t="str">
        <f t="array" ref="H210">IFERROR(XLOOKUP(D210,'MASTER ITEM LIST'!A:A,'MASTER ITEM LIST'!D:D), "")</f>
        <v>CAN</v>
      </c>
      <c r="I210" s="40">
        <v>95.0</v>
      </c>
      <c r="J210" s="41">
        <f t="shared" si="1"/>
        <v>950</v>
      </c>
    </row>
    <row r="211" ht="22.5" customHeight="1">
      <c r="A211" s="17">
        <v>46112.0</v>
      </c>
      <c r="B211" s="19"/>
      <c r="C211" s="20" t="s">
        <v>49</v>
      </c>
      <c r="D211" s="42" t="s">
        <v>379</v>
      </c>
      <c r="E211" s="35" t="str">
        <f t="array" ref="E211">IF(D211="", "", XLOOKUP(D211, 'MASTER ITEM LIST'!A:A, 'MASTER ITEM LIST'!B:B, ""))</f>
        <v>PYLOX LAZER FLOURESCENT VIOLET 604</v>
      </c>
      <c r="F211" s="37" t="s">
        <v>41</v>
      </c>
      <c r="G211" s="31">
        <v>9.0</v>
      </c>
      <c r="H211" s="39" t="str">
        <f t="array" ref="H211">IFERROR(XLOOKUP(D211,'MASTER ITEM LIST'!A:A,'MASTER ITEM LIST'!D:D), "")</f>
        <v>CAN</v>
      </c>
      <c r="I211" s="40">
        <v>135.0</v>
      </c>
      <c r="J211" s="41">
        <f t="shared" si="1"/>
        <v>1215</v>
      </c>
    </row>
    <row r="212" ht="22.5" customHeight="1">
      <c r="A212" s="17">
        <v>46112.0</v>
      </c>
      <c r="B212" s="19"/>
      <c r="C212" s="20" t="s">
        <v>49</v>
      </c>
      <c r="D212" s="42" t="s">
        <v>385</v>
      </c>
      <c r="E212" s="35" t="str">
        <f t="array" ref="E212">IF(D212="", "", XLOOKUP(D212, 'MASTER ITEM LIST'!A:A, 'MASTER ITEM LIST'!B:B, ""))</f>
        <v>PYLOX LAZER FLOURESCENT ORANGE 601</v>
      </c>
      <c r="F212" s="37" t="s">
        <v>41</v>
      </c>
      <c r="G212" s="31">
        <v>9.0</v>
      </c>
      <c r="H212" s="39" t="str">
        <f t="array" ref="H212">IFERROR(XLOOKUP(D212,'MASTER ITEM LIST'!A:A,'MASTER ITEM LIST'!D:D), "")</f>
        <v>CAN</v>
      </c>
      <c r="I212" s="40">
        <v>135.0</v>
      </c>
      <c r="J212" s="41">
        <f t="shared" si="1"/>
        <v>1215</v>
      </c>
    </row>
    <row r="213" ht="22.5" customHeight="1">
      <c r="A213" s="17">
        <v>46112.0</v>
      </c>
      <c r="B213" s="19"/>
      <c r="C213" s="20" t="s">
        <v>49</v>
      </c>
      <c r="D213" s="42" t="s">
        <v>381</v>
      </c>
      <c r="E213" s="35" t="str">
        <f t="array" ref="E213">IF(D213="", "", XLOOKUP(D213, 'MASTER ITEM LIST'!A:A, 'MASTER ITEM LIST'!B:B, ""))</f>
        <v>PYLOX LAZER FLOURESCENT PINK 603</v>
      </c>
      <c r="F213" s="37" t="s">
        <v>41</v>
      </c>
      <c r="G213" s="31">
        <v>3.0</v>
      </c>
      <c r="H213" s="39" t="str">
        <f t="array" ref="H213">IFERROR(XLOOKUP(D213,'MASTER ITEM LIST'!A:A,'MASTER ITEM LIST'!D:D), "")</f>
        <v>CAN</v>
      </c>
      <c r="I213" s="40">
        <v>135.0</v>
      </c>
      <c r="J213" s="41">
        <f t="shared" si="1"/>
        <v>405</v>
      </c>
    </row>
    <row r="214" ht="22.5" customHeight="1">
      <c r="A214" s="17">
        <v>46112.0</v>
      </c>
      <c r="B214" s="19"/>
      <c r="C214" s="20" t="s">
        <v>49</v>
      </c>
      <c r="D214" s="42" t="s">
        <v>393</v>
      </c>
      <c r="E214" s="35" t="str">
        <f t="array" ref="E214">IF(D214="", "", XLOOKUP(D214, 'MASTER ITEM LIST'!A:A, 'MASTER ITEM LIST'!B:B, ""))</f>
        <v>PYLOX LAZER DEEP RED 17</v>
      </c>
      <c r="F214" s="37" t="s">
        <v>41</v>
      </c>
      <c r="G214" s="31">
        <v>6.0</v>
      </c>
      <c r="H214" s="39" t="str">
        <f t="array" ref="H214">IFERROR(XLOOKUP(D214,'MASTER ITEM LIST'!A:A,'MASTER ITEM LIST'!D:D), "")</f>
        <v>CAN</v>
      </c>
      <c r="I214" s="40">
        <v>95.0</v>
      </c>
      <c r="J214" s="41">
        <f t="shared" si="1"/>
        <v>570</v>
      </c>
    </row>
    <row r="215" ht="22.5" customHeight="1">
      <c r="A215" s="17">
        <v>46112.0</v>
      </c>
      <c r="B215" s="19"/>
      <c r="C215" s="20" t="s">
        <v>49</v>
      </c>
      <c r="D215" s="42" t="s">
        <v>401</v>
      </c>
      <c r="E215" s="35" t="str">
        <f t="array" ref="E215">IF(D215="", "", XLOOKUP(D215, 'MASTER ITEM LIST'!A:A, 'MASTER ITEM LIST'!B:B, ""))</f>
        <v>PYLOX LAZER CANDYTONE RED 801</v>
      </c>
      <c r="F215" s="37" t="s">
        <v>41</v>
      </c>
      <c r="G215" s="31">
        <v>11.0</v>
      </c>
      <c r="H215" s="39" t="str">
        <f t="array" ref="H215">IFERROR(XLOOKUP(D215,'MASTER ITEM LIST'!A:A,'MASTER ITEM LIST'!D:D), "")</f>
        <v>CAN</v>
      </c>
      <c r="I215" s="40">
        <v>110.0</v>
      </c>
      <c r="J215" s="41">
        <f t="shared" si="1"/>
        <v>1210</v>
      </c>
    </row>
    <row r="216" ht="22.5" customHeight="1">
      <c r="A216" s="17">
        <v>46112.0</v>
      </c>
      <c r="B216" s="19"/>
      <c r="C216" s="20" t="s">
        <v>49</v>
      </c>
      <c r="D216" s="42" t="s">
        <v>391</v>
      </c>
      <c r="E216" s="35" t="str">
        <f t="array" ref="E216">IF(D216="", "", XLOOKUP(D216, 'MASTER ITEM LIST'!A:A, 'MASTER ITEM LIST'!B:B, ""))</f>
        <v>PYLOX LAZER DISTINGUISHED SILVER 701</v>
      </c>
      <c r="F216" s="37" t="s">
        <v>41</v>
      </c>
      <c r="G216" s="31">
        <v>10.0</v>
      </c>
      <c r="H216" s="39" t="str">
        <f t="array" ref="H216">IFERROR(XLOOKUP(D216,'MASTER ITEM LIST'!A:A,'MASTER ITEM LIST'!D:D), "")</f>
        <v>CAN</v>
      </c>
      <c r="I216" s="40">
        <v>117.0</v>
      </c>
      <c r="J216" s="41">
        <f t="shared" si="1"/>
        <v>1170</v>
      </c>
    </row>
    <row r="217" ht="22.5" customHeight="1">
      <c r="A217" s="17">
        <v>46112.0</v>
      </c>
      <c r="B217" s="19"/>
      <c r="C217" s="20" t="s">
        <v>49</v>
      </c>
      <c r="D217" s="42" t="s">
        <v>399</v>
      </c>
      <c r="E217" s="35" t="str">
        <f t="array" ref="E217">IF(D217="", "", XLOOKUP(D217, 'MASTER ITEM LIST'!A:A, 'MASTER ITEM LIST'!B:B, ""))</f>
        <v>PYLOX LAZER CLEAR 01</v>
      </c>
      <c r="F217" s="37" t="s">
        <v>41</v>
      </c>
      <c r="G217" s="31">
        <v>12.0</v>
      </c>
      <c r="H217" s="39" t="str">
        <f t="array" ref="H217">IFERROR(XLOOKUP(D217,'MASTER ITEM LIST'!A:A,'MASTER ITEM LIST'!D:D), "")</f>
        <v>CAN</v>
      </c>
      <c r="I217" s="40">
        <v>95.0</v>
      </c>
      <c r="J217" s="41">
        <f t="shared" si="1"/>
        <v>1140</v>
      </c>
    </row>
    <row r="218" ht="22.5" customHeight="1">
      <c r="A218" s="17">
        <v>46112.0</v>
      </c>
      <c r="B218" s="19"/>
      <c r="C218" s="20" t="s">
        <v>49</v>
      </c>
      <c r="D218" s="42" t="s">
        <v>406</v>
      </c>
      <c r="E218" s="35" t="str">
        <f t="array" ref="E218">IF(D218="", "", XLOOKUP(D218, 'MASTER ITEM LIST'!A:A, 'MASTER ITEM LIST'!B:B, ""))</f>
        <v>PYLOX LAZER ART YELLOW 06</v>
      </c>
      <c r="F218" s="37" t="s">
        <v>41</v>
      </c>
      <c r="G218" s="31">
        <v>8.0</v>
      </c>
      <c r="H218" s="39" t="str">
        <f t="array" ref="H218">IFERROR(XLOOKUP(D218,'MASTER ITEM LIST'!A:A,'MASTER ITEM LIST'!D:D), "")</f>
        <v>CAN</v>
      </c>
      <c r="I218" s="40">
        <v>95.0</v>
      </c>
      <c r="J218" s="41">
        <f t="shared" si="1"/>
        <v>760</v>
      </c>
    </row>
    <row r="219" ht="22.5" customHeight="1">
      <c r="A219" s="17">
        <v>46112.0</v>
      </c>
      <c r="B219" s="19"/>
      <c r="C219" s="20" t="s">
        <v>49</v>
      </c>
      <c r="D219" s="42" t="s">
        <v>409</v>
      </c>
      <c r="E219" s="35" t="str">
        <f t="array" ref="E219">IF(D219="", "", XLOOKUP(D219, 'MASTER ITEM LIST'!A:A, 'MASTER ITEM LIST'!B:B, ""))</f>
        <v>PYLOX LAZER ANTI-RUST BROWN PRIMER 12</v>
      </c>
      <c r="F219" s="37" t="s">
        <v>41</v>
      </c>
      <c r="G219" s="31">
        <v>5.0</v>
      </c>
      <c r="H219" s="39" t="str">
        <f t="array" ref="H219">IFERROR(XLOOKUP(D219,'MASTER ITEM LIST'!A:A,'MASTER ITEM LIST'!D:D), "")</f>
        <v>CAN</v>
      </c>
      <c r="I219" s="40">
        <v>95.0</v>
      </c>
      <c r="J219" s="41">
        <f t="shared" si="1"/>
        <v>475</v>
      </c>
    </row>
    <row r="220" ht="22.5" customHeight="1">
      <c r="A220" s="17">
        <v>46112.0</v>
      </c>
      <c r="B220" s="19"/>
      <c r="C220" s="20" t="s">
        <v>49</v>
      </c>
      <c r="D220" s="42" t="s">
        <v>127</v>
      </c>
      <c r="E220" s="35" t="str">
        <f t="array" ref="E220">IF(D220="", "", XLOOKUP(D220, 'MASTER ITEM LIST'!A:A, 'MASTER ITEM LIST'!B:B, ""))</f>
        <v>JAPAN PUTTY KNIFE #4</v>
      </c>
      <c r="F220" s="37" t="s">
        <v>41</v>
      </c>
      <c r="G220" s="31">
        <v>26.0</v>
      </c>
      <c r="H220" s="39" t="str">
        <f t="array" ref="H220">IFERROR(XLOOKUP(D220,'MASTER ITEM LIST'!A:A,'MASTER ITEM LIST'!D:D), "")</f>
        <v>PC/S</v>
      </c>
      <c r="I220" s="40">
        <v>12.0</v>
      </c>
      <c r="J220" s="41">
        <f t="shared" si="1"/>
        <v>312</v>
      </c>
    </row>
    <row r="221" ht="22.5" customHeight="1">
      <c r="A221" s="17">
        <v>46112.0</v>
      </c>
      <c r="B221" s="19"/>
      <c r="C221" s="20" t="s">
        <v>49</v>
      </c>
      <c r="D221" s="42" t="s">
        <v>909</v>
      </c>
      <c r="E221" s="35" t="str">
        <f t="array" ref="E221">IF(D221="", "", XLOOKUP(D221, 'MASTER ITEM LIST'!A:A, 'MASTER ITEM LIST'!B:B, ""))</f>
        <v>JAPAN PUTTY KNIFE #6</v>
      </c>
      <c r="F221" s="37" t="s">
        <v>41</v>
      </c>
      <c r="G221" s="31">
        <v>22.0</v>
      </c>
      <c r="H221" s="39" t="str">
        <f t="array" ref="H221">IFERROR(XLOOKUP(D221,'MASTER ITEM LIST'!A:A,'MASTER ITEM LIST'!D:D), "")</f>
        <v>PC/S</v>
      </c>
      <c r="I221" s="40">
        <v>15.0</v>
      </c>
      <c r="J221" s="41">
        <f t="shared" si="1"/>
        <v>330</v>
      </c>
    </row>
    <row r="222" ht="22.5" customHeight="1">
      <c r="A222" s="17">
        <v>46112.0</v>
      </c>
      <c r="B222" s="19"/>
      <c r="C222" s="20" t="s">
        <v>49</v>
      </c>
      <c r="D222" s="42" t="s">
        <v>505</v>
      </c>
      <c r="E222" s="35" t="str">
        <f t="array" ref="E222">IF(D222="", "", XLOOKUP(D222, 'MASTER ITEM LIST'!A:A, 'MASTER ITEM LIST'!B:B, ""))</f>
        <v>PAINT ROLLER TRAY</v>
      </c>
      <c r="F222" s="37" t="s">
        <v>41</v>
      </c>
      <c r="G222" s="31">
        <v>4.0</v>
      </c>
      <c r="H222" s="39" t="str">
        <f t="array" ref="H222">IFERROR(XLOOKUP(D222,'MASTER ITEM LIST'!A:A,'MASTER ITEM LIST'!D:D), "")</f>
        <v>PC/S</v>
      </c>
      <c r="I222" s="40">
        <v>40.0</v>
      </c>
      <c r="J222" s="41">
        <f t="shared" si="1"/>
        <v>160</v>
      </c>
    </row>
    <row r="223" ht="22.5" customHeight="1">
      <c r="A223" s="17">
        <v>46112.0</v>
      </c>
      <c r="B223" s="19"/>
      <c r="C223" s="20" t="s">
        <v>49</v>
      </c>
      <c r="D223" s="42" t="s">
        <v>530</v>
      </c>
      <c r="E223" s="35" t="str">
        <f t="array" ref="E223">IF(D223="", "", XLOOKUP(D223, 'MASTER ITEM LIST'!A:A, 'MASTER ITEM LIST'!B:B, ""))</f>
        <v>NIPPON MULTI-PURPOSE JOINT COMPOUND 5L</v>
      </c>
      <c r="F223" s="37" t="s">
        <v>41</v>
      </c>
      <c r="G223" s="31">
        <v>4.0</v>
      </c>
      <c r="H223" s="39" t="str">
        <f t="array" ref="H223">IFERROR(XLOOKUP(D223,'MASTER ITEM LIST'!A:A,'MASTER ITEM LIST'!D:D), "")</f>
        <v>GAL/S</v>
      </c>
      <c r="I223" s="40">
        <v>400.0</v>
      </c>
      <c r="J223" s="41">
        <f t="shared" si="1"/>
        <v>1600</v>
      </c>
    </row>
    <row r="224" ht="22.5" customHeight="1">
      <c r="A224" s="17">
        <v>46112.0</v>
      </c>
      <c r="B224" s="19"/>
      <c r="C224" s="20" t="s">
        <v>49</v>
      </c>
      <c r="D224" s="42" t="s">
        <v>40</v>
      </c>
      <c r="E224" s="35" t="str">
        <f t="array" ref="E224">IF(D224="", "", XLOOKUP(D224, 'MASTER ITEM LIST'!A:A, 'MASTER ITEM LIST'!B:B, ""))</f>
        <v>2B PAINT BRUSH #2</v>
      </c>
      <c r="F224" s="37" t="s">
        <v>41</v>
      </c>
      <c r="G224" s="31">
        <v>7.0</v>
      </c>
      <c r="H224" s="39" t="str">
        <f t="array" ref="H224">IFERROR(XLOOKUP(D224,'MASTER ITEM LIST'!A:A,'MASTER ITEM LIST'!D:D), "")</f>
        <v>PC/S</v>
      </c>
      <c r="I224" s="40">
        <v>31.0</v>
      </c>
      <c r="J224" s="41">
        <f t="shared" si="1"/>
        <v>217</v>
      </c>
    </row>
    <row r="225" ht="22.5" customHeight="1">
      <c r="A225" s="17">
        <v>46112.0</v>
      </c>
      <c r="B225" s="19"/>
      <c r="C225" s="20" t="s">
        <v>49</v>
      </c>
      <c r="D225" s="42" t="s">
        <v>259</v>
      </c>
      <c r="E225" s="35" t="str">
        <f t="array" ref="E225">IF(D225="", "", XLOOKUP(D225, 'MASTER ITEM LIST'!A:A, 'MASTER ITEM LIST'!B:B, ""))</f>
        <v>DRAGONFLY PAINT BRUSH #4</v>
      </c>
      <c r="F225" s="37" t="s">
        <v>41</v>
      </c>
      <c r="G225" s="31">
        <v>9.0</v>
      </c>
      <c r="H225" s="39" t="str">
        <f t="array" ref="H225">IFERROR(XLOOKUP(D225,'MASTER ITEM LIST'!A:A,'MASTER ITEM LIST'!D:D), "")</f>
        <v>PC/S</v>
      </c>
      <c r="I225" s="40">
        <v>99.0</v>
      </c>
      <c r="J225" s="41">
        <f t="shared" si="1"/>
        <v>891</v>
      </c>
    </row>
    <row r="226" ht="22.5" customHeight="1">
      <c r="A226" s="17">
        <v>46112.0</v>
      </c>
      <c r="B226" s="19"/>
      <c r="C226" s="20" t="s">
        <v>49</v>
      </c>
      <c r="D226" s="42" t="s">
        <v>79</v>
      </c>
      <c r="E226" s="35" t="str">
        <f t="array" ref="E226">IF(D226="", "", XLOOKUP(D226, 'MASTER ITEM LIST'!A:A, 'MASTER ITEM LIST'!B:B, ""))</f>
        <v>CROCO MASKING TAPE 1/2 12MM (1X96)</v>
      </c>
      <c r="F226" s="37" t="s">
        <v>41</v>
      </c>
      <c r="G226" s="31">
        <v>223.0</v>
      </c>
      <c r="H226" s="39" t="str">
        <f t="array" ref="H226">IFERROR(XLOOKUP(D226,'MASTER ITEM LIST'!A:A,'MASTER ITEM LIST'!D:D), "")</f>
        <v>PC/S</v>
      </c>
      <c r="I226" s="40">
        <v>15.7291666666</v>
      </c>
      <c r="J226" s="41">
        <f t="shared" si="1"/>
        <v>3507.604167</v>
      </c>
    </row>
    <row r="227" ht="22.5" customHeight="1">
      <c r="A227" s="17">
        <v>46112.0</v>
      </c>
      <c r="B227" s="19"/>
      <c r="C227" s="20" t="s">
        <v>49</v>
      </c>
      <c r="D227" s="42" t="s">
        <v>136</v>
      </c>
      <c r="E227" s="35" t="str">
        <f t="array" ref="E227">IF(D227="", "", XLOOKUP(D227, 'MASTER ITEM LIST'!A:A, 'MASTER ITEM LIST'!B:B, ""))</f>
        <v>CROCO MASKING TAPE 3/4 18MM (1X64)</v>
      </c>
      <c r="F227" s="37" t="s">
        <v>41</v>
      </c>
      <c r="G227" s="31">
        <v>198.0</v>
      </c>
      <c r="H227" s="39" t="str">
        <f t="array" ref="H227">IFERROR(XLOOKUP(D227,'MASTER ITEM LIST'!A:A,'MASTER ITEM LIST'!D:D), "")</f>
        <v>PC/S</v>
      </c>
      <c r="I227" s="40">
        <v>23.59375</v>
      </c>
      <c r="J227" s="41">
        <f t="shared" si="1"/>
        <v>4671.5625</v>
      </c>
    </row>
    <row r="228" ht="22.5" customHeight="1">
      <c r="A228" s="17">
        <v>46112.0</v>
      </c>
      <c r="B228" s="19"/>
      <c r="C228" s="20" t="s">
        <v>49</v>
      </c>
      <c r="D228" s="42" t="s">
        <v>922</v>
      </c>
      <c r="E228" s="35" t="str">
        <f t="array" ref="E228">IF(D228="", "", XLOOKUP(D228, 'MASTER ITEM LIST'!A:A, 'MASTER ITEM LIST'!B:B, ""))</f>
        <v>DO IT SHIELD ALL MULTI-PURPOSE WAX 250ML</v>
      </c>
      <c r="F228" s="37" t="s">
        <v>41</v>
      </c>
      <c r="G228" s="31">
        <v>12.0</v>
      </c>
      <c r="H228" s="39" t="str">
        <f t="array" ref="H228">IFERROR(XLOOKUP(D228,'MASTER ITEM LIST'!A:A,'MASTER ITEM LIST'!D:D), "")</f>
        <v>BOT</v>
      </c>
      <c r="I228" s="40">
        <v>160.0</v>
      </c>
      <c r="J228" s="41">
        <f t="shared" si="1"/>
        <v>1920</v>
      </c>
    </row>
    <row r="229" ht="22.5" customHeight="1">
      <c r="A229" s="17">
        <v>46112.0</v>
      </c>
      <c r="B229" s="19"/>
      <c r="C229" s="20" t="s">
        <v>49</v>
      </c>
      <c r="D229" s="42" t="s">
        <v>246</v>
      </c>
      <c r="E229" s="35" t="str">
        <f t="array" ref="E229">IF(D229="", "", XLOOKUP(D229, 'MASTER ITEM LIST'!A:A, 'MASTER ITEM LIST'!B:B, ""))</f>
        <v>DOMINO BODY FILTER WITH HARDENER 4L</v>
      </c>
      <c r="F229" s="37" t="s">
        <v>41</v>
      </c>
      <c r="G229" s="31">
        <v>2.0</v>
      </c>
      <c r="H229" s="39" t="str">
        <f t="array" ref="H229">IFERROR(XLOOKUP(D229,'MASTER ITEM LIST'!A:A,'MASTER ITEM LIST'!D:D), "")</f>
        <v>GAL</v>
      </c>
      <c r="I229" s="40">
        <v>495.0</v>
      </c>
      <c r="J229" s="41">
        <f t="shared" si="1"/>
        <v>990</v>
      </c>
    </row>
    <row r="230" ht="22.5" customHeight="1">
      <c r="A230" s="17">
        <v>46112.0</v>
      </c>
      <c r="B230" s="19"/>
      <c r="C230" s="20" t="s">
        <v>49</v>
      </c>
      <c r="D230" s="42" t="s">
        <v>674</v>
      </c>
      <c r="E230" s="35" t="str">
        <f t="array" ref="E230">IF(D230="", "", XLOOKUP(D230, 'MASTER ITEM LIST'!A:A, 'MASTER ITEM LIST'!B:B, ""))</f>
        <v>DOMINO BODY FILTER WITH HARDENER 1L</v>
      </c>
      <c r="F230" s="37" t="s">
        <v>41</v>
      </c>
      <c r="G230" s="31">
        <v>3.0</v>
      </c>
      <c r="H230" s="39" t="str">
        <f t="array" ref="H230">IFERROR(XLOOKUP(D230,'MASTER ITEM LIST'!A:A,'MASTER ITEM LIST'!D:D), "")</f>
        <v>LITER</v>
      </c>
      <c r="I230" s="40">
        <v>150.0</v>
      </c>
      <c r="J230" s="41">
        <f t="shared" si="1"/>
        <v>450</v>
      </c>
    </row>
    <row r="231" ht="22.5" customHeight="1">
      <c r="A231" s="17">
        <v>46112.0</v>
      </c>
      <c r="B231" s="19"/>
      <c r="C231" s="20" t="s">
        <v>49</v>
      </c>
      <c r="D231" s="42" t="s">
        <v>155</v>
      </c>
      <c r="E231" s="35" t="str">
        <f t="array" ref="E231">IF(D231="", "", XLOOKUP(D231, 'MASTER ITEM LIST'!A:A, 'MASTER ITEM LIST'!B:B, ""))</f>
        <v>TIMEOUT BODY FILLER WITH HARDENER 4L</v>
      </c>
      <c r="F231" s="37" t="s">
        <v>41</v>
      </c>
      <c r="G231" s="31">
        <v>9.0</v>
      </c>
      <c r="H231" s="39" t="str">
        <f t="array" ref="H231">IFERROR(XLOOKUP(D231,'MASTER ITEM LIST'!A:A,'MASTER ITEM LIST'!D:D), "")</f>
        <v>GAL</v>
      </c>
      <c r="I231" s="40">
        <v>585.0</v>
      </c>
      <c r="J231" s="41">
        <f t="shared" si="1"/>
        <v>5265</v>
      </c>
    </row>
    <row r="232" ht="22.5" customHeight="1">
      <c r="A232" s="17">
        <v>46112.0</v>
      </c>
      <c r="B232" s="19"/>
      <c r="C232" s="20" t="s">
        <v>49</v>
      </c>
      <c r="D232" s="42" t="s">
        <v>931</v>
      </c>
      <c r="E232" s="35" t="str">
        <f t="array" ref="E232">IF(D232="", "", XLOOKUP(D232, 'MASTER ITEM LIST'!A:A, 'MASTER ITEM LIST'!B:B, ""))</f>
        <v>EAGLE SANDPAPER #60</v>
      </c>
      <c r="F232" s="37" t="s">
        <v>41</v>
      </c>
      <c r="G232" s="31">
        <v>308.0</v>
      </c>
      <c r="H232" s="39" t="str">
        <f t="array" ref="H232">IFERROR(XLOOKUP(D232,'MASTER ITEM LIST'!A:A,'MASTER ITEM LIST'!D:D), "")</f>
        <v>PC/S</v>
      </c>
      <c r="I232" s="40">
        <v>28.0</v>
      </c>
      <c r="J232" s="41">
        <f t="shared" si="1"/>
        <v>8624</v>
      </c>
    </row>
    <row r="233" ht="22.5" customHeight="1">
      <c r="A233" s="17">
        <v>46112.0</v>
      </c>
      <c r="B233" s="19"/>
      <c r="C233" s="20" t="s">
        <v>49</v>
      </c>
      <c r="D233" s="42" t="s">
        <v>117</v>
      </c>
      <c r="E233" s="35" t="str">
        <f t="array" ref="E233">IF(D233="", "", XLOOKUP(D233, 'MASTER ITEM LIST'!A:A, 'MASTER ITEM LIST'!B:B, ""))</f>
        <v>EAGLE SANDPAPER #120</v>
      </c>
      <c r="F233" s="37" t="s">
        <v>41</v>
      </c>
      <c r="G233" s="31">
        <v>62.0</v>
      </c>
      <c r="H233" s="39" t="str">
        <f t="array" ref="H233">IFERROR(XLOOKUP(D233,'MASTER ITEM LIST'!A:A,'MASTER ITEM LIST'!D:D), "")</f>
        <v>PC/S</v>
      </c>
      <c r="I233" s="40">
        <v>18.5</v>
      </c>
      <c r="J233" s="41">
        <f t="shared" si="1"/>
        <v>1147</v>
      </c>
    </row>
    <row r="234" ht="22.5" customHeight="1">
      <c r="A234" s="17">
        <v>46112.0</v>
      </c>
      <c r="B234" s="19"/>
      <c r="C234" s="20" t="s">
        <v>49</v>
      </c>
      <c r="D234" s="42" t="s">
        <v>935</v>
      </c>
      <c r="E234" s="35" t="str">
        <f t="array" ref="E234">IF(D234="", "", XLOOKUP(D234, 'MASTER ITEM LIST'!A:A, 'MASTER ITEM LIST'!B:B, ""))</f>
        <v>CROCO MASKING TAPE #2</v>
      </c>
      <c r="F234" s="37" t="s">
        <v>41</v>
      </c>
      <c r="G234" s="31">
        <v>15.0</v>
      </c>
      <c r="H234" s="39" t="str">
        <f t="array" ref="H234">IFERROR(XLOOKUP(D234,'MASTER ITEM LIST'!A:A,'MASTER ITEM LIST'!D:D), "")</f>
        <v>PCS</v>
      </c>
      <c r="I234" s="40">
        <v>63.0</v>
      </c>
      <c r="J234" s="41">
        <f t="shared" si="1"/>
        <v>945</v>
      </c>
    </row>
    <row r="235" ht="22.5" customHeight="1">
      <c r="A235" s="17">
        <v>46112.0</v>
      </c>
      <c r="B235" s="19"/>
      <c r="C235" s="20" t="s">
        <v>49</v>
      </c>
      <c r="D235" s="42" t="s">
        <v>554</v>
      </c>
      <c r="E235" s="35" t="str">
        <f t="array" ref="E235">IF(D235="", "", XLOOKUP(D235, 'MASTER ITEM LIST'!A:A, 'MASTER ITEM LIST'!B:B, ""))</f>
        <v>EAGLE SANDPAPER #400</v>
      </c>
      <c r="F235" s="37" t="s">
        <v>41</v>
      </c>
      <c r="G235" s="31">
        <v>2.0</v>
      </c>
      <c r="H235" s="39" t="str">
        <f t="array" ref="H235">IFERROR(XLOOKUP(D235,'MASTER ITEM LIST'!A:A,'MASTER ITEM LIST'!D:D), "")</f>
        <v>PC/S</v>
      </c>
      <c r="I235" s="40">
        <v>18.5</v>
      </c>
      <c r="J235" s="41">
        <f t="shared" si="1"/>
        <v>37</v>
      </c>
    </row>
    <row r="236" ht="22.5" customHeight="1">
      <c r="A236" s="17">
        <v>46112.0</v>
      </c>
      <c r="B236" s="19"/>
      <c r="C236" s="20" t="s">
        <v>49</v>
      </c>
      <c r="D236" s="42" t="s">
        <v>567</v>
      </c>
      <c r="E236" s="35" t="str">
        <f t="array" ref="E236">IF(D236="", "", XLOOKUP(D236, 'MASTER ITEM LIST'!A:A, 'MASTER ITEM LIST'!B:B, ""))</f>
        <v>EAGLE SANDPAPER #800</v>
      </c>
      <c r="F236" s="37" t="s">
        <v>41</v>
      </c>
      <c r="G236" s="31">
        <v>142.0</v>
      </c>
      <c r="H236" s="39" t="str">
        <f t="array" ref="H236">IFERROR(XLOOKUP(D236,'MASTER ITEM LIST'!A:A,'MASTER ITEM LIST'!D:D), "")</f>
        <v>PC/S</v>
      </c>
      <c r="I236" s="40">
        <v>18.5</v>
      </c>
      <c r="J236" s="41">
        <f t="shared" si="1"/>
        <v>2627</v>
      </c>
    </row>
    <row r="237" ht="22.5" customHeight="1">
      <c r="A237" s="17">
        <v>46112.0</v>
      </c>
      <c r="B237" s="19"/>
      <c r="C237" s="20" t="s">
        <v>49</v>
      </c>
      <c r="D237" s="42" t="s">
        <v>942</v>
      </c>
      <c r="E237" s="35" t="str">
        <f t="array" ref="E237">IF(D237="", "", XLOOKUP(D237, 'MASTER ITEM LIST'!A:A, 'MASTER ITEM LIST'!B:B, ""))</f>
        <v>EAGLE SANDPAPER #1000</v>
      </c>
      <c r="F237" s="37" t="s">
        <v>41</v>
      </c>
      <c r="G237" s="31">
        <v>381.0</v>
      </c>
      <c r="H237" s="39" t="str">
        <f t="array" ref="H237">IFERROR(XLOOKUP(D237,'MASTER ITEM LIST'!A:A,'MASTER ITEM LIST'!D:D), "")</f>
        <v>PC/S</v>
      </c>
      <c r="I237" s="40">
        <v>18.5</v>
      </c>
      <c r="J237" s="41">
        <f t="shared" si="1"/>
        <v>7048.5</v>
      </c>
    </row>
    <row r="238" ht="22.5" customHeight="1">
      <c r="A238" s="17">
        <v>46112.0</v>
      </c>
      <c r="B238" s="19"/>
      <c r="C238" s="20" t="s">
        <v>49</v>
      </c>
      <c r="D238" s="42" t="s">
        <v>326</v>
      </c>
      <c r="E238" s="35" t="str">
        <f t="array" ref="E238">IF(D238="", "", XLOOKUP(D238, 'MASTER ITEM LIST'!A:A, 'MASTER ITEM LIST'!B:B, ""))</f>
        <v>EAGLE SANDPAPER #1200</v>
      </c>
      <c r="F238" s="37" t="s">
        <v>41</v>
      </c>
      <c r="G238" s="31">
        <v>35.0</v>
      </c>
      <c r="H238" s="39" t="str">
        <f t="array" ref="H238">IFERROR(XLOOKUP(D238,'MASTER ITEM LIST'!A:A,'MASTER ITEM LIST'!D:D), "")</f>
        <v>PC/S</v>
      </c>
      <c r="I238" s="40">
        <v>18.5</v>
      </c>
      <c r="J238" s="41">
        <f t="shared" si="1"/>
        <v>647.5</v>
      </c>
    </row>
    <row r="239" ht="22.5" customHeight="1">
      <c r="A239" s="17">
        <v>46112.0</v>
      </c>
      <c r="B239" s="19"/>
      <c r="C239" s="20" t="s">
        <v>49</v>
      </c>
      <c r="D239" s="42" t="s">
        <v>516</v>
      </c>
      <c r="E239" s="35" t="str">
        <f t="array" ref="E239">IF(D239="", "", XLOOKUP(D239, 'MASTER ITEM LIST'!A:A, 'MASTER ITEM LIST'!B:B, ""))</f>
        <v>EAGLE SANDPAPER #1500</v>
      </c>
      <c r="F239" s="37" t="s">
        <v>41</v>
      </c>
      <c r="G239" s="31">
        <v>178.0</v>
      </c>
      <c r="H239" s="39" t="str">
        <f t="array" ref="H239">IFERROR(XLOOKUP(D239,'MASTER ITEM LIST'!A:A,'MASTER ITEM LIST'!D:D), "")</f>
        <v>PC/S</v>
      </c>
      <c r="I239" s="40">
        <v>28.0</v>
      </c>
      <c r="J239" s="41">
        <f t="shared" si="1"/>
        <v>4984</v>
      </c>
    </row>
    <row r="240" ht="22.5" customHeight="1">
      <c r="A240" s="17">
        <v>46112.0</v>
      </c>
      <c r="B240" s="19"/>
      <c r="C240" s="20" t="s">
        <v>49</v>
      </c>
      <c r="D240" s="42" t="s">
        <v>950</v>
      </c>
      <c r="E240" s="35" t="str">
        <f t="array" ref="E240">IF(D240="", "", XLOOKUP(D240, 'MASTER ITEM LIST'!A:A, 'MASTER ITEM LIST'!B:B, ""))</f>
        <v>DO IT URETHANE WHITE 4L</v>
      </c>
      <c r="F240" s="37" t="s">
        <v>41</v>
      </c>
      <c r="G240" s="31">
        <v>7.0</v>
      </c>
      <c r="H240" s="39" t="str">
        <f t="array" ref="H240">IFERROR(XLOOKUP(D240,'MASTER ITEM LIST'!A:A,'MASTER ITEM LIST'!D:D), "")</f>
        <v>GAL/S</v>
      </c>
      <c r="I240" s="40">
        <v>1780.0</v>
      </c>
      <c r="J240" s="41">
        <f t="shared" si="1"/>
        <v>12460</v>
      </c>
    </row>
    <row r="241" ht="22.5" customHeight="1">
      <c r="A241" s="17">
        <v>46112.0</v>
      </c>
      <c r="B241" s="19"/>
      <c r="C241" s="20" t="s">
        <v>49</v>
      </c>
      <c r="D241" s="42" t="s">
        <v>57</v>
      </c>
      <c r="E241" s="35" t="str">
        <f t="array" ref="E241">IF(D241="", "", XLOOKUP(D241, 'MASTER ITEM LIST'!A:A, 'MASTER ITEM LIST'!B:B, ""))</f>
        <v>DO IT URETHANE THINNER 4L</v>
      </c>
      <c r="F241" s="37" t="s">
        <v>41</v>
      </c>
      <c r="G241" s="31">
        <v>4.5</v>
      </c>
      <c r="H241" s="39" t="str">
        <f t="array" ref="H241">IFERROR(XLOOKUP(D241,'MASTER ITEM LIST'!A:A,'MASTER ITEM LIST'!D:D), "")</f>
        <v>GAL/S</v>
      </c>
      <c r="I241" s="40">
        <v>590.0</v>
      </c>
      <c r="J241" s="41">
        <f t="shared" si="1"/>
        <v>2655</v>
      </c>
    </row>
    <row r="242" ht="22.5" customHeight="1">
      <c r="A242" s="17">
        <v>46112.0</v>
      </c>
      <c r="B242" s="19"/>
      <c r="C242" s="20" t="s">
        <v>49</v>
      </c>
      <c r="D242" s="42" t="s">
        <v>902</v>
      </c>
      <c r="E242" s="35" t="str">
        <f t="array" ref="E242">IF(D242="", "", XLOOKUP(D242, 'MASTER ITEM LIST'!A:A, 'MASTER ITEM LIST'!B:B, ""))</f>
        <v>NAX NAT158 CINQUASIA VIOLET 1L</v>
      </c>
      <c r="F242" s="37" t="s">
        <v>41</v>
      </c>
      <c r="G242" s="31">
        <v>2.0</v>
      </c>
      <c r="H242" s="39" t="str">
        <f t="array" ref="H242">IFERROR(XLOOKUP(D242,'MASTER ITEM LIST'!A:A,'MASTER ITEM LIST'!D:D), "")</f>
        <v>LITER</v>
      </c>
      <c r="I242" s="40">
        <v>1310.0</v>
      </c>
      <c r="J242" s="41">
        <f t="shared" si="1"/>
        <v>2620</v>
      </c>
    </row>
    <row r="243" ht="22.5" customHeight="1">
      <c r="A243" s="17">
        <v>46112.0</v>
      </c>
      <c r="B243" s="19"/>
      <c r="C243" s="20" t="s">
        <v>49</v>
      </c>
      <c r="D243" s="42" t="s">
        <v>875</v>
      </c>
      <c r="E243" s="35" t="str">
        <f t="array" ref="E243">IF(D243="", "", XLOOKUP(D243, 'MASTER ITEM LIST'!A:A, 'MASTER ITEM LIST'!B:B, ""))</f>
        <v>NAX NAT705 SUPER FINE SILVER 1L</v>
      </c>
      <c r="F243" s="37" t="s">
        <v>41</v>
      </c>
      <c r="G243" s="31">
        <v>4.0</v>
      </c>
      <c r="H243" s="39" t="str">
        <f t="array" ref="H243">IFERROR(XLOOKUP(D243,'MASTER ITEM LIST'!A:A,'MASTER ITEM LIST'!D:D), "")</f>
        <v>LITER</v>
      </c>
      <c r="I243" s="40">
        <v>422.0</v>
      </c>
      <c r="J243" s="41">
        <f t="shared" si="1"/>
        <v>1688</v>
      </c>
    </row>
    <row r="244" ht="22.5" customHeight="1">
      <c r="A244" s="17">
        <v>46112.0</v>
      </c>
      <c r="B244" s="19"/>
      <c r="C244" s="20" t="s">
        <v>49</v>
      </c>
      <c r="D244" s="42" t="s">
        <v>873</v>
      </c>
      <c r="E244" s="35" t="str">
        <f t="array" ref="E244">IF(D244="", "", XLOOKUP(D244, 'MASTER ITEM LIST'!A:A, 'MASTER ITEM LIST'!B:B, ""))</f>
        <v>NAX NAT706 MEDIUM COARSE SILVER 1L</v>
      </c>
      <c r="F244" s="37" t="s">
        <v>41</v>
      </c>
      <c r="G244" s="31">
        <v>6.0</v>
      </c>
      <c r="H244" s="39" t="str">
        <f t="array" ref="H244">IFERROR(XLOOKUP(D244,'MASTER ITEM LIST'!A:A,'MASTER ITEM LIST'!D:D), "")</f>
        <v>LITER</v>
      </c>
      <c r="I244" s="40">
        <v>422.0</v>
      </c>
      <c r="J244" s="41">
        <f t="shared" si="1"/>
        <v>2532</v>
      </c>
    </row>
    <row r="245" ht="22.5" customHeight="1">
      <c r="A245" s="17">
        <v>46112.0</v>
      </c>
      <c r="B245" s="19"/>
      <c r="C245" s="20" t="s">
        <v>49</v>
      </c>
      <c r="D245" s="42" t="s">
        <v>871</v>
      </c>
      <c r="E245" s="35" t="str">
        <f t="array" ref="E245">IF(D245="", "", XLOOKUP(D245, 'MASTER ITEM LIST'!A:A, 'MASTER ITEM LIST'!B:B, ""))</f>
        <v>NAX NAT707 HI-SPARKLE SILVER 1L</v>
      </c>
      <c r="F245" s="37" t="s">
        <v>41</v>
      </c>
      <c r="G245" s="31">
        <v>5.0</v>
      </c>
      <c r="H245" s="39" t="str">
        <f t="array" ref="H245">IFERROR(XLOOKUP(D245,'MASTER ITEM LIST'!A:A,'MASTER ITEM LIST'!D:D), "")</f>
        <v>LITER</v>
      </c>
      <c r="I245" s="40">
        <v>581.0</v>
      </c>
      <c r="J245" s="41">
        <f t="shared" si="1"/>
        <v>2905</v>
      </c>
    </row>
    <row r="246" ht="22.5" customHeight="1">
      <c r="A246" s="17">
        <v>46112.0</v>
      </c>
      <c r="B246" s="19"/>
      <c r="C246" s="20" t="s">
        <v>49</v>
      </c>
      <c r="D246" s="42" t="s">
        <v>156</v>
      </c>
      <c r="E246" s="35" t="str">
        <f t="array" ref="E246">IF(D246="", "", XLOOKUP(D246, 'MASTER ITEM LIST'!A:A, 'MASTER ITEM LIST'!B:B, ""))</f>
        <v>WASTE COTTON POD</v>
      </c>
      <c r="F246" s="37" t="s">
        <v>41</v>
      </c>
      <c r="G246" s="31">
        <v>38.75</v>
      </c>
      <c r="H246" s="39" t="str">
        <f t="array" ref="H246">IFERROR(XLOOKUP(D246,'MASTER ITEM LIST'!A:A,'MASTER ITEM LIST'!D:D), "")</f>
        <v>KL</v>
      </c>
      <c r="I246" s="40">
        <v>70.0</v>
      </c>
      <c r="J246" s="41">
        <f t="shared" si="1"/>
        <v>2712.5</v>
      </c>
    </row>
    <row r="247" ht="22.5" customHeight="1">
      <c r="A247" s="17">
        <v>46112.0</v>
      </c>
      <c r="B247" s="19"/>
      <c r="C247" s="20" t="s">
        <v>49</v>
      </c>
      <c r="D247" s="42" t="s">
        <v>495</v>
      </c>
      <c r="E247" s="35" t="str">
        <f t="array" ref="E247">IF(D247="", "", XLOOKUP(D247, 'MASTER ITEM LIST'!A:A, 'MASTER ITEM LIST'!B:B, ""))</f>
        <v>PHTHALO GREEN TINTING COLOR PWTCO-9033 1/4L PREMIUM WELCOAT</v>
      </c>
      <c r="F247" s="37" t="s">
        <v>41</v>
      </c>
      <c r="G247" s="31">
        <v>1.0</v>
      </c>
      <c r="H247" s="39" t="str">
        <f t="array" ref="H247">IFERROR(XLOOKUP(D247,'MASTER ITEM LIST'!A:A,'MASTER ITEM LIST'!D:D), "")</f>
        <v>1/4L</v>
      </c>
      <c r="I247" s="40">
        <v>80.59</v>
      </c>
      <c r="J247" s="41">
        <f t="shared" si="1"/>
        <v>80.59</v>
      </c>
    </row>
    <row r="248" ht="22.5" customHeight="1">
      <c r="A248" s="17">
        <v>46112.0</v>
      </c>
      <c r="B248" s="19"/>
      <c r="C248" s="20" t="s">
        <v>49</v>
      </c>
      <c r="D248" s="42" t="s">
        <v>969</v>
      </c>
      <c r="E248" s="35" t="str">
        <f t="array" ref="E248">IF(D248="", "", XLOOKUP(D248, 'MASTER ITEM LIST'!A:A, 'MASTER ITEM LIST'!B:B, ""))</f>
        <v>BURNT SIENNA TINTING COLOR PWTCO-6133 1/4L PREMIUM WELCOAT</v>
      </c>
      <c r="F248" s="37" t="s">
        <v>41</v>
      </c>
      <c r="G248" s="31">
        <v>1.0</v>
      </c>
      <c r="H248" s="39" t="str">
        <f t="array" ref="H248">IFERROR(XLOOKUP(D248,'MASTER ITEM LIST'!A:A,'MASTER ITEM LIST'!D:D), "")</f>
        <v>1/4L</v>
      </c>
      <c r="I248" s="40">
        <v>80.59</v>
      </c>
      <c r="J248" s="41">
        <f t="shared" si="1"/>
        <v>80.59</v>
      </c>
    </row>
    <row r="249" ht="22.5" customHeight="1">
      <c r="A249" s="17">
        <v>46112.0</v>
      </c>
      <c r="B249" s="19"/>
      <c r="C249" s="20" t="s">
        <v>49</v>
      </c>
      <c r="D249" s="42" t="s">
        <v>263</v>
      </c>
      <c r="E249" s="35" t="str">
        <f t="array" ref="E249">IF(D249="", "", XLOOKUP(D249, 'MASTER ITEM LIST'!A:A, 'MASTER ITEM LIST'!B:B, ""))</f>
        <v>RAW UMBER TINTING COLOR PWTCO-4333 1/4L PREMIUM WELCOAT</v>
      </c>
      <c r="F249" s="37" t="s">
        <v>41</v>
      </c>
      <c r="G249" s="31">
        <v>1.0</v>
      </c>
      <c r="H249" s="39" t="str">
        <f t="array" ref="H249">IFERROR(XLOOKUP(D249,'MASTER ITEM LIST'!A:A,'MASTER ITEM LIST'!D:D), "")</f>
        <v>1/4L</v>
      </c>
      <c r="I249" s="40">
        <v>72.02</v>
      </c>
      <c r="J249" s="41">
        <f t="shared" si="1"/>
        <v>72.02</v>
      </c>
    </row>
    <row r="250" ht="22.5" customHeight="1">
      <c r="A250" s="17">
        <v>46112.0</v>
      </c>
      <c r="B250" s="19"/>
      <c r="C250" s="20" t="s">
        <v>49</v>
      </c>
      <c r="D250" s="42" t="s">
        <v>976</v>
      </c>
      <c r="E250" s="35" t="str">
        <f t="array" ref="E250">IF(D250="", "", XLOOKUP(D250, 'MASTER ITEM LIST'!A:A, 'MASTER ITEM LIST'!B:B, ""))</f>
        <v>HANSA YELLOW OIL TINITNG COLOR PWTCO-5033 1/4L WELCOAT PREMIUM</v>
      </c>
      <c r="F250" s="37" t="s">
        <v>41</v>
      </c>
      <c r="G250" s="31">
        <v>1.0</v>
      </c>
      <c r="H250" s="39" t="str">
        <f t="array" ref="H250">IFERROR(XLOOKUP(D250,'MASTER ITEM LIST'!A:A,'MASTER ITEM LIST'!D:D), "")</f>
        <v>1/4L</v>
      </c>
      <c r="I250" s="40">
        <v>90.88</v>
      </c>
      <c r="J250" s="41">
        <f t="shared" si="1"/>
        <v>90.88</v>
      </c>
    </row>
    <row r="251" ht="22.5" customHeight="1">
      <c r="A251" s="17">
        <v>46112.0</v>
      </c>
      <c r="B251" s="19"/>
      <c r="C251" s="20" t="s">
        <v>49</v>
      </c>
      <c r="D251" s="42" t="s">
        <v>979</v>
      </c>
      <c r="E251" s="35" t="str">
        <f t="array" ref="E251">IF(D251="", "", XLOOKUP(D251, 'MASTER ITEM LIST'!A:A, 'MASTER ITEM LIST'!B:B, ""))</f>
        <v>MARINE EPOXY A &amp; B 1L SET EL KAPITAN BOSTIK</v>
      </c>
      <c r="F251" s="37" t="s">
        <v>41</v>
      </c>
      <c r="G251" s="31">
        <v>9.0</v>
      </c>
      <c r="H251" s="39" t="str">
        <f t="array" ref="H251">IFERROR(XLOOKUP(D251,'MASTER ITEM LIST'!A:A,'MASTER ITEM LIST'!D:D), "")</f>
        <v>1L SET</v>
      </c>
      <c r="I251" s="40">
        <v>538.2</v>
      </c>
      <c r="J251" s="41">
        <f t="shared" si="1"/>
        <v>4843.8</v>
      </c>
    </row>
    <row r="252" ht="22.5" customHeight="1">
      <c r="A252" s="17">
        <v>46112.0</v>
      </c>
      <c r="B252" s="19"/>
      <c r="C252" s="20" t="s">
        <v>49</v>
      </c>
      <c r="D252" s="42" t="s">
        <v>984</v>
      </c>
      <c r="E252" s="35" t="str">
        <f t="array" ref="E252">IF(D252="", "", XLOOKUP(D252, 'MASTER ITEM LIST'!A:A, 'MASTER ITEM LIST'!B:B, ""))</f>
        <v>HANSA YELLOW ACRY-COLOR AC-40 1L DAVIES</v>
      </c>
      <c r="F252" s="37" t="s">
        <v>41</v>
      </c>
      <c r="G252" s="31">
        <v>5.0</v>
      </c>
      <c r="H252" s="39" t="str">
        <f t="array" ref="H252">IFERROR(XLOOKUP(D252,'MASTER ITEM LIST'!A:A,'MASTER ITEM LIST'!D:D), "")</f>
        <v>1L</v>
      </c>
      <c r="I252" s="40">
        <v>141.0</v>
      </c>
      <c r="J252" s="41">
        <f t="shared" si="1"/>
        <v>705</v>
      </c>
    </row>
    <row r="253" ht="22.5" customHeight="1">
      <c r="A253" s="17">
        <v>46112.0</v>
      </c>
      <c r="B253" s="19"/>
      <c r="C253" s="20" t="s">
        <v>49</v>
      </c>
      <c r="D253" s="42" t="s">
        <v>273</v>
      </c>
      <c r="E253" s="35" t="str">
        <f t="array" ref="E253">IF(D253="", "", XLOOKUP(D253, 'MASTER ITEM LIST'!A:A, 'MASTER ITEM LIST'!B:B, ""))</f>
        <v>RAW SIENNA ACRY-COLOR AC-90 1L DAVIES</v>
      </c>
      <c r="F253" s="37" t="s">
        <v>41</v>
      </c>
      <c r="G253" s="31">
        <v>4.0</v>
      </c>
      <c r="H253" s="39" t="str">
        <f t="array" ref="H253">IFERROR(XLOOKUP(D253,'MASTER ITEM LIST'!A:A,'MASTER ITEM LIST'!D:D), "")</f>
        <v>1L</v>
      </c>
      <c r="I253" s="40">
        <v>115.0</v>
      </c>
      <c r="J253" s="41">
        <f t="shared" si="1"/>
        <v>460</v>
      </c>
    </row>
    <row r="254" ht="22.5" customHeight="1">
      <c r="A254" s="17">
        <v>46112.0</v>
      </c>
      <c r="B254" s="19"/>
      <c r="C254" s="20" t="s">
        <v>49</v>
      </c>
      <c r="D254" s="42" t="s">
        <v>503</v>
      </c>
      <c r="E254" s="35" t="str">
        <f t="array" ref="E254">IF(D254="", "", XLOOKUP(D254, 'MASTER ITEM LIST'!A:A, 'MASTER ITEM LIST'!B:B, ""))</f>
        <v>PERMANENT ORANGE ACRY-COLOR PWTAC-3117 1L WELCOAT PREMIUM</v>
      </c>
      <c r="F254" s="37" t="s">
        <v>41</v>
      </c>
      <c r="G254" s="31">
        <v>5.0</v>
      </c>
      <c r="H254" s="39" t="str">
        <f t="array" ref="H254">IFERROR(XLOOKUP(D254,'MASTER ITEM LIST'!A:A,'MASTER ITEM LIST'!D:D), "")</f>
        <v>1L</v>
      </c>
      <c r="I254" s="40">
        <v>143.18</v>
      </c>
      <c r="J254" s="41">
        <f t="shared" si="1"/>
        <v>715.9</v>
      </c>
    </row>
    <row r="255" ht="22.5" customHeight="1">
      <c r="A255" s="17">
        <v>46112.0</v>
      </c>
      <c r="B255" s="19"/>
      <c r="C255" s="20" t="s">
        <v>49</v>
      </c>
      <c r="D255" s="42" t="s">
        <v>214</v>
      </c>
      <c r="E255" s="35" t="str">
        <f t="array" ref="E255">IF(D255="", "", XLOOKUP(D255, 'MASTER ITEM LIST'!A:A, 'MASTER ITEM LIST'!B:B, ""))</f>
        <v>THALO GREEN ACRY-COLOR AC-30 1L DAVIES</v>
      </c>
      <c r="F255" s="37" t="s">
        <v>41</v>
      </c>
      <c r="G255" s="31">
        <v>7.0</v>
      </c>
      <c r="H255" s="39" t="str">
        <f t="array" ref="H255">IFERROR(XLOOKUP(D255,'MASTER ITEM LIST'!A:A,'MASTER ITEM LIST'!D:D), "")</f>
        <v>1L</v>
      </c>
      <c r="I255" s="40">
        <v>103.0</v>
      </c>
      <c r="J255" s="41">
        <f t="shared" si="1"/>
        <v>721</v>
      </c>
    </row>
    <row r="256" ht="22.5" customHeight="1">
      <c r="A256" s="17">
        <v>46112.0</v>
      </c>
      <c r="B256" s="19"/>
      <c r="C256" s="20" t="s">
        <v>49</v>
      </c>
      <c r="D256" s="42" t="s">
        <v>216</v>
      </c>
      <c r="E256" s="35" t="str">
        <f t="array" ref="E256">IF(D256="", "", XLOOKUP(D256, 'MASTER ITEM LIST'!A:A, 'MASTER ITEM LIST'!B:B, ""))</f>
        <v>THALO BLUE ACRY-COLOR AC-20 1L DAVIES</v>
      </c>
      <c r="F256" s="37" t="s">
        <v>41</v>
      </c>
      <c r="G256" s="31">
        <v>2.0</v>
      </c>
      <c r="H256" s="39" t="str">
        <f t="array" ref="H256">IFERROR(XLOOKUP(D256,'MASTER ITEM LIST'!A:A,'MASTER ITEM LIST'!D:D), "")</f>
        <v>1L</v>
      </c>
      <c r="I256" s="40">
        <v>103.0</v>
      </c>
      <c r="J256" s="41">
        <f t="shared" si="1"/>
        <v>206</v>
      </c>
    </row>
    <row r="257" ht="22.5" customHeight="1">
      <c r="A257" s="17">
        <v>46112.0</v>
      </c>
      <c r="B257" s="19"/>
      <c r="C257" s="20" t="s">
        <v>49</v>
      </c>
      <c r="D257" s="42" t="s">
        <v>170</v>
      </c>
      <c r="E257" s="35" t="str">
        <f t="array" ref="E257">IF(D257="", "", XLOOKUP(D257, 'MASTER ITEM LIST'!A:A, 'MASTER ITEM LIST'!B:B, ""))</f>
        <v>VENETIAN RED ACRY-COLOR COLOR AC-11 1L DAVIES</v>
      </c>
      <c r="F257" s="37" t="s">
        <v>41</v>
      </c>
      <c r="G257" s="31">
        <v>4.0</v>
      </c>
      <c r="H257" s="39" t="str">
        <f t="array" ref="H257">IFERROR(XLOOKUP(D257,'MASTER ITEM LIST'!A:A,'MASTER ITEM LIST'!D:D), "")</f>
        <v>1L</v>
      </c>
      <c r="I257" s="40">
        <v>108.0</v>
      </c>
      <c r="J257" s="41">
        <f t="shared" si="1"/>
        <v>432</v>
      </c>
    </row>
    <row r="258" ht="22.5" customHeight="1">
      <c r="A258" s="17">
        <v>46112.0</v>
      </c>
      <c r="B258" s="19"/>
      <c r="C258" s="20" t="s">
        <v>49</v>
      </c>
      <c r="D258" s="42" t="s">
        <v>1001</v>
      </c>
      <c r="E258" s="35" t="str">
        <f t="array" ref="E258">IF(D258="", "", XLOOKUP(D258, 'MASTER ITEM LIST'!A:A, 'MASTER ITEM LIST'!B:B, ""))</f>
        <v>BURNT SIENNA PREMIUM ACRY COLOR PWTAC-6517 1L WELCOAT</v>
      </c>
      <c r="F258" s="37" t="s">
        <v>41</v>
      </c>
      <c r="G258" s="31">
        <v>6.0</v>
      </c>
      <c r="H258" s="39" t="str">
        <f t="array" ref="H258">IFERROR(XLOOKUP(D258,'MASTER ITEM LIST'!A:A,'MASTER ITEM LIST'!D:D), "")</f>
        <v>1L</v>
      </c>
      <c r="I258" s="40">
        <v>104.6</v>
      </c>
      <c r="J258" s="41">
        <f t="shared" si="1"/>
        <v>627.6</v>
      </c>
    </row>
    <row r="259" ht="22.5" customHeight="1">
      <c r="A259" s="17">
        <v>46112.0</v>
      </c>
      <c r="B259" s="19"/>
      <c r="C259" s="20" t="s">
        <v>49</v>
      </c>
      <c r="D259" s="42" t="s">
        <v>269</v>
      </c>
      <c r="E259" s="35" t="str">
        <f t="array" ref="E259">IF(D259="", "", XLOOKUP(D259, 'MASTER ITEM LIST'!A:A, 'MASTER ITEM LIST'!B:B, ""))</f>
        <v>RAW UMBER ACRY-COLOR PWTAC-4317 1L WELCOAT PREMIUM</v>
      </c>
      <c r="F259" s="37" t="s">
        <v>41</v>
      </c>
      <c r="G259" s="31">
        <v>6.0</v>
      </c>
      <c r="H259" s="39" t="str">
        <f t="array" ref="H259">IFERROR(XLOOKUP(D259,'MASTER ITEM LIST'!A:A,'MASTER ITEM LIST'!D:D), "")</f>
        <v>1L</v>
      </c>
      <c r="I259" s="40">
        <v>104.6</v>
      </c>
      <c r="J259" s="41">
        <f t="shared" si="1"/>
        <v>627.6</v>
      </c>
    </row>
    <row r="260" ht="22.5" customHeight="1">
      <c r="A260" s="17">
        <v>46112.0</v>
      </c>
      <c r="B260" s="19"/>
      <c r="C260" s="20" t="s">
        <v>49</v>
      </c>
      <c r="D260" s="42" t="s">
        <v>1009</v>
      </c>
      <c r="E260" s="35" t="str">
        <f t="array" ref="E260">IF(D260="", "", XLOOKUP(D260, 'MASTER ITEM LIST'!A:A, 'MASTER ITEM LIST'!B:B, ""))</f>
        <v>BURNT UMBER PREMIUM ACRY COLOR PWTAC-4617 1L WELCOAT</v>
      </c>
      <c r="F260" s="37" t="s">
        <v>41</v>
      </c>
      <c r="G260" s="31">
        <v>6.0</v>
      </c>
      <c r="H260" s="39" t="str">
        <f t="array" ref="H260">IFERROR(XLOOKUP(D260,'MASTER ITEM LIST'!A:A,'MASTER ITEM LIST'!D:D), "")</f>
        <v>1L</v>
      </c>
      <c r="I260" s="40">
        <v>104.6</v>
      </c>
      <c r="J260" s="41">
        <f t="shared" si="1"/>
        <v>627.6</v>
      </c>
    </row>
    <row r="261" ht="22.5" customHeight="1">
      <c r="A261" s="17">
        <v>46112.0</v>
      </c>
      <c r="B261" s="19"/>
      <c r="C261" s="20" t="s">
        <v>49</v>
      </c>
      <c r="D261" s="42" t="s">
        <v>187</v>
      </c>
      <c r="E261" s="35" t="str">
        <f t="array" ref="E261">IF(D261="", "", XLOOKUP(D261, 'MASTER ITEM LIST'!A:A, 'MASTER ITEM LIST'!B:B, ""))</f>
        <v>TOLUIDINE RED ACRY-COLOR AC-10 1L DAVIES</v>
      </c>
      <c r="F261" s="37" t="s">
        <v>41</v>
      </c>
      <c r="G261" s="31">
        <v>4.0</v>
      </c>
      <c r="H261" s="39" t="str">
        <f t="array" ref="H261">IFERROR(XLOOKUP(D261,'MASTER ITEM LIST'!A:A,'MASTER ITEM LIST'!D:D), "")</f>
        <v>1L</v>
      </c>
      <c r="I261" s="40">
        <v>108.0</v>
      </c>
      <c r="J261" s="41">
        <f t="shared" si="1"/>
        <v>432</v>
      </c>
    </row>
    <row r="262" ht="22.5" customHeight="1">
      <c r="A262" s="17">
        <v>46112.0</v>
      </c>
      <c r="B262" s="19"/>
      <c r="C262" s="20" t="s">
        <v>49</v>
      </c>
      <c r="D262" s="42" t="s">
        <v>535</v>
      </c>
      <c r="E262" s="35" t="str">
        <f t="array" ref="E262">IF(D262="", "", XLOOKUP(D262, 'MASTER ITEM LIST'!A:A, 'MASTER ITEM LIST'!B:B, ""))</f>
        <v>FRANELLA CLOTH 1YARD</v>
      </c>
      <c r="F262" s="37" t="s">
        <v>41</v>
      </c>
      <c r="G262" s="31">
        <v>78.0</v>
      </c>
      <c r="H262" s="39" t="str">
        <f t="array" ref="H262">IFERROR(XLOOKUP(D262,'MASTER ITEM LIST'!A:A,'MASTER ITEM LIST'!D:D), "")</f>
        <v>1YRD</v>
      </c>
      <c r="I262" s="40">
        <v>68.0</v>
      </c>
      <c r="J262" s="41">
        <f t="shared" si="1"/>
        <v>5304</v>
      </c>
    </row>
    <row r="263" ht="22.5" customHeight="1">
      <c r="A263" s="17">
        <v>46112.0</v>
      </c>
      <c r="B263" s="19"/>
      <c r="C263" s="20" t="s">
        <v>49</v>
      </c>
      <c r="D263" s="42" t="s">
        <v>557</v>
      </c>
      <c r="E263" s="35" t="str">
        <f t="array" ref="E263">IF(D263="", "", XLOOKUP(D263, 'MASTER ITEM LIST'!A:A, 'MASTER ITEM LIST'!B:B, ""))</f>
        <v>NIPPON FF151 FLOP CONTROL</v>
      </c>
      <c r="F263" s="37" t="s">
        <v>41</v>
      </c>
      <c r="G263" s="31">
        <v>3.0</v>
      </c>
      <c r="H263" s="39" t="str">
        <f t="array" ref="H263">IFERROR(XLOOKUP(D263,'MASTER ITEM LIST'!A:A,'MASTER ITEM LIST'!D:D), "")</f>
        <v>LTR</v>
      </c>
      <c r="I263" s="40">
        <v>1160.0</v>
      </c>
      <c r="J263" s="41">
        <f t="shared" si="1"/>
        <v>3480</v>
      </c>
    </row>
    <row r="264" ht="22.5" customHeight="1">
      <c r="A264" s="17">
        <v>46112.0</v>
      </c>
      <c r="B264" s="19"/>
      <c r="C264" s="20" t="s">
        <v>49</v>
      </c>
      <c r="D264" s="42" t="s">
        <v>432</v>
      </c>
      <c r="E264" s="35" t="str">
        <f t="array" ref="E264">IF(D264="", "", XLOOKUP(D264, 'MASTER ITEM LIST'!A:A, 'MASTER ITEM LIST'!B:B, ""))</f>
        <v>EAGLE SANDPAPER #600</v>
      </c>
      <c r="F264" s="37" t="s">
        <v>41</v>
      </c>
      <c r="G264" s="31">
        <v>194.0</v>
      </c>
      <c r="H264" s="39" t="str">
        <f t="array" ref="H264">IFERROR(XLOOKUP(D264,'MASTER ITEM LIST'!A:A,'MASTER ITEM LIST'!D:D), "")</f>
        <v>PCS</v>
      </c>
      <c r="I264" s="40">
        <v>18.5</v>
      </c>
      <c r="J264" s="41">
        <f t="shared" si="1"/>
        <v>3589</v>
      </c>
    </row>
    <row r="265" ht="22.5" customHeight="1">
      <c r="A265" s="17">
        <v>46112.0</v>
      </c>
      <c r="B265" s="19"/>
      <c r="C265" s="20" t="s">
        <v>49</v>
      </c>
      <c r="D265" s="42" t="s">
        <v>227</v>
      </c>
      <c r="E265" s="35" t="str">
        <f t="array" ref="E265">IF(D265="", "", XLOOKUP(D265, 'MASTER ITEM LIST'!A:A, 'MASTER ITEM LIST'!B:B, ""))</f>
        <v>SUPRA GLOSS (TURTLE WAX)</v>
      </c>
      <c r="F265" s="37" t="s">
        <v>41</v>
      </c>
      <c r="G265" s="31">
        <v>12.0</v>
      </c>
      <c r="H265" s="39" t="str">
        <f t="array" ref="H265">IFERROR(XLOOKUP(D265,'MASTER ITEM LIST'!A:A,'MASTER ITEM LIST'!D:D), "")</f>
        <v>LTR</v>
      </c>
      <c r="I265" s="40">
        <v>700.0</v>
      </c>
      <c r="J265" s="41">
        <f t="shared" si="1"/>
        <v>8400</v>
      </c>
    </row>
    <row r="266" ht="22.5" customHeight="1">
      <c r="A266" s="17">
        <v>46112.0</v>
      </c>
      <c r="B266" s="19"/>
      <c r="C266" s="20" t="s">
        <v>49</v>
      </c>
      <c r="D266" s="42" t="s">
        <v>594</v>
      </c>
      <c r="E266" s="35" t="str">
        <f t="array" ref="E266">IF(D266="", "", XLOOKUP(D266, 'MASTER ITEM LIST'!A:A, 'MASTER ITEM LIST'!B:B, ""))</f>
        <v>NIPPON EXTREME MAGENTA 4L</v>
      </c>
      <c r="F266" s="37" t="s">
        <v>41</v>
      </c>
      <c r="G266" s="31">
        <v>5.0</v>
      </c>
      <c r="H266" s="39" t="str">
        <f t="array" ref="H266">IFERROR(XLOOKUP(D266,'MASTER ITEM LIST'!A:A,'MASTER ITEM LIST'!D:D), "")</f>
        <v>GAL</v>
      </c>
      <c r="I266" s="40">
        <v>1870.0</v>
      </c>
      <c r="J266" s="41">
        <f t="shared" si="1"/>
        <v>9350</v>
      </c>
    </row>
    <row r="267" ht="22.5" customHeight="1">
      <c r="A267" s="17">
        <v>46112.0</v>
      </c>
      <c r="B267" s="19"/>
      <c r="C267" s="20" t="s">
        <v>49</v>
      </c>
      <c r="D267" s="42" t="s">
        <v>600</v>
      </c>
      <c r="E267" s="35" t="str">
        <f t="array" ref="E267">IF(D267="", "", XLOOKUP(D267, 'MASTER ITEM LIST'!A:A, 'MASTER ITEM LIST'!B:B, ""))</f>
        <v>NIPPON EXTREME CINQUASA VIOLET 4L</v>
      </c>
      <c r="F267" s="37" t="s">
        <v>41</v>
      </c>
      <c r="G267" s="31">
        <v>6.0</v>
      </c>
      <c r="H267" s="39" t="str">
        <f t="array" ref="H267">IFERROR(XLOOKUP(D267,'MASTER ITEM LIST'!A:A,'MASTER ITEM LIST'!D:D), "")</f>
        <v>GAL</v>
      </c>
      <c r="I267" s="40">
        <v>1630.0</v>
      </c>
      <c r="J267" s="41">
        <f t="shared" si="1"/>
        <v>9780</v>
      </c>
    </row>
    <row r="268" ht="22.5" customHeight="1">
      <c r="A268" s="17">
        <v>46112.0</v>
      </c>
      <c r="B268" s="19"/>
      <c r="C268" s="20" t="s">
        <v>49</v>
      </c>
      <c r="D268" s="42" t="s">
        <v>537</v>
      </c>
      <c r="E268" s="35" t="str">
        <f t="array" ref="E268">IF(D268="", "", XLOOKUP(D268, 'MASTER ITEM LIST'!A:A, 'MASTER ITEM LIST'!B:B, ""))</f>
        <v>NIPPON METAL PRIMER RED OXIDE GAL</v>
      </c>
      <c r="F268" s="37" t="s">
        <v>41</v>
      </c>
      <c r="G268" s="31">
        <v>14.0</v>
      </c>
      <c r="H268" s="39" t="str">
        <f t="array" ref="H268">IFERROR(XLOOKUP(D268,'MASTER ITEM LIST'!A:A,'MASTER ITEM LIST'!D:D), "")</f>
        <v>GAL</v>
      </c>
      <c r="I268" s="40">
        <v>515.0</v>
      </c>
      <c r="J268" s="41">
        <f t="shared" si="1"/>
        <v>7210</v>
      </c>
    </row>
    <row r="269" ht="22.5" customHeight="1">
      <c r="A269" s="17">
        <v>46112.0</v>
      </c>
      <c r="B269" s="19"/>
      <c r="C269" s="20" t="s">
        <v>49</v>
      </c>
      <c r="D269" s="42" t="s">
        <v>533</v>
      </c>
      <c r="E269" s="35" t="str">
        <f t="array" ref="E269">IF(D269="", "", XLOOKUP(D269, 'MASTER ITEM LIST'!A:A, 'MASTER ITEM LIST'!B:B, ""))</f>
        <v>NIPPON METAL PRIMER RED OXIDE LITER</v>
      </c>
      <c r="F269" s="37" t="s">
        <v>41</v>
      </c>
      <c r="G269" s="31">
        <v>3.0</v>
      </c>
      <c r="H269" s="39" t="str">
        <f t="array" ref="H269">IFERROR(XLOOKUP(D269,'MASTER ITEM LIST'!A:A,'MASTER ITEM LIST'!D:D), "")</f>
        <v>LTR</v>
      </c>
      <c r="I269" s="40">
        <v>147.0</v>
      </c>
      <c r="J269" s="41">
        <f t="shared" si="1"/>
        <v>441</v>
      </c>
    </row>
    <row r="270" ht="22.5" customHeight="1">
      <c r="A270" s="17">
        <v>46112.0</v>
      </c>
      <c r="B270" s="19"/>
      <c r="C270" s="20" t="s">
        <v>49</v>
      </c>
      <c r="D270" s="42" t="s">
        <v>142</v>
      </c>
      <c r="E270" s="35" t="str">
        <f t="array" ref="E270">IF(D270="", "", XLOOKUP(D270, 'MASTER ITEM LIST'!A:A, 'MASTER ITEM LIST'!B:B, ""))</f>
        <v>NIPPON CLEAR GLOSS VARNISH GAL</v>
      </c>
      <c r="F270" s="37" t="s">
        <v>41</v>
      </c>
      <c r="G270" s="31">
        <v>5.0</v>
      </c>
      <c r="H270" s="39" t="str">
        <f t="array" ref="H270">IFERROR(XLOOKUP(D270,'MASTER ITEM LIST'!A:A,'MASTER ITEM LIST'!D:D), "")</f>
        <v>GAL</v>
      </c>
      <c r="I270" s="40">
        <v>1460.0</v>
      </c>
      <c r="J270" s="41">
        <f t="shared" si="1"/>
        <v>7300</v>
      </c>
    </row>
    <row r="271" ht="22.5" customHeight="1">
      <c r="A271" s="17">
        <v>46112.0</v>
      </c>
      <c r="B271" s="19"/>
      <c r="C271" s="20" t="s">
        <v>49</v>
      </c>
      <c r="D271" s="42" t="s">
        <v>665</v>
      </c>
      <c r="E271" s="35" t="str">
        <f t="array" ref="E271">IF(D271="", "", XLOOKUP(D271, 'MASTER ITEM LIST'!A:A, 'MASTER ITEM LIST'!B:B, ""))</f>
        <v>NIPPON CLEAR GLOSS VARNISH LITER</v>
      </c>
      <c r="F271" s="37" t="s">
        <v>41</v>
      </c>
      <c r="G271" s="31">
        <v>3.0</v>
      </c>
      <c r="H271" s="39" t="str">
        <f t="array" ref="H271">IFERROR(XLOOKUP(D271,'MASTER ITEM LIST'!A:A,'MASTER ITEM LIST'!D:D), "")</f>
        <v>LTR</v>
      </c>
      <c r="I271" s="40">
        <v>449.0</v>
      </c>
      <c r="J271" s="41">
        <f t="shared" si="1"/>
        <v>1347</v>
      </c>
    </row>
    <row r="272" ht="22.5" customHeight="1">
      <c r="A272" s="17">
        <v>46112.0</v>
      </c>
      <c r="B272" s="19"/>
      <c r="C272" s="20" t="s">
        <v>49</v>
      </c>
      <c r="D272" s="42" t="s">
        <v>1046</v>
      </c>
      <c r="E272" s="35" t="str">
        <f t="array" ref="E272">IF(D272="", "", XLOOKUP(D272, 'MASTER ITEM LIST'!A:A, 'MASTER ITEM LIST'!B:B, ""))</f>
        <v>CUMI SUPREME FLOOR SANDING 36</v>
      </c>
      <c r="F272" s="37" t="s">
        <v>41</v>
      </c>
      <c r="G272" s="31">
        <v>140.5</v>
      </c>
      <c r="H272" s="39" t="str">
        <f t="array" ref="H272">IFERROR(XLOOKUP(D272,'MASTER ITEM LIST'!A:A,'MASTER ITEM LIST'!D:D), "")</f>
        <v>FT</v>
      </c>
      <c r="I272" s="40">
        <v>55.36</v>
      </c>
      <c r="J272" s="41">
        <f t="shared" si="1"/>
        <v>7778.08</v>
      </c>
    </row>
    <row r="273" ht="22.5" customHeight="1">
      <c r="A273" s="17">
        <v>46112.0</v>
      </c>
      <c r="B273" s="19"/>
      <c r="C273" s="20" t="s">
        <v>49</v>
      </c>
      <c r="D273" s="42" t="s">
        <v>1033</v>
      </c>
      <c r="E273" s="35" t="str">
        <f t="array" ref="E273">IF(D273="", "", XLOOKUP(D273, 'MASTER ITEM LIST'!A:A, 'MASTER ITEM LIST'!B:B, ""))</f>
        <v>CUMI SUPREME FLOOR SANDING 80</v>
      </c>
      <c r="F273" s="37" t="s">
        <v>41</v>
      </c>
      <c r="G273" s="31">
        <v>100.0</v>
      </c>
      <c r="H273" s="39" t="str">
        <f t="array" ref="H273">IFERROR(XLOOKUP(D273,'MASTER ITEM LIST'!A:A,'MASTER ITEM LIST'!D:D), "")</f>
        <v>FT</v>
      </c>
      <c r="I273" s="40">
        <v>42.4</v>
      </c>
      <c r="J273" s="41">
        <f t="shared" si="1"/>
        <v>4240</v>
      </c>
    </row>
    <row r="274" ht="22.5" customHeight="1">
      <c r="A274" s="17">
        <v>46112.0</v>
      </c>
      <c r="B274" s="19"/>
      <c r="C274" s="20" t="s">
        <v>49</v>
      </c>
      <c r="D274" s="42" t="s">
        <v>315</v>
      </c>
      <c r="E274" s="35" t="str">
        <f t="array" ref="E274">IF(D274="", "", XLOOKUP(D274, 'MASTER ITEM LIST'!A:A, 'MASTER ITEM LIST'!B:B, ""))</f>
        <v>CUMI SUPREME FLOOR SANDING 60</v>
      </c>
      <c r="F274" s="37" t="s">
        <v>41</v>
      </c>
      <c r="G274" s="31">
        <v>66.0</v>
      </c>
      <c r="H274" s="39" t="str">
        <f t="array" ref="H274">IFERROR(XLOOKUP(D274,'MASTER ITEM LIST'!A:A,'MASTER ITEM LIST'!D:D), "")</f>
        <v>FT</v>
      </c>
      <c r="I274" s="40">
        <v>44.73</v>
      </c>
      <c r="J274" s="41">
        <f t="shared" si="1"/>
        <v>2952.18</v>
      </c>
    </row>
    <row r="275" ht="22.5" customHeight="1">
      <c r="A275" s="17">
        <v>46112.0</v>
      </c>
      <c r="B275" s="19"/>
      <c r="C275" s="20" t="s">
        <v>49</v>
      </c>
      <c r="D275" s="42" t="s">
        <v>1051</v>
      </c>
      <c r="E275" s="35" t="str">
        <f t="array" ref="E275">IF(D275="", "", XLOOKUP(D275, 'MASTER ITEM LIST'!A:A, 'MASTER ITEM LIST'!B:B, ""))</f>
        <v>CUMI SUPREME FLOOR SANDING 100</v>
      </c>
      <c r="F275" s="37" t="s">
        <v>41</v>
      </c>
      <c r="G275" s="31">
        <v>128.5</v>
      </c>
      <c r="H275" s="39" t="str">
        <f t="array" ref="H275">IFERROR(XLOOKUP(D275,'MASTER ITEM LIST'!A:A,'MASTER ITEM LIST'!D:D), "")</f>
        <v>FT</v>
      </c>
      <c r="I275" s="40">
        <v>39.03</v>
      </c>
      <c r="J275" s="41">
        <f t="shared" si="1"/>
        <v>5015.355</v>
      </c>
    </row>
    <row r="276" ht="22.5" customHeight="1">
      <c r="A276" s="17">
        <v>46112.0</v>
      </c>
      <c r="B276" s="19"/>
      <c r="C276" s="20" t="s">
        <v>49</v>
      </c>
      <c r="D276" s="42" t="s">
        <v>717</v>
      </c>
      <c r="E276" s="35" t="str">
        <f t="array" ref="E276">IF(D276="", "", XLOOKUP(D276, 'MASTER ITEM LIST'!A:A, 'MASTER ITEM LIST'!B:B, ""))</f>
        <v>CROCO MASKING TAPE #1</v>
      </c>
      <c r="F276" s="37" t="s">
        <v>41</v>
      </c>
      <c r="G276" s="31">
        <v>4.0</v>
      </c>
      <c r="H276" s="39" t="str">
        <f t="array" ref="H276">IFERROR(XLOOKUP(D276,'MASTER ITEM LIST'!A:A,'MASTER ITEM LIST'!D:D), "")</f>
        <v>PCS</v>
      </c>
      <c r="I276" s="40">
        <v>32.0</v>
      </c>
      <c r="J276" s="41">
        <f t="shared" si="1"/>
        <v>128</v>
      </c>
    </row>
    <row r="277" ht="22.5" customHeight="1">
      <c r="A277" s="17">
        <v>46112.0</v>
      </c>
      <c r="B277" s="19"/>
      <c r="C277" s="20" t="s">
        <v>49</v>
      </c>
      <c r="D277" s="42" t="s">
        <v>198</v>
      </c>
      <c r="E277" s="35" t="str">
        <f t="array" ref="E277">IF(D277="", "", XLOOKUP(D277, 'MASTER ITEM LIST'!A:A, 'MASTER ITEM LIST'!B:B, ""))</f>
        <v>EAGLE SANDPAPER #2000</v>
      </c>
      <c r="F277" s="37" t="s">
        <v>41</v>
      </c>
      <c r="G277" s="31">
        <v>9.0</v>
      </c>
      <c r="H277" s="39" t="str">
        <f t="array" ref="H277">IFERROR(XLOOKUP(D277,'MASTER ITEM LIST'!A:A,'MASTER ITEM LIST'!D:D), "")</f>
        <v>PC/S</v>
      </c>
      <c r="I277" s="40">
        <v>28.0</v>
      </c>
      <c r="J277" s="41">
        <f t="shared" si="1"/>
        <v>252</v>
      </c>
    </row>
    <row r="278" ht="22.5" customHeight="1">
      <c r="A278" s="17">
        <v>46112.0</v>
      </c>
      <c r="B278" s="19"/>
      <c r="C278" s="20" t="s">
        <v>49</v>
      </c>
      <c r="D278" s="42" t="s">
        <v>426</v>
      </c>
      <c r="E278" s="35" t="str">
        <f t="array" ref="E278">IF(D278="", "", XLOOKUP(D278, 'MASTER ITEM LIST'!A:A, 'MASTER ITEM LIST'!B:B, ""))</f>
        <v>EAGLE SAND PAPER #320</v>
      </c>
      <c r="F278" s="37" t="s">
        <v>41</v>
      </c>
      <c r="G278" s="31">
        <v>439.0</v>
      </c>
      <c r="H278" s="39" t="str">
        <f t="array" ref="H278">IFERROR(XLOOKUP(D278,'MASTER ITEM LIST'!A:A,'MASTER ITEM LIST'!D:D), "")</f>
        <v>PCS</v>
      </c>
      <c r="I278" s="40">
        <v>18.5</v>
      </c>
      <c r="J278" s="41">
        <f t="shared" si="1"/>
        <v>8121.5</v>
      </c>
    </row>
    <row r="279" ht="22.5" customHeight="1">
      <c r="A279" s="17">
        <v>46112.0</v>
      </c>
      <c r="B279" s="19"/>
      <c r="C279" s="20" t="s">
        <v>49</v>
      </c>
      <c r="D279" s="42" t="s">
        <v>458</v>
      </c>
      <c r="E279" s="35" t="str">
        <f t="array" ref="E279">IF(D279="", "", XLOOKUP(D279, 'MASTER ITEM LIST'!A:A, 'MASTER ITEM LIST'!B:B, ""))</f>
        <v>PLATONE QDE YELLOW 4L</v>
      </c>
      <c r="F279" s="37" t="s">
        <v>41</v>
      </c>
      <c r="G279" s="31">
        <v>11.0</v>
      </c>
      <c r="H279" s="39" t="str">
        <f t="array" ref="H279">IFERROR(XLOOKUP(D279,'MASTER ITEM LIST'!A:A,'MASTER ITEM LIST'!D:D), "")</f>
        <v>GAL</v>
      </c>
      <c r="I279" s="40">
        <v>836.0</v>
      </c>
      <c r="J279" s="41">
        <f t="shared" si="1"/>
        <v>9196</v>
      </c>
    </row>
    <row r="280" ht="22.5" customHeight="1">
      <c r="A280" s="17">
        <v>46112.0</v>
      </c>
      <c r="B280" s="19"/>
      <c r="C280" s="20" t="s">
        <v>49</v>
      </c>
      <c r="D280" s="42" t="s">
        <v>161</v>
      </c>
      <c r="E280" s="35" t="str">
        <f t="array" ref="E280">IF(D280="", "", XLOOKUP(D280, 'MASTER ITEM LIST'!A:A, 'MASTER ITEM LIST'!B:B, ""))</f>
        <v>VULCASEAL</v>
      </c>
      <c r="F280" s="37" t="s">
        <v>41</v>
      </c>
      <c r="G280" s="31">
        <v>8.0</v>
      </c>
      <c r="H280" s="39" t="str">
        <f t="array" ref="H280">IFERROR(XLOOKUP(D280,'MASTER ITEM LIST'!A:A,'MASTER ITEM LIST'!D:D), "")</f>
        <v>PCS</v>
      </c>
      <c r="I280" s="40">
        <v>62.0</v>
      </c>
      <c r="J280" s="41">
        <f t="shared" si="1"/>
        <v>496</v>
      </c>
    </row>
    <row r="281" ht="22.5" customHeight="1">
      <c r="A281" s="17">
        <v>46112.0</v>
      </c>
      <c r="B281" s="19"/>
      <c r="C281" s="20" t="s">
        <v>49</v>
      </c>
      <c r="D281" s="42" t="s">
        <v>1035</v>
      </c>
      <c r="E281" s="35" t="str">
        <f t="array" ref="E281">IF(D281="", "", XLOOKUP(D281, 'MASTER ITEM LIST'!A:A, 'MASTER ITEM LIST'!B:B, ""))</f>
        <v>EL KAPITAN A &amp; B 4L</v>
      </c>
      <c r="F281" s="37" t="s">
        <v>41</v>
      </c>
      <c r="G281" s="31">
        <v>3.0</v>
      </c>
      <c r="H281" s="39" t="str">
        <f t="array" ref="H281">IFERROR(XLOOKUP(D281,'MASTER ITEM LIST'!A:A,'MASTER ITEM LIST'!D:D), "")</f>
        <v>SET</v>
      </c>
      <c r="I281" s="40">
        <v>2098.0</v>
      </c>
      <c r="J281" s="41">
        <f t="shared" si="1"/>
        <v>6294</v>
      </c>
    </row>
    <row r="282" ht="22.5" customHeight="1">
      <c r="A282" s="17">
        <v>46112.0</v>
      </c>
      <c r="B282" s="19"/>
      <c r="C282" s="20" t="s">
        <v>49</v>
      </c>
      <c r="D282" s="42" t="s">
        <v>244</v>
      </c>
      <c r="E282" s="35" t="str">
        <f t="array" ref="E282">IF(D282="", "", XLOOKUP(D282, 'MASTER ITEM LIST'!A:A, 'MASTER ITEM LIST'!B:B, ""))</f>
        <v>RUGBY</v>
      </c>
      <c r="F282" s="37" t="s">
        <v>41</v>
      </c>
      <c r="G282" s="31">
        <v>18.0</v>
      </c>
      <c r="H282" s="39" t="str">
        <f t="array" ref="H282">IFERROR(XLOOKUP(D282,'MASTER ITEM LIST'!A:A,'MASTER ITEM LIST'!D:D), "")</f>
        <v>PCS</v>
      </c>
      <c r="I282" s="40">
        <v>66.0</v>
      </c>
      <c r="J282" s="41">
        <f t="shared" si="1"/>
        <v>1188</v>
      </c>
    </row>
    <row r="283" ht="22.5" customHeight="1">
      <c r="A283" s="17">
        <v>46112.0</v>
      </c>
      <c r="B283" s="19"/>
      <c r="C283" s="20" t="s">
        <v>49</v>
      </c>
      <c r="D283" s="42" t="s">
        <v>1073</v>
      </c>
      <c r="E283" s="35" t="str">
        <f t="array" ref="E283">IF(D283="", "", XLOOKUP(D283, 'MASTER ITEM LIST'!A:A, 'MASTER ITEM LIST'!B:B, ""))</f>
        <v>BOYSEN QDE WHITE GAL</v>
      </c>
      <c r="F283" s="37" t="s">
        <v>41</v>
      </c>
      <c r="G283" s="31">
        <v>3.0</v>
      </c>
      <c r="H283" s="39" t="str">
        <f t="array" ref="H283">IFERROR(XLOOKUP(D283,'MASTER ITEM LIST'!A:A,'MASTER ITEM LIST'!D:D), "")</f>
        <v>GAL</v>
      </c>
      <c r="I283" s="40">
        <v>834.0</v>
      </c>
      <c r="J283" s="41">
        <f t="shared" si="1"/>
        <v>2502</v>
      </c>
    </row>
    <row r="284" ht="22.5" customHeight="1">
      <c r="A284" s="17">
        <v>46112.0</v>
      </c>
      <c r="B284" s="19"/>
      <c r="C284" s="20" t="s">
        <v>49</v>
      </c>
      <c r="D284" s="42" t="s">
        <v>1076</v>
      </c>
      <c r="E284" s="35" t="str">
        <f t="array" ref="E284">IF(D284="", "", XLOOKUP(D284, 'MASTER ITEM LIST'!A:A, 'MASTER ITEM LIST'!B:B, ""))</f>
        <v>BOYSEN FWE WHITE GAL</v>
      </c>
      <c r="F284" s="37" t="s">
        <v>41</v>
      </c>
      <c r="G284" s="31">
        <v>7.0</v>
      </c>
      <c r="H284" s="39" t="str">
        <f t="array" ref="H284">IFERROR(XLOOKUP(D284,'MASTER ITEM LIST'!A:A,'MASTER ITEM LIST'!D:D), "")</f>
        <v>GAL</v>
      </c>
      <c r="I284" s="40">
        <v>777.0</v>
      </c>
      <c r="J284" s="41">
        <f t="shared" si="1"/>
        <v>5439</v>
      </c>
    </row>
    <row r="285" ht="22.5" customHeight="1">
      <c r="A285" s="17">
        <v>46112.0</v>
      </c>
      <c r="B285" s="19"/>
      <c r="C285" s="20" t="s">
        <v>49</v>
      </c>
      <c r="D285" s="42" t="s">
        <v>1024</v>
      </c>
      <c r="E285" s="35" t="str">
        <f t="array" ref="E285">IF(D285="", "", XLOOKUP(D285, 'MASTER ITEM LIST'!A:A, 'MASTER ITEM LIST'!B:B, ""))</f>
        <v>FLAT WHITE ACRYLIC LATEX B-701 BOYSEN 4L</v>
      </c>
      <c r="F285" s="37" t="s">
        <v>41</v>
      </c>
      <c r="G285" s="31">
        <v>6.75</v>
      </c>
      <c r="H285" s="39" t="str">
        <f t="array" ref="H285">IFERROR(XLOOKUP(D285,'MASTER ITEM LIST'!A:A,'MASTER ITEM LIST'!D:D), "")</f>
        <v>4L</v>
      </c>
      <c r="I285" s="40">
        <v>640.0</v>
      </c>
      <c r="J285" s="41">
        <f t="shared" si="1"/>
        <v>4320</v>
      </c>
    </row>
    <row r="286" ht="22.5" customHeight="1">
      <c r="A286" s="17">
        <v>46112.0</v>
      </c>
      <c r="B286" s="19"/>
      <c r="C286" s="20" t="s">
        <v>49</v>
      </c>
      <c r="D286" s="42" t="s">
        <v>1082</v>
      </c>
      <c r="E286" s="35" t="str">
        <f t="array" ref="E286">IF(D286="", "", XLOOKUP(D286, 'MASTER ITEM LIST'!A:A, 'MASTER ITEM LIST'!B:B, ""))</f>
        <v>ACRYTEX PRIMER WHITE B-1705 BOYSEN 4L</v>
      </c>
      <c r="F286" s="37" t="s">
        <v>41</v>
      </c>
      <c r="G286" s="31">
        <v>9.0</v>
      </c>
      <c r="H286" s="39" t="str">
        <f t="array" ref="H286">IFERROR(XLOOKUP(D286,'MASTER ITEM LIST'!A:A,'MASTER ITEM LIST'!D:D), "")</f>
        <v>4L</v>
      </c>
      <c r="I286" s="40">
        <v>979.0</v>
      </c>
      <c r="J286" s="41">
        <f t="shared" si="1"/>
        <v>8811</v>
      </c>
    </row>
    <row r="287" ht="22.5" customHeight="1">
      <c r="A287" s="17">
        <v>46112.0</v>
      </c>
      <c r="B287" s="19"/>
      <c r="C287" s="20" t="s">
        <v>49</v>
      </c>
      <c r="D287" s="42" t="s">
        <v>260</v>
      </c>
      <c r="E287" s="35" t="str">
        <f t="array" ref="E287">IF(D287="", "", XLOOKUP(D287, 'MASTER ITEM LIST'!A:A, 'MASTER ITEM LIST'!B:B, ""))</f>
        <v>REDUCER ACRYTEX B-1750 BOYSEN 4L</v>
      </c>
      <c r="F287" s="37" t="s">
        <v>41</v>
      </c>
      <c r="G287" s="31">
        <v>3.0</v>
      </c>
      <c r="H287" s="39" t="str">
        <f t="array" ref="H287">IFERROR(XLOOKUP(D287,'MASTER ITEM LIST'!A:A,'MASTER ITEM LIST'!D:D), "")</f>
        <v>4L</v>
      </c>
      <c r="I287" s="40">
        <v>479.0</v>
      </c>
      <c r="J287" s="41">
        <f t="shared" si="1"/>
        <v>1437</v>
      </c>
    </row>
    <row r="288" ht="22.5" customHeight="1">
      <c r="A288" s="17">
        <v>46112.0</v>
      </c>
      <c r="B288" s="19"/>
      <c r="C288" s="20" t="s">
        <v>49</v>
      </c>
      <c r="D288" s="42" t="s">
        <v>1089</v>
      </c>
      <c r="E288" s="35" t="str">
        <f t="array" ref="E288">IF(D288="", "", XLOOKUP(D288, 'MASTER ITEM LIST'!A:A, 'MASTER ITEM LIST'!B:B, ""))</f>
        <v>COTTA ELASTOMERIC WATER FROOFING PAINT R0S-SR-337 SUN ROOF RAIN 4L</v>
      </c>
      <c r="F288" s="37" t="s">
        <v>41</v>
      </c>
      <c r="G288" s="31">
        <v>2.0</v>
      </c>
      <c r="H288" s="39" t="str">
        <f t="array" ref="H288">IFERROR(XLOOKUP(D288,'MASTER ITEM LIST'!A:A,'MASTER ITEM LIST'!D:D), "")</f>
        <v>4L</v>
      </c>
      <c r="I288" s="40">
        <v>523.5</v>
      </c>
      <c r="J288" s="41">
        <f t="shared" si="1"/>
        <v>1047</v>
      </c>
    </row>
    <row r="289" ht="22.5" customHeight="1">
      <c r="A289" s="17">
        <v>46112.0</v>
      </c>
      <c r="B289" s="19"/>
      <c r="C289" s="20" t="s">
        <v>49</v>
      </c>
      <c r="D289" s="42" t="s">
        <v>1094</v>
      </c>
      <c r="E289" s="35" t="str">
        <f t="array" ref="E289">IF(D289="", "", XLOOKUP(D289, 'MASTER ITEM LIST'!A:A, 'MASTER ITEM LIST'!B:B, ""))</f>
        <v>BEIGE SUN ROOF ROS-SR-182 RAIN OR SHINE 4L</v>
      </c>
      <c r="F289" s="37" t="s">
        <v>41</v>
      </c>
      <c r="G289" s="31">
        <v>3.0</v>
      </c>
      <c r="H289" s="39" t="str">
        <f t="array" ref="H289">IFERROR(XLOOKUP(D289,'MASTER ITEM LIST'!A:A,'MASTER ITEM LIST'!D:D), "")</f>
        <v>4L</v>
      </c>
      <c r="I289" s="40">
        <v>577.6</v>
      </c>
      <c r="J289" s="41">
        <f t="shared" si="1"/>
        <v>1732.8</v>
      </c>
    </row>
    <row r="290" ht="22.5" customHeight="1">
      <c r="A290" s="17">
        <v>46112.0</v>
      </c>
      <c r="B290" s="19"/>
      <c r="C290" s="20" t="s">
        <v>49</v>
      </c>
      <c r="D290" s="42" t="s">
        <v>1097</v>
      </c>
      <c r="E290" s="35" t="str">
        <f t="array" ref="E290">IF(D290="", "", XLOOKUP(D290, 'MASTER ITEM LIST'!A:A, 'MASTER ITEM LIST'!B:B, ""))</f>
        <v>BLACK ELASTO FLOOR ROS-EF-1130 RAIN OR SHINE 4L</v>
      </c>
      <c r="F290" s="37" t="s">
        <v>41</v>
      </c>
      <c r="G290" s="31">
        <v>3.0</v>
      </c>
      <c r="H290" s="39" t="str">
        <f t="array" ref="H290">IFERROR(XLOOKUP(D290,'MASTER ITEM LIST'!A:A,'MASTER ITEM LIST'!D:D), "")</f>
        <v>4L</v>
      </c>
      <c r="I290" s="40">
        <v>925.5</v>
      </c>
      <c r="J290" s="41">
        <f t="shared" si="1"/>
        <v>2776.5</v>
      </c>
    </row>
    <row r="291" ht="22.5" customHeight="1">
      <c r="A291" s="17">
        <v>46112.0</v>
      </c>
      <c r="B291" s="19"/>
      <c r="C291" s="20" t="s">
        <v>49</v>
      </c>
      <c r="D291" s="42" t="s">
        <v>242</v>
      </c>
      <c r="E291" s="35" t="str">
        <f t="array" ref="E291">IF(D291="", "", XLOOKUP(D291, 'MASTER ITEM LIST'!A:A, 'MASTER ITEM LIST'!B:B, ""))</f>
        <v>SAMAR BEIGE SUN ROOF ROS-SR-183 RAIN OR SHINE 4L</v>
      </c>
      <c r="F291" s="37" t="s">
        <v>41</v>
      </c>
      <c r="G291" s="31">
        <v>2.0</v>
      </c>
      <c r="H291" s="39" t="str">
        <f t="array" ref="H291">IFERROR(XLOOKUP(D291,'MASTER ITEM LIST'!A:A,'MASTER ITEM LIST'!D:D), "")</f>
        <v>4L</v>
      </c>
      <c r="I291" s="40">
        <v>577.6</v>
      </c>
      <c r="J291" s="41">
        <f t="shared" si="1"/>
        <v>1155.2</v>
      </c>
    </row>
    <row r="292" ht="22.5" customHeight="1">
      <c r="A292" s="17">
        <v>46112.0</v>
      </c>
      <c r="B292" s="19"/>
      <c r="C292" s="20" t="s">
        <v>49</v>
      </c>
      <c r="D292" s="42" t="s">
        <v>122</v>
      </c>
      <c r="E292" s="35" t="str">
        <f t="array" ref="E292">IF(D292="", "", XLOOKUP(D292, 'MASTER ITEM LIST'!A:A, 'MASTER ITEM LIST'!B:B, ""))</f>
        <v>WHITE SUN ROOF ROS-SR-100 RAIN OR SHINE 4L</v>
      </c>
      <c r="F292" s="37" t="s">
        <v>41</v>
      </c>
      <c r="G292" s="31">
        <v>2.0</v>
      </c>
      <c r="H292" s="39" t="str">
        <f t="array" ref="H292">IFERROR(XLOOKUP(D292,'MASTER ITEM LIST'!A:A,'MASTER ITEM LIST'!D:D), "")</f>
        <v>4L</v>
      </c>
      <c r="I292" s="40">
        <v>672.4</v>
      </c>
      <c r="J292" s="41">
        <f t="shared" si="1"/>
        <v>1344.8</v>
      </c>
    </row>
    <row r="293" ht="22.5" customHeight="1">
      <c r="A293" s="17">
        <v>46112.0</v>
      </c>
      <c r="B293" s="19"/>
      <c r="C293" s="20" t="s">
        <v>49</v>
      </c>
      <c r="D293" s="42" t="s">
        <v>1104</v>
      </c>
      <c r="E293" s="35" t="str">
        <f t="array" ref="E293">IF(D293="", "", XLOOKUP(D293, 'MASTER ITEM LIST'!A:A, 'MASTER ITEM LIST'!B:B, ""))</f>
        <v>BITTER SWEET SUN ROOF ROS-SR-777 RAIN OR SHINE 4L</v>
      </c>
      <c r="F293" s="37" t="s">
        <v>41</v>
      </c>
      <c r="G293" s="31">
        <v>1.0</v>
      </c>
      <c r="H293" s="39" t="str">
        <f t="array" ref="H293">IFERROR(XLOOKUP(D293,'MASTER ITEM LIST'!A:A,'MASTER ITEM LIST'!D:D), "")</f>
        <v>4L</v>
      </c>
      <c r="I293" s="40">
        <v>595.7</v>
      </c>
      <c r="J293" s="41">
        <f t="shared" si="1"/>
        <v>595.7</v>
      </c>
    </row>
    <row r="294" ht="22.5" customHeight="1">
      <c r="A294" s="17">
        <v>46112.0</v>
      </c>
      <c r="B294" s="19"/>
      <c r="C294" s="20" t="s">
        <v>49</v>
      </c>
      <c r="D294" s="42" t="s">
        <v>165</v>
      </c>
      <c r="E294" s="35" t="str">
        <f t="array" ref="E294">IF(D294="", "", XLOOKUP(D294, 'MASTER ITEM LIST'!A:A, 'MASTER ITEM LIST'!B:B, ""))</f>
        <v>VIBRANT RUBY ROS-823 RAIN OR SHINE 4L</v>
      </c>
      <c r="F294" s="37" t="s">
        <v>41</v>
      </c>
      <c r="G294" s="31">
        <v>3.0</v>
      </c>
      <c r="H294" s="39" t="str">
        <f t="array" ref="H294">IFERROR(XLOOKUP(D294,'MASTER ITEM LIST'!A:A,'MASTER ITEM LIST'!D:D), "")</f>
        <v>4L</v>
      </c>
      <c r="I294" s="40">
        <v>1015.0</v>
      </c>
      <c r="J294" s="41">
        <f t="shared" si="1"/>
        <v>3045</v>
      </c>
    </row>
    <row r="295" ht="22.5" customHeight="1">
      <c r="A295" s="17">
        <v>46112.0</v>
      </c>
      <c r="B295" s="19"/>
      <c r="C295" s="20" t="s">
        <v>49</v>
      </c>
      <c r="D295" s="42" t="s">
        <v>490</v>
      </c>
      <c r="E295" s="35" t="str">
        <f t="array" ref="E295">IF(D295="", "", XLOOKUP(D295, 'MASTER ITEM LIST'!A:A, 'MASTER ITEM LIST'!B:B, ""))</f>
        <v>PISTACHIO ELASTOMERIC WATER FROOFING PAINT ROS-238 RAIN OR SHINE 4L</v>
      </c>
      <c r="F295" s="37" t="s">
        <v>41</v>
      </c>
      <c r="G295" s="31">
        <v>1.0</v>
      </c>
      <c r="H295" s="39" t="str">
        <f t="array" ref="H295">IFERROR(XLOOKUP(D295,'MASTER ITEM LIST'!A:A,'MASTER ITEM LIST'!D:D), "")</f>
        <v>4L</v>
      </c>
      <c r="I295" s="40">
        <v>681.4</v>
      </c>
      <c r="J295" s="41">
        <f t="shared" si="1"/>
        <v>681.4</v>
      </c>
    </row>
    <row r="296" ht="22.5" customHeight="1">
      <c r="A296" s="17">
        <v>46112.0</v>
      </c>
      <c r="B296" s="19"/>
      <c r="C296" s="20" t="s">
        <v>49</v>
      </c>
      <c r="D296" s="42" t="s">
        <v>989</v>
      </c>
      <c r="E296" s="35" t="str">
        <f t="array" ref="E296">IF(D296="", "", XLOOKUP(D296, 'MASTER ITEM LIST'!A:A, 'MASTER ITEM LIST'!B:B, ""))</f>
        <v>LIGHT BEIGE ROS-353 RAIN OR SHINE 4L</v>
      </c>
      <c r="F296" s="37" t="s">
        <v>41</v>
      </c>
      <c r="G296" s="31">
        <v>5.0</v>
      </c>
      <c r="H296" s="39" t="str">
        <f t="array" ref="H296">IFERROR(XLOOKUP(D296,'MASTER ITEM LIST'!A:A,'MASTER ITEM LIST'!D:D), "")</f>
        <v>4L</v>
      </c>
      <c r="I296" s="40">
        <v>661.1</v>
      </c>
      <c r="J296" s="41">
        <f t="shared" si="1"/>
        <v>3305.5</v>
      </c>
    </row>
    <row r="297" ht="22.5" customHeight="1">
      <c r="A297" s="17">
        <v>46112.0</v>
      </c>
      <c r="B297" s="19"/>
      <c r="C297" s="20" t="s">
        <v>49</v>
      </c>
      <c r="D297" s="42" t="s">
        <v>1003</v>
      </c>
      <c r="E297" s="35" t="str">
        <f t="array" ref="E297">IF(D297="", "", XLOOKUP(D297, 'MASTER ITEM LIST'!A:A, 'MASTER ITEM LIST'!B:B, ""))</f>
        <v>GOLDEN BUTTER ROS-678 RAIN OR SHINE 4L</v>
      </c>
      <c r="F297" s="37" t="s">
        <v>41</v>
      </c>
      <c r="G297" s="31">
        <v>6.0</v>
      </c>
      <c r="H297" s="39" t="str">
        <f t="array" ref="H297">IFERROR(XLOOKUP(D297,'MASTER ITEM LIST'!A:A,'MASTER ITEM LIST'!D:D), "")</f>
        <v>4L</v>
      </c>
      <c r="I297" s="40">
        <v>645.3</v>
      </c>
      <c r="J297" s="41">
        <f t="shared" si="1"/>
        <v>3871.8</v>
      </c>
    </row>
    <row r="298" ht="22.5" customHeight="1">
      <c r="A298" s="17">
        <v>46112.0</v>
      </c>
      <c r="B298" s="19"/>
      <c r="C298" s="20" t="s">
        <v>49</v>
      </c>
      <c r="D298" s="42" t="s">
        <v>1005</v>
      </c>
      <c r="E298" s="35" t="str">
        <f t="array" ref="E298">IF(D298="", "", XLOOKUP(D298, 'MASTER ITEM LIST'!A:A, 'MASTER ITEM LIST'!B:B, ""))</f>
        <v>GOLD RUSH ROS-529 RAIN OR SHINE 4L</v>
      </c>
      <c r="F298" s="37" t="s">
        <v>41</v>
      </c>
      <c r="G298" s="31">
        <v>2.0</v>
      </c>
      <c r="H298" s="39" t="str">
        <f t="array" ref="H298">IFERROR(XLOOKUP(D298,'MASTER ITEM LIST'!A:A,'MASTER ITEM LIST'!D:D), "")</f>
        <v>4L</v>
      </c>
      <c r="I298" s="40">
        <v>767.1</v>
      </c>
      <c r="J298" s="41">
        <f t="shared" si="1"/>
        <v>1534.2</v>
      </c>
    </row>
    <row r="299" ht="22.5" customHeight="1">
      <c r="A299" s="17">
        <v>46112.0</v>
      </c>
      <c r="B299" s="19"/>
      <c r="C299" s="20" t="s">
        <v>49</v>
      </c>
      <c r="D299" s="42" t="s">
        <v>1110</v>
      </c>
      <c r="E299" s="35" t="str">
        <f t="array" ref="E299">IF(D299="", "", XLOOKUP(D299, 'MASTER ITEM LIST'!A:A, 'MASTER ITEM LIST'!B:B, ""))</f>
        <v>CANDY TUFF ROS-367 RAIN OR SHINE 4L</v>
      </c>
      <c r="F299" s="37" t="s">
        <v>41</v>
      </c>
      <c r="G299" s="31">
        <v>1.0</v>
      </c>
      <c r="H299" s="39" t="str">
        <f t="array" ref="H299">IFERROR(XLOOKUP(D299,'MASTER ITEM LIST'!A:A,'MASTER ITEM LIST'!D:D), "")</f>
        <v>4L</v>
      </c>
      <c r="I299" s="40">
        <v>661.1</v>
      </c>
      <c r="J299" s="41">
        <f t="shared" si="1"/>
        <v>661.1</v>
      </c>
    </row>
    <row r="300" ht="22.5" customHeight="1">
      <c r="A300" s="17">
        <v>46112.0</v>
      </c>
      <c r="B300" s="19"/>
      <c r="C300" s="20" t="s">
        <v>49</v>
      </c>
      <c r="D300" s="42" t="s">
        <v>1116</v>
      </c>
      <c r="E300" s="35" t="str">
        <f t="array" ref="E300">IF(D300="", "", XLOOKUP(D300, 'MASTER ITEM LIST'!A:A, 'MASTER ITEM LIST'!B:B, ""))</f>
        <v>AMBER ROSE ROS-350 RAIN OR SHINE 4L</v>
      </c>
      <c r="F300" s="37" t="s">
        <v>41</v>
      </c>
      <c r="G300" s="31">
        <v>3.0</v>
      </c>
      <c r="H300" s="39" t="str">
        <f t="array" ref="H300">IFERROR(XLOOKUP(D300,'MASTER ITEM LIST'!A:A,'MASTER ITEM LIST'!D:D), "")</f>
        <v>4L</v>
      </c>
      <c r="I300" s="40">
        <v>661.1</v>
      </c>
      <c r="J300" s="41">
        <f t="shared" si="1"/>
        <v>1983.3</v>
      </c>
    </row>
    <row r="301" ht="22.5" customHeight="1">
      <c r="A301" s="17">
        <v>46112.0</v>
      </c>
      <c r="B301" s="19"/>
      <c r="C301" s="20" t="s">
        <v>49</v>
      </c>
      <c r="D301" s="42" t="s">
        <v>195</v>
      </c>
      <c r="E301" s="35" t="str">
        <f t="array" ref="E301">IF(D301="", "", XLOOKUP(D301, 'MASTER ITEM LIST'!A:A, 'MASTER ITEM LIST'!B:B, ""))</f>
        <v>TIMEOUT BODY FILLER WITH HARDENER 1L</v>
      </c>
      <c r="F301" s="37" t="s">
        <v>41</v>
      </c>
      <c r="G301" s="31">
        <v>12.0</v>
      </c>
      <c r="H301" s="39" t="str">
        <f t="array" ref="H301">IFERROR(XLOOKUP(D301,'MASTER ITEM LIST'!A:A,'MASTER ITEM LIST'!D:D), "")</f>
        <v>LTR</v>
      </c>
      <c r="I301" s="40">
        <v>160.0</v>
      </c>
      <c r="J301" s="41">
        <f t="shared" si="1"/>
        <v>1920</v>
      </c>
    </row>
    <row r="302" ht="22.5" customHeight="1">
      <c r="A302" s="17">
        <v>46112.0</v>
      </c>
      <c r="B302" s="19"/>
      <c r="C302" s="20" t="s">
        <v>49</v>
      </c>
      <c r="D302" s="42" t="s">
        <v>203</v>
      </c>
      <c r="E302" s="35" t="str">
        <f t="array" ref="E302">IF(D302="", "", XLOOKUP(D302, 'MASTER ITEM LIST'!A:A, 'MASTER ITEM LIST'!B:B, ""))</f>
        <v>TIMEOUT ACRYLIC THALO BLUE 4L</v>
      </c>
      <c r="F302" s="37" t="s">
        <v>41</v>
      </c>
      <c r="G302" s="31">
        <v>3.0</v>
      </c>
      <c r="H302" s="39" t="str">
        <f t="array" ref="H302">IFERROR(XLOOKUP(D302,'MASTER ITEM LIST'!A:A,'MASTER ITEM LIST'!D:D), "")</f>
        <v>GAL</v>
      </c>
      <c r="I302" s="40">
        <v>1060.0</v>
      </c>
      <c r="J302" s="41">
        <f t="shared" si="1"/>
        <v>3180</v>
      </c>
    </row>
    <row r="303" ht="22.5" customHeight="1">
      <c r="A303" s="17">
        <v>46112.0</v>
      </c>
      <c r="B303" s="19"/>
      <c r="C303" s="20" t="s">
        <v>49</v>
      </c>
      <c r="D303" s="42" t="s">
        <v>205</v>
      </c>
      <c r="E303" s="35" t="str">
        <f t="array" ref="E303">IF(D303="", "", XLOOKUP(D303, 'MASTER ITEM LIST'!A:A, 'MASTER ITEM LIST'!B:B, ""))</f>
        <v>TIMELESS PREMIUM LIQUID WAX 5OML</v>
      </c>
      <c r="F303" s="37" t="s">
        <v>41</v>
      </c>
      <c r="G303" s="31">
        <v>2.0</v>
      </c>
      <c r="H303" s="39" t="str">
        <f t="array" ref="H303">IFERROR(XLOOKUP(D303,'MASTER ITEM LIST'!A:A,'MASTER ITEM LIST'!D:D), "")</f>
        <v>PC/S</v>
      </c>
      <c r="I303" s="40">
        <v>50.0</v>
      </c>
      <c r="J303" s="41">
        <f t="shared" si="1"/>
        <v>100</v>
      </c>
    </row>
    <row r="304" ht="22.5" customHeight="1">
      <c r="A304" s="17">
        <v>46112.0</v>
      </c>
      <c r="B304" s="19"/>
      <c r="C304" s="20" t="s">
        <v>49</v>
      </c>
      <c r="D304" s="42" t="s">
        <v>520</v>
      </c>
      <c r="E304" s="35" t="str">
        <f t="array" ref="E304">IF(D304="", "", XLOOKUP(D304, 'MASTER ITEM LIST'!A:A, 'MASTER ITEM LIST'!B:B, ""))</f>
        <v>NIPPON ULTRA 8100T FD 2K CLEAR W/HARDENER 1L</v>
      </c>
      <c r="F304" s="37" t="s">
        <v>41</v>
      </c>
      <c r="G304" s="31">
        <v>27.87</v>
      </c>
      <c r="H304" s="39" t="str">
        <f t="array" ref="H304">IFERROR(XLOOKUP(D304,'MASTER ITEM LIST'!A:A,'MASTER ITEM LIST'!D:D), "")</f>
        <v>LITER</v>
      </c>
      <c r="I304" s="40">
        <v>1200.0</v>
      </c>
      <c r="J304" s="41">
        <f t="shared" si="1"/>
        <v>33444</v>
      </c>
    </row>
    <row r="305" ht="22.5" customHeight="1">
      <c r="A305" s="17">
        <v>46112.0</v>
      </c>
      <c r="B305" s="19"/>
      <c r="C305" s="20" t="s">
        <v>49</v>
      </c>
      <c r="D305" s="42" t="s">
        <v>567</v>
      </c>
      <c r="E305" s="35" t="str">
        <f t="array" ref="E305">IF(D305="", "", XLOOKUP(D305, 'MASTER ITEM LIST'!A:A, 'MASTER ITEM LIST'!B:B, ""))</f>
        <v>EAGLE SANDPAPER #800</v>
      </c>
      <c r="F305" s="37" t="s">
        <v>41</v>
      </c>
      <c r="G305" s="31">
        <v>166.0</v>
      </c>
      <c r="H305" s="39" t="str">
        <f t="array" ref="H305">IFERROR(XLOOKUP(D305,'MASTER ITEM LIST'!A:A,'MASTER ITEM LIST'!D:D), "")</f>
        <v>PC/S</v>
      </c>
      <c r="I305" s="40">
        <v>18.5</v>
      </c>
      <c r="J305" s="41">
        <f t="shared" si="1"/>
        <v>3071</v>
      </c>
    </row>
    <row r="306" ht="22.5" customHeight="1">
      <c r="A306" s="17">
        <v>46112.0</v>
      </c>
      <c r="B306" s="19"/>
      <c r="C306" s="20" t="s">
        <v>49</v>
      </c>
      <c r="D306" s="42" t="s">
        <v>942</v>
      </c>
      <c r="E306" s="35" t="str">
        <f t="array" ref="E306">IF(D306="", "", XLOOKUP(D306, 'MASTER ITEM LIST'!A:A, 'MASTER ITEM LIST'!B:B, ""))</f>
        <v>EAGLE SANDPAPER #1000</v>
      </c>
      <c r="F306" s="37" t="s">
        <v>41</v>
      </c>
      <c r="G306" s="31">
        <v>114.0</v>
      </c>
      <c r="H306" s="39" t="str">
        <f t="array" ref="H306">IFERROR(XLOOKUP(D306,'MASTER ITEM LIST'!A:A,'MASTER ITEM LIST'!D:D), "")</f>
        <v>PC/S</v>
      </c>
      <c r="I306" s="40">
        <v>18.5</v>
      </c>
      <c r="J306" s="41">
        <f t="shared" si="1"/>
        <v>2109</v>
      </c>
    </row>
    <row r="307" ht="22.5" customHeight="1">
      <c r="A307" s="17">
        <v>46112.0</v>
      </c>
      <c r="B307" s="19"/>
      <c r="C307" s="20" t="s">
        <v>49</v>
      </c>
      <c r="D307" s="42" t="s">
        <v>107</v>
      </c>
      <c r="E307" s="35" t="str">
        <f t="array" ref="E307">IF(D307="", "", XLOOKUP(D307, 'MASTER ITEM LIST'!A:A, 'MASTER ITEM LIST'!B:B, ""))</f>
        <v>2B PAINT ROLLER #4</v>
      </c>
      <c r="F307" s="37" t="s">
        <v>41</v>
      </c>
      <c r="G307" s="31">
        <v>49.0</v>
      </c>
      <c r="H307" s="39" t="str">
        <f t="array" ref="H307">IFERROR(XLOOKUP(D307,'MASTER ITEM LIST'!A:A,'MASTER ITEM LIST'!D:D), "")</f>
        <v>PC/S</v>
      </c>
      <c r="I307" s="40">
        <v>35.0</v>
      </c>
      <c r="J307" s="41">
        <f t="shared" si="1"/>
        <v>1715</v>
      </c>
    </row>
    <row r="308" ht="22.5" customHeight="1">
      <c r="A308" s="17">
        <v>46112.0</v>
      </c>
      <c r="B308" s="19"/>
      <c r="C308" s="20" t="s">
        <v>49</v>
      </c>
      <c r="D308" s="42" t="s">
        <v>112</v>
      </c>
      <c r="E308" s="35" t="str">
        <f t="array" ref="E308">IF(D308="", "", XLOOKUP(D308, 'MASTER ITEM LIST'!A:A, 'MASTER ITEM LIST'!B:B, ""))</f>
        <v>2B PAINT ROLLER #7</v>
      </c>
      <c r="F308" s="37" t="s">
        <v>41</v>
      </c>
      <c r="G308" s="31">
        <v>35.0</v>
      </c>
      <c r="H308" s="39" t="str">
        <f t="array" ref="H308">IFERROR(XLOOKUP(D308,'MASTER ITEM LIST'!A:A,'MASTER ITEM LIST'!D:D), "")</f>
        <v>PC/S</v>
      </c>
      <c r="I308" s="40">
        <v>62.0</v>
      </c>
      <c r="J308" s="41">
        <f t="shared" si="1"/>
        <v>2170</v>
      </c>
    </row>
    <row r="309" ht="22.5" customHeight="1">
      <c r="A309" s="17">
        <v>46112.0</v>
      </c>
      <c r="B309" s="19"/>
      <c r="C309" s="20" t="s">
        <v>49</v>
      </c>
      <c r="D309" s="42" t="s">
        <v>1095</v>
      </c>
      <c r="E309" s="35" t="str">
        <f t="array" ref="E309">IF(D309="", "", XLOOKUP(D309, 'MASTER ITEM LIST'!A:A, 'MASTER ITEM LIST'!B:B, ""))</f>
        <v>DAVIES LIQUID TILE GLOSS WHITE 4L</v>
      </c>
      <c r="F309" s="37" t="s">
        <v>41</v>
      </c>
      <c r="G309" s="31">
        <v>12.0</v>
      </c>
      <c r="H309" s="39" t="str">
        <f t="array" ref="H309">IFERROR(XLOOKUP(D309,'MASTER ITEM LIST'!A:A,'MASTER ITEM LIST'!D:D), "")</f>
        <v>GALON</v>
      </c>
      <c r="I309" s="40">
        <v>1095.0</v>
      </c>
      <c r="J309" s="41">
        <f t="shared" si="1"/>
        <v>13140</v>
      </c>
    </row>
    <row r="310" ht="22.5" customHeight="1">
      <c r="A310" s="17">
        <v>46112.0</v>
      </c>
      <c r="B310" s="19"/>
      <c r="C310" s="20" t="s">
        <v>49</v>
      </c>
      <c r="D310" s="42" t="s">
        <v>548</v>
      </c>
      <c r="E310" s="35" t="str">
        <f t="array" ref="E310">IF(D310="", "", XLOOKUP(D310, 'MASTER ITEM LIST'!A:A, 'MASTER ITEM LIST'!B:B, ""))</f>
        <v>EAGLE SANDPAPER #240</v>
      </c>
      <c r="F310" s="37" t="s">
        <v>41</v>
      </c>
      <c r="G310" s="31">
        <v>55.0</v>
      </c>
      <c r="H310" s="39" t="str">
        <f t="array" ref="H310">IFERROR(XLOOKUP(D310,'MASTER ITEM LIST'!A:A,'MASTER ITEM LIST'!D:D), "")</f>
        <v>PC/S</v>
      </c>
      <c r="I310" s="40">
        <v>18.5</v>
      </c>
      <c r="J310" s="41">
        <f t="shared" si="1"/>
        <v>1017.5</v>
      </c>
    </row>
    <row r="311" ht="22.5" customHeight="1">
      <c r="A311" s="17">
        <v>46112.0</v>
      </c>
      <c r="B311" s="19"/>
      <c r="C311" s="20" t="s">
        <v>49</v>
      </c>
      <c r="D311" s="42" t="s">
        <v>99</v>
      </c>
      <c r="E311" s="35" t="str">
        <f t="array" ref="E311">IF(D311="", "", XLOOKUP(D311, 'MASTER ITEM LIST'!A:A, 'MASTER ITEM LIST'!B:B, ""))</f>
        <v>BOYSEN LTC LAMP BLACK 1L</v>
      </c>
      <c r="F311" s="37" t="s">
        <v>41</v>
      </c>
      <c r="G311" s="31">
        <v>8.0</v>
      </c>
      <c r="H311" s="39" t="str">
        <f t="array" ref="H311">IFERROR(XLOOKUP(D311,'MASTER ITEM LIST'!A:A,'MASTER ITEM LIST'!D:D), "")</f>
        <v>LITER</v>
      </c>
      <c r="I311" s="40">
        <v>92.0</v>
      </c>
      <c r="J311" s="41">
        <f t="shared" si="1"/>
        <v>736</v>
      </c>
    </row>
    <row r="312" ht="22.5" customHeight="1">
      <c r="A312" s="17">
        <v>46112.0</v>
      </c>
      <c r="B312" s="19"/>
      <c r="C312" s="20" t="s">
        <v>49</v>
      </c>
      <c r="D312" s="42" t="s">
        <v>1085</v>
      </c>
      <c r="E312" s="35" t="str">
        <f t="array" ref="E312">IF(D312="", "", XLOOKUP(D312, 'MASTER ITEM LIST'!A:A, 'MASTER ITEM LIST'!B:B, ""))</f>
        <v>DAVIES OTC THALO BLUE 1/4L</v>
      </c>
      <c r="F312" s="37" t="s">
        <v>41</v>
      </c>
      <c r="G312" s="31">
        <v>8.0</v>
      </c>
      <c r="H312" s="39" t="str">
        <f t="array" ref="H312">IFERROR(XLOOKUP(D312,'MASTER ITEM LIST'!A:A,'MASTER ITEM LIST'!D:D), "")</f>
        <v>1/4L</v>
      </c>
      <c r="I312" s="40">
        <v>95.0</v>
      </c>
      <c r="J312" s="41">
        <f t="shared" si="1"/>
        <v>760</v>
      </c>
    </row>
    <row r="313" ht="22.5" customHeight="1">
      <c r="A313" s="17">
        <v>46112.0</v>
      </c>
      <c r="B313" s="19"/>
      <c r="C313" s="20" t="s">
        <v>49</v>
      </c>
      <c r="D313" s="42" t="s">
        <v>1083</v>
      </c>
      <c r="E313" s="35" t="str">
        <f t="array" ref="E313">IF(D313="", "", XLOOKUP(D313, 'MASTER ITEM LIST'!A:A, 'MASTER ITEM LIST'!B:B, ""))</f>
        <v>DAVIES OTC THALO GREEN 1/4L</v>
      </c>
      <c r="F313" s="37" t="s">
        <v>41</v>
      </c>
      <c r="G313" s="31">
        <v>1.0</v>
      </c>
      <c r="H313" s="39" t="str">
        <f t="array" ref="H313">IFERROR(XLOOKUP(D313,'MASTER ITEM LIST'!A:A,'MASTER ITEM LIST'!D:D), "")</f>
        <v>1/4L</v>
      </c>
      <c r="I313" s="40">
        <v>95.0</v>
      </c>
      <c r="J313" s="41">
        <f t="shared" si="1"/>
        <v>95</v>
      </c>
    </row>
    <row r="314" ht="22.5" customHeight="1">
      <c r="A314" s="17">
        <v>46112.0</v>
      </c>
      <c r="B314" s="19"/>
      <c r="C314" s="20" t="s">
        <v>49</v>
      </c>
      <c r="D314" s="42" t="s">
        <v>555</v>
      </c>
      <c r="E314" s="35" t="str">
        <f t="array" ref="E314">IF(D314="", "", XLOOKUP(D314, 'MASTER ITEM LIST'!A:A, 'MASTER ITEM LIST'!B:B, ""))</f>
        <v>NIPPON FLATTENING AGENT PASTE 1L</v>
      </c>
      <c r="F314" s="37" t="s">
        <v>41</v>
      </c>
      <c r="G314" s="31">
        <v>9.0</v>
      </c>
      <c r="H314" s="39" t="str">
        <f t="array" ref="H314">IFERROR(XLOOKUP(D314,'MASTER ITEM LIST'!A:A,'MASTER ITEM LIST'!D:D), "")</f>
        <v>LITER</v>
      </c>
      <c r="I314" s="40">
        <v>620.0</v>
      </c>
      <c r="J314" s="41">
        <f t="shared" si="1"/>
        <v>5580</v>
      </c>
    </row>
    <row r="315" ht="22.5" customHeight="1">
      <c r="A315" s="17">
        <v>46112.0</v>
      </c>
      <c r="B315" s="19"/>
      <c r="C315" s="20" t="s">
        <v>49</v>
      </c>
      <c r="D315" s="42" t="s">
        <v>144</v>
      </c>
      <c r="E315" s="35" t="str">
        <f t="array" ref="E315">IF(D315="", "", XLOOKUP(D315, 'MASTER ITEM LIST'!A:A, 'MASTER ITEM LIST'!B:B, ""))</f>
        <v>WELCOAT ACRY-TILE TINTING COLOR PHTHALO BLUE PWAC-7242</v>
      </c>
      <c r="F315" s="37" t="s">
        <v>41</v>
      </c>
      <c r="G315" s="31">
        <v>12.0</v>
      </c>
      <c r="H315" s="39" t="str">
        <f t="array" ref="H315">IFERROR(XLOOKUP(D315,'MASTER ITEM LIST'!A:A,'MASTER ITEM LIST'!D:D), "")</f>
        <v>CAN</v>
      </c>
      <c r="I315" s="40">
        <v>111.0</v>
      </c>
      <c r="J315" s="41">
        <f t="shared" si="1"/>
        <v>1332</v>
      </c>
    </row>
    <row r="316" ht="22.5" customHeight="1">
      <c r="A316" s="17">
        <v>46112.0</v>
      </c>
      <c r="B316" s="19"/>
      <c r="C316" s="20" t="s">
        <v>49</v>
      </c>
      <c r="D316" s="42" t="s">
        <v>138</v>
      </c>
      <c r="E316" s="35" t="str">
        <f t="array" ref="E316">IF(D316="", "", XLOOKUP(D316, 'MASTER ITEM LIST'!A:A, 'MASTER ITEM LIST'!B:B, ""))</f>
        <v>WELCOAT ACRY-TILE TINTING COLOR PHTHALO GREEN PWAC-9042</v>
      </c>
      <c r="F316" s="37" t="s">
        <v>41</v>
      </c>
      <c r="G316" s="31">
        <v>3.0</v>
      </c>
      <c r="H316" s="39" t="str">
        <f t="array" ref="H316">IFERROR(XLOOKUP(D316,'MASTER ITEM LIST'!A:A,'MASTER ITEM LIST'!D:D), "")</f>
        <v>LITER</v>
      </c>
      <c r="I316" s="40">
        <v>402.0</v>
      </c>
      <c r="J316" s="41">
        <f t="shared" si="1"/>
        <v>1206</v>
      </c>
    </row>
    <row r="317" ht="22.5" customHeight="1">
      <c r="A317" s="17">
        <v>46112.0</v>
      </c>
      <c r="B317" s="19"/>
      <c r="C317" s="20" t="s">
        <v>49</v>
      </c>
      <c r="D317" s="42" t="s">
        <v>150</v>
      </c>
      <c r="E317" s="35" t="str">
        <f t="array" ref="E317">IF(D317="", "", XLOOKUP(D317, 'MASTER ITEM LIST'!A:A, 'MASTER ITEM LIST'!B:B, ""))</f>
        <v>WELCOAT ACRY-TILE TINTING COLOR PERMANENT RED PWAC-2142</v>
      </c>
      <c r="F317" s="37" t="s">
        <v>41</v>
      </c>
      <c r="G317" s="31">
        <v>2.0</v>
      </c>
      <c r="H317" s="39" t="str">
        <f t="array" ref="H317">IFERROR(XLOOKUP(D317,'MASTER ITEM LIST'!A:A,'MASTER ITEM LIST'!D:D), "")</f>
        <v>LITER</v>
      </c>
      <c r="I317" s="40">
        <v>461.0</v>
      </c>
      <c r="J317" s="41">
        <f t="shared" si="1"/>
        <v>922</v>
      </c>
    </row>
    <row r="318" ht="22.5" customHeight="1">
      <c r="A318" s="17">
        <v>46112.0</v>
      </c>
      <c r="B318" s="19"/>
      <c r="C318" s="20" t="s">
        <v>49</v>
      </c>
      <c r="D318" s="42" t="s">
        <v>152</v>
      </c>
      <c r="E318" s="35" t="str">
        <f t="array" ref="E318">IF(D318="", "", XLOOKUP(D318, 'MASTER ITEM LIST'!A:A, 'MASTER ITEM LIST'!B:B, ""))</f>
        <v>WELCOAT ACRY-TILE TINTING COLOR HANSA YELLOW PWAC-5042</v>
      </c>
      <c r="F318" s="37" t="s">
        <v>41</v>
      </c>
      <c r="G318" s="31">
        <v>12.0</v>
      </c>
      <c r="H318" s="39" t="str">
        <f t="array" ref="H318">IFERROR(XLOOKUP(D318,'MASTER ITEM LIST'!A:A,'MASTER ITEM LIST'!D:D), "")</f>
        <v>CAN</v>
      </c>
      <c r="I318" s="40">
        <v>141.0</v>
      </c>
      <c r="J318" s="41">
        <f t="shared" si="1"/>
        <v>1692</v>
      </c>
    </row>
    <row r="319" ht="22.5" customHeight="1">
      <c r="A319" s="17">
        <v>46112.0</v>
      </c>
      <c r="B319" s="19"/>
      <c r="C319" s="20" t="s">
        <v>49</v>
      </c>
      <c r="D319" s="42" t="s">
        <v>1126</v>
      </c>
      <c r="E319" s="35" t="str">
        <f t="array" ref="E319">IF(D319="", "", XLOOKUP(D319, 'MASTER ITEM LIST'!A:A, 'MASTER ITEM LIST'!B:B, ""))</f>
        <v>BOYSEN PERMACOAT FLAT LATEX BLACK 4L</v>
      </c>
      <c r="F319" s="37" t="s">
        <v>41</v>
      </c>
      <c r="G319" s="31">
        <v>2.0</v>
      </c>
      <c r="H319" s="39" t="str">
        <f t="array" ref="H319">IFERROR(XLOOKUP(D319,'MASTER ITEM LIST'!A:A,'MASTER ITEM LIST'!D:D), "")</f>
        <v>GALON</v>
      </c>
      <c r="I319" s="40">
        <v>615.0</v>
      </c>
      <c r="J319" s="41">
        <f t="shared" si="1"/>
        <v>1230</v>
      </c>
    </row>
    <row r="320" ht="22.5" customHeight="1">
      <c r="A320" s="17">
        <v>46112.0</v>
      </c>
      <c r="B320" s="19"/>
      <c r="C320" s="20" t="s">
        <v>49</v>
      </c>
      <c r="D320" s="42" t="s">
        <v>1090</v>
      </c>
      <c r="E320" s="35" t="str">
        <f t="array" ref="E320">IF(D320="", "", XLOOKUP(D320, 'MASTER ITEM LIST'!A:A, 'MASTER ITEM LIST'!B:B, ""))</f>
        <v>DAVIES LIQUID-TILE TINTING COLOR VENETIAN RED 1L</v>
      </c>
      <c r="F320" s="37" t="s">
        <v>41</v>
      </c>
      <c r="G320" s="31">
        <v>3.0</v>
      </c>
      <c r="H320" s="39" t="str">
        <f t="array" ref="H320">IFERROR(XLOOKUP(D320,'MASTER ITEM LIST'!A:A,'MASTER ITEM LIST'!D:D), "")</f>
        <v>LITER</v>
      </c>
      <c r="I320" s="40">
        <v>399.0</v>
      </c>
      <c r="J320" s="41">
        <f t="shared" si="1"/>
        <v>1197</v>
      </c>
    </row>
    <row r="321" ht="22.5" customHeight="1">
      <c r="A321" s="17">
        <v>46112.0</v>
      </c>
      <c r="B321" s="19"/>
      <c r="C321" s="20" t="s">
        <v>49</v>
      </c>
      <c r="D321" s="42" t="s">
        <v>1092</v>
      </c>
      <c r="E321" s="35" t="str">
        <f t="array" ref="E321">IF(D321="", "", XLOOKUP(D321, 'MASTER ITEM LIST'!A:A, 'MASTER ITEM LIST'!B:B, ""))</f>
        <v>DAVIES LIQUID-TILE TINTING COLOR BLACK 1L</v>
      </c>
      <c r="F321" s="37" t="s">
        <v>41</v>
      </c>
      <c r="G321" s="31">
        <v>3.0</v>
      </c>
      <c r="H321" s="39" t="str">
        <f t="array" ref="H321">IFERROR(XLOOKUP(D321,'MASTER ITEM LIST'!A:A,'MASTER ITEM LIST'!D:D), "")</f>
        <v>LITER</v>
      </c>
      <c r="I321" s="40">
        <v>399.0</v>
      </c>
      <c r="J321" s="41">
        <f t="shared" si="1"/>
        <v>1197</v>
      </c>
    </row>
    <row r="322" ht="22.5" customHeight="1">
      <c r="A322" s="17">
        <v>46112.0</v>
      </c>
      <c r="B322" s="19"/>
      <c r="C322" s="20" t="s">
        <v>49</v>
      </c>
      <c r="D322" s="42" t="s">
        <v>1087</v>
      </c>
      <c r="E322" s="35" t="str">
        <f t="array" ref="E322">IF(D322="", "", XLOOKUP(D322, 'MASTER ITEM LIST'!A:A, 'MASTER ITEM LIST'!B:B, ""))</f>
        <v>DAVIES OIL TINTING COLOR TC-60 LAMP BLACK 1/4L</v>
      </c>
      <c r="F322" s="37" t="s">
        <v>41</v>
      </c>
      <c r="G322" s="31">
        <v>5.0</v>
      </c>
      <c r="H322" s="39" t="str">
        <f t="array" ref="H322">IFERROR(XLOOKUP(D322,'MASTER ITEM LIST'!A:A,'MASTER ITEM LIST'!D:D), "")</f>
        <v>1/4L</v>
      </c>
      <c r="I322" s="40">
        <v>95.0</v>
      </c>
      <c r="J322" s="41">
        <f t="shared" si="1"/>
        <v>475</v>
      </c>
    </row>
    <row r="323" ht="22.5" customHeight="1">
      <c r="A323" s="17">
        <v>46112.0</v>
      </c>
      <c r="B323" s="19"/>
      <c r="C323" s="20" t="s">
        <v>49</v>
      </c>
      <c r="D323" s="42" t="s">
        <v>384</v>
      </c>
      <c r="E323" s="35" t="str">
        <f t="array" ref="E323">IF(D323="", "", XLOOKUP(D323, 'MASTER ITEM LIST'!A:A, 'MASTER ITEM LIST'!B:B, ""))</f>
        <v>PAINT BRUSH 2B #1</v>
      </c>
      <c r="F323" s="37" t="s">
        <v>41</v>
      </c>
      <c r="G323" s="31">
        <v>9.0</v>
      </c>
      <c r="H323" s="39" t="str">
        <f t="array" ref="H323">IFERROR(XLOOKUP(D323,'MASTER ITEM LIST'!A:A,'MASTER ITEM LIST'!D:D), "")</f>
        <v>PC/S</v>
      </c>
      <c r="I323" s="40">
        <v>18.0</v>
      </c>
      <c r="J323" s="41">
        <f t="shared" si="1"/>
        <v>162</v>
      </c>
    </row>
    <row r="324" ht="22.5" customHeight="1">
      <c r="A324" s="17">
        <v>46112.0</v>
      </c>
      <c r="B324" s="19"/>
      <c r="C324" s="20" t="s">
        <v>49</v>
      </c>
      <c r="D324" s="42" t="s">
        <v>1130</v>
      </c>
      <c r="E324" s="35" t="str">
        <f t="array" ref="E324">IF(D324="", "", XLOOKUP(D324, 'MASTER ITEM LIST'!A:A, 'MASTER ITEM LIST'!B:B, ""))</f>
        <v>BOYSEN ACRYTEX CAST 4L</v>
      </c>
      <c r="F324" s="37" t="s">
        <v>41</v>
      </c>
      <c r="G324" s="31">
        <v>3.0</v>
      </c>
      <c r="H324" s="39" t="str">
        <f t="array" ref="H324">IFERROR(XLOOKUP(D324,'MASTER ITEM LIST'!A:A,'MASTER ITEM LIST'!D:D), "")</f>
        <v>GALON</v>
      </c>
      <c r="I324" s="40">
        <v>545.0</v>
      </c>
      <c r="J324" s="41">
        <f t="shared" si="1"/>
        <v>1635</v>
      </c>
    </row>
    <row r="325" ht="22.5" customHeight="1">
      <c r="A325" s="17">
        <v>46112.0</v>
      </c>
      <c r="B325" s="19"/>
      <c r="C325" s="20" t="s">
        <v>49</v>
      </c>
      <c r="D325" s="42" t="s">
        <v>1124</v>
      </c>
      <c r="E325" s="35" t="str">
        <f t="array" ref="E325">IF(D325="", "", XLOOKUP(D325, 'MASTER ITEM LIST'!A:A, 'MASTER ITEM LIST'!B:B, ""))</f>
        <v>BOYSEN PERMACOAT GLOSS LATEX B-710 WHITE 4L</v>
      </c>
      <c r="F325" s="37" t="s">
        <v>41</v>
      </c>
      <c r="G325" s="31">
        <v>6.0</v>
      </c>
      <c r="H325" s="39" t="str">
        <f t="array" ref="H325">IFERROR(XLOOKUP(D325,'MASTER ITEM LIST'!A:A,'MASTER ITEM LIST'!D:D), "")</f>
        <v>GALON</v>
      </c>
      <c r="I325" s="40">
        <v>765.0</v>
      </c>
      <c r="J325" s="41">
        <f t="shared" si="1"/>
        <v>4590</v>
      </c>
    </row>
    <row r="326" ht="22.5" customHeight="1">
      <c r="A326" s="17">
        <v>46112.0</v>
      </c>
      <c r="B326" s="19"/>
      <c r="C326" s="20" t="s">
        <v>49</v>
      </c>
      <c r="D326" s="42" t="s">
        <v>104</v>
      </c>
      <c r="E326" s="35" t="str">
        <f t="array" ref="E326">IF(D326="", "", XLOOKUP(D326, 'MASTER ITEM LIST'!A:A, 'MASTER ITEM LIST'!B:B, ""))</f>
        <v>BOYSEN ACRYTEX GLOSS WHITE 4L</v>
      </c>
      <c r="F326" s="37" t="s">
        <v>41</v>
      </c>
      <c r="G326" s="31">
        <v>4.0</v>
      </c>
      <c r="H326" s="39" t="str">
        <f t="array" ref="H326">IFERROR(XLOOKUP(D326,'MASTER ITEM LIST'!A:A,'MASTER ITEM LIST'!D:D), "")</f>
        <v>GALON</v>
      </c>
      <c r="I326" s="40">
        <v>1096.0</v>
      </c>
      <c r="J326" s="41">
        <f t="shared" si="1"/>
        <v>4384</v>
      </c>
    </row>
    <row r="327" ht="22.5" customHeight="1">
      <c r="A327" s="17">
        <v>46112.0</v>
      </c>
      <c r="B327" s="19"/>
      <c r="C327" s="20" t="s">
        <v>49</v>
      </c>
      <c r="D327" s="42" t="s">
        <v>1023</v>
      </c>
      <c r="E327" s="35" t="str">
        <f t="array" ref="E327">IF(D327="", "", XLOOKUP(D327, 'MASTER ITEM LIST'!A:A, 'MASTER ITEM LIST'!B:B, ""))</f>
        <v>DAVIES QDE WHITE 4L</v>
      </c>
      <c r="F327" s="37" t="s">
        <v>41</v>
      </c>
      <c r="G327" s="31">
        <v>9.0</v>
      </c>
      <c r="H327" s="39" t="str">
        <f t="array" ref="H327">IFERROR(XLOOKUP(D327,'MASTER ITEM LIST'!A:A,'MASTER ITEM LIST'!D:D), "")</f>
        <v>GALON</v>
      </c>
      <c r="I327" s="40">
        <v>820.0</v>
      </c>
      <c r="J327" s="41">
        <f t="shared" si="1"/>
        <v>7380</v>
      </c>
    </row>
    <row r="328" ht="22.5" customHeight="1">
      <c r="A328" s="56">
        <v>46112.0</v>
      </c>
      <c r="B328" s="57"/>
      <c r="C328" s="58" t="s">
        <v>49</v>
      </c>
      <c r="D328" s="59" t="s">
        <v>478</v>
      </c>
      <c r="E328" s="60" t="str">
        <f t="array" ref="E328">IF(D328="", "", XLOOKUP(D328, 'MASTER ITEM LIST'!A:A, 'MASTER ITEM LIST'!B:B, ""))</f>
        <v>PLATONE QDE GREEN 4L</v>
      </c>
      <c r="F328" s="61" t="s">
        <v>41</v>
      </c>
      <c r="G328" s="62">
        <v>3.0</v>
      </c>
      <c r="H328" s="63" t="str">
        <f t="array" ref="H328">IFERROR(XLOOKUP(D328,'MASTER ITEM LIST'!A:A,'MASTER ITEM LIST'!D:D), "")</f>
        <v>GALON</v>
      </c>
      <c r="I328" s="64">
        <v>1593.0</v>
      </c>
      <c r="J328" s="65">
        <f t="shared" si="1"/>
        <v>4779</v>
      </c>
    </row>
    <row r="329" ht="22.5" customHeight="1">
      <c r="A329" s="56">
        <v>46112.0</v>
      </c>
      <c r="B329" s="57"/>
      <c r="C329" s="58" t="s">
        <v>49</v>
      </c>
      <c r="D329" s="59" t="s">
        <v>1121</v>
      </c>
      <c r="E329" s="60" t="str">
        <f t="array" ref="E329">IF(D329="", "", XLOOKUP(D329, 'MASTER ITEM LIST'!A:A, 'MASTER ITEM LIST'!B:B, ""))</f>
        <v>BUFFING PAD</v>
      </c>
      <c r="F329" s="61" t="s">
        <v>41</v>
      </c>
      <c r="G329" s="62">
        <v>3.0</v>
      </c>
      <c r="H329" s="63" t="str">
        <f t="array" ref="H329">IFERROR(XLOOKUP(D329,'MASTER ITEM LIST'!A:A,'MASTER ITEM LIST'!D:D), "")</f>
        <v>PC/S</v>
      </c>
      <c r="I329" s="64">
        <v>650.0</v>
      </c>
      <c r="J329" s="65">
        <f t="shared" si="1"/>
        <v>1950</v>
      </c>
    </row>
    <row r="330" ht="22.5" customHeight="1">
      <c r="A330" s="17">
        <v>46112.0</v>
      </c>
      <c r="B330" s="19"/>
      <c r="C330" s="20" t="s">
        <v>49</v>
      </c>
      <c r="D330" s="42" t="s">
        <v>132</v>
      </c>
      <c r="E330" s="35" t="str">
        <f t="array" ref="E330">IF(D330="", "", XLOOKUP(D330, 'MASTER ITEM LIST'!A:A, 'MASTER ITEM LIST'!B:B, ""))</f>
        <v>WELCOAT REGULAR QDE BLACK 4L</v>
      </c>
      <c r="F330" s="37" t="s">
        <v>41</v>
      </c>
      <c r="G330" s="31">
        <v>2.0</v>
      </c>
      <c r="H330" s="39" t="str">
        <f t="array" ref="H330">IFERROR(XLOOKUP(D330,'MASTER ITEM LIST'!A:A,'MASTER ITEM LIST'!D:D), "")</f>
        <v>GALON</v>
      </c>
      <c r="I330" s="40">
        <v>570.0</v>
      </c>
      <c r="J330" s="41">
        <f t="shared" si="1"/>
        <v>1140</v>
      </c>
    </row>
    <row r="331" ht="22.5" customHeight="1">
      <c r="A331" s="17">
        <v>46112.0</v>
      </c>
      <c r="B331" s="19"/>
      <c r="C331" s="20" t="s">
        <v>49</v>
      </c>
      <c r="D331" s="42" t="s">
        <v>427</v>
      </c>
      <c r="E331" s="35" t="str">
        <f t="array" ref="E331">IF(D331="", "", XLOOKUP(D331, 'MASTER ITEM LIST'!A:A, 'MASTER ITEM LIST'!B:B, ""))</f>
        <v>POLYGLOSS PU RED GOLD 4L</v>
      </c>
      <c r="F331" s="37" t="s">
        <v>41</v>
      </c>
      <c r="G331" s="31">
        <v>1.0</v>
      </c>
      <c r="H331" s="39" t="str">
        <f t="array" ref="H331">IFERROR(XLOOKUP(D331,'MASTER ITEM LIST'!A:A,'MASTER ITEM LIST'!D:D), "")</f>
        <v>GALON</v>
      </c>
      <c r="I331" s="40">
        <v>1883.0</v>
      </c>
      <c r="J331" s="41">
        <f t="shared" si="1"/>
        <v>1883</v>
      </c>
    </row>
    <row r="332" ht="22.5" customHeight="1">
      <c r="A332" s="17">
        <v>46112.0</v>
      </c>
      <c r="B332" s="19"/>
      <c r="C332" s="20" t="s">
        <v>49</v>
      </c>
      <c r="D332" s="42" t="s">
        <v>430</v>
      </c>
      <c r="E332" s="35" t="str">
        <f t="array" ref="E332">IF(D332="", "", XLOOKUP(D332, 'MASTER ITEM LIST'!A:A, 'MASTER ITEM LIST'!B:B, ""))</f>
        <v>POLYGLOSS PU PHTHALO GREEN 4L</v>
      </c>
      <c r="F332" s="37" t="s">
        <v>41</v>
      </c>
      <c r="G332" s="31">
        <v>1.0</v>
      </c>
      <c r="H332" s="39" t="str">
        <f t="array" ref="H332">IFERROR(XLOOKUP(D332,'MASTER ITEM LIST'!A:A,'MASTER ITEM LIST'!D:D), "")</f>
        <v>GALON</v>
      </c>
      <c r="I332" s="40">
        <v>1883.0</v>
      </c>
      <c r="J332" s="41">
        <f t="shared" si="1"/>
        <v>1883</v>
      </c>
    </row>
    <row r="333" ht="22.5" customHeight="1">
      <c r="A333" s="17">
        <v>46112.0</v>
      </c>
      <c r="B333" s="19"/>
      <c r="C333" s="20" t="s">
        <v>49</v>
      </c>
      <c r="D333" s="42" t="s">
        <v>419</v>
      </c>
      <c r="E333" s="35" t="str">
        <f t="array" ref="E333">IF(D333="", "", XLOOKUP(D333, 'MASTER ITEM LIST'!A:A, 'MASTER ITEM LIST'!B:B, ""))</f>
        <v>POLYGLOSS PU YELLOW GOLD 4L</v>
      </c>
      <c r="F333" s="37" t="s">
        <v>41</v>
      </c>
      <c r="G333" s="31">
        <v>1.0</v>
      </c>
      <c r="H333" s="39" t="str">
        <f t="array" ref="H333">IFERROR(XLOOKUP(D333,'MASTER ITEM LIST'!A:A,'MASTER ITEM LIST'!D:D), "")</f>
        <v>GALON</v>
      </c>
      <c r="I333" s="40">
        <v>223.0</v>
      </c>
      <c r="J333" s="41">
        <f t="shared" si="1"/>
        <v>223</v>
      </c>
    </row>
    <row r="334" ht="22.5" customHeight="1">
      <c r="A334" s="17">
        <v>46112.0</v>
      </c>
      <c r="B334" s="19"/>
      <c r="C334" s="20" t="s">
        <v>49</v>
      </c>
      <c r="D334" s="42" t="s">
        <v>445</v>
      </c>
      <c r="E334" s="35" t="str">
        <f t="array" ref="E334">IF(D334="", "", XLOOKUP(D334, 'MASTER ITEM LIST'!A:A, 'MASTER ITEM LIST'!B:B, ""))</f>
        <v>POLYGLOSS PU GLEAMIST ORANGE 4L</v>
      </c>
      <c r="F334" s="37" t="s">
        <v>41</v>
      </c>
      <c r="G334" s="31">
        <v>1.0</v>
      </c>
      <c r="H334" s="39" t="str">
        <f t="array" ref="H334">IFERROR(XLOOKUP(D334,'MASTER ITEM LIST'!A:A,'MASTER ITEM LIST'!D:D), "")</f>
        <v>GALON</v>
      </c>
      <c r="I334" s="40">
        <v>3188.0</v>
      </c>
      <c r="J334" s="41">
        <f t="shared" si="1"/>
        <v>3188</v>
      </c>
    </row>
    <row r="335" ht="22.5" customHeight="1">
      <c r="A335" s="17">
        <v>46112.0</v>
      </c>
      <c r="B335" s="19"/>
      <c r="C335" s="20" t="s">
        <v>49</v>
      </c>
      <c r="D335" s="42" t="s">
        <v>296</v>
      </c>
      <c r="E335" s="35" t="str">
        <f t="array" ref="E335">IF(D335="", "", XLOOKUP(D335, 'MASTER ITEM LIST'!A:A, 'MASTER ITEM LIST'!B:B, ""))</f>
        <v>RAIN OR SHINE PREPA WHITE 4L</v>
      </c>
      <c r="F335" s="37" t="s">
        <v>41</v>
      </c>
      <c r="G335" s="31">
        <v>1.0</v>
      </c>
      <c r="H335" s="39" t="str">
        <f t="array" ref="H335">IFERROR(XLOOKUP(D335,'MASTER ITEM LIST'!A:A,'MASTER ITEM LIST'!D:D), "")</f>
        <v>GALON</v>
      </c>
      <c r="I335" s="40">
        <v>546.0</v>
      </c>
      <c r="J335" s="41">
        <f t="shared" si="1"/>
        <v>546</v>
      </c>
    </row>
    <row r="336" ht="22.5" customHeight="1">
      <c r="A336" s="17">
        <v>46112.0</v>
      </c>
      <c r="B336" s="19"/>
      <c r="C336" s="20" t="s">
        <v>49</v>
      </c>
      <c r="D336" s="42" t="s">
        <v>1166</v>
      </c>
      <c r="E336" s="35" t="str">
        <f t="array" ref="E336">IF(D336="", "", XLOOKUP(D336, 'MASTER ITEM LIST'!A:A, 'MASTER ITEM LIST'!B:B, ""))</f>
        <v>2B PAINT BRUSH 1 1/2</v>
      </c>
      <c r="F336" s="37" t="s">
        <v>41</v>
      </c>
      <c r="G336" s="31">
        <v>5.0</v>
      </c>
      <c r="H336" s="39" t="str">
        <f t="array" ref="H336">IFERROR(XLOOKUP(D336,'MASTER ITEM LIST'!A:A,'MASTER ITEM LIST'!D:D), "")</f>
        <v>PC/S</v>
      </c>
      <c r="I336" s="40">
        <v>23.0</v>
      </c>
      <c r="J336" s="41">
        <f t="shared" si="1"/>
        <v>115</v>
      </c>
    </row>
    <row r="337" ht="22.5" customHeight="1">
      <c r="A337" s="17">
        <v>46112.0</v>
      </c>
      <c r="B337" s="19"/>
      <c r="C337" s="20" t="s">
        <v>49</v>
      </c>
      <c r="D337" s="42" t="s">
        <v>1147</v>
      </c>
      <c r="E337" s="35" t="str">
        <f t="array" ref="E337">IF(D337="", "", XLOOKUP(D337, 'MASTER ITEM LIST'!A:A, 'MASTER ITEM LIST'!B:B, ""))</f>
        <v>2B PAINT BRUSH #3</v>
      </c>
      <c r="F337" s="37" t="s">
        <v>41</v>
      </c>
      <c r="G337" s="31">
        <v>10.0</v>
      </c>
      <c r="H337" s="39" t="str">
        <f t="array" ref="H337">IFERROR(XLOOKUP(D337,'MASTER ITEM LIST'!A:A,'MASTER ITEM LIST'!D:D), "")</f>
        <v>PC/S</v>
      </c>
      <c r="I337" s="40">
        <v>65.0</v>
      </c>
      <c r="J337" s="41">
        <f t="shared" si="1"/>
        <v>650</v>
      </c>
    </row>
    <row r="338" ht="22.5" customHeight="1">
      <c r="A338" s="17">
        <v>46112.0</v>
      </c>
      <c r="B338" s="19"/>
      <c r="C338" s="20" t="s">
        <v>49</v>
      </c>
      <c r="D338" s="42" t="s">
        <v>413</v>
      </c>
      <c r="E338" s="35" t="str">
        <f t="array" ref="E338">IF(D338="", "", XLOOKUP(D338, 'MASTER ITEM LIST'!A:A, 'MASTER ITEM LIST'!B:B, ""))</f>
        <v>PYLOX HEAT RESISTANT BLACK</v>
      </c>
      <c r="F338" s="37" t="s">
        <v>41</v>
      </c>
      <c r="G338" s="31">
        <v>10.0</v>
      </c>
      <c r="H338" s="39" t="str">
        <f t="array" ref="H338">IFERROR(XLOOKUP(D338,'MASTER ITEM LIST'!A:A,'MASTER ITEM LIST'!D:D), "")</f>
        <v>BOT</v>
      </c>
      <c r="I338" s="40">
        <v>150.0</v>
      </c>
      <c r="J338" s="41">
        <f t="shared" si="1"/>
        <v>1500</v>
      </c>
    </row>
    <row r="339" ht="22.5" customHeight="1">
      <c r="A339" s="29">
        <v>46113.0</v>
      </c>
      <c r="B339" s="31"/>
      <c r="C339" s="32" t="s">
        <v>1203</v>
      </c>
      <c r="D339" s="42" t="s">
        <v>560</v>
      </c>
      <c r="E339" s="35" t="str">
        <f t="array" ref="E339">IF(D339="", "", XLOOKUP(D339, 'MASTER ITEM LIST'!A:A, 'MASTER ITEM LIST'!B:B, ""))</f>
        <v>NIPPON EXTREME QDU YELLOW 4L</v>
      </c>
      <c r="F339" s="37" t="s">
        <v>1204</v>
      </c>
      <c r="G339" s="31">
        <v>1.0</v>
      </c>
      <c r="H339" s="39" t="str">
        <f t="array" ref="H339">IFERROR(XLOOKUP(D339,'MASTER ITEM LIST'!A:A,'MASTER ITEM LIST'!D:D), "")</f>
        <v>GAL</v>
      </c>
      <c r="I339" s="40">
        <v>1630.0</v>
      </c>
      <c r="J339" s="41">
        <f t="shared" si="1"/>
        <v>1630</v>
      </c>
    </row>
    <row r="340" ht="22.5" customHeight="1">
      <c r="A340" s="29">
        <v>46120.0</v>
      </c>
      <c r="B340" s="31"/>
      <c r="C340" s="32" t="s">
        <v>1205</v>
      </c>
      <c r="D340" s="42" t="s">
        <v>717</v>
      </c>
      <c r="E340" s="35" t="str">
        <f t="array" ref="E340">IF(D340="", "", XLOOKUP(D340, 'MASTER ITEM LIST'!A:A, 'MASTER ITEM LIST'!B:B, ""))</f>
        <v>CROCO MASKING TAPE #1</v>
      </c>
      <c r="F340" s="37" t="s">
        <v>1204</v>
      </c>
      <c r="G340" s="31">
        <v>1.0</v>
      </c>
      <c r="H340" s="39" t="str">
        <f t="array" ref="H340">IFERROR(XLOOKUP(D340,'MASTER ITEM LIST'!A:A,'MASTER ITEM LIST'!D:D), "")</f>
        <v>PCS</v>
      </c>
      <c r="I340" s="40">
        <v>32.0</v>
      </c>
      <c r="J340" s="41">
        <f t="shared" si="1"/>
        <v>32</v>
      </c>
    </row>
    <row r="341" ht="22.5" customHeight="1">
      <c r="A341" s="29">
        <v>46127.0</v>
      </c>
      <c r="B341" s="31"/>
      <c r="C341" s="32" t="s">
        <v>1203</v>
      </c>
      <c r="D341" s="42" t="s">
        <v>718</v>
      </c>
      <c r="E341" s="35" t="str">
        <f t="array" ref="E341">IF(D341="", "", XLOOKUP(D341, 'MASTER ITEM LIST'!A:A, 'MASTER ITEM LIST'!B:B, ""))</f>
        <v>NAX PREMILA NB100 B/C BINDER 4L</v>
      </c>
      <c r="F341" s="37" t="s">
        <v>1204</v>
      </c>
      <c r="G341" s="31">
        <v>1.0</v>
      </c>
      <c r="H341" s="39" t="str">
        <f t="array" ref="H341">IFERROR(XLOOKUP(D341,'MASTER ITEM LIST'!A:A,'MASTER ITEM LIST'!D:D), "")</f>
        <v>GAL</v>
      </c>
      <c r="I341" s="40">
        <v>2100.0</v>
      </c>
      <c r="J341" s="41">
        <f t="shared" si="1"/>
        <v>2100</v>
      </c>
    </row>
    <row r="342" ht="22.5" customHeight="1">
      <c r="A342" s="29">
        <v>46128.0</v>
      </c>
      <c r="B342" s="31" t="s">
        <v>1206</v>
      </c>
      <c r="C342" s="32" t="s">
        <v>38</v>
      </c>
      <c r="D342" s="33" t="s">
        <v>674</v>
      </c>
      <c r="E342" s="35" t="str">
        <f t="array" ref="E342">IF(D342="", "", XLOOKUP(D342, 'MASTER ITEM LIST'!A:A, 'MASTER ITEM LIST'!B:B, ""))</f>
        <v>DOMINO BODY FILTER WITH HARDENER 1L</v>
      </c>
      <c r="F342" s="37" t="s">
        <v>41</v>
      </c>
      <c r="G342" s="31">
        <v>12.0</v>
      </c>
      <c r="H342" s="39" t="str">
        <f t="array" ref="H342">IFERROR(XLOOKUP(D342,'MASTER ITEM LIST'!A:A,'MASTER ITEM LIST'!D:D), "")</f>
        <v>LITER</v>
      </c>
      <c r="I342" s="40">
        <v>150.0</v>
      </c>
      <c r="J342" s="41">
        <f t="shared" si="1"/>
        <v>1800</v>
      </c>
    </row>
    <row r="343" ht="22.5" customHeight="1">
      <c r="A343" s="29">
        <v>46128.0</v>
      </c>
      <c r="B343" s="31" t="s">
        <v>1206</v>
      </c>
      <c r="C343" s="32" t="s">
        <v>38</v>
      </c>
      <c r="D343" s="33" t="s">
        <v>136</v>
      </c>
      <c r="E343" s="35" t="str">
        <f t="array" ref="E343">IF(D343="", "", XLOOKUP(D343, 'MASTER ITEM LIST'!A:A, 'MASTER ITEM LIST'!B:B, ""))</f>
        <v>CROCO MASKING TAPE 3/4 18MM (1X64)</v>
      </c>
      <c r="F343" s="37" t="s">
        <v>41</v>
      </c>
      <c r="G343" s="31">
        <v>64.0</v>
      </c>
      <c r="H343" s="39" t="str">
        <f t="array" ref="H343">IFERROR(XLOOKUP(D343,'MASTER ITEM LIST'!A:A,'MASTER ITEM LIST'!D:D), "")</f>
        <v>PC/S</v>
      </c>
      <c r="I343" s="40">
        <v>23.59</v>
      </c>
      <c r="J343" s="41">
        <f t="shared" si="1"/>
        <v>1509.76</v>
      </c>
    </row>
    <row r="344" ht="22.5" customHeight="1">
      <c r="A344" s="29">
        <v>46128.0</v>
      </c>
      <c r="B344" s="31" t="s">
        <v>1206</v>
      </c>
      <c r="C344" s="32" t="s">
        <v>38</v>
      </c>
      <c r="D344" s="33" t="s">
        <v>1017</v>
      </c>
      <c r="E344" s="35" t="str">
        <f t="array" ref="E344">IF(D344="", "", XLOOKUP(D344, 'MASTER ITEM LIST'!A:A, 'MASTER ITEM LIST'!B:B, ""))</f>
        <v>GLAZER AUTOMOTIVE ENAMEL BLACK 4L</v>
      </c>
      <c r="F344" s="37" t="s">
        <v>41</v>
      </c>
      <c r="G344" s="31">
        <v>1.0</v>
      </c>
      <c r="H344" s="39" t="str">
        <f t="array" ref="H344">IFERROR(XLOOKUP(D344,'MASTER ITEM LIST'!A:A,'MASTER ITEM LIST'!D:D), "")</f>
        <v>GALON</v>
      </c>
      <c r="I344" s="40">
        <v>855.0</v>
      </c>
      <c r="J344" s="41">
        <f t="shared" si="1"/>
        <v>855</v>
      </c>
    </row>
    <row r="345" ht="22.5" customHeight="1">
      <c r="A345" s="29">
        <v>46128.0</v>
      </c>
      <c r="B345" s="31" t="s">
        <v>1206</v>
      </c>
      <c r="C345" s="32" t="s">
        <v>38</v>
      </c>
      <c r="D345" s="42" t="s">
        <v>563</v>
      </c>
      <c r="E345" s="35" t="str">
        <f t="array" ref="E345">IF(D345="", "", XLOOKUP(D345, 'MASTER ITEM LIST'!A:A, 'MASTER ITEM LIST'!B:B, ""))</f>
        <v>NIPPON EXTREME QDU WHITE 4L</v>
      </c>
      <c r="F345" s="37" t="s">
        <v>41</v>
      </c>
      <c r="G345" s="31">
        <v>3.0</v>
      </c>
      <c r="H345" s="39" t="str">
        <f t="array" ref="H345">IFERROR(XLOOKUP(D345,'MASTER ITEM LIST'!A:A,'MASTER ITEM LIST'!D:D), "")</f>
        <v>GAL</v>
      </c>
      <c r="I345" s="40">
        <v>1550.0</v>
      </c>
      <c r="J345" s="41">
        <f t="shared" si="1"/>
        <v>4650</v>
      </c>
    </row>
    <row r="346" ht="22.5" customHeight="1">
      <c r="A346" s="29">
        <v>46128.0</v>
      </c>
      <c r="B346" s="31" t="s">
        <v>1206</v>
      </c>
      <c r="C346" s="32" t="s">
        <v>38</v>
      </c>
      <c r="D346" s="33" t="s">
        <v>568</v>
      </c>
      <c r="E346" s="35" t="str">
        <f t="array" ref="E346">IF(D346="", "", XLOOKUP(D346, 'MASTER ITEM LIST'!A:A, 'MASTER ITEM LIST'!B:B, ""))</f>
        <v>NIPPON EXTREME QDU SILVER 4L</v>
      </c>
      <c r="F346" s="37" t="s">
        <v>41</v>
      </c>
      <c r="G346" s="31">
        <v>1.0</v>
      </c>
      <c r="H346" s="39" t="str">
        <f t="array" ref="H346">IFERROR(XLOOKUP(D346,'MASTER ITEM LIST'!A:A,'MASTER ITEM LIST'!D:D), "")</f>
        <v>GAL</v>
      </c>
      <c r="I346" s="40">
        <v>1493.0</v>
      </c>
      <c r="J346" s="41">
        <f t="shared" si="1"/>
        <v>1493</v>
      </c>
    </row>
    <row r="347" ht="22.5" customHeight="1">
      <c r="A347" s="29">
        <v>46128.0</v>
      </c>
      <c r="B347" s="31" t="s">
        <v>1206</v>
      </c>
      <c r="C347" s="32" t="s">
        <v>38</v>
      </c>
      <c r="D347" s="33" t="s">
        <v>777</v>
      </c>
      <c r="E347" s="35" t="str">
        <f t="array" ref="E347">IF(D347="", "", XLOOKUP(D347, 'MASTER ITEM LIST'!A:A, 'MASTER ITEM LIST'!B:B, ""))</f>
        <v>COCONUT ELASTOMERIC WATER FROOFING PAINT ROS-739 RAIN OR SHINE 4L</v>
      </c>
      <c r="F347" s="37" t="s">
        <v>41</v>
      </c>
      <c r="G347" s="31">
        <v>1.0</v>
      </c>
      <c r="H347" s="39" t="str">
        <f t="array" ref="H347">IFERROR(XLOOKUP(D347,'MASTER ITEM LIST'!A:A,'MASTER ITEM LIST'!D:D), "")</f>
        <v>4L</v>
      </c>
      <c r="I347" s="40">
        <v>695.0</v>
      </c>
      <c r="J347" s="41">
        <f t="shared" si="1"/>
        <v>695</v>
      </c>
    </row>
    <row r="348" ht="22.5" customHeight="1">
      <c r="A348" s="29">
        <v>46128.0</v>
      </c>
      <c r="B348" s="31" t="s">
        <v>1206</v>
      </c>
      <c r="C348" s="32" t="s">
        <v>38</v>
      </c>
      <c r="D348" s="42" t="s">
        <v>454</v>
      </c>
      <c r="E348" s="35" t="str">
        <f t="array" ref="E348">IF(D348="", "", XLOOKUP(D348, 'MASTER ITEM LIST'!A:A, 'MASTER ITEM LIST'!B:B, ""))</f>
        <v>POLYGLOSS PU 888 RED 4L</v>
      </c>
      <c r="F348" s="37" t="s">
        <v>41</v>
      </c>
      <c r="G348" s="31">
        <v>1.0</v>
      </c>
      <c r="H348" s="39" t="str">
        <f t="array" ref="H348">IFERROR(XLOOKUP(D348,'MASTER ITEM LIST'!A:A,'MASTER ITEM LIST'!D:D), "")</f>
        <v>GALON</v>
      </c>
      <c r="I348" s="40">
        <v>2448.0</v>
      </c>
      <c r="J348" s="41">
        <f t="shared" si="1"/>
        <v>2448</v>
      </c>
    </row>
    <row r="349" ht="22.5" customHeight="1">
      <c r="A349" s="29">
        <v>46128.0</v>
      </c>
      <c r="B349" s="31" t="s">
        <v>1206</v>
      </c>
      <c r="C349" s="32" t="s">
        <v>38</v>
      </c>
      <c r="D349" s="33" t="s">
        <v>241</v>
      </c>
      <c r="E349" s="35" t="str">
        <f t="array" ref="E349">IF(D349="", "", XLOOKUP(D349, 'MASTER ITEM LIST'!A:A, 'MASTER ITEM LIST'!B:B, ""))</f>
        <v>POLYGLOSS PU WHITE 4L</v>
      </c>
      <c r="F349" s="37" t="s">
        <v>41</v>
      </c>
      <c r="G349" s="31">
        <v>2.0</v>
      </c>
      <c r="H349" s="39" t="str">
        <f t="array" ref="H349">IFERROR(XLOOKUP(D349,'MASTER ITEM LIST'!A:A,'MASTER ITEM LIST'!D:D), "")</f>
        <v>GALON</v>
      </c>
      <c r="I349" s="40">
        <v>1730.0</v>
      </c>
      <c r="J349" s="41">
        <f t="shared" si="1"/>
        <v>3460</v>
      </c>
    </row>
    <row r="350" ht="22.5" customHeight="1">
      <c r="A350" s="29">
        <v>46128.0</v>
      </c>
      <c r="B350" s="31" t="s">
        <v>1206</v>
      </c>
      <c r="C350" s="32" t="s">
        <v>38</v>
      </c>
      <c r="D350" s="33" t="s">
        <v>45</v>
      </c>
      <c r="E350" s="35" t="str">
        <f t="array" ref="E350">IF(D350="", "", XLOOKUP(D350, 'MASTER ITEM LIST'!A:A, 'MASTER ITEM LIST'!B:B, ""))</f>
        <v>POLYGLOSS PU JET BLACK 4L</v>
      </c>
      <c r="F350" s="37" t="s">
        <v>41</v>
      </c>
      <c r="G350" s="31">
        <v>1.0</v>
      </c>
      <c r="H350" s="39" t="str">
        <f t="array" ref="H350">IFERROR(XLOOKUP(D350,'MASTER ITEM LIST'!A:A,'MASTER ITEM LIST'!D:D), "")</f>
        <v>GALON</v>
      </c>
      <c r="I350" s="40">
        <v>1830.0</v>
      </c>
      <c r="J350" s="41">
        <f t="shared" si="1"/>
        <v>1830</v>
      </c>
    </row>
    <row r="351" ht="22.5" customHeight="1">
      <c r="A351" s="29">
        <v>46128.0</v>
      </c>
      <c r="B351" s="31" t="s">
        <v>1206</v>
      </c>
      <c r="C351" s="32" t="s">
        <v>38</v>
      </c>
      <c r="D351" s="33" t="s">
        <v>198</v>
      </c>
      <c r="E351" s="35" t="str">
        <f t="array" ref="E351">IF(D351="", "", XLOOKUP(D351, 'MASTER ITEM LIST'!A:A, 'MASTER ITEM LIST'!B:B, ""))</f>
        <v>EAGLE SANDPAPER #2000</v>
      </c>
      <c r="F351" s="37" t="s">
        <v>41</v>
      </c>
      <c r="G351" s="31">
        <v>100.0</v>
      </c>
      <c r="H351" s="39" t="str">
        <f t="array" ref="H351">IFERROR(XLOOKUP(D351,'MASTER ITEM LIST'!A:A,'MASTER ITEM LIST'!D:D), "")</f>
        <v>PC/S</v>
      </c>
      <c r="I351" s="40">
        <v>28.0</v>
      </c>
      <c r="J351" s="41">
        <f t="shared" si="1"/>
        <v>2800</v>
      </c>
    </row>
    <row r="352" ht="22.5" customHeight="1">
      <c r="A352" s="29">
        <v>46128.0</v>
      </c>
      <c r="B352" s="31" t="s">
        <v>1213</v>
      </c>
      <c r="C352" s="32" t="s">
        <v>38</v>
      </c>
      <c r="D352" s="33" t="s">
        <v>213</v>
      </c>
      <c r="E352" s="35" t="str">
        <f t="array" ref="E352">IF(D352="", "", XLOOKUP(D352, 'MASTER ITEM LIST'!A:A, 'MASTER ITEM LIST'!B:B, ""))</f>
        <v>NAX PREMILA NP9200 2K CLEAR WITH HARDENER 1L</v>
      </c>
      <c r="F352" s="37" t="s">
        <v>41</v>
      </c>
      <c r="G352" s="31">
        <v>12.0</v>
      </c>
      <c r="H352" s="39" t="str">
        <f t="array" ref="H352">IFERROR(XLOOKUP(D352,'MASTER ITEM LIST'!A:A,'MASTER ITEM LIST'!D:D), "")</f>
        <v>LITER</v>
      </c>
      <c r="I352" s="40">
        <v>920.0</v>
      </c>
      <c r="J352" s="41">
        <f t="shared" si="1"/>
        <v>11040</v>
      </c>
    </row>
    <row r="353" ht="22.5" customHeight="1">
      <c r="A353" s="29">
        <v>46128.0</v>
      </c>
      <c r="B353" s="31" t="s">
        <v>1213</v>
      </c>
      <c r="C353" s="32" t="s">
        <v>38</v>
      </c>
      <c r="D353" s="33" t="s">
        <v>57</v>
      </c>
      <c r="E353" s="35" t="str">
        <f t="array" ref="E353">IF(D353="", "", XLOOKUP(D353, 'MASTER ITEM LIST'!A:A, 'MASTER ITEM LIST'!B:B, ""))</f>
        <v>DO IT URETHANE THINNER 4L</v>
      </c>
      <c r="F353" s="37" t="s">
        <v>41</v>
      </c>
      <c r="G353" s="31">
        <v>12.0</v>
      </c>
      <c r="H353" s="39" t="str">
        <f t="array" ref="H353">IFERROR(XLOOKUP(D353,'MASTER ITEM LIST'!A:A,'MASTER ITEM LIST'!D:D), "")</f>
        <v>GAL/S</v>
      </c>
      <c r="I353" s="40">
        <v>590.0</v>
      </c>
      <c r="J353" s="41">
        <f t="shared" si="1"/>
        <v>7080</v>
      </c>
    </row>
    <row r="354" ht="22.5" customHeight="1">
      <c r="A354" s="29">
        <v>46128.0</v>
      </c>
      <c r="B354" s="31" t="s">
        <v>1213</v>
      </c>
      <c r="C354" s="32" t="s">
        <v>38</v>
      </c>
      <c r="D354" s="33" t="s">
        <v>53</v>
      </c>
      <c r="E354" s="35" t="str">
        <f t="array" ref="E354">IF(D354="", "", XLOOKUP(D354, 'MASTER ITEM LIST'!A:A, 'MASTER ITEM LIST'!B:B, ""))</f>
        <v>NAX 108 CERAMIC 2K CLEAR WITH HARDENER 1L</v>
      </c>
      <c r="F354" s="37" t="s">
        <v>41</v>
      </c>
      <c r="G354" s="31">
        <v>24.0</v>
      </c>
      <c r="H354" s="39" t="str">
        <f t="array" ref="H354">IFERROR(XLOOKUP(D354,'MASTER ITEM LIST'!A:A,'MASTER ITEM LIST'!D:D), "")</f>
        <v>LITER</v>
      </c>
      <c r="I354" s="40">
        <v>388.0</v>
      </c>
      <c r="J354" s="41">
        <f t="shared" si="1"/>
        <v>9312</v>
      </c>
    </row>
    <row r="355" ht="22.5" customHeight="1">
      <c r="A355" s="29">
        <v>46128.0</v>
      </c>
      <c r="B355" s="31" t="s">
        <v>1213</v>
      </c>
      <c r="C355" s="32" t="s">
        <v>38</v>
      </c>
      <c r="D355" s="33" t="s">
        <v>233</v>
      </c>
      <c r="E355" s="35" t="str">
        <f t="array" ref="E355">IF(D355="", "", XLOOKUP(D355, 'MASTER ITEM LIST'!A:A, 'MASTER ITEM LIST'!B:B, ""))</f>
        <v>NAX ALPHA HB SPRAY FILLER GRAY WITH HARDENER 1L</v>
      </c>
      <c r="F355" s="37" t="s">
        <v>41</v>
      </c>
      <c r="G355" s="31">
        <v>12.0</v>
      </c>
      <c r="H355" s="39" t="str">
        <f t="array" ref="H355">IFERROR(XLOOKUP(D355,'MASTER ITEM LIST'!A:A,'MASTER ITEM LIST'!D:D), "")</f>
        <v>LITER</v>
      </c>
      <c r="I355" s="40">
        <v>355.0</v>
      </c>
      <c r="J355" s="41">
        <f t="shared" si="1"/>
        <v>4260</v>
      </c>
    </row>
    <row r="356" ht="22.5" customHeight="1">
      <c r="A356" s="29">
        <v>46128.0</v>
      </c>
      <c r="B356" s="31" t="s">
        <v>1213</v>
      </c>
      <c r="C356" s="32" t="s">
        <v>38</v>
      </c>
      <c r="D356" s="42" t="s">
        <v>557</v>
      </c>
      <c r="E356" s="35" t="str">
        <f t="array" ref="E356">IF(D356="", "", XLOOKUP(D356, 'MASTER ITEM LIST'!A:A, 'MASTER ITEM LIST'!B:B, ""))</f>
        <v>NIPPON FF151 FLOP CONTROL</v>
      </c>
      <c r="F356" s="37" t="s">
        <v>41</v>
      </c>
      <c r="G356" s="31">
        <v>1.0</v>
      </c>
      <c r="H356" s="39" t="str">
        <f t="array" ref="H356">IFERROR(XLOOKUP(D356,'MASTER ITEM LIST'!A:A,'MASTER ITEM LIST'!D:D), "")</f>
        <v>LTR</v>
      </c>
      <c r="I356" s="40">
        <v>1160.0</v>
      </c>
      <c r="J356" s="41">
        <f t="shared" si="1"/>
        <v>1160</v>
      </c>
    </row>
    <row r="357" ht="22.5" customHeight="1">
      <c r="A357" s="29">
        <v>46128.0</v>
      </c>
      <c r="B357" s="31" t="s">
        <v>1213</v>
      </c>
      <c r="C357" s="32" t="s">
        <v>38</v>
      </c>
      <c r="D357" s="33" t="s">
        <v>747</v>
      </c>
      <c r="E357" s="35" t="str">
        <f t="array" ref="E357">IF(D357="", "", XLOOKUP(D357, 'MASTER ITEM LIST'!A:A, 'MASTER ITEM LIST'!B:B, ""))</f>
        <v>NAX PREMILA MT701 FAST VIOLET 1L</v>
      </c>
      <c r="F357" s="37" t="s">
        <v>41</v>
      </c>
      <c r="G357" s="31">
        <v>1.0</v>
      </c>
      <c r="H357" s="39" t="str">
        <f t="array" ref="H357">IFERROR(XLOOKUP(D357,'MASTER ITEM LIST'!A:A,'MASTER ITEM LIST'!D:D), "")</f>
        <v>LTR/S</v>
      </c>
      <c r="I357" s="40">
        <v>1744.0</v>
      </c>
      <c r="J357" s="41">
        <f t="shared" si="1"/>
        <v>1744</v>
      </c>
    </row>
    <row r="358" ht="22.5" customHeight="1">
      <c r="A358" s="29">
        <v>46128.0</v>
      </c>
      <c r="B358" s="31" t="s">
        <v>1213</v>
      </c>
      <c r="C358" s="32" t="s">
        <v>38</v>
      </c>
      <c r="D358" s="33" t="s">
        <v>207</v>
      </c>
      <c r="E358" s="35" t="str">
        <f t="array" ref="E358">IF(D358="", "", XLOOKUP(D358, 'MASTER ITEM LIST'!A:A, 'MASTER ITEM LIST'!B:B, ""))</f>
        <v>NAX PREMILA MT202 TINTING BLACK NP 1L</v>
      </c>
      <c r="F358" s="37" t="s">
        <v>41</v>
      </c>
      <c r="G358" s="31">
        <v>1.0</v>
      </c>
      <c r="H358" s="39" t="str">
        <f t="array" ref="H358">IFERROR(XLOOKUP(D358,'MASTER ITEM LIST'!A:A,'MASTER ITEM LIST'!D:D), "")</f>
        <v>LTR/S</v>
      </c>
      <c r="I358" s="40">
        <v>1090.0</v>
      </c>
      <c r="J358" s="41">
        <f t="shared" si="1"/>
        <v>1090</v>
      </c>
    </row>
    <row r="359" ht="22.5" customHeight="1">
      <c r="A359" s="29">
        <v>46128.0</v>
      </c>
      <c r="B359" s="31" t="s">
        <v>1213</v>
      </c>
      <c r="C359" s="32" t="s">
        <v>38</v>
      </c>
      <c r="D359" s="33" t="s">
        <v>202</v>
      </c>
      <c r="E359" s="35" t="str">
        <f t="array" ref="E359">IF(D359="", "", XLOOKUP(D359, 'MASTER ITEM LIST'!A:A, 'MASTER ITEM LIST'!B:B, ""))</f>
        <v>NAX PREMILA MT203 DEEP BLACK 1L</v>
      </c>
      <c r="F359" s="37" t="s">
        <v>41</v>
      </c>
      <c r="G359" s="31">
        <v>1.0</v>
      </c>
      <c r="H359" s="39" t="str">
        <f t="array" ref="H359">IFERROR(XLOOKUP(D359,'MASTER ITEM LIST'!A:A,'MASTER ITEM LIST'!D:D), "")</f>
        <v>LTR/S</v>
      </c>
      <c r="I359" s="40">
        <v>1668.0</v>
      </c>
      <c r="J359" s="41">
        <f t="shared" si="1"/>
        <v>1668</v>
      </c>
    </row>
    <row r="360" ht="22.5" customHeight="1">
      <c r="A360" s="29">
        <v>46129.0</v>
      </c>
      <c r="B360" s="31" t="s">
        <v>1223</v>
      </c>
      <c r="C360" s="32" t="s">
        <v>38</v>
      </c>
      <c r="D360" s="33" t="s">
        <v>103</v>
      </c>
      <c r="E360" s="35" t="str">
        <f t="array" ref="E360">IF(D360="", "", XLOOKUP(D360, 'MASTER ITEM LIST'!A:A, 'MASTER ITEM LIST'!B:B, ""))</f>
        <v>RAIN OR SHINE WHITE 4L</v>
      </c>
      <c r="F360" s="37" t="s">
        <v>41</v>
      </c>
      <c r="G360" s="31">
        <v>1.0</v>
      </c>
      <c r="H360" s="39" t="str">
        <f t="array" ref="H360">IFERROR(XLOOKUP(D360,'MASTER ITEM LIST'!A:A,'MASTER ITEM LIST'!D:D), "")</f>
        <v>GALON</v>
      </c>
      <c r="I360" s="40">
        <v>695.0</v>
      </c>
      <c r="J360" s="41">
        <f t="shared" si="1"/>
        <v>695</v>
      </c>
    </row>
    <row r="361" ht="22.5" customHeight="1">
      <c r="A361" s="29">
        <v>46129.0</v>
      </c>
      <c r="B361" s="31" t="s">
        <v>1223</v>
      </c>
      <c r="C361" s="32" t="s">
        <v>38</v>
      </c>
      <c r="D361" s="33" t="s">
        <v>46</v>
      </c>
      <c r="E361" s="35" t="str">
        <f t="array" ref="E361">IF(D361="", "", XLOOKUP(D361, 'MASTER ITEM LIST'!A:A, 'MASTER ITEM LIST'!B:B, ""))</f>
        <v>POLYGLOSS URETHANE THINNER 4L</v>
      </c>
      <c r="F361" s="37" t="s">
        <v>41</v>
      </c>
      <c r="G361" s="31">
        <v>6.0</v>
      </c>
      <c r="H361" s="39" t="str">
        <f t="array" ref="H361">IFERROR(XLOOKUP(D361,'MASTER ITEM LIST'!A:A,'MASTER ITEM LIST'!D:D), "")</f>
        <v>GALON</v>
      </c>
      <c r="I361" s="40">
        <v>650.0</v>
      </c>
      <c r="J361" s="41">
        <f t="shared" si="1"/>
        <v>3900</v>
      </c>
    </row>
    <row r="362" ht="22.5" customHeight="1">
      <c r="A362" s="29">
        <v>46130.0</v>
      </c>
      <c r="B362" s="31"/>
      <c r="C362" s="32" t="s">
        <v>1203</v>
      </c>
      <c r="D362" s="42" t="s">
        <v>546</v>
      </c>
      <c r="E362" s="35" t="str">
        <f t="array" ref="E362">IF(D362="", "", XLOOKUP(D362, 'MASTER ITEM LIST'!A:A, 'MASTER ITEM LIST'!B:B, ""))</f>
        <v>NAX NAT-719 TTC COARSE SILVER 4L</v>
      </c>
      <c r="F362" s="37" t="s">
        <v>1204</v>
      </c>
      <c r="G362" s="31">
        <v>1.0</v>
      </c>
      <c r="H362" s="39" t="str">
        <f t="array" ref="H362">IFERROR(XLOOKUP(D362,'MASTER ITEM LIST'!A:A,'MASTER ITEM LIST'!D:D), "")</f>
        <v>GAL</v>
      </c>
      <c r="I362" s="40">
        <v>2325.0</v>
      </c>
      <c r="J362" s="41">
        <f t="shared" si="1"/>
        <v>2325</v>
      </c>
    </row>
    <row r="363" ht="22.5" customHeight="1">
      <c r="A363" s="29">
        <v>46130.0</v>
      </c>
      <c r="B363" s="31"/>
      <c r="C363" s="32" t="s">
        <v>1203</v>
      </c>
      <c r="D363" s="42" t="s">
        <v>648</v>
      </c>
      <c r="E363" s="35" t="str">
        <f t="array" ref="E363">IF(D363="", "", XLOOKUP(D363, 'MASTER ITEM LIST'!A:A, 'MASTER ITEM LIST'!B:B, ""))</f>
        <v>NAX NAT-192 TTC BRIGHT RED 1L</v>
      </c>
      <c r="F363" s="37" t="s">
        <v>1204</v>
      </c>
      <c r="G363" s="31">
        <v>1.0</v>
      </c>
      <c r="H363" s="39" t="str">
        <f t="array" ref="H363">IFERROR(XLOOKUP(D363,'MASTER ITEM LIST'!A:A,'MASTER ITEM LIST'!D:D), "")</f>
        <v>LITER</v>
      </c>
      <c r="I363" s="40">
        <v>540.0</v>
      </c>
      <c r="J363" s="41">
        <f t="shared" si="1"/>
        <v>540</v>
      </c>
    </row>
    <row r="364" ht="22.5" customHeight="1">
      <c r="A364" s="29">
        <v>46130.0</v>
      </c>
      <c r="B364" s="31"/>
      <c r="C364" s="32" t="s">
        <v>1203</v>
      </c>
      <c r="D364" s="42" t="s">
        <v>630</v>
      </c>
      <c r="E364" s="35" t="str">
        <f t="array" ref="E364">IF(D364="", "", XLOOKUP(D364, 'MASTER ITEM LIST'!A:A, 'MASTER ITEM LIST'!B:B, ""))</f>
        <v>NAX NAT-320 TTC GOLD YELLOW 1L</v>
      </c>
      <c r="F364" s="37" t="s">
        <v>1204</v>
      </c>
      <c r="G364" s="31">
        <v>1.0</v>
      </c>
      <c r="H364" s="39" t="str">
        <f t="array" ref="H364">IFERROR(XLOOKUP(D364,'MASTER ITEM LIST'!A:A,'MASTER ITEM LIST'!D:D), "")</f>
        <v>LITER</v>
      </c>
      <c r="I364" s="40">
        <v>425.0</v>
      </c>
      <c r="J364" s="41">
        <f t="shared" si="1"/>
        <v>425</v>
      </c>
    </row>
    <row r="365" ht="22.5" customHeight="1">
      <c r="A365" s="29">
        <v>46130.0</v>
      </c>
      <c r="B365" s="31"/>
      <c r="C365" s="32" t="s">
        <v>1203</v>
      </c>
      <c r="D365" s="42" t="s">
        <v>717</v>
      </c>
      <c r="E365" s="35" t="str">
        <f t="array" ref="E365">IF(D365="", "", XLOOKUP(D365, 'MASTER ITEM LIST'!A:A, 'MASTER ITEM LIST'!B:B, ""))</f>
        <v>CROCO MASKING TAPE #1</v>
      </c>
      <c r="F365" s="37" t="s">
        <v>1204</v>
      </c>
      <c r="G365" s="31">
        <v>1.0</v>
      </c>
      <c r="H365" s="39" t="str">
        <f t="array" ref="H365">IFERROR(XLOOKUP(D365,'MASTER ITEM LIST'!A:A,'MASTER ITEM LIST'!D:D), "")</f>
        <v>PCS</v>
      </c>
      <c r="I365" s="40">
        <v>32.0</v>
      </c>
      <c r="J365" s="41">
        <f t="shared" si="1"/>
        <v>32</v>
      </c>
    </row>
    <row r="366" ht="22.5" customHeight="1">
      <c r="A366" s="29">
        <v>46132.0</v>
      </c>
      <c r="B366" s="31"/>
      <c r="C366" s="20" t="s">
        <v>1203</v>
      </c>
      <c r="D366" s="42" t="s">
        <v>156</v>
      </c>
      <c r="E366" s="35" t="str">
        <f t="array" ref="E366">IF(D366="", "", XLOOKUP(D366, 'MASTER ITEM LIST'!A:A, 'MASTER ITEM LIST'!B:B, ""))</f>
        <v>WASTE COTTON POD</v>
      </c>
      <c r="F366" s="37" t="s">
        <v>1204</v>
      </c>
      <c r="G366" s="31">
        <v>1.0</v>
      </c>
      <c r="H366" s="39" t="str">
        <f t="array" ref="H366">IFERROR(XLOOKUP(D366,'MASTER ITEM LIST'!A:A,'MASTER ITEM LIST'!D:D), "")</f>
        <v>KL</v>
      </c>
      <c r="I366" s="40">
        <v>70.0</v>
      </c>
      <c r="J366" s="41">
        <f t="shared" si="1"/>
        <v>70</v>
      </c>
    </row>
    <row r="367" ht="22.5" customHeight="1">
      <c r="A367" s="29">
        <v>46132.0</v>
      </c>
      <c r="B367" s="31"/>
      <c r="C367" s="32" t="s">
        <v>1203</v>
      </c>
      <c r="D367" s="42" t="s">
        <v>718</v>
      </c>
      <c r="E367" s="35" t="str">
        <f t="array" ref="E367">IF(D367="", "", XLOOKUP(D367, 'MASTER ITEM LIST'!A:A, 'MASTER ITEM LIST'!B:B, ""))</f>
        <v>NAX PREMILA NB100 B/C BINDER 4L</v>
      </c>
      <c r="F367" s="37" t="s">
        <v>1204</v>
      </c>
      <c r="G367" s="31">
        <v>1.0</v>
      </c>
      <c r="H367" s="39" t="str">
        <f t="array" ref="H367">IFERROR(XLOOKUP(D367,'MASTER ITEM LIST'!A:A,'MASTER ITEM LIST'!D:D), "")</f>
        <v>GAL</v>
      </c>
      <c r="I367" s="40">
        <v>2100.0</v>
      </c>
      <c r="J367" s="41">
        <f t="shared" si="1"/>
        <v>2100</v>
      </c>
    </row>
    <row r="368" ht="22.5" customHeight="1">
      <c r="A368" s="29">
        <v>46133.0</v>
      </c>
      <c r="B368" s="31"/>
      <c r="C368" s="32" t="s">
        <v>1203</v>
      </c>
      <c r="D368" s="42" t="s">
        <v>1023</v>
      </c>
      <c r="E368" s="35" t="str">
        <f t="array" ref="E368">IF(D368="", "", XLOOKUP(D368, 'MASTER ITEM LIST'!A:A, 'MASTER ITEM LIST'!B:B, ""))</f>
        <v>DAVIES QDE WHITE 4L</v>
      </c>
      <c r="F368" s="37" t="s">
        <v>1204</v>
      </c>
      <c r="G368" s="31">
        <v>1.0</v>
      </c>
      <c r="H368" s="39" t="str">
        <f t="array" ref="H368">IFERROR(XLOOKUP(D368,'MASTER ITEM LIST'!A:A,'MASTER ITEM LIST'!D:D), "")</f>
        <v>GALON</v>
      </c>
      <c r="I368" s="40">
        <v>820.0</v>
      </c>
      <c r="J368" s="41">
        <f t="shared" si="1"/>
        <v>820</v>
      </c>
    </row>
    <row r="369" ht="22.5" customHeight="1">
      <c r="A369" s="29">
        <v>46134.0</v>
      </c>
      <c r="B369" s="31"/>
      <c r="C369" s="32" t="s">
        <v>1203</v>
      </c>
      <c r="D369" s="42" t="s">
        <v>487</v>
      </c>
      <c r="E369" s="35" t="str">
        <f t="array" ref="E369">IF(D369="", "", XLOOKUP(D369, 'MASTER ITEM LIST'!A:A, 'MASTER ITEM LIST'!B:B, ""))</f>
        <v>NAX NAT-10100 NH-585 PEARL WHITE MICA 1L</v>
      </c>
      <c r="F369" s="37" t="s">
        <v>1204</v>
      </c>
      <c r="G369" s="31">
        <v>1.0</v>
      </c>
      <c r="H369" s="39" t="str">
        <f t="array" ref="H369">IFERROR(XLOOKUP(D369,'MASTER ITEM LIST'!A:A,'MASTER ITEM LIST'!D:D), "")</f>
        <v>LITER</v>
      </c>
      <c r="I369" s="40">
        <v>675.0</v>
      </c>
      <c r="J369" s="41">
        <f t="shared" si="1"/>
        <v>675</v>
      </c>
    </row>
    <row r="370" ht="22.5" customHeight="1">
      <c r="A370" s="29">
        <v>46134.0</v>
      </c>
      <c r="B370" s="31"/>
      <c r="C370" s="32" t="s">
        <v>1203</v>
      </c>
      <c r="D370" s="42" t="s">
        <v>72</v>
      </c>
      <c r="E370" s="35" t="str">
        <f t="array" ref="E370">IF(D370="", "", XLOOKUP(D370, 'MASTER ITEM LIST'!A:A, 'MASTER ITEM LIST'!B:B, ""))</f>
        <v>NIPPON EXTREME QDU BLACK 4L</v>
      </c>
      <c r="F370" s="37" t="s">
        <v>1204</v>
      </c>
      <c r="G370" s="31">
        <v>1.0</v>
      </c>
      <c r="H370" s="39" t="str">
        <f t="array" ref="H370">IFERROR(XLOOKUP(D370,'MASTER ITEM LIST'!A:A,'MASTER ITEM LIST'!D:D), "")</f>
        <v>GAL</v>
      </c>
      <c r="I370" s="40">
        <v>1485.0</v>
      </c>
      <c r="J370" s="41">
        <f t="shared" si="1"/>
        <v>1485</v>
      </c>
    </row>
    <row r="371" ht="22.5" customHeight="1">
      <c r="A371" s="29">
        <v>46135.0</v>
      </c>
      <c r="B371" s="31"/>
      <c r="C371" s="32" t="s">
        <v>1203</v>
      </c>
      <c r="D371" s="42" t="s">
        <v>718</v>
      </c>
      <c r="E371" s="35" t="str">
        <f t="array" ref="E371">IF(D371="", "", XLOOKUP(D371, 'MASTER ITEM LIST'!A:A, 'MASTER ITEM LIST'!B:B, ""))</f>
        <v>NAX PREMILA NB100 B/C BINDER 4L</v>
      </c>
      <c r="F371" s="37" t="s">
        <v>1204</v>
      </c>
      <c r="G371" s="31">
        <v>1.0</v>
      </c>
      <c r="H371" s="39" t="str">
        <f t="array" ref="H371">IFERROR(XLOOKUP(D371,'MASTER ITEM LIST'!A:A,'MASTER ITEM LIST'!D:D), "")</f>
        <v>GAL</v>
      </c>
      <c r="I371" s="40">
        <v>2100.0</v>
      </c>
      <c r="J371" s="41">
        <f t="shared" si="1"/>
        <v>2100</v>
      </c>
    </row>
    <row r="372" ht="22.5" customHeight="1">
      <c r="A372" s="29">
        <v>46137.0</v>
      </c>
      <c r="B372" s="31" t="s">
        <v>36</v>
      </c>
      <c r="C372" s="32" t="s">
        <v>38</v>
      </c>
      <c r="D372" s="33" t="s">
        <v>674</v>
      </c>
      <c r="E372" s="35" t="str">
        <f t="array" ref="E372">IF(D372="", "", XLOOKUP(D372, 'MASTER ITEM LIST'!A:A, 'MASTER ITEM LIST'!B:B, ""))</f>
        <v>DOMINO BODY FILTER WITH HARDENER 1L</v>
      </c>
      <c r="F372" s="37" t="s">
        <v>41</v>
      </c>
      <c r="G372" s="31">
        <v>12.0</v>
      </c>
      <c r="H372" s="39" t="str">
        <f t="array" ref="H372">IFERROR(XLOOKUP(D372,'MASTER ITEM LIST'!A:A,'MASTER ITEM LIST'!D:D), "")</f>
        <v>LITER</v>
      </c>
      <c r="I372" s="40">
        <v>160.0</v>
      </c>
      <c r="J372" s="41">
        <f t="shared" si="1"/>
        <v>1920</v>
      </c>
    </row>
    <row r="373" ht="22.5" customHeight="1">
      <c r="A373" s="29">
        <v>46137.0</v>
      </c>
      <c r="B373" s="31" t="s">
        <v>36</v>
      </c>
      <c r="C373" s="32" t="s">
        <v>38</v>
      </c>
      <c r="D373" s="33" t="s">
        <v>397</v>
      </c>
      <c r="E373" s="35" t="str">
        <f t="array" ref="E373">IF(D373="", "", XLOOKUP(D373, 'MASTER ITEM LIST'!A:A, 'MASTER ITEM LIST'!B:B, ""))</f>
        <v>NIPPON HS FILLER 1L</v>
      </c>
      <c r="F373" s="37" t="s">
        <v>41</v>
      </c>
      <c r="G373" s="31">
        <v>12.0</v>
      </c>
      <c r="H373" s="39" t="str">
        <f t="array" ref="H373">IFERROR(XLOOKUP(D373,'MASTER ITEM LIST'!A:A,'MASTER ITEM LIST'!D:D), "")</f>
        <v>LITER</v>
      </c>
      <c r="I373" s="40">
        <v>720.0</v>
      </c>
      <c r="J373" s="41">
        <f t="shared" si="1"/>
        <v>8640</v>
      </c>
    </row>
    <row r="374" ht="22.5" customHeight="1">
      <c r="A374" s="29">
        <v>46137.0</v>
      </c>
      <c r="B374" s="31" t="s">
        <v>36</v>
      </c>
      <c r="C374" s="32" t="s">
        <v>38</v>
      </c>
      <c r="D374" s="33" t="s">
        <v>568</v>
      </c>
      <c r="E374" s="35" t="str">
        <f t="array" ref="E374">IF(D374="", "", XLOOKUP(D374, 'MASTER ITEM LIST'!A:A, 'MASTER ITEM LIST'!B:B, ""))</f>
        <v>NIPPON EXTREME QDU SILVER 4L</v>
      </c>
      <c r="F374" s="37" t="s">
        <v>41</v>
      </c>
      <c r="G374" s="31">
        <v>1.0</v>
      </c>
      <c r="H374" s="39" t="str">
        <f t="array" ref="H374">IFERROR(XLOOKUP(D374,'MASTER ITEM LIST'!A:A,'MASTER ITEM LIST'!D:D), "")</f>
        <v>GAL</v>
      </c>
      <c r="I374" s="40">
        <v>2000.0</v>
      </c>
      <c r="J374" s="41">
        <f t="shared" si="1"/>
        <v>2000</v>
      </c>
    </row>
    <row r="375" ht="22.5" customHeight="1">
      <c r="A375" s="29">
        <v>46137.0</v>
      </c>
      <c r="B375" s="31" t="s">
        <v>36</v>
      </c>
      <c r="C375" s="32" t="s">
        <v>38</v>
      </c>
      <c r="D375" s="33" t="s">
        <v>72</v>
      </c>
      <c r="E375" s="35" t="str">
        <f t="array" ref="E375">IF(D375="", "", XLOOKUP(D375, 'MASTER ITEM LIST'!A:A, 'MASTER ITEM LIST'!B:B, ""))</f>
        <v>NIPPON EXTREME QDU BLACK 4L</v>
      </c>
      <c r="F375" s="37" t="s">
        <v>41</v>
      </c>
      <c r="G375" s="31">
        <v>2.0</v>
      </c>
      <c r="H375" s="39" t="str">
        <f t="array" ref="H375">IFERROR(XLOOKUP(D375,'MASTER ITEM LIST'!A:A,'MASTER ITEM LIST'!D:D), "")</f>
        <v>GAL</v>
      </c>
      <c r="I375" s="40">
        <v>1850.0</v>
      </c>
      <c r="J375" s="41">
        <f t="shared" si="1"/>
        <v>3700</v>
      </c>
    </row>
    <row r="376" ht="22.5" customHeight="1">
      <c r="A376" s="29">
        <v>46137.0</v>
      </c>
      <c r="B376" s="31" t="s">
        <v>36</v>
      </c>
      <c r="C376" s="32" t="s">
        <v>38</v>
      </c>
      <c r="D376" s="33" t="s">
        <v>46</v>
      </c>
      <c r="E376" s="35" t="str">
        <f t="array" ref="E376">IF(D376="", "", XLOOKUP(D376, 'MASTER ITEM LIST'!A:A, 'MASTER ITEM LIST'!B:B, ""))</f>
        <v>POLYGLOSS URETHANE THINNER 4L</v>
      </c>
      <c r="F376" s="37" t="s">
        <v>41</v>
      </c>
      <c r="G376" s="31">
        <v>2.0</v>
      </c>
      <c r="H376" s="39" t="str">
        <f t="array" ref="H376">IFERROR(XLOOKUP(D376,'MASTER ITEM LIST'!A:A,'MASTER ITEM LIST'!D:D), "")</f>
        <v>GALON</v>
      </c>
      <c r="I376" s="40">
        <v>650.0</v>
      </c>
      <c r="J376" s="41">
        <f t="shared" si="1"/>
        <v>1300</v>
      </c>
    </row>
    <row r="377" ht="22.5" customHeight="1">
      <c r="A377" s="29">
        <v>46137.0</v>
      </c>
      <c r="B377" s="31" t="s">
        <v>36</v>
      </c>
      <c r="C377" s="32" t="s">
        <v>38</v>
      </c>
      <c r="D377" s="33" t="s">
        <v>284</v>
      </c>
      <c r="E377" s="35" t="str">
        <f t="array" ref="E377">IF(D377="", "", XLOOKUP(D377, 'MASTER ITEM LIST'!A:A, 'MASTER ITEM LIST'!B:B, ""))</f>
        <v>RAIN OR SHINE STONE GRAY 4L</v>
      </c>
      <c r="F377" s="37" t="s">
        <v>41</v>
      </c>
      <c r="G377" s="31">
        <v>1.0</v>
      </c>
      <c r="H377" s="39" t="str">
        <f t="array" ref="H377">IFERROR(XLOOKUP(D377,'MASTER ITEM LIST'!A:A,'MASTER ITEM LIST'!D:D), "")</f>
        <v>GALON</v>
      </c>
      <c r="I377" s="40">
        <v>665.0</v>
      </c>
      <c r="J377" s="41">
        <f t="shared" si="1"/>
        <v>665</v>
      </c>
    </row>
    <row r="378" ht="22.5" customHeight="1">
      <c r="A378" s="29">
        <v>46137.0</v>
      </c>
      <c r="B378" s="31" t="s">
        <v>36</v>
      </c>
      <c r="C378" s="32" t="s">
        <v>38</v>
      </c>
      <c r="D378" s="33" t="s">
        <v>957</v>
      </c>
      <c r="E378" s="35" t="str">
        <f t="array" ref="E378">IF(D378="", "", XLOOKUP(D378, 'MASTER ITEM LIST'!A:A, 'MASTER ITEM LIST'!B:B, ""))</f>
        <v>NAX 301 NAX QDU FLAT CLEAR WITH HARDENER 1L</v>
      </c>
      <c r="F378" s="37" t="s">
        <v>41</v>
      </c>
      <c r="G378" s="31">
        <v>2.0</v>
      </c>
      <c r="H378" s="39" t="str">
        <f t="array" ref="H378">IFERROR(XLOOKUP(D378,'MASTER ITEM LIST'!A:A,'MASTER ITEM LIST'!D:D), "")</f>
        <v>LITER</v>
      </c>
      <c r="I378" s="40">
        <v>900.0</v>
      </c>
      <c r="J378" s="41">
        <f t="shared" si="1"/>
        <v>1800</v>
      </c>
    </row>
    <row r="379" ht="22.5" customHeight="1">
      <c r="A379" s="29">
        <v>46137.0</v>
      </c>
      <c r="B379" s="31" t="s">
        <v>36</v>
      </c>
      <c r="C379" s="32" t="s">
        <v>38</v>
      </c>
      <c r="D379" s="33" t="s">
        <v>292</v>
      </c>
      <c r="E379" s="35" t="str">
        <f t="array" ref="E379">IF(D379="", "", XLOOKUP(D379, 'MASTER ITEM LIST'!A:A, 'MASTER ITEM LIST'!B:B, ""))</f>
        <v>RAIN OR SHINE ROS-629 TULIPS 4L</v>
      </c>
      <c r="F379" s="37" t="s">
        <v>41</v>
      </c>
      <c r="G379" s="31">
        <v>2.0</v>
      </c>
      <c r="H379" s="39" t="str">
        <f t="array" ref="H379">IFERROR(XLOOKUP(D379,'MASTER ITEM LIST'!A:A,'MASTER ITEM LIST'!D:D), "")</f>
        <v>GALON</v>
      </c>
      <c r="I379" s="40">
        <v>665.0</v>
      </c>
      <c r="J379" s="41">
        <f t="shared" si="1"/>
        <v>1330</v>
      </c>
    </row>
    <row r="380" ht="22.5" customHeight="1">
      <c r="A380" s="29">
        <v>46137.0</v>
      </c>
      <c r="B380" s="31" t="s">
        <v>36</v>
      </c>
      <c r="C380" s="32" t="s">
        <v>38</v>
      </c>
      <c r="D380" s="33" t="s">
        <v>340</v>
      </c>
      <c r="E380" s="35" t="str">
        <f t="array" ref="E380">IF(D380="", "", XLOOKUP(D380, 'MASTER ITEM LIST'!A:A, 'MASTER ITEM LIST'!B:B, ""))</f>
        <v>PYLOX LAZER GLOSS BLACK 48</v>
      </c>
      <c r="F380" s="37" t="s">
        <v>41</v>
      </c>
      <c r="G380" s="31">
        <v>12.0</v>
      </c>
      <c r="H380" s="39" t="str">
        <f t="array" ref="H380">IFERROR(XLOOKUP(D380,'MASTER ITEM LIST'!A:A,'MASTER ITEM LIST'!D:D), "")</f>
        <v>CAN</v>
      </c>
      <c r="I380" s="40">
        <v>95.0</v>
      </c>
      <c r="J380" s="41">
        <f t="shared" si="1"/>
        <v>1140</v>
      </c>
    </row>
    <row r="381" ht="22.5" customHeight="1">
      <c r="A381" s="29">
        <v>46139.0</v>
      </c>
      <c r="B381" s="31"/>
      <c r="C381" s="32" t="s">
        <v>1203</v>
      </c>
      <c r="D381" s="42" t="s">
        <v>718</v>
      </c>
      <c r="E381" s="35" t="str">
        <f t="array" ref="E381">IF(D381="", "", XLOOKUP(D381, 'MASTER ITEM LIST'!A:A, 'MASTER ITEM LIST'!B:B, ""))</f>
        <v>NAX PREMILA NB100 B/C BINDER 4L</v>
      </c>
      <c r="F381" s="37" t="s">
        <v>1204</v>
      </c>
      <c r="G381" s="31">
        <v>1.0</v>
      </c>
      <c r="H381" s="39" t="str">
        <f t="array" ref="H381">IFERROR(XLOOKUP(D381,'MASTER ITEM LIST'!A:A,'MASTER ITEM LIST'!D:D), "")</f>
        <v>GAL</v>
      </c>
      <c r="I381" s="40">
        <v>2100.0</v>
      </c>
      <c r="J381" s="41">
        <f t="shared" si="1"/>
        <v>2100</v>
      </c>
    </row>
    <row r="382" ht="22.5" customHeight="1">
      <c r="A382" s="29">
        <v>46141.0</v>
      </c>
      <c r="B382" s="31"/>
      <c r="C382" s="32" t="s">
        <v>1203</v>
      </c>
      <c r="D382" s="42" t="s">
        <v>334</v>
      </c>
      <c r="E382" s="35" t="str">
        <f t="array" ref="E382">IF(D382="", "", XLOOKUP(D382, 'MASTER ITEM LIST'!A:A, 'MASTER ITEM LIST'!B:B, ""))</f>
        <v>PLATONE QDE BLACK 4L</v>
      </c>
      <c r="F382" s="37" t="s">
        <v>1204</v>
      </c>
      <c r="G382" s="31">
        <v>1.0</v>
      </c>
      <c r="H382" s="39" t="str">
        <f t="array" ref="H382">IFERROR(XLOOKUP(D382,'MASTER ITEM LIST'!A:A,'MASTER ITEM LIST'!D:D), "")</f>
        <v>GAL</v>
      </c>
      <c r="I382" s="40">
        <v>661.0</v>
      </c>
      <c r="J382" s="41">
        <f t="shared" si="1"/>
        <v>661</v>
      </c>
    </row>
    <row r="383" ht="22.5" customHeight="1">
      <c r="A383" s="29">
        <v>46141.0</v>
      </c>
      <c r="B383" s="31"/>
      <c r="C383" s="32" t="s">
        <v>1203</v>
      </c>
      <c r="D383" s="42" t="s">
        <v>202</v>
      </c>
      <c r="E383" s="35" t="str">
        <f t="array" ref="E383">IF(D383="", "", XLOOKUP(D383, 'MASTER ITEM LIST'!A:A, 'MASTER ITEM LIST'!B:B, ""))</f>
        <v>NAX PREMILA MT203 DEEP BLACK 1L</v>
      </c>
      <c r="F383" s="37" t="s">
        <v>1204</v>
      </c>
      <c r="G383" s="31">
        <v>1.0</v>
      </c>
      <c r="H383" s="39" t="str">
        <f t="array" ref="H383">IFERROR(XLOOKUP(D383,'MASTER ITEM LIST'!A:A,'MASTER ITEM LIST'!D:D), "")</f>
        <v>LTR/S</v>
      </c>
      <c r="I383" s="40">
        <v>1668.0</v>
      </c>
      <c r="J383" s="41">
        <f t="shared" si="1"/>
        <v>1668</v>
      </c>
    </row>
    <row r="384" ht="22.5" customHeight="1">
      <c r="A384" s="29">
        <v>46141.0</v>
      </c>
      <c r="B384" s="31"/>
      <c r="C384" s="32" t="s">
        <v>1203</v>
      </c>
      <c r="D384" s="42" t="s">
        <v>929</v>
      </c>
      <c r="E384" s="35" t="str">
        <f t="array" ref="E384">IF(D384="", "", XLOOKUP(D384, 'MASTER ITEM LIST'!A:A, 'MASTER ITEM LIST'!B:B, ""))</f>
        <v>NAX NAT-1159 TTC MEDIUM RUSSET MICA 1L</v>
      </c>
      <c r="F384" s="37" t="s">
        <v>1204</v>
      </c>
      <c r="G384" s="31">
        <v>1.0</v>
      </c>
      <c r="H384" s="39" t="str">
        <f t="array" ref="H384">IFERROR(XLOOKUP(D384,'MASTER ITEM LIST'!A:A,'MASTER ITEM LIST'!D:D), "")</f>
        <v>LITER</v>
      </c>
      <c r="I384" s="40">
        <v>780.0</v>
      </c>
      <c r="J384" s="41">
        <f t="shared" si="1"/>
        <v>780</v>
      </c>
    </row>
    <row r="385" ht="22.5" customHeight="1">
      <c r="A385" s="29">
        <v>46141.0</v>
      </c>
      <c r="B385" s="31"/>
      <c r="C385" s="32" t="s">
        <v>1203</v>
      </c>
      <c r="D385" s="42" t="s">
        <v>630</v>
      </c>
      <c r="E385" s="35" t="str">
        <f t="array" ref="E385">IF(D385="", "", XLOOKUP(D385, 'MASTER ITEM LIST'!A:A, 'MASTER ITEM LIST'!B:B, ""))</f>
        <v>NAX NAT-320 TTC GOLD YELLOW 1L</v>
      </c>
      <c r="F385" s="37" t="s">
        <v>1204</v>
      </c>
      <c r="G385" s="31">
        <v>1.0</v>
      </c>
      <c r="H385" s="39" t="str">
        <f t="array" ref="H385">IFERROR(XLOOKUP(D385,'MASTER ITEM LIST'!A:A,'MASTER ITEM LIST'!D:D), "")</f>
        <v>LITER</v>
      </c>
      <c r="I385" s="40">
        <v>425.0</v>
      </c>
      <c r="J385" s="41">
        <f t="shared" si="1"/>
        <v>425</v>
      </c>
    </row>
    <row r="386" ht="22.5" customHeight="1">
      <c r="A386" s="29">
        <v>46141.0</v>
      </c>
      <c r="B386" s="31"/>
      <c r="C386" s="32" t="s">
        <v>1203</v>
      </c>
      <c r="D386" s="42" t="s">
        <v>737</v>
      </c>
      <c r="E386" s="35" t="str">
        <f t="array" ref="E386">IF(D386="", "", XLOOKUP(D386, 'MASTER ITEM LIST'!A:A, 'MASTER ITEM LIST'!B:B, ""))</f>
        <v>NAX NAT-1164 TTC BRIGHT GOLD MICA 1L</v>
      </c>
      <c r="F386" s="37" t="s">
        <v>1204</v>
      </c>
      <c r="G386" s="31">
        <v>1.0</v>
      </c>
      <c r="H386" s="39" t="str">
        <f t="array" ref="H386">IFERROR(XLOOKUP(D386,'MASTER ITEM LIST'!A:A,'MASTER ITEM LIST'!D:D), "")</f>
        <v>LITER</v>
      </c>
      <c r="I386" s="40">
        <v>640.0</v>
      </c>
      <c r="J386" s="41">
        <f t="shared" si="1"/>
        <v>640</v>
      </c>
    </row>
    <row r="387" ht="22.5" customHeight="1">
      <c r="A387" s="29">
        <v>46142.0</v>
      </c>
      <c r="B387" s="31"/>
      <c r="C387" s="32" t="s">
        <v>1203</v>
      </c>
      <c r="D387" s="42" t="s">
        <v>94</v>
      </c>
      <c r="E387" s="35" t="str">
        <f t="array" ref="E387">IF(D387="", "", XLOOKUP(D387, 'MASTER ITEM LIST'!A:A, 'MASTER ITEM LIST'!B:B, ""))</f>
        <v>NAX NAT-990 TTC BLACK 4L</v>
      </c>
      <c r="F387" s="37" t="s">
        <v>1204</v>
      </c>
      <c r="G387" s="31">
        <v>1.0</v>
      </c>
      <c r="H387" s="39" t="str">
        <f t="array" ref="H387">IFERROR(XLOOKUP(D387,'MASTER ITEM LIST'!A:A,'MASTER ITEM LIST'!D:D), "")</f>
        <v>GAL</v>
      </c>
      <c r="I387" s="40">
        <v>1518.0</v>
      </c>
      <c r="J387" s="41">
        <f t="shared" si="1"/>
        <v>1518</v>
      </c>
    </row>
    <row r="388" ht="22.5" customHeight="1">
      <c r="A388" s="29">
        <v>46146.0</v>
      </c>
      <c r="B388" s="31"/>
      <c r="C388" s="32" t="s">
        <v>1203</v>
      </c>
      <c r="D388" s="42" t="s">
        <v>717</v>
      </c>
      <c r="E388" s="35" t="str">
        <f t="array" ref="E388">IF(D388="", "", XLOOKUP(D388, 'MASTER ITEM LIST'!A:A, 'MASTER ITEM LIST'!B:B, ""))</f>
        <v>CROCO MASKING TAPE #1</v>
      </c>
      <c r="F388" s="37" t="s">
        <v>1204</v>
      </c>
      <c r="G388" s="31">
        <v>1.0</v>
      </c>
      <c r="H388" s="39" t="str">
        <f t="array" ref="H388">IFERROR(XLOOKUP(D388,'MASTER ITEM LIST'!A:A,'MASTER ITEM LIST'!D:D), "")</f>
        <v>PCS</v>
      </c>
      <c r="I388" s="40">
        <v>32.0</v>
      </c>
      <c r="J388" s="41">
        <f t="shared" si="1"/>
        <v>32</v>
      </c>
    </row>
    <row r="389" ht="22.5" customHeight="1">
      <c r="A389" s="29">
        <v>46146.0</v>
      </c>
      <c r="B389" s="31"/>
      <c r="C389" s="32" t="s">
        <v>1203</v>
      </c>
      <c r="D389" s="33" t="s">
        <v>114</v>
      </c>
      <c r="E389" s="35" t="str">
        <f t="array" ref="E389">IF(D389="", "", XLOOKUP(D389, 'MASTER ITEM LIST'!A:A, 'MASTER ITEM LIST'!B:B, ""))</f>
        <v>POLYGLOSS-BRIGHT ALUMINUM 4L</v>
      </c>
      <c r="F389" s="37" t="s">
        <v>1204</v>
      </c>
      <c r="G389" s="31">
        <v>1.0</v>
      </c>
      <c r="H389" s="39" t="str">
        <f t="array" ref="H389">IFERROR(XLOOKUP(D389,'MASTER ITEM LIST'!A:A,'MASTER ITEM LIST'!D:D), "")</f>
        <v>GALON</v>
      </c>
      <c r="I389" s="40">
        <v>1950.0</v>
      </c>
      <c r="J389" s="41">
        <f t="shared" si="1"/>
        <v>1950</v>
      </c>
    </row>
    <row r="390" ht="22.5" customHeight="1">
      <c r="A390" s="29">
        <v>46147.0</v>
      </c>
      <c r="B390" s="31"/>
      <c r="C390" s="32" t="s">
        <v>1203</v>
      </c>
      <c r="D390" s="42" t="s">
        <v>718</v>
      </c>
      <c r="E390" s="35" t="str">
        <f t="array" ref="E390">IF(D390="", "", XLOOKUP(D390, 'MASTER ITEM LIST'!A:A, 'MASTER ITEM LIST'!B:B, ""))</f>
        <v>NAX PREMILA NB100 B/C BINDER 4L</v>
      </c>
      <c r="F390" s="37" t="s">
        <v>1204</v>
      </c>
      <c r="G390" s="31">
        <v>1.0</v>
      </c>
      <c r="H390" s="39" t="str">
        <f t="array" ref="H390">IFERROR(XLOOKUP(D390,'MASTER ITEM LIST'!A:A,'MASTER ITEM LIST'!D:D), "")</f>
        <v>GAL</v>
      </c>
      <c r="I390" s="40">
        <v>2100.0</v>
      </c>
      <c r="J390" s="41">
        <f t="shared" si="1"/>
        <v>2100</v>
      </c>
    </row>
    <row r="391" ht="22.5" customHeight="1">
      <c r="A391" s="29">
        <v>46147.0</v>
      </c>
      <c r="B391" s="31"/>
      <c r="C391" s="32" t="s">
        <v>1203</v>
      </c>
      <c r="D391" s="33" t="s">
        <v>46</v>
      </c>
      <c r="E391" s="35" t="str">
        <f t="array" ref="E391">IF(D391="", "", XLOOKUP(D391, 'MASTER ITEM LIST'!A:A, 'MASTER ITEM LIST'!B:B, ""))</f>
        <v>POLYGLOSS URETHANE THINNER 4L</v>
      </c>
      <c r="F391" s="37" t="s">
        <v>1204</v>
      </c>
      <c r="G391" s="31">
        <v>1.0</v>
      </c>
      <c r="H391" s="39" t="str">
        <f t="array" ref="H391">IFERROR(XLOOKUP(D391,'MASTER ITEM LIST'!A:A,'MASTER ITEM LIST'!D:D), "")</f>
        <v>GALON</v>
      </c>
      <c r="I391" s="40">
        <v>675.0</v>
      </c>
      <c r="J391" s="41">
        <f t="shared" si="1"/>
        <v>675</v>
      </c>
    </row>
    <row r="392" ht="22.5" customHeight="1">
      <c r="A392" s="29">
        <v>46148.0</v>
      </c>
      <c r="B392" s="31"/>
      <c r="C392" s="32" t="s">
        <v>1203</v>
      </c>
      <c r="D392" s="42" t="s">
        <v>717</v>
      </c>
      <c r="E392" s="35" t="str">
        <f t="array" ref="E392">IF(D392="", "", XLOOKUP(D392, 'MASTER ITEM LIST'!A:A, 'MASTER ITEM LIST'!B:B, ""))</f>
        <v>CROCO MASKING TAPE #1</v>
      </c>
      <c r="F392" s="37" t="s">
        <v>1204</v>
      </c>
      <c r="G392" s="31">
        <v>1.0</v>
      </c>
      <c r="H392" s="39" t="str">
        <f t="array" ref="H392">IFERROR(XLOOKUP(D392,'MASTER ITEM LIST'!A:A,'MASTER ITEM LIST'!D:D), "")</f>
        <v>PCS</v>
      </c>
      <c r="I392" s="40">
        <v>32.0</v>
      </c>
      <c r="J392" s="41">
        <f t="shared" si="1"/>
        <v>32</v>
      </c>
    </row>
    <row r="393" ht="22.5" customHeight="1">
      <c r="A393" s="29">
        <v>46148.0</v>
      </c>
      <c r="B393" s="31"/>
      <c r="C393" s="32" t="s">
        <v>1203</v>
      </c>
      <c r="D393" s="42" t="s">
        <v>748</v>
      </c>
      <c r="E393" s="35" t="str">
        <f t="array" ref="E393">IF(D393="", "", XLOOKUP(D393, 'MASTER ITEM LIST'!A:A, 'MASTER ITEM LIST'!B:B, ""))</f>
        <v>NAX NAT-1157 TTC BRIGHT COPPER MICA 1L</v>
      </c>
      <c r="F393" s="37" t="s">
        <v>1204</v>
      </c>
      <c r="G393" s="31">
        <v>1.0</v>
      </c>
      <c r="H393" s="39" t="str">
        <f t="array" ref="H393">IFERROR(XLOOKUP(D393,'MASTER ITEM LIST'!A:A,'MASTER ITEM LIST'!D:D), "")</f>
        <v>LITER</v>
      </c>
      <c r="I393" s="40">
        <v>780.0</v>
      </c>
      <c r="J393" s="41">
        <f t="shared" si="1"/>
        <v>780</v>
      </c>
    </row>
    <row r="394" ht="22.5" customHeight="1">
      <c r="A394" s="29">
        <v>46148.0</v>
      </c>
      <c r="B394" s="31"/>
      <c r="C394" s="32" t="s">
        <v>1203</v>
      </c>
      <c r="D394" s="42" t="s">
        <v>681</v>
      </c>
      <c r="E394" s="35" t="str">
        <f t="array" ref="E394">IF(D394="", "", XLOOKUP(D394, 'MASTER ITEM LIST'!A:A, 'MASTER ITEM LIST'!B:B, ""))</f>
        <v>NAX NAT-147 TTC THRENE RED 1L</v>
      </c>
      <c r="F394" s="37" t="s">
        <v>1204</v>
      </c>
      <c r="G394" s="31">
        <v>1.0</v>
      </c>
      <c r="H394" s="39" t="str">
        <f t="array" ref="H394">IFERROR(XLOOKUP(D394,'MASTER ITEM LIST'!A:A,'MASTER ITEM LIST'!D:D), "")</f>
        <v>LITER</v>
      </c>
      <c r="I394" s="40">
        <v>1120.0</v>
      </c>
      <c r="J394" s="41">
        <f t="shared" si="1"/>
        <v>1120</v>
      </c>
    </row>
    <row r="395" ht="22.5" customHeight="1">
      <c r="A395" s="29">
        <v>46150.0</v>
      </c>
      <c r="B395" s="31"/>
      <c r="C395" s="32" t="s">
        <v>1203</v>
      </c>
      <c r="D395" s="42" t="s">
        <v>266</v>
      </c>
      <c r="E395" s="35" t="str">
        <f t="array" ref="E395">IF(D395="", "", XLOOKUP(D395, 'MASTER ITEM LIST'!A:A, 'MASTER ITEM LIST'!B:B, ""))</f>
        <v>NAX PREMILA MT096 MICA BASE 3M CRYSTAL SILVER 1L</v>
      </c>
      <c r="F395" s="37" t="s">
        <v>1204</v>
      </c>
      <c r="G395" s="31">
        <v>1.0</v>
      </c>
      <c r="H395" s="39" t="str">
        <f t="array" ref="H395">IFERROR(XLOOKUP(D395,'MASTER ITEM LIST'!A:A,'MASTER ITEM LIST'!D:D), "")</f>
        <v>LTR/S</v>
      </c>
      <c r="I395" s="40">
        <v>6000.0</v>
      </c>
      <c r="J395" s="41">
        <f t="shared" si="1"/>
        <v>6000</v>
      </c>
    </row>
    <row r="396" ht="22.5" customHeight="1">
      <c r="A396" s="29">
        <v>46150.0</v>
      </c>
      <c r="B396" s="31"/>
      <c r="C396" s="32" t="s">
        <v>1203</v>
      </c>
      <c r="D396" s="42" t="s">
        <v>560</v>
      </c>
      <c r="E396" s="35" t="str">
        <f t="array" ref="E396">IF(D396="", "", XLOOKUP(D396, 'MASTER ITEM LIST'!A:A, 'MASTER ITEM LIST'!B:B, ""))</f>
        <v>NIPPON EXTREME QDU YELLOW 4L</v>
      </c>
      <c r="F396" s="37" t="s">
        <v>1204</v>
      </c>
      <c r="G396" s="31">
        <v>1.0</v>
      </c>
      <c r="H396" s="39" t="str">
        <f t="array" ref="H396">IFERROR(XLOOKUP(D396,'MASTER ITEM LIST'!A:A,'MASTER ITEM LIST'!D:D), "")</f>
        <v>GAL</v>
      </c>
      <c r="I396" s="40">
        <v>1630.0</v>
      </c>
      <c r="J396" s="41">
        <f t="shared" si="1"/>
        <v>1630</v>
      </c>
    </row>
    <row r="397" ht="22.5" customHeight="1">
      <c r="A397" s="29">
        <v>46150.0</v>
      </c>
      <c r="B397" s="31"/>
      <c r="C397" s="32" t="s">
        <v>1203</v>
      </c>
      <c r="D397" s="42" t="s">
        <v>304</v>
      </c>
      <c r="E397" s="35" t="str">
        <f t="array" ref="E397">IF(D397="", "", XLOOKUP(D397, 'MASTER ITEM LIST'!A:A, 'MASTER ITEM LIST'!B:B, ""))</f>
        <v>NAX NAT-100 TTC WHITE 4L</v>
      </c>
      <c r="F397" s="37" t="s">
        <v>1204</v>
      </c>
      <c r="G397" s="31">
        <v>2.0</v>
      </c>
      <c r="H397" s="39" t="str">
        <f t="array" ref="H397">IFERROR(XLOOKUP(D397,'MASTER ITEM LIST'!A:A,'MASTER ITEM LIST'!D:D), "")</f>
        <v>GAL</v>
      </c>
      <c r="I397" s="40"/>
      <c r="J397" s="41">
        <f t="shared" si="1"/>
        <v>0</v>
      </c>
    </row>
    <row r="398" ht="22.5" customHeight="1">
      <c r="A398" s="29">
        <v>46151.0</v>
      </c>
      <c r="B398" s="31" t="s">
        <v>1244</v>
      </c>
      <c r="C398" s="32" t="s">
        <v>38</v>
      </c>
      <c r="D398" s="33" t="s">
        <v>929</v>
      </c>
      <c r="E398" s="35" t="str">
        <f t="array" ref="E398">IF(D398="", "", XLOOKUP(D398, 'MASTER ITEM LIST'!A:A, 'MASTER ITEM LIST'!B:B, ""))</f>
        <v>NAX NAT-1159 TTC MEDIUM RUSSET MICA 1L</v>
      </c>
      <c r="F398" s="37" t="s">
        <v>41</v>
      </c>
      <c r="G398" s="31">
        <v>2.0</v>
      </c>
      <c r="H398" s="39" t="str">
        <f t="array" ref="H398">IFERROR(XLOOKUP(D398,'MASTER ITEM LIST'!A:A,'MASTER ITEM LIST'!D:D), "")</f>
        <v>LITER</v>
      </c>
      <c r="I398" s="40">
        <v>1120.0</v>
      </c>
      <c r="J398" s="41">
        <f t="shared" si="1"/>
        <v>2240</v>
      </c>
    </row>
    <row r="399" ht="22.5" customHeight="1">
      <c r="A399" s="29">
        <v>46151.0</v>
      </c>
      <c r="B399" s="31" t="s">
        <v>1244</v>
      </c>
      <c r="C399" s="32" t="s">
        <v>38</v>
      </c>
      <c r="D399" s="33" t="s">
        <v>557</v>
      </c>
      <c r="E399" s="35" t="str">
        <f t="array" ref="E399">IF(D399="", "", XLOOKUP(D399, 'MASTER ITEM LIST'!A:A, 'MASTER ITEM LIST'!B:B, ""))</f>
        <v>NIPPON FF151 FLOP CONTROL</v>
      </c>
      <c r="F399" s="37" t="s">
        <v>41</v>
      </c>
      <c r="G399" s="31">
        <v>1.0</v>
      </c>
      <c r="H399" s="39" t="str">
        <f t="array" ref="H399">IFERROR(XLOOKUP(D399,'MASTER ITEM LIST'!A:A,'MASTER ITEM LIST'!D:D), "")</f>
        <v>LTR</v>
      </c>
      <c r="I399" s="40">
        <v>1600.0</v>
      </c>
      <c r="J399" s="41">
        <f t="shared" si="1"/>
        <v>1600</v>
      </c>
    </row>
    <row r="400" ht="22.5" customHeight="1">
      <c r="A400" s="29">
        <v>46151.0</v>
      </c>
      <c r="B400" s="31" t="s">
        <v>1244</v>
      </c>
      <c r="C400" s="32" t="s">
        <v>38</v>
      </c>
      <c r="D400" s="33" t="s">
        <v>53</v>
      </c>
      <c r="E400" s="35" t="str">
        <f t="array" ref="E400">IF(D400="", "", XLOOKUP(D400, 'MASTER ITEM LIST'!A:A, 'MASTER ITEM LIST'!B:B, ""))</f>
        <v>NAX 108 CERAMIC 2K CLEAR WITH HARDENER 1L</v>
      </c>
      <c r="F400" s="37" t="s">
        <v>41</v>
      </c>
      <c r="G400" s="31">
        <v>12.0</v>
      </c>
      <c r="H400" s="39" t="str">
        <f t="array" ref="H400">IFERROR(XLOOKUP(D400,'MASTER ITEM LIST'!A:A,'MASTER ITEM LIST'!D:D), "")</f>
        <v>LITER</v>
      </c>
      <c r="I400" s="40">
        <v>600.0</v>
      </c>
      <c r="J400" s="41">
        <f t="shared" si="1"/>
        <v>7200</v>
      </c>
    </row>
    <row r="401" ht="22.5" customHeight="1">
      <c r="A401" s="29">
        <v>46151.0</v>
      </c>
      <c r="B401" s="31" t="s">
        <v>1244</v>
      </c>
      <c r="C401" s="32" t="s">
        <v>38</v>
      </c>
      <c r="D401" s="33" t="s">
        <v>213</v>
      </c>
      <c r="E401" s="35" t="str">
        <f t="array" ref="E401">IF(D401="", "", XLOOKUP(D401, 'MASTER ITEM LIST'!A:A, 'MASTER ITEM LIST'!B:B, ""))</f>
        <v>NAX PREMILA NP9200 2K CLEAR WITH HARDENER 1L</v>
      </c>
      <c r="F401" s="37" t="s">
        <v>41</v>
      </c>
      <c r="G401" s="31">
        <v>12.0</v>
      </c>
      <c r="H401" s="39" t="str">
        <f t="array" ref="H401">IFERROR(XLOOKUP(D401,'MASTER ITEM LIST'!A:A,'MASTER ITEM LIST'!D:D), "")</f>
        <v>LITER</v>
      </c>
      <c r="I401" s="40">
        <v>1150.0</v>
      </c>
      <c r="J401" s="41">
        <f t="shared" si="1"/>
        <v>13800</v>
      </c>
    </row>
    <row r="402" ht="22.5" customHeight="1">
      <c r="A402" s="29">
        <v>46151.0</v>
      </c>
      <c r="B402" s="31" t="s">
        <v>1244</v>
      </c>
      <c r="C402" s="32" t="s">
        <v>38</v>
      </c>
      <c r="D402" s="42" t="s">
        <v>229</v>
      </c>
      <c r="E402" s="35" t="str">
        <f t="array" ref="E402">IF(D402="", "", XLOOKUP(D402, 'MASTER ITEM LIST'!A:A, 'MASTER ITEM LIST'!B:B, ""))</f>
        <v>SPRAY GUN F-75G WEBER</v>
      </c>
      <c r="F402" s="37" t="s">
        <v>41</v>
      </c>
      <c r="G402" s="31">
        <v>1.0</v>
      </c>
      <c r="H402" s="39" t="str">
        <f t="array" ref="H402">IFERROR(XLOOKUP(D402,'MASTER ITEM LIST'!A:A,'MASTER ITEM LIST'!D:D), "")</f>
        <v>SET</v>
      </c>
      <c r="I402" s="40">
        <v>700.0</v>
      </c>
      <c r="J402" s="41">
        <f t="shared" si="1"/>
        <v>700</v>
      </c>
    </row>
    <row r="403" ht="22.5" customHeight="1">
      <c r="A403" s="29">
        <v>46151.0</v>
      </c>
      <c r="B403" s="31" t="s">
        <v>1244</v>
      </c>
      <c r="C403" s="32" t="s">
        <v>38</v>
      </c>
      <c r="D403" s="33" t="s">
        <v>717</v>
      </c>
      <c r="E403" s="35" t="str">
        <f t="array" ref="E403">IF(D403="", "", XLOOKUP(D403, 'MASTER ITEM LIST'!A:A, 'MASTER ITEM LIST'!B:B, ""))</f>
        <v>CROCO MASKING TAPE #1</v>
      </c>
      <c r="F403" s="37" t="s">
        <v>41</v>
      </c>
      <c r="G403" s="31">
        <v>48.0</v>
      </c>
      <c r="H403" s="39" t="str">
        <f t="array" ref="H403">IFERROR(XLOOKUP(D403,'MASTER ITEM LIST'!A:A,'MASTER ITEM LIST'!D:D), "")</f>
        <v>PCS</v>
      </c>
      <c r="I403" s="40">
        <v>31.0</v>
      </c>
      <c r="J403" s="41">
        <f t="shared" si="1"/>
        <v>1488</v>
      </c>
    </row>
    <row r="404" ht="22.5" customHeight="1">
      <c r="A404" s="29">
        <v>46151.0</v>
      </c>
      <c r="B404" s="31" t="s">
        <v>1244</v>
      </c>
      <c r="C404" s="32" t="s">
        <v>38</v>
      </c>
      <c r="D404" s="33" t="s">
        <v>114</v>
      </c>
      <c r="E404" s="35" t="str">
        <f t="array" ref="E404">IF(D404="", "", XLOOKUP(D404, 'MASTER ITEM LIST'!A:A, 'MASTER ITEM LIST'!B:B, ""))</f>
        <v>POLYGLOSS-BRIGHT ALUMINUM 4L</v>
      </c>
      <c r="F404" s="37" t="s">
        <v>41</v>
      </c>
      <c r="G404" s="31">
        <v>1.0</v>
      </c>
      <c r="H404" s="39" t="str">
        <f t="array" ref="H404">IFERROR(XLOOKUP(D404,'MASTER ITEM LIST'!A:A,'MASTER ITEM LIST'!D:D), "")</f>
        <v>GALON</v>
      </c>
      <c r="I404" s="40">
        <v>2050.0</v>
      </c>
      <c r="J404" s="41">
        <f t="shared" si="1"/>
        <v>2050</v>
      </c>
    </row>
    <row r="405" ht="22.5" customHeight="1">
      <c r="A405" s="29">
        <v>46151.0</v>
      </c>
      <c r="B405" s="31" t="s">
        <v>1244</v>
      </c>
      <c r="C405" s="32" t="s">
        <v>38</v>
      </c>
      <c r="D405" s="33" t="s">
        <v>957</v>
      </c>
      <c r="E405" s="35" t="str">
        <f t="array" ref="E405">IF(D405="", "", XLOOKUP(D405, 'MASTER ITEM LIST'!A:A, 'MASTER ITEM LIST'!B:B, ""))</f>
        <v>NAX 301 NAX QDU FLAT CLEAR WITH HARDENER 1L</v>
      </c>
      <c r="F405" s="37" t="s">
        <v>41</v>
      </c>
      <c r="G405" s="31">
        <v>1.0</v>
      </c>
      <c r="H405" s="39" t="str">
        <f t="array" ref="H405">IFERROR(XLOOKUP(D405,'MASTER ITEM LIST'!A:A,'MASTER ITEM LIST'!D:D), "")</f>
        <v>LITER</v>
      </c>
      <c r="I405" s="40">
        <v>900.0</v>
      </c>
      <c r="J405" s="41">
        <f t="shared" si="1"/>
        <v>900</v>
      </c>
    </row>
    <row r="406" ht="22.5" customHeight="1">
      <c r="A406" s="29">
        <v>46151.0</v>
      </c>
      <c r="B406" s="31" t="s">
        <v>1244</v>
      </c>
      <c r="C406" s="32" t="s">
        <v>38</v>
      </c>
      <c r="D406" s="33" t="s">
        <v>718</v>
      </c>
      <c r="E406" s="35" t="str">
        <f t="array" ref="E406">IF(D406="", "", XLOOKUP(D406, 'MASTER ITEM LIST'!A:A, 'MASTER ITEM LIST'!B:B, ""))</f>
        <v>NAX PREMILA NB100 B/C BINDER 4L</v>
      </c>
      <c r="F406" s="37" t="s">
        <v>41</v>
      </c>
      <c r="G406" s="31">
        <v>4.0</v>
      </c>
      <c r="H406" s="39" t="str">
        <f t="array" ref="H406">IFERROR(XLOOKUP(D406,'MASTER ITEM LIST'!A:A,'MASTER ITEM LIST'!D:D), "")</f>
        <v>GAL</v>
      </c>
      <c r="I406" s="40">
        <v>2165.0</v>
      </c>
      <c r="J406" s="41">
        <f t="shared" si="1"/>
        <v>8660</v>
      </c>
    </row>
    <row r="407" ht="22.5" customHeight="1">
      <c r="A407" s="29">
        <v>46151.0</v>
      </c>
      <c r="B407" s="31" t="s">
        <v>1244</v>
      </c>
      <c r="C407" s="32" t="s">
        <v>38</v>
      </c>
      <c r="D407" s="33" t="s">
        <v>454</v>
      </c>
      <c r="E407" s="35" t="str">
        <f t="array" ref="E407">IF(D407="", "", XLOOKUP(D407, 'MASTER ITEM LIST'!A:A, 'MASTER ITEM LIST'!B:B, ""))</f>
        <v>POLYGLOSS PU 888 RED 4L</v>
      </c>
      <c r="F407" s="37" t="s">
        <v>41</v>
      </c>
      <c r="G407" s="31">
        <v>1.0</v>
      </c>
      <c r="H407" s="39" t="str">
        <f t="array" ref="H407">IFERROR(XLOOKUP(D407,'MASTER ITEM LIST'!A:A,'MASTER ITEM LIST'!D:D), "")</f>
        <v>GALON</v>
      </c>
      <c r="I407" s="40">
        <v>2600.0</v>
      </c>
      <c r="J407" s="41">
        <f t="shared" si="1"/>
        <v>2600</v>
      </c>
    </row>
    <row r="408" ht="22.5" customHeight="1">
      <c r="A408" s="29">
        <v>46153.0</v>
      </c>
      <c r="B408" s="31" t="s">
        <v>1250</v>
      </c>
      <c r="C408" s="32" t="s">
        <v>38</v>
      </c>
      <c r="D408" s="33" t="s">
        <v>253</v>
      </c>
      <c r="E408" s="35" t="str">
        <f t="array" ref="E408">IF(D408="", "", XLOOKUP(D408, 'MASTER ITEM LIST'!A:A, 'MASTER ITEM LIST'!B:B, ""))</f>
        <v>ROBERLO RUBBING COMPOUND 1KG</v>
      </c>
      <c r="F408" s="37" t="s">
        <v>41</v>
      </c>
      <c r="G408" s="31">
        <v>6.0</v>
      </c>
      <c r="H408" s="39" t="str">
        <f t="array" ref="H408">IFERROR(XLOOKUP(D408,'MASTER ITEM LIST'!A:A,'MASTER ITEM LIST'!D:D), "")</f>
        <v>KG</v>
      </c>
      <c r="I408" s="40">
        <v>780.0</v>
      </c>
      <c r="J408" s="41">
        <f t="shared" si="1"/>
        <v>4680</v>
      </c>
    </row>
    <row r="409" ht="22.5" customHeight="1">
      <c r="A409" s="29">
        <v>46153.0</v>
      </c>
      <c r="B409" s="31" t="s">
        <v>1250</v>
      </c>
      <c r="C409" s="32" t="s">
        <v>38</v>
      </c>
      <c r="D409" s="33" t="s">
        <v>568</v>
      </c>
      <c r="E409" s="35" t="str">
        <f t="array" ref="E409">IF(D409="", "", XLOOKUP(D409, 'MASTER ITEM LIST'!A:A, 'MASTER ITEM LIST'!B:B, ""))</f>
        <v>NIPPON EXTREME QDU SILVER 4L</v>
      </c>
      <c r="F409" s="37" t="s">
        <v>41</v>
      </c>
      <c r="G409" s="31">
        <v>4.0</v>
      </c>
      <c r="H409" s="39" t="str">
        <f t="array" ref="H409">IFERROR(XLOOKUP(D409,'MASTER ITEM LIST'!A:A,'MASTER ITEM LIST'!D:D), "")</f>
        <v>GAL</v>
      </c>
      <c r="I409" s="40">
        <v>2000.0</v>
      </c>
      <c r="J409" s="41">
        <f t="shared" si="1"/>
        <v>8000</v>
      </c>
    </row>
    <row r="410" ht="22.5" customHeight="1">
      <c r="A410" s="29">
        <v>46153.0</v>
      </c>
      <c r="B410" s="31" t="s">
        <v>1250</v>
      </c>
      <c r="C410" s="32" t="s">
        <v>38</v>
      </c>
      <c r="D410" s="33" t="s">
        <v>563</v>
      </c>
      <c r="E410" s="35" t="str">
        <f t="array" ref="E410">IF(D410="", "", XLOOKUP(D410, 'MASTER ITEM LIST'!A:A, 'MASTER ITEM LIST'!B:B, ""))</f>
        <v>NIPPON EXTREME QDU WHITE 4L</v>
      </c>
      <c r="F410" s="37" t="s">
        <v>41</v>
      </c>
      <c r="G410" s="31">
        <v>1.0</v>
      </c>
      <c r="H410" s="39" t="str">
        <f t="array" ref="H410">IFERROR(XLOOKUP(D410,'MASTER ITEM LIST'!A:A,'MASTER ITEM LIST'!D:D), "")</f>
        <v>GAL</v>
      </c>
      <c r="I410" s="40">
        <v>1850.0</v>
      </c>
      <c r="J410" s="41">
        <f t="shared" si="1"/>
        <v>1850</v>
      </c>
    </row>
    <row r="411" ht="22.5" customHeight="1">
      <c r="A411" s="29">
        <v>46153.0</v>
      </c>
      <c r="B411" s="31" t="s">
        <v>1250</v>
      </c>
      <c r="C411" s="32" t="s">
        <v>38</v>
      </c>
      <c r="D411" s="33" t="s">
        <v>1177</v>
      </c>
      <c r="E411" s="35" t="str">
        <f t="array" ref="E411">IF(D411="", "", XLOOKUP(D411, 'MASTER ITEM LIST'!A:A, 'MASTER ITEM LIST'!B:B, ""))</f>
        <v>ROS-SAFARI BROWN_4L</v>
      </c>
      <c r="F411" s="37" t="s">
        <v>41</v>
      </c>
      <c r="G411" s="31">
        <v>1.0</v>
      </c>
      <c r="H411" s="39" t="str">
        <f t="array" ref="H411">IFERROR(XLOOKUP(D411,'MASTER ITEM LIST'!A:A,'MASTER ITEM LIST'!D:D), "")</f>
        <v>GALON</v>
      </c>
      <c r="I411" s="40">
        <v>750.0</v>
      </c>
      <c r="J411" s="41">
        <f t="shared" si="1"/>
        <v>750</v>
      </c>
    </row>
    <row r="412" ht="22.5" customHeight="1">
      <c r="A412" s="29">
        <v>46153.0</v>
      </c>
      <c r="B412" s="31" t="s">
        <v>1250</v>
      </c>
      <c r="C412" s="32" t="s">
        <v>38</v>
      </c>
      <c r="D412" s="33" t="s">
        <v>548</v>
      </c>
      <c r="E412" s="35" t="str">
        <f t="array" ref="E412">IF(D412="", "", XLOOKUP(D412, 'MASTER ITEM LIST'!A:A, 'MASTER ITEM LIST'!B:B, ""))</f>
        <v>EAGLE SANDPAPER #240</v>
      </c>
      <c r="F412" s="37" t="s">
        <v>41</v>
      </c>
      <c r="G412" s="31">
        <v>200.0</v>
      </c>
      <c r="H412" s="39" t="str">
        <f t="array" ref="H412">IFERROR(XLOOKUP(D412,'MASTER ITEM LIST'!A:A,'MASTER ITEM LIST'!D:D), "")</f>
        <v>PC/S</v>
      </c>
      <c r="I412" s="40">
        <v>19.5</v>
      </c>
      <c r="J412" s="41">
        <f t="shared" si="1"/>
        <v>3900</v>
      </c>
    </row>
    <row r="413" ht="22.5" customHeight="1">
      <c r="A413" s="29">
        <v>46153.0</v>
      </c>
      <c r="B413" s="31" t="s">
        <v>1250</v>
      </c>
      <c r="C413" s="32" t="s">
        <v>38</v>
      </c>
      <c r="D413" s="33" t="s">
        <v>117</v>
      </c>
      <c r="E413" s="35" t="str">
        <f t="array" ref="E413">IF(D413="", "", XLOOKUP(D413, 'MASTER ITEM LIST'!A:A, 'MASTER ITEM LIST'!B:B, ""))</f>
        <v>EAGLE SANDPAPER #120</v>
      </c>
      <c r="F413" s="37" t="s">
        <v>41</v>
      </c>
      <c r="G413" s="31">
        <v>300.0</v>
      </c>
      <c r="H413" s="39" t="str">
        <f t="array" ref="H413">IFERROR(XLOOKUP(D413,'MASTER ITEM LIST'!A:A,'MASTER ITEM LIST'!D:D), "")</f>
        <v>PC/S</v>
      </c>
      <c r="I413" s="40">
        <v>19.5</v>
      </c>
      <c r="J413" s="41">
        <f t="shared" si="1"/>
        <v>5850</v>
      </c>
    </row>
    <row r="414" ht="22.5" customHeight="1">
      <c r="A414" s="29">
        <v>46153.0</v>
      </c>
      <c r="B414" s="31" t="s">
        <v>1250</v>
      </c>
      <c r="C414" s="32" t="s">
        <v>38</v>
      </c>
      <c r="D414" s="33" t="s">
        <v>136</v>
      </c>
      <c r="E414" s="35" t="str">
        <f t="array" ref="E414">IF(D414="", "", XLOOKUP(D414, 'MASTER ITEM LIST'!A:A, 'MASTER ITEM LIST'!B:B, ""))</f>
        <v>CROCO MASKING TAPE 3/4 18MM (1X64)</v>
      </c>
      <c r="F414" s="37" t="s">
        <v>41</v>
      </c>
      <c r="G414" s="31">
        <v>320.0</v>
      </c>
      <c r="H414" s="39" t="str">
        <f t="array" ref="H414">IFERROR(XLOOKUP(D414,'MASTER ITEM LIST'!A:A,'MASTER ITEM LIST'!D:D), "")</f>
        <v>PC/S</v>
      </c>
      <c r="I414" s="40">
        <v>22.6</v>
      </c>
      <c r="J414" s="41">
        <f t="shared" si="1"/>
        <v>7232</v>
      </c>
    </row>
    <row r="415" ht="22.5" customHeight="1">
      <c r="A415" s="29">
        <v>46153.0</v>
      </c>
      <c r="B415" s="31" t="s">
        <v>1250</v>
      </c>
      <c r="C415" s="32" t="s">
        <v>38</v>
      </c>
      <c r="D415" s="33" t="s">
        <v>1019</v>
      </c>
      <c r="E415" s="35" t="str">
        <f t="array" ref="E415">IF(D415="", "", XLOOKUP(D415, 'MASTER ITEM LIST'!A:A, 'MASTER ITEM LIST'!B:B, ""))</f>
        <v>GI PAINT REMOVER BOTTLE</v>
      </c>
      <c r="F415" s="37" t="s">
        <v>41</v>
      </c>
      <c r="G415" s="31">
        <v>24.0</v>
      </c>
      <c r="H415" s="39" t="str">
        <f t="array" ref="H415">IFERROR(XLOOKUP(D415,'MASTER ITEM LIST'!A:A,'MASTER ITEM LIST'!D:D), "")</f>
        <v>BOT</v>
      </c>
      <c r="I415" s="40">
        <v>68.0</v>
      </c>
      <c r="J415" s="41">
        <f t="shared" si="1"/>
        <v>1632</v>
      </c>
    </row>
    <row r="416" ht="22.5" customHeight="1">
      <c r="A416" s="29">
        <v>46153.0</v>
      </c>
      <c r="B416" s="31" t="s">
        <v>1250</v>
      </c>
      <c r="C416" s="32" t="s">
        <v>38</v>
      </c>
      <c r="D416" s="33" t="s">
        <v>80</v>
      </c>
      <c r="E416" s="35" t="str">
        <f t="array" ref="E416">IF(D416="", "", XLOOKUP(D416, 'MASTER ITEM LIST'!A:A, 'MASTER ITEM LIST'!B:B, ""))</f>
        <v>NAX PREMILA MT804 ORIENT BLUE 1L</v>
      </c>
      <c r="F416" s="37" t="s">
        <v>41</v>
      </c>
      <c r="G416" s="31">
        <v>1.0</v>
      </c>
      <c r="H416" s="39" t="str">
        <f t="array" ref="H416">IFERROR(XLOOKUP(D416,'MASTER ITEM LIST'!A:A,'MASTER ITEM LIST'!D:D), "")</f>
        <v>LTR/S</v>
      </c>
      <c r="I416" s="40">
        <v>2200.0</v>
      </c>
      <c r="J416" s="41">
        <f t="shared" si="1"/>
        <v>2200</v>
      </c>
    </row>
    <row r="417" ht="22.5" customHeight="1">
      <c r="A417" s="29">
        <v>46153.0</v>
      </c>
      <c r="B417" s="31" t="s">
        <v>1250</v>
      </c>
      <c r="C417" s="32" t="s">
        <v>38</v>
      </c>
      <c r="D417" s="33" t="s">
        <v>246</v>
      </c>
      <c r="E417" s="35" t="str">
        <f t="array" ref="E417">IF(D417="", "", XLOOKUP(D417, 'MASTER ITEM LIST'!A:A, 'MASTER ITEM LIST'!B:B, ""))</f>
        <v>DOMINO BODY FILTER WITH HARDENER 4L</v>
      </c>
      <c r="F417" s="37" t="s">
        <v>41</v>
      </c>
      <c r="G417" s="31">
        <v>20.0</v>
      </c>
      <c r="H417" s="39" t="str">
        <f t="array" ref="H417">IFERROR(XLOOKUP(D417,'MASTER ITEM LIST'!A:A,'MASTER ITEM LIST'!D:D), "")</f>
        <v>GAL</v>
      </c>
      <c r="I417" s="40">
        <v>560.0</v>
      </c>
      <c r="J417" s="41">
        <f t="shared" si="1"/>
        <v>11200</v>
      </c>
    </row>
    <row r="418" ht="22.5" customHeight="1">
      <c r="A418" s="29">
        <v>46153.0</v>
      </c>
      <c r="B418" s="31" t="s">
        <v>1259</v>
      </c>
      <c r="C418" s="32" t="s">
        <v>38</v>
      </c>
      <c r="D418" s="33" t="s">
        <v>155</v>
      </c>
      <c r="E418" s="35" t="str">
        <f t="array" ref="E418">IF(D418="", "", XLOOKUP(D418, 'MASTER ITEM LIST'!A:A, 'MASTER ITEM LIST'!B:B, ""))</f>
        <v>TIMEOUT BODY FILLER WITH HARDENER 4L</v>
      </c>
      <c r="F418" s="37" t="s">
        <v>41</v>
      </c>
      <c r="G418" s="31">
        <v>20.0</v>
      </c>
      <c r="H418" s="39" t="str">
        <f t="array" ref="H418">IFERROR(XLOOKUP(D418,'MASTER ITEM LIST'!A:A,'MASTER ITEM LIST'!D:D), "")</f>
        <v>GAL</v>
      </c>
      <c r="I418" s="40">
        <v>650.0</v>
      </c>
      <c r="J418" s="41">
        <f t="shared" si="1"/>
        <v>13000</v>
      </c>
    </row>
    <row r="419" ht="22.5" customHeight="1">
      <c r="A419" s="29">
        <v>46153.0</v>
      </c>
      <c r="B419" s="31" t="s">
        <v>1259</v>
      </c>
      <c r="C419" s="32" t="s">
        <v>38</v>
      </c>
      <c r="D419" s="33" t="s">
        <v>72</v>
      </c>
      <c r="E419" s="35" t="str">
        <f t="array" ref="E419">IF(D419="", "", XLOOKUP(D419, 'MASTER ITEM LIST'!A:A, 'MASTER ITEM LIST'!B:B, ""))</f>
        <v>NIPPON EXTREME QDU BLACK 4L</v>
      </c>
      <c r="F419" s="37" t="s">
        <v>41</v>
      </c>
      <c r="G419" s="31">
        <v>12.0</v>
      </c>
      <c r="H419" s="39" t="str">
        <f t="array" ref="H419">IFERROR(XLOOKUP(D419,'MASTER ITEM LIST'!A:A,'MASTER ITEM LIST'!D:D), "")</f>
        <v>GAL</v>
      </c>
      <c r="I419" s="40">
        <v>1850.0</v>
      </c>
      <c r="J419" s="41">
        <f t="shared" si="1"/>
        <v>22200</v>
      </c>
    </row>
    <row r="420" ht="22.5" customHeight="1">
      <c r="A420" s="29">
        <v>46153.0</v>
      </c>
      <c r="B420" s="31" t="s">
        <v>1259</v>
      </c>
      <c r="C420" s="32" t="s">
        <v>38</v>
      </c>
      <c r="D420" s="33" t="s">
        <v>90</v>
      </c>
      <c r="E420" s="35" t="str">
        <f t="array" ref="E420">IF(D420="", "", XLOOKUP(D420, 'MASTER ITEM LIST'!A:A, 'MASTER ITEM LIST'!B:B, ""))</f>
        <v>NAX SOB757 HIGH GRADE URETHANE THINNER 4L</v>
      </c>
      <c r="F420" s="37" t="s">
        <v>41</v>
      </c>
      <c r="G420" s="31">
        <v>20.0</v>
      </c>
      <c r="H420" s="39" t="str">
        <f t="array" ref="H420">IFERROR(XLOOKUP(D420,'MASTER ITEM LIST'!A:A,'MASTER ITEM LIST'!D:D), "")</f>
        <v>GAL</v>
      </c>
      <c r="I420" s="40">
        <v>650.0</v>
      </c>
      <c r="J420" s="41">
        <f t="shared" si="1"/>
        <v>13000</v>
      </c>
    </row>
    <row r="421" ht="22.5" customHeight="1">
      <c r="A421" s="29">
        <v>46154.0</v>
      </c>
      <c r="B421" s="31"/>
      <c r="C421" s="32" t="s">
        <v>1203</v>
      </c>
      <c r="D421" s="42" t="s">
        <v>718</v>
      </c>
      <c r="E421" s="35" t="str">
        <f t="array" ref="E421">IF(D421="", "", XLOOKUP(D421, 'MASTER ITEM LIST'!A:A, 'MASTER ITEM LIST'!B:B, ""))</f>
        <v>NAX PREMILA NB100 B/C BINDER 4L</v>
      </c>
      <c r="F421" s="37" t="s">
        <v>1204</v>
      </c>
      <c r="G421" s="31">
        <v>1.0</v>
      </c>
      <c r="H421" s="39" t="str">
        <f t="array" ref="H421">IFERROR(XLOOKUP(D421,'MASTER ITEM LIST'!A:A,'MASTER ITEM LIST'!D:D), "")</f>
        <v>GAL</v>
      </c>
      <c r="I421" s="40">
        <v>2100.0</v>
      </c>
      <c r="J421" s="41">
        <f t="shared" si="1"/>
        <v>2100</v>
      </c>
    </row>
    <row r="422" ht="22.5" customHeight="1">
      <c r="A422" s="29">
        <v>46154.0</v>
      </c>
      <c r="B422" s="31"/>
      <c r="C422" s="32" t="s">
        <v>1203</v>
      </c>
      <c r="D422" s="42" t="s">
        <v>717</v>
      </c>
      <c r="E422" s="35" t="str">
        <f t="array" ref="E422">IF(D422="", "", XLOOKUP(D422, 'MASTER ITEM LIST'!A:A, 'MASTER ITEM LIST'!B:B, ""))</f>
        <v>CROCO MASKING TAPE #1</v>
      </c>
      <c r="F422" s="37" t="s">
        <v>1204</v>
      </c>
      <c r="G422" s="31">
        <v>1.0</v>
      </c>
      <c r="H422" s="39" t="str">
        <f t="array" ref="H422">IFERROR(XLOOKUP(D422,'MASTER ITEM LIST'!A:A,'MASTER ITEM LIST'!D:D), "")</f>
        <v>PCS</v>
      </c>
      <c r="I422" s="40">
        <v>32.0</v>
      </c>
      <c r="J422" s="41">
        <f t="shared" si="1"/>
        <v>32</v>
      </c>
    </row>
    <row r="423" ht="22.5" customHeight="1">
      <c r="A423" s="29">
        <v>46154.0</v>
      </c>
      <c r="B423" s="31"/>
      <c r="C423" s="32" t="s">
        <v>1203</v>
      </c>
      <c r="D423" s="42" t="s">
        <v>106</v>
      </c>
      <c r="E423" s="35" t="str">
        <f t="array" ref="E423">IF(D423="", "", XLOOKUP(D423, 'MASTER ITEM LIST'!A:A, 'MASTER ITEM LIST'!B:B, ""))</f>
        <v>NAX PREMILA MT607 AUTUMN RED 1L</v>
      </c>
      <c r="F423" s="37" t="s">
        <v>1204</v>
      </c>
      <c r="G423" s="31">
        <v>1.0</v>
      </c>
      <c r="H423" s="39" t="str">
        <f t="array" ref="H423">IFERROR(XLOOKUP(D423,'MASTER ITEM LIST'!A:A,'MASTER ITEM LIST'!D:D), "")</f>
        <v>LTR/S</v>
      </c>
      <c r="I423" s="40">
        <v>2048.0</v>
      </c>
      <c r="J423" s="41">
        <f t="shared" si="1"/>
        <v>2048</v>
      </c>
    </row>
    <row r="424" ht="22.5" customHeight="1">
      <c r="A424" s="29">
        <v>46154.0</v>
      </c>
      <c r="B424" s="31"/>
      <c r="C424" s="32" t="s">
        <v>1203</v>
      </c>
      <c r="D424" s="42" t="s">
        <v>560</v>
      </c>
      <c r="E424" s="35" t="str">
        <f t="array" ref="E424">IF(D424="", "", XLOOKUP(D424, 'MASTER ITEM LIST'!A:A, 'MASTER ITEM LIST'!B:B, ""))</f>
        <v>NIPPON EXTREME QDU YELLOW 4L</v>
      </c>
      <c r="F424" s="37" t="s">
        <v>1204</v>
      </c>
      <c r="G424" s="31">
        <v>1.0</v>
      </c>
      <c r="H424" s="39" t="str">
        <f t="array" ref="H424">IFERROR(XLOOKUP(D424,'MASTER ITEM LIST'!A:A,'MASTER ITEM LIST'!D:D), "")</f>
        <v>GAL</v>
      </c>
      <c r="I424" s="40">
        <v>1630.0</v>
      </c>
      <c r="J424" s="41">
        <f t="shared" si="1"/>
        <v>1630</v>
      </c>
    </row>
    <row r="425" ht="22.5" customHeight="1">
      <c r="A425" s="29">
        <v>46154.0</v>
      </c>
      <c r="B425" s="31"/>
      <c r="C425" s="32" t="s">
        <v>1203</v>
      </c>
      <c r="D425" s="42" t="s">
        <v>578</v>
      </c>
      <c r="E425" s="35" t="str">
        <f t="array" ref="E425">IF(D425="", "", XLOOKUP(D425, 'MASTER ITEM LIST'!A:A, 'MASTER ITEM LIST'!B:B, ""))</f>
        <v>NIPPON EXTREME QDU GREEN 4L</v>
      </c>
      <c r="F425" s="37" t="s">
        <v>1204</v>
      </c>
      <c r="G425" s="31">
        <v>1.0</v>
      </c>
      <c r="H425" s="39" t="str">
        <f t="array" ref="H425">IFERROR(XLOOKUP(D425,'MASTER ITEM LIST'!A:A,'MASTER ITEM LIST'!D:D), "")</f>
        <v>GAL</v>
      </c>
      <c r="I425" s="40">
        <v>1630.0</v>
      </c>
      <c r="J425" s="41">
        <f t="shared" si="1"/>
        <v>1630</v>
      </c>
    </row>
    <row r="426" ht="22.5" customHeight="1">
      <c r="A426" s="29">
        <v>46155.0</v>
      </c>
      <c r="B426" s="31"/>
      <c r="C426" s="32" t="s">
        <v>1203</v>
      </c>
      <c r="D426" s="42" t="s">
        <v>584</v>
      </c>
      <c r="E426" s="35" t="str">
        <f t="array" ref="E426">IF(D426="", "", XLOOKUP(D426, 'MASTER ITEM LIST'!A:A, 'MASTER ITEM LIST'!B:B, ""))</f>
        <v>NIPPON EXTREME QDU BLUE 4L</v>
      </c>
      <c r="F426" s="37" t="s">
        <v>1204</v>
      </c>
      <c r="G426" s="31">
        <v>1.0</v>
      </c>
      <c r="H426" s="39" t="str">
        <f t="array" ref="H426">IFERROR(XLOOKUP(D426,'MASTER ITEM LIST'!A:A,'MASTER ITEM LIST'!D:D), "")</f>
        <v>GAL</v>
      </c>
      <c r="I426" s="40">
        <v>1630.0</v>
      </c>
      <c r="J426" s="41">
        <f t="shared" si="1"/>
        <v>1630</v>
      </c>
    </row>
    <row r="427" ht="22.5" customHeight="1">
      <c r="A427" s="29">
        <v>46155.0</v>
      </c>
      <c r="B427" s="31"/>
      <c r="C427" s="32" t="s">
        <v>1203</v>
      </c>
      <c r="D427" s="42" t="s">
        <v>72</v>
      </c>
      <c r="E427" s="35" t="str">
        <f t="array" ref="E427">IF(D427="", "", XLOOKUP(D427, 'MASTER ITEM LIST'!A:A, 'MASTER ITEM LIST'!B:B, ""))</f>
        <v>NIPPON EXTREME QDU BLACK 4L</v>
      </c>
      <c r="F427" s="37" t="s">
        <v>1204</v>
      </c>
      <c r="G427" s="31">
        <v>1.0</v>
      </c>
      <c r="H427" s="39" t="str">
        <f t="array" ref="H427">IFERROR(XLOOKUP(D427,'MASTER ITEM LIST'!A:A,'MASTER ITEM LIST'!D:D), "")</f>
        <v>GAL</v>
      </c>
      <c r="I427" s="40">
        <v>1485.0</v>
      </c>
      <c r="J427" s="41">
        <f t="shared" si="1"/>
        <v>1485</v>
      </c>
    </row>
    <row r="428" ht="22.5" customHeight="1">
      <c r="A428" s="29">
        <v>46155.0</v>
      </c>
      <c r="B428" s="31"/>
      <c r="C428" s="32" t="s">
        <v>1203</v>
      </c>
      <c r="D428" s="42" t="s">
        <v>568</v>
      </c>
      <c r="E428" s="35" t="str">
        <f t="array" ref="E428">IF(D428="", "", XLOOKUP(D428, 'MASTER ITEM LIST'!A:A, 'MASTER ITEM LIST'!B:B, ""))</f>
        <v>NIPPON EXTREME QDU SILVER 4L</v>
      </c>
      <c r="F428" s="37" t="s">
        <v>1204</v>
      </c>
      <c r="G428" s="31">
        <v>1.0</v>
      </c>
      <c r="H428" s="39" t="str">
        <f t="array" ref="H428">IFERROR(XLOOKUP(D428,'MASTER ITEM LIST'!A:A,'MASTER ITEM LIST'!D:D), "")</f>
        <v>GAL</v>
      </c>
      <c r="I428" s="40">
        <v>1485.0</v>
      </c>
      <c r="J428" s="41">
        <f t="shared" si="1"/>
        <v>1485</v>
      </c>
    </row>
    <row r="429" ht="22.5" customHeight="1">
      <c r="A429" s="29">
        <v>46157.0</v>
      </c>
      <c r="B429" s="31"/>
      <c r="C429" s="32" t="s">
        <v>1203</v>
      </c>
      <c r="D429" s="42" t="s">
        <v>256</v>
      </c>
      <c r="E429" s="35" t="str">
        <f t="array" ref="E429">IF(D429="", "", XLOOKUP(D429, 'MASTER ITEM LIST'!A:A, 'MASTER ITEM LIST'!B:B, ""))</f>
        <v>NAX PREMILA MT100 WHITE HS 1L</v>
      </c>
      <c r="F429" s="37" t="s">
        <v>1204</v>
      </c>
      <c r="G429" s="31">
        <v>1.0</v>
      </c>
      <c r="H429" s="39" t="str">
        <f t="array" ref="H429">IFERROR(XLOOKUP(D429,'MASTER ITEM LIST'!A:A,'MASTER ITEM LIST'!D:D), "")</f>
        <v>LTR/S</v>
      </c>
      <c r="I429" s="40">
        <v>1090.0</v>
      </c>
      <c r="J429" s="41">
        <f t="shared" si="1"/>
        <v>1090</v>
      </c>
    </row>
    <row r="430" ht="22.5" customHeight="1">
      <c r="A430" s="29">
        <v>46157.0</v>
      </c>
      <c r="B430" s="31"/>
      <c r="C430" s="32" t="s">
        <v>1203</v>
      </c>
      <c r="D430" s="42" t="s">
        <v>238</v>
      </c>
      <c r="E430" s="35" t="str">
        <f t="array" ref="E430">IF(D430="", "", XLOOKUP(D430, 'MASTER ITEM LIST'!A:A, 'MASTER ITEM LIST'!B:B, ""))</f>
        <v>NAX PREMILA MT136 METALLIC ORANGE 1L</v>
      </c>
      <c r="F430" s="37" t="s">
        <v>1204</v>
      </c>
      <c r="G430" s="31">
        <v>1.0</v>
      </c>
      <c r="H430" s="39" t="str">
        <f t="array" ref="H430">IFERROR(XLOOKUP(D430,'MASTER ITEM LIST'!A:A,'MASTER ITEM LIST'!D:D), "")</f>
        <v>LTR/S</v>
      </c>
      <c r="I430" s="40">
        <v>5050.0</v>
      </c>
      <c r="J430" s="41">
        <f t="shared" si="1"/>
        <v>5050</v>
      </c>
    </row>
    <row r="431" ht="22.5" customHeight="1">
      <c r="A431" s="29">
        <v>46157.0</v>
      </c>
      <c r="B431" s="31"/>
      <c r="C431" s="32" t="s">
        <v>1203</v>
      </c>
      <c r="D431" s="42" t="s">
        <v>718</v>
      </c>
      <c r="E431" s="35" t="str">
        <f t="array" ref="E431">IF(D431="", "", XLOOKUP(D431, 'MASTER ITEM LIST'!A:A, 'MASTER ITEM LIST'!B:B, ""))</f>
        <v>NAX PREMILA NB100 B/C BINDER 4L</v>
      </c>
      <c r="F431" s="37" t="s">
        <v>1204</v>
      </c>
      <c r="G431" s="31">
        <v>1.0</v>
      </c>
      <c r="H431" s="39" t="str">
        <f t="array" ref="H431">IFERROR(XLOOKUP(D431,'MASTER ITEM LIST'!A:A,'MASTER ITEM LIST'!D:D), "")</f>
        <v>GAL</v>
      </c>
      <c r="I431" s="40">
        <v>2100.0</v>
      </c>
      <c r="J431" s="41">
        <f t="shared" si="1"/>
        <v>2100</v>
      </c>
    </row>
    <row r="432" ht="22.5" customHeight="1">
      <c r="A432" s="29">
        <v>46157.0</v>
      </c>
      <c r="B432" s="31"/>
      <c r="C432" s="32" t="s">
        <v>1203</v>
      </c>
      <c r="D432" s="42" t="s">
        <v>207</v>
      </c>
      <c r="E432" s="35" t="str">
        <f t="array" ref="E432">IF(D432="", "", XLOOKUP(D432, 'MASTER ITEM LIST'!A:A, 'MASTER ITEM LIST'!B:B, ""))</f>
        <v>NAX PREMILA MT202 TINTING BLACK NP 1L</v>
      </c>
      <c r="F432" s="37" t="s">
        <v>1204</v>
      </c>
      <c r="G432" s="31">
        <v>1.0</v>
      </c>
      <c r="H432" s="39" t="str">
        <f t="array" ref="H432">IFERROR(XLOOKUP(D432,'MASTER ITEM LIST'!A:A,'MASTER ITEM LIST'!D:D), "")</f>
        <v>LTR/S</v>
      </c>
      <c r="I432" s="40">
        <v>1090.0</v>
      </c>
      <c r="J432" s="41">
        <f t="shared" si="1"/>
        <v>1090</v>
      </c>
    </row>
    <row r="433" ht="22.5" customHeight="1">
      <c r="A433" s="29">
        <v>46158.0</v>
      </c>
      <c r="B433" s="31"/>
      <c r="C433" s="32" t="s">
        <v>1203</v>
      </c>
      <c r="D433" s="42" t="s">
        <v>676</v>
      </c>
      <c r="E433" s="35" t="str">
        <f t="array" ref="E433">IF(D433="", "", XLOOKUP(D433, 'MASTER ITEM LIST'!A:A, 'MASTER ITEM LIST'!B:B, ""))</f>
        <v>NIPPON ACRYLIC GLOSS THINNER 4L</v>
      </c>
      <c r="F433" s="37" t="s">
        <v>1204</v>
      </c>
      <c r="G433" s="31">
        <v>1.0</v>
      </c>
      <c r="H433" s="39" t="str">
        <f t="array" ref="H433">IFERROR(XLOOKUP(D433,'MASTER ITEM LIST'!A:A,'MASTER ITEM LIST'!D:D), "")</f>
        <v>GAL/S</v>
      </c>
      <c r="I433" s="40">
        <v>450.0</v>
      </c>
      <c r="J433" s="41">
        <f t="shared" si="1"/>
        <v>450</v>
      </c>
    </row>
    <row r="434" ht="22.5" customHeight="1">
      <c r="A434" s="29">
        <v>46158.0</v>
      </c>
      <c r="B434" s="31"/>
      <c r="C434" s="32" t="s">
        <v>1203</v>
      </c>
      <c r="D434" s="42" t="s">
        <v>471</v>
      </c>
      <c r="E434" s="35" t="str">
        <f t="array" ref="E434">IF(D434="", "", XLOOKUP(D434, 'MASTER ITEM LIST'!A:A, 'MASTER ITEM LIST'!B:B, ""))</f>
        <v>NAX PREMILA MT002 CRYSTAL SILVER FINE 1L</v>
      </c>
      <c r="F434" s="37" t="s">
        <v>1204</v>
      </c>
      <c r="G434" s="31">
        <v>1.0</v>
      </c>
      <c r="H434" s="39" t="str">
        <f t="array" ref="H434">IFERROR(XLOOKUP(D434,'MASTER ITEM LIST'!A:A,'MASTER ITEM LIST'!D:D), "")</f>
        <v>LTR/S</v>
      </c>
      <c r="I434" s="40">
        <v>2150.0</v>
      </c>
      <c r="J434" s="41">
        <f t="shared" si="1"/>
        <v>2150</v>
      </c>
    </row>
    <row r="435" ht="22.5" customHeight="1">
      <c r="A435" s="29">
        <v>46160.0</v>
      </c>
      <c r="B435" s="31"/>
      <c r="C435" s="32" t="s">
        <v>1203</v>
      </c>
      <c r="D435" s="42" t="s">
        <v>334</v>
      </c>
      <c r="E435" s="35" t="str">
        <f t="array" ref="E435">IF(D435="", "", XLOOKUP(D435, 'MASTER ITEM LIST'!A:A, 'MASTER ITEM LIST'!B:B, ""))</f>
        <v>PLATONE QDE BLACK 4L</v>
      </c>
      <c r="F435" s="37" t="s">
        <v>1204</v>
      </c>
      <c r="G435" s="31">
        <v>1.0</v>
      </c>
      <c r="H435" s="39" t="str">
        <f t="array" ref="H435">IFERROR(XLOOKUP(D435,'MASTER ITEM LIST'!A:A,'MASTER ITEM LIST'!D:D), "")</f>
        <v>GAL</v>
      </c>
      <c r="I435" s="40">
        <v>661.0</v>
      </c>
      <c r="J435" s="41">
        <f t="shared" si="1"/>
        <v>661</v>
      </c>
    </row>
    <row r="436" ht="22.5" customHeight="1">
      <c r="A436" s="29">
        <v>46160.0</v>
      </c>
      <c r="B436" s="31"/>
      <c r="C436" s="32" t="s">
        <v>1203</v>
      </c>
      <c r="D436" s="42" t="s">
        <v>1073</v>
      </c>
      <c r="E436" s="35" t="str">
        <f t="array" ref="E436">IF(D436="", "", XLOOKUP(D436, 'MASTER ITEM LIST'!A:A, 'MASTER ITEM LIST'!B:B, ""))</f>
        <v>BOYSEN QDE WHITE GAL</v>
      </c>
      <c r="F436" s="37" t="s">
        <v>1204</v>
      </c>
      <c r="G436" s="31">
        <v>1.0</v>
      </c>
      <c r="H436" s="39" t="str">
        <f t="array" ref="H436">IFERROR(XLOOKUP(D436,'MASTER ITEM LIST'!A:A,'MASTER ITEM LIST'!D:D), "")</f>
        <v>GAL</v>
      </c>
      <c r="I436" s="40">
        <v>834.0</v>
      </c>
      <c r="J436" s="41">
        <f t="shared" si="1"/>
        <v>834</v>
      </c>
    </row>
    <row r="437" ht="22.5" customHeight="1">
      <c r="A437" s="29">
        <v>46161.0</v>
      </c>
      <c r="B437" s="31"/>
      <c r="C437" s="32" t="s">
        <v>1203</v>
      </c>
      <c r="D437" s="42" t="s">
        <v>546</v>
      </c>
      <c r="E437" s="35" t="str">
        <f t="array" ref="E437">IF(D437="", "", XLOOKUP(D437, 'MASTER ITEM LIST'!A:A, 'MASTER ITEM LIST'!B:B, ""))</f>
        <v>NAX NAT-719 TTC COARSE SILVER 4L</v>
      </c>
      <c r="F437" s="37" t="s">
        <v>1204</v>
      </c>
      <c r="G437" s="31">
        <v>1.0</v>
      </c>
      <c r="H437" s="39" t="str">
        <f t="array" ref="H437">IFERROR(XLOOKUP(D437,'MASTER ITEM LIST'!A:A,'MASTER ITEM LIST'!D:D), "")</f>
        <v>GAL</v>
      </c>
      <c r="I437" s="40">
        <v>2325.0</v>
      </c>
      <c r="J437" s="41">
        <f t="shared" si="1"/>
        <v>2325</v>
      </c>
    </row>
    <row r="438" ht="22.5" customHeight="1">
      <c r="A438" s="29">
        <v>46162.0</v>
      </c>
      <c r="B438" s="31"/>
      <c r="C438" s="32" t="s">
        <v>1203</v>
      </c>
      <c r="D438" s="42" t="s">
        <v>434</v>
      </c>
      <c r="E438" s="35" t="str">
        <f t="array" ref="E438">IF(D438="", "", XLOOKUP(D438, 'MASTER ITEM LIST'!A:A, 'MASTER ITEM LIST'!B:B, ""))</f>
        <v>NAX PREMILA MT023 HIGH SPARKLE FINE 1L</v>
      </c>
      <c r="F438" s="37" t="s">
        <v>1204</v>
      </c>
      <c r="G438" s="31">
        <v>1.0</v>
      </c>
      <c r="H438" s="39" t="str">
        <f t="array" ref="H438">IFERROR(XLOOKUP(D438,'MASTER ITEM LIST'!A:A,'MASTER ITEM LIST'!D:D), "")</f>
        <v>LTR/S</v>
      </c>
      <c r="I438" s="40">
        <v>1994.0</v>
      </c>
      <c r="J438" s="41">
        <f t="shared" si="1"/>
        <v>1994</v>
      </c>
    </row>
    <row r="439" ht="22.5" customHeight="1">
      <c r="A439" s="29">
        <v>46162.0</v>
      </c>
      <c r="B439" s="31"/>
      <c r="C439" s="32" t="s">
        <v>1203</v>
      </c>
      <c r="D439" s="42" t="s">
        <v>717</v>
      </c>
      <c r="E439" s="35" t="str">
        <f t="array" ref="E439">IF(D439="", "", XLOOKUP(D439, 'MASTER ITEM LIST'!A:A, 'MASTER ITEM LIST'!B:B, ""))</f>
        <v>CROCO MASKING TAPE #1</v>
      </c>
      <c r="F439" s="37" t="s">
        <v>1204</v>
      </c>
      <c r="G439" s="31">
        <v>1.0</v>
      </c>
      <c r="H439" s="39" t="str">
        <f t="array" ref="H439">IFERROR(XLOOKUP(D439,'MASTER ITEM LIST'!A:A,'MASTER ITEM LIST'!D:D), "")</f>
        <v>PCS</v>
      </c>
      <c r="I439" s="40">
        <v>32.0</v>
      </c>
      <c r="J439" s="41">
        <f t="shared" si="1"/>
        <v>32</v>
      </c>
    </row>
    <row r="440" ht="22.5" customHeight="1">
      <c r="A440" s="29">
        <v>46162.0</v>
      </c>
      <c r="B440" s="31"/>
      <c r="C440" s="32" t="s">
        <v>1203</v>
      </c>
      <c r="D440" s="42" t="s">
        <v>718</v>
      </c>
      <c r="E440" s="35" t="str">
        <f t="array" ref="E440">IF(D440="", "", XLOOKUP(D440, 'MASTER ITEM LIST'!A:A, 'MASTER ITEM LIST'!B:B, ""))</f>
        <v>NAX PREMILA NB100 B/C BINDER 4L</v>
      </c>
      <c r="F440" s="37" t="s">
        <v>1204</v>
      </c>
      <c r="G440" s="31">
        <v>1.0</v>
      </c>
      <c r="H440" s="39" t="str">
        <f t="array" ref="H440">IFERROR(XLOOKUP(D440,'MASTER ITEM LIST'!A:A,'MASTER ITEM LIST'!D:D), "")</f>
        <v>GAL</v>
      </c>
      <c r="I440" s="40">
        <v>2100.0</v>
      </c>
      <c r="J440" s="41">
        <f t="shared" si="1"/>
        <v>2100</v>
      </c>
    </row>
    <row r="441" ht="22.5" customHeight="1">
      <c r="A441" s="29">
        <v>46164.0</v>
      </c>
      <c r="B441" s="31"/>
      <c r="C441" s="32" t="s">
        <v>1203</v>
      </c>
      <c r="D441" s="42" t="s">
        <v>557</v>
      </c>
      <c r="E441" s="35" t="str">
        <f t="array" ref="E441">IF(D441="", "", XLOOKUP(D441, 'MASTER ITEM LIST'!A:A, 'MASTER ITEM LIST'!B:B, ""))</f>
        <v>NIPPON FF151 FLOP CONTROL</v>
      </c>
      <c r="F441" s="37" t="s">
        <v>1204</v>
      </c>
      <c r="G441" s="31">
        <v>1.0</v>
      </c>
      <c r="H441" s="39" t="str">
        <f t="array" ref="H441">IFERROR(XLOOKUP(D441,'MASTER ITEM LIST'!A:A,'MASTER ITEM LIST'!D:D), "")</f>
        <v>LTR</v>
      </c>
      <c r="I441" s="40">
        <v>1160.0</v>
      </c>
      <c r="J441" s="41">
        <f t="shared" si="1"/>
        <v>1160</v>
      </c>
    </row>
    <row r="442" ht="22.5" customHeight="1">
      <c r="A442" s="29">
        <v>46164.0</v>
      </c>
      <c r="B442" s="31"/>
      <c r="C442" s="32" t="s">
        <v>1203</v>
      </c>
      <c r="D442" s="42" t="s">
        <v>80</v>
      </c>
      <c r="E442" s="35" t="str">
        <f t="array" ref="E442">IF(D442="", "", XLOOKUP(D442, 'MASTER ITEM LIST'!A:A, 'MASTER ITEM LIST'!B:B, ""))</f>
        <v>NAX PREMILA MT804 ORIENT BLUE 1L</v>
      </c>
      <c r="F442" s="37" t="s">
        <v>1204</v>
      </c>
      <c r="G442" s="31">
        <v>1.0</v>
      </c>
      <c r="H442" s="39" t="str">
        <f t="array" ref="H442">IFERROR(XLOOKUP(D442,'MASTER ITEM LIST'!A:A,'MASTER ITEM LIST'!D:D), "")</f>
        <v>LTR/S</v>
      </c>
      <c r="I442" s="40">
        <v>1593.0</v>
      </c>
      <c r="J442" s="41">
        <f t="shared" si="1"/>
        <v>1593</v>
      </c>
    </row>
    <row r="443" ht="22.5" customHeight="1">
      <c r="A443" s="29">
        <v>46164.0</v>
      </c>
      <c r="B443" s="31"/>
      <c r="C443" s="32" t="s">
        <v>1203</v>
      </c>
      <c r="D443" s="42" t="s">
        <v>563</v>
      </c>
      <c r="E443" s="35" t="str">
        <f t="array" ref="E443">IF(D443="", "", XLOOKUP(D443, 'MASTER ITEM LIST'!A:A, 'MASTER ITEM LIST'!B:B, ""))</f>
        <v>NIPPON EXTREME QDU WHITE 4L</v>
      </c>
      <c r="F443" s="37" t="s">
        <v>1204</v>
      </c>
      <c r="G443" s="31">
        <v>1.0</v>
      </c>
      <c r="H443" s="39" t="str">
        <f t="array" ref="H443">IFERROR(XLOOKUP(D443,'MASTER ITEM LIST'!A:A,'MASTER ITEM LIST'!D:D), "")</f>
        <v>GAL</v>
      </c>
      <c r="I443" s="40">
        <v>1550.0</v>
      </c>
      <c r="J443" s="41">
        <f t="shared" si="1"/>
        <v>1550</v>
      </c>
    </row>
    <row r="444" ht="22.5" customHeight="1">
      <c r="A444" s="29">
        <v>46167.0</v>
      </c>
      <c r="B444" s="31"/>
      <c r="C444" s="32" t="s">
        <v>1203</v>
      </c>
      <c r="D444" s="42" t="s">
        <v>202</v>
      </c>
      <c r="E444" s="35" t="str">
        <f t="array" ref="E444">IF(D444="", "", XLOOKUP(D444, 'MASTER ITEM LIST'!A:A, 'MASTER ITEM LIST'!B:B, ""))</f>
        <v>NAX PREMILA MT203 DEEP BLACK 1L</v>
      </c>
      <c r="F444" s="37" t="s">
        <v>1204</v>
      </c>
      <c r="G444" s="31">
        <v>1.0</v>
      </c>
      <c r="H444" s="39" t="str">
        <f t="array" ref="H444">IFERROR(XLOOKUP(D444,'MASTER ITEM LIST'!A:A,'MASTER ITEM LIST'!D:D), "")</f>
        <v>LTR/S</v>
      </c>
      <c r="I444" s="40">
        <v>1668.0</v>
      </c>
      <c r="J444" s="41">
        <f t="shared" si="1"/>
        <v>1668</v>
      </c>
    </row>
    <row r="445" ht="22.5" customHeight="1">
      <c r="A445" s="29">
        <v>46167.0</v>
      </c>
      <c r="B445" s="31"/>
      <c r="C445" s="32" t="s">
        <v>1203</v>
      </c>
      <c r="D445" s="33" t="s">
        <v>1124</v>
      </c>
      <c r="E445" s="35" t="str">
        <f t="array" ref="E445">IF(D445="", "", XLOOKUP(D445, 'MASTER ITEM LIST'!A:A, 'MASTER ITEM LIST'!B:B, ""))</f>
        <v>BOYSEN PERMACOAT GLOSS LATEX B-710 WHITE 4L</v>
      </c>
      <c r="F445" s="37" t="s">
        <v>1204</v>
      </c>
      <c r="G445" s="31">
        <v>1.0</v>
      </c>
      <c r="H445" s="39" t="str">
        <f t="array" ref="H445">IFERROR(XLOOKUP(D445,'MASTER ITEM LIST'!A:A,'MASTER ITEM LIST'!D:D), "")</f>
        <v>GALON</v>
      </c>
      <c r="I445" s="40">
        <v>765.0</v>
      </c>
      <c r="J445" s="41">
        <f t="shared" si="1"/>
        <v>765</v>
      </c>
    </row>
    <row r="446" ht="22.5" customHeight="1">
      <c r="A446" s="29">
        <v>46167.0</v>
      </c>
      <c r="B446" s="31"/>
      <c r="C446" s="32" t="s">
        <v>1203</v>
      </c>
      <c r="D446" s="42" t="s">
        <v>1126</v>
      </c>
      <c r="E446" s="35" t="str">
        <f t="array" ref="E446">IF(D446="", "", XLOOKUP(D446, 'MASTER ITEM LIST'!A:A, 'MASTER ITEM LIST'!B:B, ""))</f>
        <v>BOYSEN PERMACOAT FLAT LATEX BLACK 4L</v>
      </c>
      <c r="F446" s="37" t="s">
        <v>1204</v>
      </c>
      <c r="G446" s="31">
        <v>1.0</v>
      </c>
      <c r="H446" s="39" t="str">
        <f t="array" ref="H446">IFERROR(XLOOKUP(D446,'MASTER ITEM LIST'!A:A,'MASTER ITEM LIST'!D:D), "")</f>
        <v>GALON</v>
      </c>
      <c r="I446" s="40">
        <v>615.0</v>
      </c>
      <c r="J446" s="41">
        <f t="shared" si="1"/>
        <v>615</v>
      </c>
    </row>
    <row r="447" ht="22.5" customHeight="1">
      <c r="A447" s="29">
        <v>46167.0</v>
      </c>
      <c r="B447" s="31"/>
      <c r="C447" s="32" t="s">
        <v>1203</v>
      </c>
      <c r="D447" s="42" t="s">
        <v>717</v>
      </c>
      <c r="E447" s="35" t="str">
        <f t="array" ref="E447">IF(D447="", "", XLOOKUP(D447, 'MASTER ITEM LIST'!A:A, 'MASTER ITEM LIST'!B:B, ""))</f>
        <v>CROCO MASKING TAPE #1</v>
      </c>
      <c r="F447" s="37" t="s">
        <v>1204</v>
      </c>
      <c r="G447" s="31">
        <v>1.0</v>
      </c>
      <c r="H447" s="39" t="str">
        <f t="array" ref="H447">IFERROR(XLOOKUP(D447,'MASTER ITEM LIST'!A:A,'MASTER ITEM LIST'!D:D), "")</f>
        <v>PCS</v>
      </c>
      <c r="I447" s="40">
        <v>32.0</v>
      </c>
      <c r="J447" s="41">
        <f t="shared" si="1"/>
        <v>32</v>
      </c>
    </row>
    <row r="448" ht="22.5" customHeight="1">
      <c r="A448" s="29">
        <v>46167.0</v>
      </c>
      <c r="B448" s="31"/>
      <c r="C448" s="32" t="s">
        <v>1203</v>
      </c>
      <c r="D448" s="33" t="s">
        <v>578</v>
      </c>
      <c r="E448" s="35" t="str">
        <f t="array" ref="E448">IF(D448="", "", XLOOKUP(D448, 'MASTER ITEM LIST'!A:A, 'MASTER ITEM LIST'!B:B, ""))</f>
        <v>NIPPON EXTREME QDU GREEN 4L</v>
      </c>
      <c r="F448" s="37" t="s">
        <v>1204</v>
      </c>
      <c r="G448" s="31">
        <v>1.0</v>
      </c>
      <c r="H448" s="39" t="str">
        <f t="array" ref="H448">IFERROR(XLOOKUP(D448,'MASTER ITEM LIST'!A:A,'MASTER ITEM LIST'!D:D), "")</f>
        <v>GAL</v>
      </c>
      <c r="I448" s="40">
        <v>1630.0</v>
      </c>
      <c r="J448" s="41">
        <f t="shared" si="1"/>
        <v>1630</v>
      </c>
    </row>
    <row r="449" ht="22.5" customHeight="1">
      <c r="A449" s="29">
        <v>46169.0</v>
      </c>
      <c r="B449" s="31"/>
      <c r="C449" s="32" t="s">
        <v>1203</v>
      </c>
      <c r="D449" s="33" t="s">
        <v>72</v>
      </c>
      <c r="E449" s="35" t="str">
        <f t="array" ref="E449">IF(D449="", "", XLOOKUP(D449, 'MASTER ITEM LIST'!A:A, 'MASTER ITEM LIST'!B:B, ""))</f>
        <v>NIPPON EXTREME QDU BLACK 4L</v>
      </c>
      <c r="F449" s="37" t="s">
        <v>1204</v>
      </c>
      <c r="G449" s="31">
        <v>1.0</v>
      </c>
      <c r="H449" s="39" t="str">
        <f t="array" ref="H449">IFERROR(XLOOKUP(D449,'MASTER ITEM LIST'!A:A,'MASTER ITEM LIST'!D:D), "")</f>
        <v>GAL</v>
      </c>
      <c r="I449" s="40">
        <v>1485.0</v>
      </c>
      <c r="J449" s="41">
        <f t="shared" si="1"/>
        <v>1485</v>
      </c>
    </row>
    <row r="450" ht="22.5" customHeight="1">
      <c r="A450" s="29">
        <v>46169.0</v>
      </c>
      <c r="B450" s="31"/>
      <c r="C450" s="32" t="s">
        <v>1203</v>
      </c>
      <c r="D450" s="33" t="s">
        <v>568</v>
      </c>
      <c r="E450" s="35" t="str">
        <f t="array" ref="E450">IF(D450="", "", XLOOKUP(D450, 'MASTER ITEM LIST'!A:A, 'MASTER ITEM LIST'!B:B, ""))</f>
        <v>NIPPON EXTREME QDU SILVER 4L</v>
      </c>
      <c r="F450" s="37" t="s">
        <v>1204</v>
      </c>
      <c r="G450" s="31">
        <v>1.0</v>
      </c>
      <c r="H450" s="39" t="str">
        <f t="array" ref="H450">IFERROR(XLOOKUP(D450,'MASTER ITEM LIST'!A:A,'MASTER ITEM LIST'!D:D), "")</f>
        <v>GAL</v>
      </c>
      <c r="I450" s="40">
        <v>1485.0</v>
      </c>
      <c r="J450" s="41">
        <f t="shared" si="1"/>
        <v>1485</v>
      </c>
    </row>
    <row r="451" ht="22.5" customHeight="1">
      <c r="A451" s="29">
        <v>46169.0</v>
      </c>
      <c r="B451" s="31"/>
      <c r="C451" s="32" t="s">
        <v>1203</v>
      </c>
      <c r="D451" s="42" t="s">
        <v>678</v>
      </c>
      <c r="E451" s="35" t="str">
        <f t="array" ref="E451">IF(D451="", "", XLOOKUP(D451, 'MASTER ITEM LIST'!A:A, 'MASTER ITEM LIST'!B:B, ""))</f>
        <v>NAX NAT-149 TTC DARK MAROON 1L</v>
      </c>
      <c r="F451" s="37" t="s">
        <v>1204</v>
      </c>
      <c r="G451" s="31">
        <v>1.0</v>
      </c>
      <c r="H451" s="39" t="str">
        <f t="array" ref="H451">IFERROR(XLOOKUP(D451,'MASTER ITEM LIST'!A:A,'MASTER ITEM LIST'!D:D), "")</f>
        <v>LITER</v>
      </c>
      <c r="I451" s="40">
        <v>1110.0</v>
      </c>
      <c r="J451" s="41">
        <f t="shared" si="1"/>
        <v>1110</v>
      </c>
    </row>
    <row r="452" ht="22.5" customHeight="1">
      <c r="A452" s="29">
        <v>46169.0</v>
      </c>
      <c r="B452" s="31"/>
      <c r="C452" s="32" t="s">
        <v>1203</v>
      </c>
      <c r="D452" s="42" t="s">
        <v>562</v>
      </c>
      <c r="E452" s="35" t="str">
        <f t="array" ref="E452">IF(D452="", "", XLOOKUP(D452, 'MASTER ITEM LIST'!A:A, 'MASTER ITEM LIST'!B:B, ""))</f>
        <v>NAX NAT-715 TTC FINE SILVER 1L</v>
      </c>
      <c r="F452" s="37" t="s">
        <v>1204</v>
      </c>
      <c r="G452" s="31">
        <v>1.0</v>
      </c>
      <c r="H452" s="39" t="str">
        <f t="array" ref="H452">IFERROR(XLOOKUP(D452,'MASTER ITEM LIST'!A:A,'MASTER ITEM LIST'!D:D), "")</f>
        <v>LITER</v>
      </c>
      <c r="I452" s="40">
        <v>422.0</v>
      </c>
      <c r="J452" s="41">
        <f t="shared" si="1"/>
        <v>422</v>
      </c>
    </row>
    <row r="453" ht="22.5" customHeight="1">
      <c r="A453" s="29">
        <v>46169.0</v>
      </c>
      <c r="B453" s="31"/>
      <c r="C453" s="32" t="s">
        <v>1203</v>
      </c>
      <c r="D453" s="42" t="s">
        <v>759</v>
      </c>
      <c r="E453" s="35" t="str">
        <f t="array" ref="E453">IF(D453="", "", XLOOKUP(D453, 'MASTER ITEM LIST'!A:A, 'MASTER ITEM LIST'!B:B, ""))</f>
        <v>NAX NAT-1110 TTC BRIGHT WHITE 4L</v>
      </c>
      <c r="F453" s="37" t="s">
        <v>1204</v>
      </c>
      <c r="G453" s="31">
        <v>1.0</v>
      </c>
      <c r="H453" s="39" t="str">
        <f t="array" ref="H453">IFERROR(XLOOKUP(D453,'MASTER ITEM LIST'!A:A,'MASTER ITEM LIST'!D:D), "")</f>
        <v>GAL</v>
      </c>
      <c r="I453" s="40">
        <v>2400.0</v>
      </c>
      <c r="J453" s="41">
        <f t="shared" si="1"/>
        <v>2400</v>
      </c>
    </row>
    <row r="454" ht="22.5" customHeight="1">
      <c r="A454" s="29">
        <v>46171.0</v>
      </c>
      <c r="B454" s="31"/>
      <c r="C454" s="32" t="s">
        <v>1203</v>
      </c>
      <c r="D454" s="42" t="s">
        <v>718</v>
      </c>
      <c r="E454" s="35" t="str">
        <f t="array" ref="E454">IF(D454="", "", XLOOKUP(D454, 'MASTER ITEM LIST'!A:A, 'MASTER ITEM LIST'!B:B, ""))</f>
        <v>NAX PREMILA NB100 B/C BINDER 4L</v>
      </c>
      <c r="F454" s="37" t="s">
        <v>1204</v>
      </c>
      <c r="G454" s="31">
        <v>1.0</v>
      </c>
      <c r="H454" s="39" t="str">
        <f t="array" ref="H454">IFERROR(XLOOKUP(D454,'MASTER ITEM LIST'!A:A,'MASTER ITEM LIST'!D:D), "")</f>
        <v>GAL</v>
      </c>
      <c r="I454" s="40">
        <v>2100.0</v>
      </c>
      <c r="J454" s="41">
        <f t="shared" si="1"/>
        <v>2100</v>
      </c>
    </row>
    <row r="455" ht="22.5" customHeight="1">
      <c r="A455" s="29">
        <v>46174.0</v>
      </c>
      <c r="B455" s="31"/>
      <c r="C455" s="32" t="s">
        <v>1203</v>
      </c>
      <c r="D455" s="42" t="s">
        <v>94</v>
      </c>
      <c r="E455" s="35" t="str">
        <f t="array" ref="E455">IF(D455="", "", XLOOKUP(D455, 'MASTER ITEM LIST'!A:A, 'MASTER ITEM LIST'!B:B, ""))</f>
        <v>NAX NAT-990 TTC BLACK 4L</v>
      </c>
      <c r="F455" s="37" t="s">
        <v>1204</v>
      </c>
      <c r="G455" s="31">
        <v>1.0</v>
      </c>
      <c r="H455" s="39" t="str">
        <f t="array" ref="H455">IFERROR(XLOOKUP(D455,'MASTER ITEM LIST'!A:A,'MASTER ITEM LIST'!D:D), "")</f>
        <v>GAL</v>
      </c>
      <c r="I455" s="40">
        <v>1518.0</v>
      </c>
      <c r="J455" s="41">
        <f t="shared" si="1"/>
        <v>1518</v>
      </c>
    </row>
    <row r="456" ht="22.5" customHeight="1">
      <c r="A456" s="29">
        <v>46174.0</v>
      </c>
      <c r="B456" s="31"/>
      <c r="C456" s="32" t="s">
        <v>1203</v>
      </c>
      <c r="D456" s="42" t="s">
        <v>156</v>
      </c>
      <c r="E456" s="35" t="str">
        <f t="array" ref="E456">IF(D456="", "", XLOOKUP(D456, 'MASTER ITEM LIST'!A:A, 'MASTER ITEM LIST'!B:B, ""))</f>
        <v>WASTE COTTON POD</v>
      </c>
      <c r="F456" s="37" t="s">
        <v>1204</v>
      </c>
      <c r="G456" s="31">
        <v>1.0</v>
      </c>
      <c r="H456" s="39" t="str">
        <f t="array" ref="H456">IFERROR(XLOOKUP(D456,'MASTER ITEM LIST'!A:A,'MASTER ITEM LIST'!D:D), "")</f>
        <v>KL</v>
      </c>
      <c r="I456" s="40">
        <v>70.0</v>
      </c>
      <c r="J456" s="41">
        <f t="shared" si="1"/>
        <v>70</v>
      </c>
    </row>
    <row r="457" ht="22.5" customHeight="1">
      <c r="A457" s="29">
        <v>46174.0</v>
      </c>
      <c r="B457" s="31"/>
      <c r="C457" s="32" t="s">
        <v>1203</v>
      </c>
      <c r="D457" s="42" t="s">
        <v>717</v>
      </c>
      <c r="E457" s="35" t="str">
        <f t="array" ref="E457">IF(D457="", "", XLOOKUP(D457, 'MASTER ITEM LIST'!A:A, 'MASTER ITEM LIST'!B:B, ""))</f>
        <v>CROCO MASKING TAPE #1</v>
      </c>
      <c r="F457" s="37" t="s">
        <v>1204</v>
      </c>
      <c r="G457" s="31">
        <v>1.0</v>
      </c>
      <c r="H457" s="39" t="str">
        <f t="array" ref="H457">IFERROR(XLOOKUP(D457,'MASTER ITEM LIST'!A:A,'MASTER ITEM LIST'!D:D), "")</f>
        <v>PCS</v>
      </c>
      <c r="I457" s="40">
        <v>32.0</v>
      </c>
      <c r="J457" s="41">
        <f t="shared" si="1"/>
        <v>32</v>
      </c>
    </row>
    <row r="458" ht="22.5" customHeight="1">
      <c r="A458" s="29">
        <v>46174.0</v>
      </c>
      <c r="B458" s="31"/>
      <c r="C458" s="32" t="s">
        <v>1203</v>
      </c>
      <c r="D458" s="42" t="s">
        <v>1073</v>
      </c>
      <c r="E458" s="35" t="str">
        <f t="array" ref="E458">IF(D458="", "", XLOOKUP(D458, 'MASTER ITEM LIST'!A:A, 'MASTER ITEM LIST'!B:B, ""))</f>
        <v>BOYSEN QDE WHITE GAL</v>
      </c>
      <c r="F458" s="37" t="s">
        <v>1204</v>
      </c>
      <c r="G458" s="31">
        <v>1.0</v>
      </c>
      <c r="H458" s="39" t="str">
        <f t="array" ref="H458">IFERROR(XLOOKUP(D458,'MASTER ITEM LIST'!A:A,'MASTER ITEM LIST'!D:D), "")</f>
        <v>GAL</v>
      </c>
      <c r="I458" s="40">
        <v>834.0</v>
      </c>
      <c r="J458" s="41">
        <f t="shared" si="1"/>
        <v>834</v>
      </c>
    </row>
    <row r="459" ht="22.5" customHeight="1">
      <c r="A459" s="29">
        <v>46175.0</v>
      </c>
      <c r="B459" s="31" t="s">
        <v>1284</v>
      </c>
      <c r="C459" s="32" t="s">
        <v>38</v>
      </c>
      <c r="D459" s="33" t="s">
        <v>1110</v>
      </c>
      <c r="E459" s="35" t="str">
        <f t="array" ref="E459">IF(D459="", "", XLOOKUP(D459, 'MASTER ITEM LIST'!A:A, 'MASTER ITEM LIST'!B:B, ""))</f>
        <v>CANDY TUFF ROS-367 RAIN OR SHINE 4L</v>
      </c>
      <c r="F459" s="37" t="s">
        <v>41</v>
      </c>
      <c r="G459" s="31">
        <v>2.0</v>
      </c>
      <c r="H459" s="39" t="str">
        <f t="array" ref="H459">IFERROR(XLOOKUP(D459,'MASTER ITEM LIST'!A:A,'MASTER ITEM LIST'!D:D), "")</f>
        <v>4L</v>
      </c>
      <c r="I459" s="40">
        <v>650.0</v>
      </c>
      <c r="J459" s="41">
        <f t="shared" si="1"/>
        <v>1300</v>
      </c>
    </row>
    <row r="460" ht="22.5" customHeight="1">
      <c r="A460" s="29">
        <v>46175.0</v>
      </c>
      <c r="B460" s="31" t="s">
        <v>1284</v>
      </c>
      <c r="C460" s="32" t="s">
        <v>38</v>
      </c>
      <c r="D460" s="33" t="s">
        <v>233</v>
      </c>
      <c r="E460" s="35" t="str">
        <f t="array" ref="E460">IF(D460="", "", XLOOKUP(D460, 'MASTER ITEM LIST'!A:A, 'MASTER ITEM LIST'!B:B, ""))</f>
        <v>NAX ALPHA HB SPRAY FILLER GRAY WITH HARDENER 1L</v>
      </c>
      <c r="F460" s="37" t="s">
        <v>41</v>
      </c>
      <c r="G460" s="31">
        <v>12.0</v>
      </c>
      <c r="H460" s="39" t="str">
        <f t="array" ref="H460">IFERROR(XLOOKUP(D460,'MASTER ITEM LIST'!A:A,'MASTER ITEM LIST'!D:D), "")</f>
        <v>LITER</v>
      </c>
      <c r="I460" s="40">
        <v>500.0</v>
      </c>
      <c r="J460" s="41">
        <f t="shared" si="1"/>
        <v>6000</v>
      </c>
    </row>
    <row r="461" ht="22.5" customHeight="1">
      <c r="A461" s="29">
        <v>46175.0</v>
      </c>
      <c r="B461" s="31" t="s">
        <v>1284</v>
      </c>
      <c r="C461" s="32" t="s">
        <v>38</v>
      </c>
      <c r="D461" s="33" t="s">
        <v>578</v>
      </c>
      <c r="E461" s="35" t="str">
        <f t="array" ref="E461">IF(D461="", "", XLOOKUP(D461, 'MASTER ITEM LIST'!A:A, 'MASTER ITEM LIST'!B:B, ""))</f>
        <v>NIPPON EXTREME QDU GREEN 4L</v>
      </c>
      <c r="F461" s="37" t="s">
        <v>41</v>
      </c>
      <c r="G461" s="31">
        <v>1.0</v>
      </c>
      <c r="H461" s="39" t="str">
        <f t="array" ref="H461">IFERROR(XLOOKUP(D461,'MASTER ITEM LIST'!A:A,'MASTER ITEM LIST'!D:D), "")</f>
        <v>GAL</v>
      </c>
      <c r="I461" s="40">
        <v>2000.0</v>
      </c>
      <c r="J461" s="41">
        <f t="shared" si="1"/>
        <v>2000</v>
      </c>
    </row>
    <row r="462" ht="22.5" customHeight="1">
      <c r="A462" s="29">
        <v>46175.0</v>
      </c>
      <c r="B462" s="31" t="s">
        <v>1284</v>
      </c>
      <c r="C462" s="32" t="s">
        <v>38</v>
      </c>
      <c r="D462" s="33" t="s">
        <v>584</v>
      </c>
      <c r="E462" s="35" t="str">
        <f t="array" ref="E462">IF(D462="", "", XLOOKUP(D462, 'MASTER ITEM LIST'!A:A, 'MASTER ITEM LIST'!B:B, ""))</f>
        <v>NIPPON EXTREME QDU BLUE 4L</v>
      </c>
      <c r="F462" s="37" t="s">
        <v>41</v>
      </c>
      <c r="G462" s="31">
        <v>1.0</v>
      </c>
      <c r="H462" s="39" t="str">
        <f t="array" ref="H462">IFERROR(XLOOKUP(D462,'MASTER ITEM LIST'!A:A,'MASTER ITEM LIST'!D:D), "")</f>
        <v>GAL</v>
      </c>
      <c r="I462" s="40">
        <v>2000.0</v>
      </c>
      <c r="J462" s="41">
        <f t="shared" si="1"/>
        <v>2000</v>
      </c>
    </row>
    <row r="463" ht="22.5" customHeight="1">
      <c r="A463" s="29">
        <v>46175.0</v>
      </c>
      <c r="B463" s="31" t="s">
        <v>1284</v>
      </c>
      <c r="C463" s="32" t="s">
        <v>38</v>
      </c>
      <c r="D463" s="33" t="s">
        <v>779</v>
      </c>
      <c r="E463" s="35" t="str">
        <f t="array" ref="E463">IF(D463="", "", XLOOKUP(D463, 'MASTER ITEM LIST'!A:A, 'MASTER ITEM LIST'!B:B, ""))</f>
        <v>METALGUARD EPOXY PRIMER GRAY WITH HARDENER 4L</v>
      </c>
      <c r="F463" s="37" t="s">
        <v>41</v>
      </c>
      <c r="G463" s="31">
        <v>1.0</v>
      </c>
      <c r="H463" s="39" t="str">
        <f t="array" ref="H463">IFERROR(XLOOKUP(D463,'MASTER ITEM LIST'!A:A,'MASTER ITEM LIST'!D:D), "")</f>
        <v>GAL</v>
      </c>
      <c r="I463" s="40">
        <v>1000.0</v>
      </c>
      <c r="J463" s="41">
        <f t="shared" si="1"/>
        <v>1000</v>
      </c>
    </row>
    <row r="464" ht="22.5" customHeight="1">
      <c r="A464" s="29">
        <v>46175.0</v>
      </c>
      <c r="B464" s="31" t="s">
        <v>1284</v>
      </c>
      <c r="C464" s="32" t="s">
        <v>38</v>
      </c>
      <c r="D464" s="42" t="s">
        <v>207</v>
      </c>
      <c r="E464" s="35" t="str">
        <f t="array" ref="E464">IF(D464="", "", XLOOKUP(D464, 'MASTER ITEM LIST'!A:A, 'MASTER ITEM LIST'!B:B, ""))</f>
        <v>NAX PREMILA MT202 TINTING BLACK NP 1L</v>
      </c>
      <c r="F464" s="37" t="s">
        <v>41</v>
      </c>
      <c r="G464" s="31">
        <v>2.0</v>
      </c>
      <c r="H464" s="39" t="str">
        <f t="array" ref="H464">IFERROR(XLOOKUP(D464,'MASTER ITEM LIST'!A:A,'MASTER ITEM LIST'!D:D), "")</f>
        <v>LTR/S</v>
      </c>
      <c r="I464" s="40">
        <v>1450.0</v>
      </c>
      <c r="J464" s="41">
        <f t="shared" si="1"/>
        <v>2900</v>
      </c>
    </row>
    <row r="465" ht="22.5" customHeight="1">
      <c r="A465" s="29">
        <v>46175.0</v>
      </c>
      <c r="B465" s="31" t="s">
        <v>1284</v>
      </c>
      <c r="C465" s="32" t="s">
        <v>38</v>
      </c>
      <c r="D465" s="33" t="s">
        <v>1118</v>
      </c>
      <c r="E465" s="35" t="str">
        <f t="array" ref="E465">IF(D465="", "", XLOOKUP(D465, 'MASTER ITEM LIST'!A:A, 'MASTER ITEM LIST'!B:B, ""))</f>
        <v>BULLETIN RED TINTING COLOR PWTCO-2133 1/4L PREMIUM WELCOAT</v>
      </c>
      <c r="F465" s="37" t="s">
        <v>41</v>
      </c>
      <c r="G465" s="31">
        <v>4.0</v>
      </c>
      <c r="H465" s="39" t="str">
        <f t="array" ref="H465">IFERROR(XLOOKUP(D465,'MASTER ITEM LIST'!A:A,'MASTER ITEM LIST'!D:D), "")</f>
        <v>1/4L</v>
      </c>
      <c r="I465" s="40">
        <v>100.0</v>
      </c>
      <c r="J465" s="41">
        <f t="shared" si="1"/>
        <v>400</v>
      </c>
    </row>
    <row r="466" ht="22.5" customHeight="1">
      <c r="A466" s="29">
        <v>46175.0</v>
      </c>
      <c r="B466" s="31" t="s">
        <v>1284</v>
      </c>
      <c r="C466" s="32" t="s">
        <v>38</v>
      </c>
      <c r="D466" s="33" t="s">
        <v>1170</v>
      </c>
      <c r="E466" s="35" t="str">
        <f t="array" ref="E466">IF(D466="", "", XLOOKUP(D466, 'MASTER ITEM LIST'!A:A, 'MASTER ITEM LIST'!B:B, ""))</f>
        <v>RAIN OR SHINE-TEMPTATION 4L</v>
      </c>
      <c r="F466" s="37" t="s">
        <v>41</v>
      </c>
      <c r="G466" s="31">
        <v>5.0</v>
      </c>
      <c r="H466" s="39" t="str">
        <f t="array" ref="H466">IFERROR(XLOOKUP(D466,'MASTER ITEM LIST'!A:A,'MASTER ITEM LIST'!D:D), "")</f>
        <v>GALON</v>
      </c>
      <c r="I466" s="40">
        <v>650.0</v>
      </c>
      <c r="J466" s="41">
        <f t="shared" si="1"/>
        <v>3250</v>
      </c>
    </row>
    <row r="467" ht="22.5" customHeight="1">
      <c r="A467" s="29">
        <v>46175.0</v>
      </c>
      <c r="B467" s="31" t="s">
        <v>1284</v>
      </c>
      <c r="C467" s="32" t="s">
        <v>38</v>
      </c>
      <c r="D467" s="33" t="s">
        <v>1172</v>
      </c>
      <c r="E467" s="35" t="str">
        <f t="array" ref="E467">IF(D467="", "", XLOOKUP(D467, 'MASTER ITEM LIST'!A:A, 'MASTER ITEM LIST'!B:B, ""))</f>
        <v>RAIN OR SHINE- UH SO RED 4L</v>
      </c>
      <c r="F467" s="37" t="s">
        <v>41</v>
      </c>
      <c r="G467" s="31">
        <v>2.0</v>
      </c>
      <c r="H467" s="39" t="str">
        <f t="array" ref="H467">IFERROR(XLOOKUP(D467,'MASTER ITEM LIST'!A:A,'MASTER ITEM LIST'!D:D), "")</f>
        <v>GALON</v>
      </c>
      <c r="I467" s="40">
        <v>650.0</v>
      </c>
      <c r="J467" s="41">
        <f t="shared" si="1"/>
        <v>1300</v>
      </c>
    </row>
    <row r="468" ht="22.5" customHeight="1">
      <c r="A468" s="29">
        <v>46175.0</v>
      </c>
      <c r="B468" s="31" t="s">
        <v>1284</v>
      </c>
      <c r="C468" s="32" t="s">
        <v>38</v>
      </c>
      <c r="D468" s="33" t="s">
        <v>111</v>
      </c>
      <c r="E468" s="35" t="str">
        <f t="array" ref="E468">IF(D468="", "", XLOOKUP(D468, 'MASTER ITEM LIST'!A:A, 'MASTER ITEM LIST'!B:B, ""))</f>
        <v>RAIN OR SHINE- HAPPY DAYS 4L</v>
      </c>
      <c r="F468" s="37" t="s">
        <v>41</v>
      </c>
      <c r="G468" s="31">
        <v>3.0</v>
      </c>
      <c r="H468" s="39" t="str">
        <f t="array" ref="H468">IFERROR(XLOOKUP(D468,'MASTER ITEM LIST'!A:A,'MASTER ITEM LIST'!D:D), "")</f>
        <v>GALON</v>
      </c>
      <c r="I468" s="40">
        <v>650.0</v>
      </c>
      <c r="J468" s="41">
        <f t="shared" si="1"/>
        <v>1950</v>
      </c>
    </row>
    <row r="469" ht="22.5" customHeight="1">
      <c r="A469" s="29">
        <v>46175.0</v>
      </c>
      <c r="B469" s="31" t="s">
        <v>1290</v>
      </c>
      <c r="C469" s="32" t="s">
        <v>38</v>
      </c>
      <c r="D469" s="33" t="s">
        <v>284</v>
      </c>
      <c r="E469" s="35" t="str">
        <f t="array" ref="E469">IF(D469="", "", XLOOKUP(D469, 'MASTER ITEM LIST'!A:A, 'MASTER ITEM LIST'!B:B, ""))</f>
        <v>RAIN OR SHINE STONE GRAY 4L</v>
      </c>
      <c r="F469" s="37" t="s">
        <v>41</v>
      </c>
      <c r="G469" s="31">
        <v>1.0</v>
      </c>
      <c r="H469" s="39" t="str">
        <f t="array" ref="H469">IFERROR(XLOOKUP(D469,'MASTER ITEM LIST'!A:A,'MASTER ITEM LIST'!D:D), "")</f>
        <v>GALON</v>
      </c>
      <c r="I469" s="40">
        <v>650.0</v>
      </c>
      <c r="J469" s="41">
        <f t="shared" si="1"/>
        <v>650</v>
      </c>
    </row>
    <row r="470" ht="22.5" customHeight="1">
      <c r="A470" s="29">
        <v>46175.0</v>
      </c>
      <c r="B470" s="31" t="s">
        <v>1290</v>
      </c>
      <c r="C470" s="32" t="s">
        <v>38</v>
      </c>
      <c r="D470" s="33" t="s">
        <v>969</v>
      </c>
      <c r="E470" s="35" t="str">
        <f t="array" ref="E470">IF(D470="", "", XLOOKUP(D470, 'MASTER ITEM LIST'!A:A, 'MASTER ITEM LIST'!B:B, ""))</f>
        <v>BURNT SIENNA TINTING COLOR PWTCO-6133 1/4L PREMIUM WELCOAT</v>
      </c>
      <c r="F470" s="37" t="s">
        <v>41</v>
      </c>
      <c r="G470" s="31">
        <v>1.0</v>
      </c>
      <c r="H470" s="39" t="str">
        <f t="array" ref="H470">IFERROR(XLOOKUP(D470,'MASTER ITEM LIST'!A:A,'MASTER ITEM LIST'!D:D), "")</f>
        <v>1/4L</v>
      </c>
      <c r="I470" s="40">
        <v>100.0</v>
      </c>
      <c r="J470" s="41">
        <f t="shared" si="1"/>
        <v>100</v>
      </c>
    </row>
    <row r="471" ht="22.5" customHeight="1">
      <c r="A471" s="29">
        <v>46175.0</v>
      </c>
      <c r="B471" s="31" t="s">
        <v>1290</v>
      </c>
      <c r="C471" s="32" t="s">
        <v>38</v>
      </c>
      <c r="D471" s="33" t="s">
        <v>1174</v>
      </c>
      <c r="E471" s="35" t="str">
        <f t="array" ref="E471">IF(D471="", "", XLOOKUP(D471, 'MASTER ITEM LIST'!A:A, 'MASTER ITEM LIST'!B:B, ""))</f>
        <v>ROS-BRIDAL GOWN-4L</v>
      </c>
      <c r="F471" s="37" t="s">
        <v>41</v>
      </c>
      <c r="G471" s="31">
        <v>1.0</v>
      </c>
      <c r="H471" s="39" t="str">
        <f t="array" ref="H471">IFERROR(XLOOKUP(D471,'MASTER ITEM LIST'!A:A,'MASTER ITEM LIST'!D:D), "")</f>
        <v>GALON</v>
      </c>
      <c r="I471" s="40">
        <v>650.0</v>
      </c>
      <c r="J471" s="41">
        <f t="shared" si="1"/>
        <v>650</v>
      </c>
    </row>
    <row r="472" ht="22.5" customHeight="1">
      <c r="A472" s="29">
        <v>46175.0</v>
      </c>
      <c r="B472" s="31" t="s">
        <v>1290</v>
      </c>
      <c r="C472" s="32" t="s">
        <v>38</v>
      </c>
      <c r="D472" s="33" t="s">
        <v>53</v>
      </c>
      <c r="E472" s="35" t="str">
        <f t="array" ref="E472">IF(D472="", "", XLOOKUP(D472, 'MASTER ITEM LIST'!A:A, 'MASTER ITEM LIST'!B:B, ""))</f>
        <v>NAX 108 CERAMIC 2K CLEAR WITH HARDENER 1L</v>
      </c>
      <c r="F472" s="37" t="s">
        <v>41</v>
      </c>
      <c r="G472" s="31">
        <v>24.0</v>
      </c>
      <c r="H472" s="39" t="str">
        <f t="array" ref="H472">IFERROR(XLOOKUP(D472,'MASTER ITEM LIST'!A:A,'MASTER ITEM LIST'!D:D), "")</f>
        <v>LITER</v>
      </c>
      <c r="I472" s="40">
        <v>600.0</v>
      </c>
      <c r="J472" s="41">
        <f t="shared" si="1"/>
        <v>14400</v>
      </c>
    </row>
    <row r="473" ht="22.5" customHeight="1">
      <c r="A473" s="29">
        <v>46175.0</v>
      </c>
      <c r="B473" s="31" t="s">
        <v>1290</v>
      </c>
      <c r="C473" s="32" t="s">
        <v>38</v>
      </c>
      <c r="D473" s="33" t="s">
        <v>292</v>
      </c>
      <c r="E473" s="35" t="str">
        <f t="array" ref="E473">IF(D473="", "", XLOOKUP(D473, 'MASTER ITEM LIST'!A:A, 'MASTER ITEM LIST'!B:B, ""))</f>
        <v>RAIN OR SHINE ROS-629 TULIPS 4L</v>
      </c>
      <c r="F473" s="37" t="s">
        <v>41</v>
      </c>
      <c r="G473" s="31">
        <v>1.0</v>
      </c>
      <c r="H473" s="39" t="str">
        <f t="array" ref="H473">IFERROR(XLOOKUP(D473,'MASTER ITEM LIST'!A:A,'MASTER ITEM LIST'!D:D), "")</f>
        <v>GALON</v>
      </c>
      <c r="I473" s="40">
        <v>650.0</v>
      </c>
      <c r="J473" s="41">
        <f t="shared" si="1"/>
        <v>650</v>
      </c>
    </row>
    <row r="474" ht="22.5" customHeight="1">
      <c r="A474" s="29">
        <v>46175.0</v>
      </c>
      <c r="B474" s="31" t="s">
        <v>1290</v>
      </c>
      <c r="C474" s="32" t="s">
        <v>38</v>
      </c>
      <c r="D474" s="33" t="s">
        <v>557</v>
      </c>
      <c r="E474" s="35" t="str">
        <f t="array" ref="E474">IF(D474="", "", XLOOKUP(D474, 'MASTER ITEM LIST'!A:A, 'MASTER ITEM LIST'!B:B, ""))</f>
        <v>NIPPON FF151 FLOP CONTROL</v>
      </c>
      <c r="F474" s="37" t="s">
        <v>41</v>
      </c>
      <c r="G474" s="31">
        <v>1.0</v>
      </c>
      <c r="H474" s="39" t="str">
        <f t="array" ref="H474">IFERROR(XLOOKUP(D474,'MASTER ITEM LIST'!A:A,'MASTER ITEM LIST'!D:D), "")</f>
        <v>LTR</v>
      </c>
      <c r="I474" s="40">
        <v>1600.0</v>
      </c>
      <c r="J474" s="41">
        <f t="shared" si="1"/>
        <v>1600</v>
      </c>
    </row>
    <row r="475" ht="22.5" customHeight="1">
      <c r="A475" s="29">
        <v>46175.0</v>
      </c>
      <c r="B475" s="31" t="s">
        <v>1290</v>
      </c>
      <c r="C475" s="32" t="s">
        <v>38</v>
      </c>
      <c r="D475" s="33" t="s">
        <v>80</v>
      </c>
      <c r="E475" s="35" t="str">
        <f t="array" ref="E475">IF(D475="", "", XLOOKUP(D475, 'MASTER ITEM LIST'!A:A, 'MASTER ITEM LIST'!B:B, ""))</f>
        <v>NAX PREMILA MT804 ORIENT BLUE 1L</v>
      </c>
      <c r="F475" s="37" t="s">
        <v>41</v>
      </c>
      <c r="G475" s="31">
        <v>1.0</v>
      </c>
      <c r="H475" s="39" t="str">
        <f t="array" ref="H475">IFERROR(XLOOKUP(D475,'MASTER ITEM LIST'!A:A,'MASTER ITEM LIST'!D:D), "")</f>
        <v>LTR/S</v>
      </c>
      <c r="I475" s="40">
        <v>2200.0</v>
      </c>
      <c r="J475" s="41">
        <f t="shared" si="1"/>
        <v>2200</v>
      </c>
    </row>
    <row r="476" ht="22.5" customHeight="1">
      <c r="A476" s="29">
        <v>46175.0</v>
      </c>
      <c r="B476" s="31" t="s">
        <v>1290</v>
      </c>
      <c r="C476" s="32" t="s">
        <v>38</v>
      </c>
      <c r="D476" s="33" t="s">
        <v>563</v>
      </c>
      <c r="E476" s="35" t="str">
        <f t="array" ref="E476">IF(D476="", "", XLOOKUP(D476, 'MASTER ITEM LIST'!A:A, 'MASTER ITEM LIST'!B:B, ""))</f>
        <v>NIPPON EXTREME QDU WHITE 4L</v>
      </c>
      <c r="F476" s="37" t="s">
        <v>41</v>
      </c>
      <c r="G476" s="31">
        <v>1.0</v>
      </c>
      <c r="H476" s="39" t="str">
        <f t="array" ref="H476">IFERROR(XLOOKUP(D476,'MASTER ITEM LIST'!A:A,'MASTER ITEM LIST'!D:D), "")</f>
        <v>GAL</v>
      </c>
      <c r="I476" s="40">
        <v>1850.0</v>
      </c>
      <c r="J476" s="41">
        <f t="shared" si="1"/>
        <v>1850</v>
      </c>
    </row>
    <row r="477" ht="22.5" customHeight="1">
      <c r="A477" s="29">
        <v>46175.0</v>
      </c>
      <c r="B477" s="31" t="s">
        <v>1290</v>
      </c>
      <c r="C477" s="32" t="s">
        <v>38</v>
      </c>
      <c r="D477" s="33" t="s">
        <v>718</v>
      </c>
      <c r="E477" s="35" t="str">
        <f t="array" ref="E477">IF(D477="", "", XLOOKUP(D477, 'MASTER ITEM LIST'!A:A, 'MASTER ITEM LIST'!B:B, ""))</f>
        <v>NAX PREMILA NB100 B/C BINDER 4L</v>
      </c>
      <c r="F477" s="37" t="s">
        <v>41</v>
      </c>
      <c r="G477" s="31">
        <v>4.0</v>
      </c>
      <c r="H477" s="39" t="str">
        <f t="array" ref="H477">IFERROR(XLOOKUP(D477,'MASTER ITEM LIST'!A:A,'MASTER ITEM LIST'!D:D), "")</f>
        <v>GAL</v>
      </c>
      <c r="I477" s="40">
        <v>2160.0</v>
      </c>
      <c r="J477" s="41">
        <f t="shared" si="1"/>
        <v>8640</v>
      </c>
    </row>
    <row r="478" ht="22.5" customHeight="1">
      <c r="A478" s="29">
        <v>46175.0</v>
      </c>
      <c r="B478" s="31" t="s">
        <v>1290</v>
      </c>
      <c r="C478" s="32" t="s">
        <v>38</v>
      </c>
      <c r="D478" s="33" t="s">
        <v>1166</v>
      </c>
      <c r="E478" s="35" t="str">
        <f t="array" ref="E478">IF(D478="", "", XLOOKUP(D478, 'MASTER ITEM LIST'!A:A, 'MASTER ITEM LIST'!B:B, ""))</f>
        <v>2B PAINT BRUSH 1 1/2</v>
      </c>
      <c r="F478" s="37" t="s">
        <v>41</v>
      </c>
      <c r="G478" s="31">
        <v>12.0</v>
      </c>
      <c r="H478" s="39" t="str">
        <f t="array" ref="H478">IFERROR(XLOOKUP(D478,'MASTER ITEM LIST'!A:A,'MASTER ITEM LIST'!D:D), "")</f>
        <v>PC/S</v>
      </c>
      <c r="I478" s="40">
        <v>23.0</v>
      </c>
      <c r="J478" s="41">
        <f t="shared" si="1"/>
        <v>276</v>
      </c>
    </row>
    <row r="479" ht="22.5" customHeight="1">
      <c r="A479" s="29">
        <v>46175.0</v>
      </c>
      <c r="B479" s="31" t="s">
        <v>1299</v>
      </c>
      <c r="C479" s="32" t="s">
        <v>38</v>
      </c>
      <c r="D479" s="33" t="s">
        <v>177</v>
      </c>
      <c r="E479" s="35" t="str">
        <f t="array" ref="E479">IF(D479="", "", XLOOKUP(D479, 'MASTER ITEM LIST'!A:A, 'MASTER ITEM LIST'!B:B, ""))</f>
        <v>UNO LACQUER THINNER BOT</v>
      </c>
      <c r="F479" s="37" t="s">
        <v>41</v>
      </c>
      <c r="G479" s="31">
        <v>24.0</v>
      </c>
      <c r="H479" s="39" t="str">
        <f t="array" ref="H479">IFERROR(XLOOKUP(D479,'MASTER ITEM LIST'!A:A,'MASTER ITEM LIST'!D:D), "")</f>
        <v>BOT</v>
      </c>
      <c r="I479" s="40">
        <v>50.0</v>
      </c>
      <c r="J479" s="41">
        <f t="shared" si="1"/>
        <v>1200</v>
      </c>
    </row>
    <row r="480" ht="22.5" customHeight="1">
      <c r="A480" s="29">
        <v>46175.0</v>
      </c>
      <c r="B480" s="31" t="s">
        <v>1299</v>
      </c>
      <c r="C480" s="32" t="s">
        <v>38</v>
      </c>
      <c r="D480" s="33" t="s">
        <v>64</v>
      </c>
      <c r="E480" s="35" t="str">
        <f t="array" ref="E480">IF(D480="", "", XLOOKUP(D480, 'MASTER ITEM LIST'!A:A, 'MASTER ITEM LIST'!B:B, ""))</f>
        <v>POLYGLOSS PU FLAT BLACK 4L</v>
      </c>
      <c r="F480" s="37" t="s">
        <v>41</v>
      </c>
      <c r="G480" s="31">
        <v>1.0</v>
      </c>
      <c r="H480" s="39" t="str">
        <f t="array" ref="H480">IFERROR(XLOOKUP(D480,'MASTER ITEM LIST'!A:A,'MASTER ITEM LIST'!D:D), "")</f>
        <v>GALON</v>
      </c>
      <c r="I480" s="40">
        <v>1950.0</v>
      </c>
      <c r="J480" s="41">
        <f t="shared" si="1"/>
        <v>1950</v>
      </c>
    </row>
    <row r="481" ht="22.5" customHeight="1">
      <c r="A481" s="29">
        <v>46175.0</v>
      </c>
      <c r="B481" s="31" t="s">
        <v>1299</v>
      </c>
      <c r="C481" s="32" t="s">
        <v>38</v>
      </c>
      <c r="D481" s="33" t="s">
        <v>384</v>
      </c>
      <c r="E481" s="35" t="str">
        <f t="array" ref="E481">IF(D481="", "", XLOOKUP(D481, 'MASTER ITEM LIST'!A:A, 'MASTER ITEM LIST'!B:B, ""))</f>
        <v>PAINT BRUSH 2B #1</v>
      </c>
      <c r="F481" s="37" t="s">
        <v>41</v>
      </c>
      <c r="G481" s="31">
        <v>12.0</v>
      </c>
      <c r="H481" s="39" t="str">
        <f t="array" ref="H481">IFERROR(XLOOKUP(D481,'MASTER ITEM LIST'!A:A,'MASTER ITEM LIST'!D:D), "")</f>
        <v>PC/S</v>
      </c>
      <c r="I481" s="40">
        <v>18.0</v>
      </c>
      <c r="J481" s="41">
        <f t="shared" si="1"/>
        <v>216</v>
      </c>
    </row>
    <row r="482" ht="22.5" customHeight="1">
      <c r="A482" s="29">
        <v>46175.0</v>
      </c>
      <c r="B482" s="31"/>
      <c r="C482" s="32" t="s">
        <v>1203</v>
      </c>
      <c r="D482" s="42" t="s">
        <v>718</v>
      </c>
      <c r="E482" s="35" t="str">
        <f t="array" ref="E482">IF(D482="", "", XLOOKUP(D482, 'MASTER ITEM LIST'!A:A, 'MASTER ITEM LIST'!B:B, ""))</f>
        <v>NAX PREMILA NB100 B/C BINDER 4L</v>
      </c>
      <c r="F482" s="37" t="s">
        <v>1204</v>
      </c>
      <c r="G482" s="31">
        <v>1.0</v>
      </c>
      <c r="H482" s="39" t="str">
        <f t="array" ref="H482">IFERROR(XLOOKUP(D482,'MASTER ITEM LIST'!A:A,'MASTER ITEM LIST'!D:D), "")</f>
        <v>GAL</v>
      </c>
      <c r="I482" s="40">
        <v>2100.0</v>
      </c>
      <c r="J482" s="41">
        <f t="shared" si="1"/>
        <v>2100</v>
      </c>
    </row>
    <row r="483" ht="22.5" customHeight="1">
      <c r="A483" s="29">
        <v>46182.0</v>
      </c>
      <c r="B483" s="31"/>
      <c r="C483" s="32" t="s">
        <v>1205</v>
      </c>
      <c r="D483" s="42" t="s">
        <v>717</v>
      </c>
      <c r="E483" s="35" t="str">
        <f t="array" ref="E483">IF(D483="", "", XLOOKUP(D483, 'MASTER ITEM LIST'!A:A, 'MASTER ITEM LIST'!B:B, ""))</f>
        <v>CROCO MASKING TAPE #1</v>
      </c>
      <c r="F483" s="37" t="s">
        <v>1204</v>
      </c>
      <c r="G483" s="31">
        <v>1.0</v>
      </c>
      <c r="H483" s="39" t="str">
        <f t="array" ref="H483">IFERROR(XLOOKUP(D483,'MASTER ITEM LIST'!A:A,'MASTER ITEM LIST'!D:D), "")</f>
        <v>PCS</v>
      </c>
      <c r="I483" s="40">
        <v>32.0</v>
      </c>
      <c r="J483" s="41">
        <f t="shared" si="1"/>
        <v>32</v>
      </c>
    </row>
    <row r="484" ht="22.5" customHeight="1">
      <c r="A484" s="29">
        <v>46183.0</v>
      </c>
      <c r="B484" s="31"/>
      <c r="C484" s="32" t="s">
        <v>1203</v>
      </c>
      <c r="D484" s="42" t="s">
        <v>718</v>
      </c>
      <c r="E484" s="35" t="str">
        <f t="array" ref="E484">IF(D484="", "", XLOOKUP(D484, 'MASTER ITEM LIST'!A:A, 'MASTER ITEM LIST'!B:B, ""))</f>
        <v>NAX PREMILA NB100 B/C BINDER 4L</v>
      </c>
      <c r="F484" s="37" t="s">
        <v>1204</v>
      </c>
      <c r="G484" s="31">
        <v>1.0</v>
      </c>
      <c r="H484" s="39" t="str">
        <f t="array" ref="H484">IFERROR(XLOOKUP(D484,'MASTER ITEM LIST'!A:A,'MASTER ITEM LIST'!D:D), "")</f>
        <v>GAL</v>
      </c>
      <c r="I484" s="40">
        <v>2100.0</v>
      </c>
      <c r="J484" s="41">
        <f t="shared" si="1"/>
        <v>2100</v>
      </c>
    </row>
    <row r="485" ht="22.5" customHeight="1">
      <c r="A485" s="29">
        <v>46183.0</v>
      </c>
      <c r="B485" s="31"/>
      <c r="C485" s="32" t="s">
        <v>1203</v>
      </c>
      <c r="D485" s="42" t="s">
        <v>245</v>
      </c>
      <c r="E485" s="35" t="str">
        <f t="array" ref="E485">IF(D485="", "", XLOOKUP(D485, 'MASTER ITEM LIST'!A:A, 'MASTER ITEM LIST'!B:B, ""))</f>
        <v>NAX PREMILA MT103 WHITE LS 1L</v>
      </c>
      <c r="F485" s="37" t="s">
        <v>1204</v>
      </c>
      <c r="G485" s="31">
        <v>1.0</v>
      </c>
      <c r="H485" s="39" t="str">
        <f t="array" ref="H485">IFERROR(XLOOKUP(D485,'MASTER ITEM LIST'!A:A,'MASTER ITEM LIST'!D:D), "")</f>
        <v>LTR/S</v>
      </c>
      <c r="I485" s="40">
        <v>1090.0</v>
      </c>
      <c r="J485" s="41">
        <f t="shared" si="1"/>
        <v>1090</v>
      </c>
    </row>
    <row r="486" ht="22.5" customHeight="1">
      <c r="A486" s="29">
        <v>46184.0</v>
      </c>
      <c r="B486" s="31"/>
      <c r="C486" s="32" t="s">
        <v>1203</v>
      </c>
      <c r="D486" s="42" t="s">
        <v>748</v>
      </c>
      <c r="E486" s="35" t="str">
        <f t="array" ref="E486">IF(D486="", "", XLOOKUP(D486, 'MASTER ITEM LIST'!A:A, 'MASTER ITEM LIST'!B:B, ""))</f>
        <v>NAX NAT-1157 TTC BRIGHT COPPER MICA 1L</v>
      </c>
      <c r="F486" s="37" t="s">
        <v>1204</v>
      </c>
      <c r="G486" s="31">
        <v>1.0</v>
      </c>
      <c r="H486" s="39" t="str">
        <f t="array" ref="H486">IFERROR(XLOOKUP(D486,'MASTER ITEM LIST'!A:A,'MASTER ITEM LIST'!D:D), "")</f>
        <v>LITER</v>
      </c>
      <c r="I486" s="40">
        <v>780.0</v>
      </c>
      <c r="J486" s="41">
        <f t="shared" si="1"/>
        <v>780</v>
      </c>
    </row>
    <row r="487" ht="22.5" customHeight="1">
      <c r="A487" s="29">
        <v>46186.0</v>
      </c>
      <c r="B487" s="31"/>
      <c r="C487" s="32" t="s">
        <v>1203</v>
      </c>
      <c r="D487" s="33" t="s">
        <v>560</v>
      </c>
      <c r="E487" s="35" t="str">
        <f t="array" ref="E487">IF(D487="", "", XLOOKUP(D487, 'MASTER ITEM LIST'!A:A, 'MASTER ITEM LIST'!B:B, ""))</f>
        <v>NIPPON EXTREME QDU YELLOW 4L</v>
      </c>
      <c r="F487" s="37" t="s">
        <v>1204</v>
      </c>
      <c r="G487" s="31">
        <v>1.0</v>
      </c>
      <c r="H487" s="39" t="str">
        <f t="array" ref="H487">IFERROR(XLOOKUP(D487,'MASTER ITEM LIST'!A:A,'MASTER ITEM LIST'!D:D), "")</f>
        <v>GAL</v>
      </c>
      <c r="I487" s="40">
        <v>1630.0</v>
      </c>
      <c r="J487" s="41">
        <f t="shared" si="1"/>
        <v>1630</v>
      </c>
    </row>
    <row r="488" ht="22.5" customHeight="1">
      <c r="A488" s="29">
        <v>46189.0</v>
      </c>
      <c r="B488" s="31"/>
      <c r="C488" s="32" t="s">
        <v>1203</v>
      </c>
      <c r="D488" s="42" t="s">
        <v>352</v>
      </c>
      <c r="E488" s="35" t="str">
        <f t="array" ref="E488">IF(D488="", "", XLOOKUP(D488, 'MASTER ITEM LIST'!A:A, 'MASTER ITEM LIST'!B:B, ""))</f>
        <v>NAX PREMILA MT071 MICA BASE 5B BLUE 1L</v>
      </c>
      <c r="F488" s="37" t="s">
        <v>1204</v>
      </c>
      <c r="G488" s="31">
        <v>1.0</v>
      </c>
      <c r="H488" s="39" t="str">
        <f t="array" ref="H488">IFERROR(XLOOKUP(D488,'MASTER ITEM LIST'!A:A,'MASTER ITEM LIST'!D:D), "")</f>
        <v>LTR/S</v>
      </c>
      <c r="I488" s="40">
        <v>3000.0</v>
      </c>
      <c r="J488" s="41">
        <f t="shared" si="1"/>
        <v>3000</v>
      </c>
    </row>
    <row r="489" ht="22.5" customHeight="1">
      <c r="A489" s="29">
        <v>46189.0</v>
      </c>
      <c r="B489" s="31"/>
      <c r="C489" s="32" t="s">
        <v>1307</v>
      </c>
      <c r="D489" s="42" t="s">
        <v>220</v>
      </c>
      <c r="E489" s="35" t="str">
        <f t="array" ref="E489">IF(D489="", "", XLOOKUP(D489, 'MASTER ITEM LIST'!A:A, 'MASTER ITEM LIST'!B:B, ""))</f>
        <v>PREMILA MIXING 1L</v>
      </c>
      <c r="F489" s="37" t="s">
        <v>41</v>
      </c>
      <c r="G489" s="31">
        <v>1.0</v>
      </c>
      <c r="H489" s="39" t="str">
        <f t="array" ref="H489">IFERROR(XLOOKUP(D489,'MASTER ITEM LIST'!A:A,'MASTER ITEM LIST'!D:D), "")</f>
        <v>LITER</v>
      </c>
      <c r="I489" s="40">
        <v>2440.0</v>
      </c>
      <c r="J489" s="41">
        <f t="shared" si="1"/>
        <v>2440</v>
      </c>
    </row>
    <row r="490" ht="22.5" customHeight="1">
      <c r="A490" s="29">
        <v>46189.0</v>
      </c>
      <c r="B490" s="31"/>
      <c r="C490" s="32" t="s">
        <v>1203</v>
      </c>
      <c r="D490" s="33" t="s">
        <v>718</v>
      </c>
      <c r="E490" s="35" t="str">
        <f t="array" ref="E490">IF(D490="", "", XLOOKUP(D490, 'MASTER ITEM LIST'!A:A, 'MASTER ITEM LIST'!B:B, ""))</f>
        <v>NAX PREMILA NB100 B/C BINDER 4L</v>
      </c>
      <c r="F490" s="37" t="s">
        <v>1204</v>
      </c>
      <c r="G490" s="31">
        <v>1.0</v>
      </c>
      <c r="H490" s="39" t="str">
        <f t="array" ref="H490">IFERROR(XLOOKUP(D490,'MASTER ITEM LIST'!A:A,'MASTER ITEM LIST'!D:D), "")</f>
        <v>GAL</v>
      </c>
      <c r="I490" s="40">
        <v>2100.0</v>
      </c>
      <c r="J490" s="41">
        <f t="shared" si="1"/>
        <v>2100</v>
      </c>
    </row>
    <row r="491" ht="22.5" customHeight="1">
      <c r="A491" s="29">
        <v>46189.0</v>
      </c>
      <c r="B491" s="31"/>
      <c r="C491" s="32" t="s">
        <v>1307</v>
      </c>
      <c r="D491" s="42" t="s">
        <v>220</v>
      </c>
      <c r="E491" s="35" t="str">
        <f t="array" ref="E491">IF(D491="", "", XLOOKUP(D491, 'MASTER ITEM LIST'!A:A, 'MASTER ITEM LIST'!B:B, ""))</f>
        <v>PREMILA MIXING 1L</v>
      </c>
      <c r="F491" s="37" t="s">
        <v>41</v>
      </c>
      <c r="G491" s="31">
        <v>4.0</v>
      </c>
      <c r="H491" s="39" t="str">
        <f t="array" ref="H491">IFERROR(XLOOKUP(D491,'MASTER ITEM LIST'!A:A,'MASTER ITEM LIST'!D:D), "")</f>
        <v>LITER</v>
      </c>
      <c r="I491" s="40">
        <v>2440.0</v>
      </c>
      <c r="J491" s="41">
        <f t="shared" si="1"/>
        <v>9760</v>
      </c>
    </row>
    <row r="492" ht="22.5" customHeight="1">
      <c r="A492" s="29">
        <v>46189.0</v>
      </c>
      <c r="B492" s="31"/>
      <c r="C492" s="32" t="s">
        <v>1205</v>
      </c>
      <c r="D492" s="42" t="s">
        <v>717</v>
      </c>
      <c r="E492" s="35" t="str">
        <f t="array" ref="E492">IF(D492="", "", XLOOKUP(D492, 'MASTER ITEM LIST'!A:A, 'MASTER ITEM LIST'!B:B, ""))</f>
        <v>CROCO MASKING TAPE #1</v>
      </c>
      <c r="F492" s="37" t="s">
        <v>1204</v>
      </c>
      <c r="G492" s="31">
        <v>1.0</v>
      </c>
      <c r="H492" s="39" t="str">
        <f t="array" ref="H492">IFERROR(XLOOKUP(D492,'MASTER ITEM LIST'!A:A,'MASTER ITEM LIST'!D:D), "")</f>
        <v>PCS</v>
      </c>
      <c r="I492" s="40">
        <v>32.0</v>
      </c>
      <c r="J492" s="41">
        <f t="shared" si="1"/>
        <v>32</v>
      </c>
    </row>
    <row r="493" ht="22.5" customHeight="1">
      <c r="A493" s="29">
        <v>46190.0</v>
      </c>
      <c r="B493" s="31"/>
      <c r="C493" s="32" t="s">
        <v>1307</v>
      </c>
      <c r="D493" s="42" t="s">
        <v>1162</v>
      </c>
      <c r="E493" s="35" t="str">
        <f t="array" ref="E493">IF(D493="", "", XLOOKUP(D493, 'MASTER ITEM LIST'!A:A, 'MASTER ITEM LIST'!B:B, ""))</f>
        <v>EXTREME QDU MIXING 4L</v>
      </c>
      <c r="F493" s="37" t="s">
        <v>41</v>
      </c>
      <c r="G493" s="31">
        <v>1.0</v>
      </c>
      <c r="H493" s="39" t="str">
        <f t="array" ref="H493">IFERROR(XLOOKUP(D493,'MASTER ITEM LIST'!A:A,'MASTER ITEM LIST'!D:D), "")</f>
        <v>GALON</v>
      </c>
      <c r="I493" s="40">
        <v>2000.0</v>
      </c>
      <c r="J493" s="41">
        <f t="shared" si="1"/>
        <v>2000</v>
      </c>
    </row>
    <row r="494" ht="22.5" customHeight="1">
      <c r="A494" s="29">
        <v>46190.0</v>
      </c>
      <c r="B494" s="31"/>
      <c r="C494" s="32" t="s">
        <v>1203</v>
      </c>
      <c r="D494" s="33" t="s">
        <v>72</v>
      </c>
      <c r="E494" s="35" t="str">
        <f t="array" ref="E494">IF(D494="", "", XLOOKUP(D494, 'MASTER ITEM LIST'!A:A, 'MASTER ITEM LIST'!B:B, ""))</f>
        <v>NIPPON EXTREME QDU BLACK 4L</v>
      </c>
      <c r="F494" s="37" t="s">
        <v>1204</v>
      </c>
      <c r="G494" s="31">
        <v>1.0</v>
      </c>
      <c r="H494" s="39" t="str">
        <f t="array" ref="H494">IFERROR(XLOOKUP(D494,'MASTER ITEM LIST'!A:A,'MASTER ITEM LIST'!D:D), "")</f>
        <v>GAL</v>
      </c>
      <c r="I494" s="40">
        <v>1485.0</v>
      </c>
      <c r="J494" s="41">
        <f t="shared" si="1"/>
        <v>1485</v>
      </c>
    </row>
    <row r="495" ht="22.5" customHeight="1">
      <c r="A495" s="29">
        <v>46195.0</v>
      </c>
      <c r="B495" s="31"/>
      <c r="C495" s="32" t="s">
        <v>1203</v>
      </c>
      <c r="D495" s="33" t="s">
        <v>759</v>
      </c>
      <c r="E495" s="35" t="str">
        <f t="array" ref="E495">IF(D495="", "", XLOOKUP(D495, 'MASTER ITEM LIST'!A:A, 'MASTER ITEM LIST'!B:B, ""))</f>
        <v>NAX NAT-1110 TTC BRIGHT WHITE 4L</v>
      </c>
      <c r="F495" s="37" t="s">
        <v>1204</v>
      </c>
      <c r="G495" s="31">
        <v>1.0</v>
      </c>
      <c r="H495" s="39" t="str">
        <f t="array" ref="H495">IFERROR(XLOOKUP(D495,'MASTER ITEM LIST'!A:A,'MASTER ITEM LIST'!D:D), "")</f>
        <v>GAL</v>
      </c>
      <c r="I495" s="40">
        <v>2400.0</v>
      </c>
      <c r="J495" s="41">
        <f t="shared" si="1"/>
        <v>2400</v>
      </c>
    </row>
    <row r="496" ht="22.5" customHeight="1">
      <c r="A496" s="29">
        <v>46195.0</v>
      </c>
      <c r="B496" s="31"/>
      <c r="C496" s="32" t="s">
        <v>1307</v>
      </c>
      <c r="D496" s="42" t="s">
        <v>1158</v>
      </c>
      <c r="E496" s="35" t="str">
        <f t="array" ref="E496">IF(D496="", "", XLOOKUP(D496, 'MASTER ITEM LIST'!A:A, 'MASTER ITEM LIST'!B:B, ""))</f>
        <v>NAX QDU MIX 4L</v>
      </c>
      <c r="F496" s="37" t="s">
        <v>41</v>
      </c>
      <c r="G496" s="31">
        <v>1.0</v>
      </c>
      <c r="H496" s="39" t="str">
        <f t="array" ref="H496">IFERROR(XLOOKUP(D496,'MASTER ITEM LIST'!A:A,'MASTER ITEM LIST'!D:D), "")</f>
        <v>GALON</v>
      </c>
      <c r="I496" s="40">
        <v>3600.0</v>
      </c>
      <c r="J496" s="41">
        <f t="shared" si="1"/>
        <v>3600</v>
      </c>
    </row>
    <row r="497" ht="22.5" customHeight="1">
      <c r="A497" s="29">
        <v>46195.0</v>
      </c>
      <c r="B497" s="31"/>
      <c r="C497" s="32" t="s">
        <v>1203</v>
      </c>
      <c r="D497" s="33" t="s">
        <v>563</v>
      </c>
      <c r="E497" s="35" t="str">
        <f t="array" ref="E497">IF(D497="", "", XLOOKUP(D497, 'MASTER ITEM LIST'!A:A, 'MASTER ITEM LIST'!B:B, ""))</f>
        <v>NIPPON EXTREME QDU WHITE 4L</v>
      </c>
      <c r="F497" s="37" t="s">
        <v>1204</v>
      </c>
      <c r="G497" s="31">
        <v>1.0</v>
      </c>
      <c r="H497" s="39" t="str">
        <f t="array" ref="H497">IFERROR(XLOOKUP(D497,'MASTER ITEM LIST'!A:A,'MASTER ITEM LIST'!D:D), "")</f>
        <v>GAL</v>
      </c>
      <c r="I497" s="40">
        <v>1550.0</v>
      </c>
      <c r="J497" s="41">
        <f t="shared" si="1"/>
        <v>1550</v>
      </c>
    </row>
    <row r="498" ht="22.5" customHeight="1">
      <c r="A498" s="29">
        <v>46195.0</v>
      </c>
      <c r="B498" s="31"/>
      <c r="C498" s="32" t="s">
        <v>1307</v>
      </c>
      <c r="D498" s="42" t="s">
        <v>1162</v>
      </c>
      <c r="E498" s="35" t="str">
        <f t="array" ref="E498">IF(D498="", "", XLOOKUP(D498, 'MASTER ITEM LIST'!A:A, 'MASTER ITEM LIST'!B:B, ""))</f>
        <v>EXTREME QDU MIXING 4L</v>
      </c>
      <c r="F498" s="37" t="s">
        <v>41</v>
      </c>
      <c r="G498" s="31">
        <v>1.0</v>
      </c>
      <c r="H498" s="39" t="str">
        <f t="array" ref="H498">IFERROR(XLOOKUP(D498,'MASTER ITEM LIST'!A:A,'MASTER ITEM LIST'!D:D), "")</f>
        <v>GALON</v>
      </c>
      <c r="I498" s="40">
        <v>2000.0</v>
      </c>
      <c r="J498" s="41">
        <f t="shared" si="1"/>
        <v>2000</v>
      </c>
    </row>
    <row r="499" ht="22.5" customHeight="1">
      <c r="A499" s="29">
        <v>46196.0</v>
      </c>
      <c r="B499" s="31"/>
      <c r="C499" s="32" t="s">
        <v>1307</v>
      </c>
      <c r="D499" s="42" t="s">
        <v>134</v>
      </c>
      <c r="E499" s="35" t="str">
        <f t="array" ref="E499">IF(D499="", "", XLOOKUP(D499, 'MASTER ITEM LIST'!A:A, 'MASTER ITEM LIST'!B:B, ""))</f>
        <v>QDE MIXING NP, DAVIES, BOYSEN, ALPHA CHROMA, WC 1L</v>
      </c>
      <c r="F499" s="37" t="s">
        <v>41</v>
      </c>
      <c r="G499" s="31">
        <v>19.75</v>
      </c>
      <c r="H499" s="39" t="str">
        <f t="array" ref="H499">IFERROR(XLOOKUP(D499,'MASTER ITEM LIST'!A:A,'MASTER ITEM LIST'!D:D), "")</f>
        <v>LITER</v>
      </c>
      <c r="I499" s="40">
        <v>200.0</v>
      </c>
      <c r="J499" s="41"/>
    </row>
    <row r="500" ht="22.5" customHeight="1">
      <c r="A500" s="29">
        <v>46196.0</v>
      </c>
      <c r="B500" s="31"/>
      <c r="C500" s="32" t="s">
        <v>1307</v>
      </c>
      <c r="D500" s="42" t="s">
        <v>701</v>
      </c>
      <c r="E500" s="35" t="str">
        <f t="array" ref="E500">IF(D500="", "", XLOOKUP(D500, 'MASTER ITEM LIST'!A:A, 'MASTER ITEM LIST'!B:B, ""))</f>
        <v>QDE NP, ALPHA CHROMA, DAVIES, BOYSEN 4L</v>
      </c>
      <c r="F500" s="37" t="s">
        <v>41</v>
      </c>
      <c r="G500" s="31">
        <v>1.0</v>
      </c>
      <c r="H500" s="39" t="str">
        <f t="array" ref="H500">IFERROR(XLOOKUP(D500,'MASTER ITEM LIST'!A:A,'MASTER ITEM LIST'!D:D), "")</f>
        <v>GALON</v>
      </c>
      <c r="I500" s="40">
        <v>800.0</v>
      </c>
      <c r="J500" s="41">
        <f t="shared" ref="J500:J2000" si="2">IF(G500="", "",G500*I500)</f>
        <v>800</v>
      </c>
    </row>
    <row r="501" ht="22.5" customHeight="1">
      <c r="A501" s="29">
        <v>46196.0</v>
      </c>
      <c r="B501" s="31"/>
      <c r="C501" s="32" t="s">
        <v>1307</v>
      </c>
      <c r="D501" s="42" t="s">
        <v>220</v>
      </c>
      <c r="E501" s="35" t="str">
        <f t="array" ref="E501">IF(D501="", "", XLOOKUP(D501, 'MASTER ITEM LIST'!A:A, 'MASTER ITEM LIST'!B:B, ""))</f>
        <v>PREMILA MIXING 1L</v>
      </c>
      <c r="F501" s="37" t="s">
        <v>41</v>
      </c>
      <c r="G501" s="31">
        <v>43.625</v>
      </c>
      <c r="H501" s="39" t="str">
        <f t="array" ref="H501">IFERROR(XLOOKUP(D501,'MASTER ITEM LIST'!A:A,'MASTER ITEM LIST'!D:D), "")</f>
        <v>LITER</v>
      </c>
      <c r="I501" s="40">
        <v>2440.0</v>
      </c>
      <c r="J501" s="41">
        <f t="shared" si="2"/>
        <v>106445</v>
      </c>
    </row>
    <row r="502" ht="22.5" customHeight="1">
      <c r="A502" s="29">
        <v>46196.0</v>
      </c>
      <c r="B502" s="31"/>
      <c r="C502" s="32" t="s">
        <v>1307</v>
      </c>
      <c r="D502" s="42" t="s">
        <v>599</v>
      </c>
      <c r="E502" s="35" t="str">
        <f t="array" ref="E502">IF(D502="", "", XLOOKUP(D502, 'MASTER ITEM LIST'!A:A, 'MASTER ITEM LIST'!B:B, ""))</f>
        <v>ACRYLIC NP, TIMEOUT 1L</v>
      </c>
      <c r="F502" s="37" t="s">
        <v>41</v>
      </c>
      <c r="G502" s="31">
        <v>1.5</v>
      </c>
      <c r="H502" s="39" t="str">
        <f t="array" ref="H502">IFERROR(XLOOKUP(D502,'MASTER ITEM LIST'!A:A,'MASTER ITEM LIST'!D:D), "")</f>
        <v>LITER</v>
      </c>
      <c r="I502" s="40">
        <v>310.0</v>
      </c>
      <c r="J502" s="41">
        <f t="shared" si="2"/>
        <v>465</v>
      </c>
    </row>
    <row r="503" ht="22.5" customHeight="1">
      <c r="A503" s="29">
        <v>46196.0</v>
      </c>
      <c r="B503" s="31"/>
      <c r="C503" s="32" t="s">
        <v>1307</v>
      </c>
      <c r="D503" s="42" t="s">
        <v>1155</v>
      </c>
      <c r="E503" s="35" t="str">
        <f t="array" ref="E503">IF(D503="", "", XLOOKUP(D503, 'MASTER ITEM LIST'!A:A, 'MASTER ITEM LIST'!B:B, ""))</f>
        <v>LATEX NP, ALPHA CHROMA, DAVIES, BOYSEN, WC 4L</v>
      </c>
      <c r="F503" s="37" t="s">
        <v>41</v>
      </c>
      <c r="G503" s="31">
        <v>2.0</v>
      </c>
      <c r="H503" s="39" t="str">
        <f t="array" ref="H503">IFERROR(XLOOKUP(D503,'MASTER ITEM LIST'!A:A,'MASTER ITEM LIST'!D:D), "")</f>
        <v>GALON</v>
      </c>
      <c r="I503" s="40">
        <v>900.0</v>
      </c>
      <c r="J503" s="41">
        <f t="shared" si="2"/>
        <v>1800</v>
      </c>
    </row>
    <row r="504" ht="22.5" customHeight="1">
      <c r="A504" s="29">
        <v>46196.0</v>
      </c>
      <c r="B504" s="31"/>
      <c r="C504" s="32" t="s">
        <v>1307</v>
      </c>
      <c r="D504" s="42" t="s">
        <v>371</v>
      </c>
      <c r="E504" s="35" t="str">
        <f t="array" ref="E504">IF(D504="", "", XLOOKUP(D504, 'MASTER ITEM LIST'!A:A, 'MASTER ITEM LIST'!B:B, ""))</f>
        <v>LATEX NP, ALPHA CHROMA, DAVIES, BOYSEN, WC 1L</v>
      </c>
      <c r="F504" s="37" t="s">
        <v>41</v>
      </c>
      <c r="G504" s="31">
        <v>0.75</v>
      </c>
      <c r="H504" s="39" t="str">
        <f t="array" ref="H504">IFERROR(XLOOKUP(D504,'MASTER ITEM LIST'!A:A,'MASTER ITEM LIST'!D:D), "")</f>
        <v>LITER</v>
      </c>
      <c r="I504" s="40">
        <v>240.0</v>
      </c>
      <c r="J504" s="41">
        <f t="shared" si="2"/>
        <v>180</v>
      </c>
    </row>
    <row r="505" ht="22.5" customHeight="1">
      <c r="A505" s="29">
        <v>46196.0</v>
      </c>
      <c r="B505" s="31"/>
      <c r="C505" s="32" t="s">
        <v>1307</v>
      </c>
      <c r="D505" s="42" t="s">
        <v>1158</v>
      </c>
      <c r="E505" s="35" t="str">
        <f t="array" ref="E505">IF(D505="", "", XLOOKUP(D505, 'MASTER ITEM LIST'!A:A, 'MASTER ITEM LIST'!B:B, ""))</f>
        <v>NAX QDU MIX 4L</v>
      </c>
      <c r="F505" s="37" t="s">
        <v>41</v>
      </c>
      <c r="G505" s="31">
        <v>6.5625</v>
      </c>
      <c r="H505" s="39" t="str">
        <f t="array" ref="H505">IFERROR(XLOOKUP(D505,'MASTER ITEM LIST'!A:A,'MASTER ITEM LIST'!D:D), "")</f>
        <v>GALON</v>
      </c>
      <c r="I505" s="40">
        <v>3600.0</v>
      </c>
      <c r="J505" s="41">
        <f t="shared" si="2"/>
        <v>23625</v>
      </c>
    </row>
    <row r="506" ht="22.5" customHeight="1">
      <c r="A506" s="29">
        <v>46196.0</v>
      </c>
      <c r="B506" s="31"/>
      <c r="C506" s="32" t="s">
        <v>1307</v>
      </c>
      <c r="D506" s="42" t="s">
        <v>167</v>
      </c>
      <c r="E506" s="35" t="str">
        <f t="array" ref="E506">IF(D506="", "", XLOOKUP(D506, 'MASTER ITEM LIST'!A:A, 'MASTER ITEM LIST'!B:B, ""))</f>
        <v>NAX QDU MIX 1L</v>
      </c>
      <c r="F506" s="37" t="s">
        <v>41</v>
      </c>
      <c r="G506" s="13">
        <v>36.075</v>
      </c>
      <c r="H506" s="39" t="str">
        <f t="array" ref="H506">IFERROR(XLOOKUP(D506,'MASTER ITEM LIST'!A:A,'MASTER ITEM LIST'!D:D), "")</f>
        <v>LITER</v>
      </c>
      <c r="I506" s="40">
        <v>900.0</v>
      </c>
      <c r="J506" s="41">
        <f t="shared" si="2"/>
        <v>32467.5</v>
      </c>
    </row>
    <row r="507" ht="22.5" customHeight="1">
      <c r="A507" s="29">
        <v>46196.0</v>
      </c>
      <c r="B507" s="31"/>
      <c r="C507" s="32" t="s">
        <v>1307</v>
      </c>
      <c r="D507" s="42" t="s">
        <v>31</v>
      </c>
      <c r="E507" s="35" t="str">
        <f t="array" ref="E507">IF(D507="", "", XLOOKUP(D507, 'MASTER ITEM LIST'!A:A, 'MASTER ITEM LIST'!B:B, ""))</f>
        <v>EXTREME QDU MIXING 1L</v>
      </c>
      <c r="F507" s="37" t="s">
        <v>41</v>
      </c>
      <c r="G507" s="31">
        <v>18.25</v>
      </c>
      <c r="H507" s="39" t="str">
        <f t="array" ref="H507">IFERROR(XLOOKUP(D507,'MASTER ITEM LIST'!A:A,'MASTER ITEM LIST'!D:D), "")</f>
        <v>LITER</v>
      </c>
      <c r="I507" s="40">
        <v>500.0</v>
      </c>
      <c r="J507" s="41">
        <f t="shared" si="2"/>
        <v>9125</v>
      </c>
    </row>
    <row r="508" ht="22.5" customHeight="1">
      <c r="A508" s="29">
        <v>46196.0</v>
      </c>
      <c r="B508" s="31"/>
      <c r="C508" s="32" t="s">
        <v>1203</v>
      </c>
      <c r="D508" s="42" t="s">
        <v>571</v>
      </c>
      <c r="E508" s="35" t="str">
        <f t="array" ref="E508">IF(D508="", "", XLOOKUP(D508, 'MASTER ITEM LIST'!A:A, 'MASTER ITEM LIST'!B:B, ""))</f>
        <v>NIPPON EXTREME QDU RED 4L</v>
      </c>
      <c r="F508" s="37" t="s">
        <v>41</v>
      </c>
      <c r="G508" s="31">
        <v>0.3125</v>
      </c>
      <c r="H508" s="39" t="str">
        <f t="array" ref="H508">IFERROR(XLOOKUP(D508,'MASTER ITEM LIST'!A:A,'MASTER ITEM LIST'!D:D), "")</f>
        <v>GAL</v>
      </c>
      <c r="I508" s="40">
        <v>1630.0</v>
      </c>
      <c r="J508" s="41">
        <f t="shared" si="2"/>
        <v>509.375</v>
      </c>
    </row>
    <row r="509" ht="22.5" customHeight="1">
      <c r="A509" s="29">
        <v>46196.0</v>
      </c>
      <c r="B509" s="31"/>
      <c r="C509" s="32" t="s">
        <v>1307</v>
      </c>
      <c r="D509" s="42" t="s">
        <v>1012</v>
      </c>
      <c r="E509" s="35" t="str">
        <f t="array" ref="E509">IF(D509="", "", XLOOKUP(D509, 'MASTER ITEM LIST'!A:A, 'MASTER ITEM LIST'!B:B, ""))</f>
        <v>GLAZER AUTOMOTIVE ENAMEL WHITE (R) 1L</v>
      </c>
      <c r="F509" s="37" t="s">
        <v>41</v>
      </c>
      <c r="G509" s="31">
        <v>1.0</v>
      </c>
      <c r="H509" s="39" t="str">
        <f t="array" ref="H509">IFERROR(XLOOKUP(D509,'MASTER ITEM LIST'!A:A,'MASTER ITEM LIST'!D:D), "")</f>
        <v>LITER</v>
      </c>
      <c r="I509" s="40">
        <v>280.0</v>
      </c>
      <c r="J509" s="41">
        <f t="shared" si="2"/>
        <v>280</v>
      </c>
    </row>
    <row r="510" ht="22.5" customHeight="1">
      <c r="A510" s="29">
        <v>46196.0</v>
      </c>
      <c r="B510" s="31"/>
      <c r="C510" s="32" t="s">
        <v>1203</v>
      </c>
      <c r="D510" s="33" t="s">
        <v>568</v>
      </c>
      <c r="E510" s="35" t="str">
        <f t="array" ref="E510">IF(D510="", "", XLOOKUP(D510, 'MASTER ITEM LIST'!A:A, 'MASTER ITEM LIST'!B:B, ""))</f>
        <v>NIPPON EXTREME QDU SILVER 4L</v>
      </c>
      <c r="F510" s="37" t="s">
        <v>1204</v>
      </c>
      <c r="G510" s="31">
        <v>1.0</v>
      </c>
      <c r="H510" s="39" t="str">
        <f t="array" ref="H510">IFERROR(XLOOKUP(D510,'MASTER ITEM LIST'!A:A,'MASTER ITEM LIST'!D:D), "")</f>
        <v>GAL</v>
      </c>
      <c r="I510" s="40">
        <v>1485.0</v>
      </c>
      <c r="J510" s="41">
        <f t="shared" si="2"/>
        <v>1485</v>
      </c>
    </row>
    <row r="511" ht="22.5" customHeight="1">
      <c r="A511" s="29">
        <v>46196.0</v>
      </c>
      <c r="B511" s="31"/>
      <c r="C511" s="32" t="s">
        <v>1307</v>
      </c>
      <c r="D511" s="42" t="s">
        <v>1162</v>
      </c>
      <c r="E511" s="35" t="str">
        <f t="array" ref="E511">IF(D511="", "", XLOOKUP(D511, 'MASTER ITEM LIST'!A:A, 'MASTER ITEM LIST'!B:B, ""))</f>
        <v>EXTREME QDU MIXING 4L</v>
      </c>
      <c r="F511" s="37" t="s">
        <v>41</v>
      </c>
      <c r="G511" s="31">
        <v>1.0</v>
      </c>
      <c r="H511" s="39" t="str">
        <f t="array" ref="H511">IFERROR(XLOOKUP(D511,'MASTER ITEM LIST'!A:A,'MASTER ITEM LIST'!D:D), "")</f>
        <v>GALON</v>
      </c>
      <c r="I511" s="40">
        <v>2000.0</v>
      </c>
      <c r="J511" s="41">
        <f t="shared" si="2"/>
        <v>2000</v>
      </c>
    </row>
    <row r="512" ht="22.5" customHeight="1">
      <c r="A512" s="29">
        <v>46196.0</v>
      </c>
      <c r="B512" s="31"/>
      <c r="C512" s="32" t="s">
        <v>1203</v>
      </c>
      <c r="D512" s="42" t="s">
        <v>429</v>
      </c>
      <c r="E512" s="35" t="str">
        <f t="array" ref="E512">IF(D512="", "", XLOOKUP(D512, 'MASTER ITEM LIST'!A:A, 'MASTER ITEM LIST'!B:B, ""))</f>
        <v>NAX PREMILA MT025 HIGH SPARKLE SUPER COARSE 1L</v>
      </c>
      <c r="F512" s="37" t="s">
        <v>1204</v>
      </c>
      <c r="G512" s="31">
        <v>1.0</v>
      </c>
      <c r="H512" s="39" t="str">
        <f t="array" ref="H512">IFERROR(XLOOKUP(D512,'MASTER ITEM LIST'!A:A,'MASTER ITEM LIST'!D:D), "")</f>
        <v>LTR/S</v>
      </c>
      <c r="I512" s="40">
        <v>1745.0</v>
      </c>
      <c r="J512" s="41">
        <f t="shared" si="2"/>
        <v>1745</v>
      </c>
    </row>
    <row r="513" ht="22.5" customHeight="1">
      <c r="A513" s="29">
        <v>46196.0</v>
      </c>
      <c r="B513" s="31"/>
      <c r="C513" s="32" t="s">
        <v>1203</v>
      </c>
      <c r="D513" s="33" t="s">
        <v>1183</v>
      </c>
      <c r="E513" s="35" t="str">
        <f t="array" ref="E513">IF(D513="", "", XLOOKUP(D513, 'MASTER ITEM LIST'!A:A, 'MASTER ITEM LIST'!B:B, ""))</f>
        <v>GLAZER AUTOMOTIVE ENAMEL THALO BLUE-4L</v>
      </c>
      <c r="F513" s="37" t="s">
        <v>1204</v>
      </c>
      <c r="G513" s="31">
        <v>1.0</v>
      </c>
      <c r="H513" s="39" t="str">
        <f t="array" ref="H513">IFERROR(XLOOKUP(D513,'MASTER ITEM LIST'!A:A,'MASTER ITEM LIST'!D:D), "")</f>
        <v>GALON</v>
      </c>
      <c r="I513" s="40"/>
      <c r="J513" s="41">
        <f t="shared" si="2"/>
        <v>0</v>
      </c>
    </row>
    <row r="514" ht="22.5" customHeight="1">
      <c r="A514" s="29">
        <v>46196.0</v>
      </c>
      <c r="B514" s="31"/>
      <c r="C514" s="32" t="s">
        <v>1307</v>
      </c>
      <c r="D514" s="42" t="s">
        <v>798</v>
      </c>
      <c r="E514" s="35" t="str">
        <f t="array" ref="E514">IF(D514="", "", XLOOKUP(D514, 'MASTER ITEM LIST'!A:A, 'MASTER ITEM LIST'!B:B, ""))</f>
        <v>GLAZER AUTO ENAMEL MIX 4L</v>
      </c>
      <c r="F514" s="37" t="s">
        <v>41</v>
      </c>
      <c r="G514" s="31">
        <v>2.0</v>
      </c>
      <c r="H514" s="39" t="str">
        <f t="array" ref="H514">IFERROR(XLOOKUP(D514,'MASTER ITEM LIST'!A:A,'MASTER ITEM LIST'!D:D), "")</f>
        <v>GAL</v>
      </c>
      <c r="I514" s="40">
        <v>1400.0</v>
      </c>
      <c r="J514" s="41">
        <f t="shared" si="2"/>
        <v>2800</v>
      </c>
    </row>
    <row r="515" ht="22.5" customHeight="1">
      <c r="A515" s="29">
        <v>46196.0</v>
      </c>
      <c r="B515" s="31"/>
      <c r="C515" s="32" t="s">
        <v>1203</v>
      </c>
      <c r="D515" s="33" t="s">
        <v>718</v>
      </c>
      <c r="E515" s="35" t="str">
        <f t="array" ref="E515">IF(D515="", "", XLOOKUP(D515, 'MASTER ITEM LIST'!A:A, 'MASTER ITEM LIST'!B:B, ""))</f>
        <v>NAX PREMILA NB100 B/C BINDER 4L</v>
      </c>
      <c r="F515" s="37" t="s">
        <v>1204</v>
      </c>
      <c r="G515" s="31">
        <v>1.0</v>
      </c>
      <c r="H515" s="39" t="str">
        <f t="array" ref="H515">IFERROR(XLOOKUP(D515,'MASTER ITEM LIST'!A:A,'MASTER ITEM LIST'!D:D), "")</f>
        <v>GAL</v>
      </c>
      <c r="I515" s="40">
        <v>2100.0</v>
      </c>
      <c r="J515" s="41">
        <f t="shared" si="2"/>
        <v>2100</v>
      </c>
    </row>
    <row r="516" ht="22.5" customHeight="1">
      <c r="A516" s="29">
        <v>46196.0</v>
      </c>
      <c r="B516" s="31"/>
      <c r="C516" s="32" t="s">
        <v>1307</v>
      </c>
      <c r="D516" s="42" t="s">
        <v>220</v>
      </c>
      <c r="E516" s="35" t="str">
        <f t="array" ref="E516">IF(D516="", "", XLOOKUP(D516, 'MASTER ITEM LIST'!A:A, 'MASTER ITEM LIST'!B:B, ""))</f>
        <v>PREMILA MIXING 1L</v>
      </c>
      <c r="F516" s="37" t="s">
        <v>41</v>
      </c>
      <c r="G516" s="31">
        <v>4.0</v>
      </c>
      <c r="H516" s="39" t="str">
        <f t="array" ref="H516">IFERROR(XLOOKUP(D516,'MASTER ITEM LIST'!A:A,'MASTER ITEM LIST'!D:D), "")</f>
        <v>LITER</v>
      </c>
      <c r="I516" s="40">
        <v>2440.0</v>
      </c>
      <c r="J516" s="41">
        <f t="shared" si="2"/>
        <v>9760</v>
      </c>
    </row>
    <row r="517" ht="22.5" customHeight="1">
      <c r="A517" s="29">
        <v>46196.0</v>
      </c>
      <c r="B517" s="31"/>
      <c r="C517" s="32" t="s">
        <v>1205</v>
      </c>
      <c r="D517" s="42" t="s">
        <v>717</v>
      </c>
      <c r="E517" s="35" t="str">
        <f t="array" ref="E517">IF(D517="", "", XLOOKUP(D517, 'MASTER ITEM LIST'!A:A, 'MASTER ITEM LIST'!B:B, ""))</f>
        <v>CROCO MASKING TAPE #1</v>
      </c>
      <c r="F517" s="37" t="s">
        <v>1204</v>
      </c>
      <c r="G517" s="31">
        <v>1.0</v>
      </c>
      <c r="H517" s="39" t="str">
        <f t="array" ref="H517">IFERROR(XLOOKUP(D517,'MASTER ITEM LIST'!A:A,'MASTER ITEM LIST'!D:D), "")</f>
        <v>PCS</v>
      </c>
      <c r="I517" s="40">
        <v>32.0</v>
      </c>
      <c r="J517" s="41">
        <f t="shared" si="2"/>
        <v>32</v>
      </c>
    </row>
    <row r="518" ht="22.5" customHeight="1">
      <c r="A518" s="29">
        <v>46196.0</v>
      </c>
      <c r="B518" s="31" t="s">
        <v>1329</v>
      </c>
      <c r="C518" s="32" t="s">
        <v>38</v>
      </c>
      <c r="D518" s="42" t="s">
        <v>90</v>
      </c>
      <c r="E518" s="35" t="str">
        <f t="array" ref="E518">IF(D518="", "", XLOOKUP(D518, 'MASTER ITEM LIST'!A:A, 'MASTER ITEM LIST'!B:B, ""))</f>
        <v>NAX SOB757 HIGH GRADE URETHANE THINNER 4L</v>
      </c>
      <c r="F518" s="37" t="s">
        <v>41</v>
      </c>
      <c r="G518" s="31">
        <v>18.0</v>
      </c>
      <c r="H518" s="39" t="str">
        <f t="array" ref="H518">IFERROR(XLOOKUP(D518,'MASTER ITEM LIST'!A:A,'MASTER ITEM LIST'!D:D), "")</f>
        <v>GAL</v>
      </c>
      <c r="I518" s="40">
        <v>700.0</v>
      </c>
      <c r="J518" s="41">
        <f t="shared" si="2"/>
        <v>12600</v>
      </c>
    </row>
    <row r="519" ht="22.5" customHeight="1">
      <c r="A519" s="29">
        <v>46196.0</v>
      </c>
      <c r="B519" s="31" t="s">
        <v>1329</v>
      </c>
      <c r="C519" s="32" t="s">
        <v>38</v>
      </c>
      <c r="D519" s="42" t="s">
        <v>53</v>
      </c>
      <c r="E519" s="35" t="str">
        <f t="array" ref="E519">IF(D519="", "", XLOOKUP(D519, 'MASTER ITEM LIST'!A:A, 'MASTER ITEM LIST'!B:B, ""))</f>
        <v>NAX 108 CERAMIC 2K CLEAR WITH HARDENER 1L</v>
      </c>
      <c r="F519" s="37" t="s">
        <v>41</v>
      </c>
      <c r="G519" s="31">
        <v>24.0</v>
      </c>
      <c r="H519" s="39" t="str">
        <f t="array" ref="H519">IFERROR(XLOOKUP(D519,'MASTER ITEM LIST'!A:A,'MASTER ITEM LIST'!D:D), "")</f>
        <v>LITER</v>
      </c>
      <c r="I519" s="40">
        <v>600.0</v>
      </c>
      <c r="J519" s="41">
        <f t="shared" si="2"/>
        <v>14400</v>
      </c>
    </row>
    <row r="520" ht="22.5" customHeight="1">
      <c r="A520" s="29">
        <v>46196.0</v>
      </c>
      <c r="B520" s="31" t="s">
        <v>1329</v>
      </c>
      <c r="C520" s="32" t="s">
        <v>38</v>
      </c>
      <c r="D520" s="42" t="s">
        <v>233</v>
      </c>
      <c r="E520" s="35" t="str">
        <f t="array" ref="E520">IF(D520="", "", XLOOKUP(D520, 'MASTER ITEM LIST'!A:A, 'MASTER ITEM LIST'!B:B, ""))</f>
        <v>NAX ALPHA HB SPRAY FILLER GRAY WITH HARDENER 1L</v>
      </c>
      <c r="F520" s="37" t="s">
        <v>41</v>
      </c>
      <c r="G520" s="31">
        <v>12.0</v>
      </c>
      <c r="H520" s="39" t="str">
        <f t="array" ref="H520">IFERROR(XLOOKUP(D520,'MASTER ITEM LIST'!A:A,'MASTER ITEM LIST'!D:D), "")</f>
        <v>LITER</v>
      </c>
      <c r="I520" s="40">
        <v>500.0</v>
      </c>
      <c r="J520" s="41">
        <f t="shared" si="2"/>
        <v>6000</v>
      </c>
    </row>
    <row r="521" ht="22.5" customHeight="1">
      <c r="A521" s="29">
        <v>46196.0</v>
      </c>
      <c r="B521" s="31" t="s">
        <v>1329</v>
      </c>
      <c r="C521" s="32" t="s">
        <v>38</v>
      </c>
      <c r="D521" s="42" t="s">
        <v>326</v>
      </c>
      <c r="E521" s="35" t="str">
        <f t="array" ref="E521">IF(D521="", "", XLOOKUP(D521, 'MASTER ITEM LIST'!A:A, 'MASTER ITEM LIST'!B:B, ""))</f>
        <v>EAGLE SANDPAPER #1200</v>
      </c>
      <c r="F521" s="37" t="s">
        <v>41</v>
      </c>
      <c r="G521" s="31">
        <v>100.0</v>
      </c>
      <c r="H521" s="39" t="str">
        <f t="array" ref="H521">IFERROR(XLOOKUP(D521,'MASTER ITEM LIST'!A:A,'MASTER ITEM LIST'!D:D), "")</f>
        <v>PC/S</v>
      </c>
      <c r="I521" s="40">
        <v>19.5</v>
      </c>
      <c r="J521" s="41">
        <f t="shared" si="2"/>
        <v>1950</v>
      </c>
    </row>
    <row r="522" ht="22.5" customHeight="1">
      <c r="A522" s="29">
        <v>46196.0</v>
      </c>
      <c r="B522" s="31" t="s">
        <v>1329</v>
      </c>
      <c r="C522" s="32" t="s">
        <v>38</v>
      </c>
      <c r="D522" s="42" t="s">
        <v>516</v>
      </c>
      <c r="E522" s="35" t="str">
        <f t="array" ref="E522">IF(D522="", "", XLOOKUP(D522, 'MASTER ITEM LIST'!A:A, 'MASTER ITEM LIST'!B:B, ""))</f>
        <v>EAGLE SANDPAPER #1500</v>
      </c>
      <c r="F522" s="37" t="s">
        <v>41</v>
      </c>
      <c r="G522" s="31">
        <v>100.0</v>
      </c>
      <c r="H522" s="39" t="str">
        <f t="array" ref="H522">IFERROR(XLOOKUP(D522,'MASTER ITEM LIST'!A:A,'MASTER ITEM LIST'!D:D), "")</f>
        <v>PC/S</v>
      </c>
      <c r="I522" s="40">
        <v>28.0</v>
      </c>
      <c r="J522" s="41">
        <f t="shared" si="2"/>
        <v>2800</v>
      </c>
    </row>
    <row r="523" ht="22.5" customHeight="1">
      <c r="A523" s="29">
        <v>46196.0</v>
      </c>
      <c r="B523" s="31" t="s">
        <v>1329</v>
      </c>
      <c r="C523" s="32" t="s">
        <v>38</v>
      </c>
      <c r="D523" s="42" t="s">
        <v>198</v>
      </c>
      <c r="E523" s="35" t="str">
        <f t="array" ref="E523">IF(D523="", "", XLOOKUP(D523, 'MASTER ITEM LIST'!A:A, 'MASTER ITEM LIST'!B:B, ""))</f>
        <v>EAGLE SANDPAPER #2000</v>
      </c>
      <c r="F523" s="37" t="s">
        <v>41</v>
      </c>
      <c r="G523" s="31">
        <v>100.0</v>
      </c>
      <c r="H523" s="39" t="str">
        <f t="array" ref="H523">IFERROR(XLOOKUP(D523,'MASTER ITEM LIST'!A:A,'MASTER ITEM LIST'!D:D), "")</f>
        <v>PC/S</v>
      </c>
      <c r="I523" s="40">
        <v>28.0</v>
      </c>
      <c r="J523" s="41">
        <f t="shared" si="2"/>
        <v>2800</v>
      </c>
    </row>
    <row r="524" ht="22.5" customHeight="1">
      <c r="A524" s="29">
        <v>46196.0</v>
      </c>
      <c r="B524" s="31" t="s">
        <v>1329</v>
      </c>
      <c r="C524" s="32" t="s">
        <v>38</v>
      </c>
      <c r="D524" s="42" t="s">
        <v>1170</v>
      </c>
      <c r="E524" s="35" t="str">
        <f t="array" ref="E524">IF(D524="", "", XLOOKUP(D524, 'MASTER ITEM LIST'!A:A, 'MASTER ITEM LIST'!B:B, ""))</f>
        <v>RAIN OR SHINE-TEMPTATION 4L</v>
      </c>
      <c r="F524" s="37" t="s">
        <v>41</v>
      </c>
      <c r="G524" s="31">
        <v>2.0</v>
      </c>
      <c r="H524" s="39" t="str">
        <f t="array" ref="H524">IFERROR(XLOOKUP(D524,'MASTER ITEM LIST'!A:A,'MASTER ITEM LIST'!D:D), "")</f>
        <v>GALON</v>
      </c>
      <c r="I524" s="40">
        <v>850.0</v>
      </c>
      <c r="J524" s="41">
        <f t="shared" si="2"/>
        <v>1700</v>
      </c>
    </row>
    <row r="525" ht="22.5" customHeight="1">
      <c r="A525" s="29">
        <v>46196.0</v>
      </c>
      <c r="B525" s="31" t="s">
        <v>1329</v>
      </c>
      <c r="C525" s="32" t="s">
        <v>38</v>
      </c>
      <c r="D525" s="42" t="s">
        <v>111</v>
      </c>
      <c r="E525" s="35" t="str">
        <f t="array" ref="E525">IF(D525="", "", XLOOKUP(D525, 'MASTER ITEM LIST'!A:A, 'MASTER ITEM LIST'!B:B, ""))</f>
        <v>RAIN OR SHINE- HAPPY DAYS 4L</v>
      </c>
      <c r="F525" s="37" t="s">
        <v>41</v>
      </c>
      <c r="G525" s="31">
        <v>2.0</v>
      </c>
      <c r="H525" s="39" t="str">
        <f t="array" ref="H525">IFERROR(XLOOKUP(D525,'MASTER ITEM LIST'!A:A,'MASTER ITEM LIST'!D:D), "")</f>
        <v>GALON</v>
      </c>
      <c r="I525" s="40">
        <v>850.0</v>
      </c>
      <c r="J525" s="41">
        <f t="shared" si="2"/>
        <v>1700</v>
      </c>
    </row>
    <row r="526" ht="22.5" customHeight="1">
      <c r="A526" s="29">
        <v>46196.0</v>
      </c>
      <c r="B526" s="31" t="s">
        <v>1329</v>
      </c>
      <c r="C526" s="32" t="s">
        <v>38</v>
      </c>
      <c r="D526" s="42" t="s">
        <v>319</v>
      </c>
      <c r="E526" s="35" t="str">
        <f t="array" ref="E526">IF(D526="", "", XLOOKUP(D526, 'MASTER ITEM LIST'!A:A, 'MASTER ITEM LIST'!B:B, ""))</f>
        <v>RAIN OR SHINE IVORY 4L</v>
      </c>
      <c r="F526" s="37" t="s">
        <v>41</v>
      </c>
      <c r="G526" s="31">
        <v>2.0</v>
      </c>
      <c r="H526" s="39" t="str">
        <f t="array" ref="H526">IFERROR(XLOOKUP(D526,'MASTER ITEM LIST'!A:A,'MASTER ITEM LIST'!D:D), "")</f>
        <v>GALON</v>
      </c>
      <c r="I526" s="40">
        <v>850.0</v>
      </c>
      <c r="J526" s="41">
        <f t="shared" si="2"/>
        <v>1700</v>
      </c>
    </row>
    <row r="527" ht="22.5" customHeight="1">
      <c r="A527" s="29">
        <v>46196.0</v>
      </c>
      <c r="B527" s="31" t="s">
        <v>1329</v>
      </c>
      <c r="C527" s="32" t="s">
        <v>38</v>
      </c>
      <c r="D527" s="42" t="s">
        <v>557</v>
      </c>
      <c r="E527" s="35" t="str">
        <f t="array" ref="E527">IF(D527="", "", XLOOKUP(D527, 'MASTER ITEM LIST'!A:A, 'MASTER ITEM LIST'!B:B, ""))</f>
        <v>NIPPON FF151 FLOP CONTROL</v>
      </c>
      <c r="F527" s="37" t="s">
        <v>41</v>
      </c>
      <c r="G527" s="31">
        <v>1.0</v>
      </c>
      <c r="H527" s="39" t="str">
        <f t="array" ref="H527">IFERROR(XLOOKUP(D527,'MASTER ITEM LIST'!A:A,'MASTER ITEM LIST'!D:D), "")</f>
        <v>LTR</v>
      </c>
      <c r="I527" s="40">
        <v>1600.0</v>
      </c>
      <c r="J527" s="41">
        <f t="shared" si="2"/>
        <v>1600</v>
      </c>
    </row>
    <row r="528" ht="22.5" customHeight="1">
      <c r="A528" s="29">
        <v>46196.0</v>
      </c>
      <c r="B528" s="31" t="s">
        <v>1332</v>
      </c>
      <c r="C528" s="32" t="s">
        <v>38</v>
      </c>
      <c r="D528" s="42" t="s">
        <v>245</v>
      </c>
      <c r="E528" s="35" t="str">
        <f t="array" ref="E528">IF(D528="", "", XLOOKUP(D528, 'MASTER ITEM LIST'!A:A, 'MASTER ITEM LIST'!B:B, ""))</f>
        <v>NAX PREMILA MT103 WHITE LS 1L</v>
      </c>
      <c r="F528" s="37" t="s">
        <v>41</v>
      </c>
      <c r="G528" s="31">
        <v>1.0</v>
      </c>
      <c r="H528" s="39" t="str">
        <f t="array" ref="H528">IFERROR(XLOOKUP(D528,'MASTER ITEM LIST'!A:A,'MASTER ITEM LIST'!D:D), "")</f>
        <v>LTR/S</v>
      </c>
      <c r="I528" s="40">
        <v>1500.0</v>
      </c>
      <c r="J528" s="41">
        <f t="shared" si="2"/>
        <v>1500</v>
      </c>
    </row>
    <row r="529" ht="22.5" customHeight="1">
      <c r="A529" s="29">
        <v>46196.0</v>
      </c>
      <c r="B529" s="31" t="s">
        <v>1332</v>
      </c>
      <c r="C529" s="32" t="s">
        <v>38</v>
      </c>
      <c r="D529" s="33" t="s">
        <v>703</v>
      </c>
      <c r="E529" s="35" t="str">
        <f t="array" ref="E529">IF(D529="", "", XLOOKUP(D529, 'MASTER ITEM LIST'!A:A, 'MASTER ITEM LIST'!B:B, ""))</f>
        <v>NAX SOD145 SOLVENT NAPTHA/DEGREASER 4L</v>
      </c>
      <c r="F529" s="37" t="s">
        <v>41</v>
      </c>
      <c r="G529" s="31">
        <v>6.0</v>
      </c>
      <c r="H529" s="39" t="str">
        <f t="array" ref="H529">IFERROR(XLOOKUP(D529,'MASTER ITEM LIST'!A:A,'MASTER ITEM LIST'!D:D), "")</f>
        <v>GAL</v>
      </c>
      <c r="I529" s="40">
        <v>800.0</v>
      </c>
      <c r="J529" s="41">
        <f t="shared" si="2"/>
        <v>4800</v>
      </c>
    </row>
    <row r="530" ht="22.5" customHeight="1">
      <c r="A530" s="29">
        <v>46196.0</v>
      </c>
      <c r="B530" s="31" t="s">
        <v>1332</v>
      </c>
      <c r="C530" s="32" t="s">
        <v>38</v>
      </c>
      <c r="D530" s="33" t="s">
        <v>540</v>
      </c>
      <c r="E530" s="35" t="str">
        <f t="array" ref="E530">IF(D530="", "", XLOOKUP(D530, 'MASTER ITEM LIST'!A:A, 'MASTER ITEM LIST'!B:B, ""))</f>
        <v>NIPPON LACQUER THINNER 4L</v>
      </c>
      <c r="F530" s="37" t="s">
        <v>41</v>
      </c>
      <c r="G530" s="31">
        <v>6.0</v>
      </c>
      <c r="H530" s="39" t="str">
        <f t="array" ref="H530">IFERROR(XLOOKUP(D530,'MASTER ITEM LIST'!A:A,'MASTER ITEM LIST'!D:D), "")</f>
        <v>GAL</v>
      </c>
      <c r="I530" s="40">
        <v>560.0</v>
      </c>
      <c r="J530" s="41">
        <f t="shared" si="2"/>
        <v>3360</v>
      </c>
    </row>
    <row r="531" ht="22.5" customHeight="1">
      <c r="A531" s="29">
        <v>46196.0</v>
      </c>
      <c r="B531" s="31" t="s">
        <v>1332</v>
      </c>
      <c r="C531" s="32" t="s">
        <v>38</v>
      </c>
      <c r="D531" s="42" t="s">
        <v>76</v>
      </c>
      <c r="E531" s="35" t="str">
        <f t="array" ref="E531">IF(D531="", "", XLOOKUP(D531, 'MASTER ITEM LIST'!A:A, 'MASTER ITEM LIST'!B:B, ""))</f>
        <v>NAX PREMILA MT805 CUSTOM BLUE 1L</v>
      </c>
      <c r="F531" s="37" t="s">
        <v>41</v>
      </c>
      <c r="G531" s="31">
        <v>1.0</v>
      </c>
      <c r="H531" s="39" t="str">
        <f t="array" ref="H531">IFERROR(XLOOKUP(D531,'MASTER ITEM LIST'!A:A,'MASTER ITEM LIST'!D:D), "")</f>
        <v>LTR/S</v>
      </c>
      <c r="I531" s="40">
        <v>2200.0</v>
      </c>
      <c r="J531" s="41">
        <f t="shared" si="2"/>
        <v>2200</v>
      </c>
    </row>
    <row r="532" ht="22.5" customHeight="1">
      <c r="A532" s="29">
        <v>46196.0</v>
      </c>
      <c r="B532" s="31" t="s">
        <v>1332</v>
      </c>
      <c r="C532" s="32" t="s">
        <v>38</v>
      </c>
      <c r="D532" s="42" t="s">
        <v>718</v>
      </c>
      <c r="E532" s="35" t="str">
        <f t="array" ref="E532">IF(D532="", "", XLOOKUP(D532, 'MASTER ITEM LIST'!A:A, 'MASTER ITEM LIST'!B:B, ""))</f>
        <v>NAX PREMILA NB100 B/C BINDER 4L</v>
      </c>
      <c r="F532" s="37" t="s">
        <v>41</v>
      </c>
      <c r="G532" s="31">
        <v>4.0</v>
      </c>
      <c r="H532" s="39" t="str">
        <f t="array" ref="H532">IFERROR(XLOOKUP(D532,'MASTER ITEM LIST'!A:A,'MASTER ITEM LIST'!D:D), "")</f>
        <v>GAL</v>
      </c>
      <c r="I532" s="40">
        <v>2600.0</v>
      </c>
      <c r="J532" s="41">
        <f t="shared" si="2"/>
        <v>10400</v>
      </c>
    </row>
    <row r="533" ht="22.5" customHeight="1">
      <c r="A533" s="29">
        <v>46196.0</v>
      </c>
      <c r="B533" s="31" t="s">
        <v>1339</v>
      </c>
      <c r="C533" s="32" t="s">
        <v>38</v>
      </c>
      <c r="D533" s="42" t="s">
        <v>63</v>
      </c>
      <c r="E533" s="35" t="str">
        <f t="array" ref="E533">IF(D533="", "", XLOOKUP(D533, 'MASTER ITEM LIST'!A:A, 'MASTER ITEM LIST'!B:B, ""))</f>
        <v>OLD NEWS</v>
      </c>
      <c r="F533" s="37" t="s">
        <v>41</v>
      </c>
      <c r="G533" s="31">
        <v>100.0</v>
      </c>
      <c r="H533" s="39" t="str">
        <f t="array" ref="H533">IFERROR(XLOOKUP(D533,'MASTER ITEM LIST'!A:A,'MASTER ITEM LIST'!D:D), "")</f>
        <v>KG</v>
      </c>
      <c r="I533" s="40">
        <v>65.0</v>
      </c>
      <c r="J533" s="41">
        <f t="shared" si="2"/>
        <v>6500</v>
      </c>
    </row>
    <row r="534" ht="22.5" customHeight="1">
      <c r="A534" s="29">
        <v>46196.0</v>
      </c>
      <c r="B534" s="31" t="s">
        <v>1339</v>
      </c>
      <c r="C534" s="32" t="s">
        <v>38</v>
      </c>
      <c r="D534" s="33" t="s">
        <v>1179</v>
      </c>
      <c r="E534" s="35" t="str">
        <f t="array" ref="E534">IF(D534="", "", XLOOKUP(D534, 'MASTER ITEM LIST'!A:A, 'MASTER ITEM LIST'!B:B, ""))</f>
        <v>RAIN OR SHINE-BLUE OCEAN-4L</v>
      </c>
      <c r="F534" s="37" t="s">
        <v>41</v>
      </c>
      <c r="G534" s="31">
        <v>1.0</v>
      </c>
      <c r="H534" s="39" t="str">
        <f t="array" ref="H534">IFERROR(XLOOKUP(D534,'MASTER ITEM LIST'!A:A,'MASTER ITEM LIST'!D:D), "")</f>
        <v>GALON</v>
      </c>
      <c r="I534" s="40">
        <v>850.0</v>
      </c>
      <c r="J534" s="41">
        <f t="shared" si="2"/>
        <v>850</v>
      </c>
    </row>
    <row r="535" ht="22.5" customHeight="1">
      <c r="A535" s="29">
        <v>46196.0</v>
      </c>
      <c r="B535" s="31" t="s">
        <v>1339</v>
      </c>
      <c r="C535" s="32" t="s">
        <v>38</v>
      </c>
      <c r="D535" s="42" t="s">
        <v>674</v>
      </c>
      <c r="E535" s="35" t="str">
        <f t="array" ref="E535">IF(D535="", "", XLOOKUP(D535, 'MASTER ITEM LIST'!A:A, 'MASTER ITEM LIST'!B:B, ""))</f>
        <v>DOMINO BODY FILTER WITH HARDENER 1L</v>
      </c>
      <c r="F535" s="37" t="s">
        <v>41</v>
      </c>
      <c r="G535" s="31">
        <v>12.0</v>
      </c>
      <c r="H535" s="39" t="str">
        <f t="array" ref="H535">IFERROR(XLOOKUP(D535,'MASTER ITEM LIST'!A:A,'MASTER ITEM LIST'!D:D), "")</f>
        <v>LITER</v>
      </c>
      <c r="I535" s="40">
        <v>195.0</v>
      </c>
      <c r="J535" s="41">
        <f t="shared" si="2"/>
        <v>2340</v>
      </c>
    </row>
    <row r="536" ht="22.5" customHeight="1">
      <c r="A536" s="29">
        <v>46196.0</v>
      </c>
      <c r="B536" s="31" t="s">
        <v>1339</v>
      </c>
      <c r="C536" s="32" t="s">
        <v>38</v>
      </c>
      <c r="D536" s="42" t="s">
        <v>202</v>
      </c>
      <c r="E536" s="35" t="str">
        <f t="array" ref="E536">IF(D536="", "", XLOOKUP(D536, 'MASTER ITEM LIST'!A:A, 'MASTER ITEM LIST'!B:B, ""))</f>
        <v>NAX PREMILA MT203 DEEP BLACK 1L</v>
      </c>
      <c r="F536" s="37" t="s">
        <v>41</v>
      </c>
      <c r="G536" s="31">
        <v>1.0</v>
      </c>
      <c r="H536" s="39" t="str">
        <f t="array" ref="H536">IFERROR(XLOOKUP(D536,'MASTER ITEM LIST'!A:A,'MASTER ITEM LIST'!D:D), "")</f>
        <v>LTR/S</v>
      </c>
      <c r="I536" s="40">
        <v>2300.0</v>
      </c>
      <c r="J536" s="41">
        <f t="shared" si="2"/>
        <v>2300</v>
      </c>
    </row>
    <row r="537" ht="22.5" customHeight="1">
      <c r="A537" s="29">
        <v>46196.0</v>
      </c>
      <c r="B537" s="31" t="s">
        <v>1339</v>
      </c>
      <c r="C537" s="32" t="s">
        <v>38</v>
      </c>
      <c r="D537" s="42" t="s">
        <v>779</v>
      </c>
      <c r="E537" s="35" t="str">
        <f t="array" ref="E537">IF(D537="", "", XLOOKUP(D537, 'MASTER ITEM LIST'!A:A, 'MASTER ITEM LIST'!B:B, ""))</f>
        <v>METALGUARD EPOXY PRIMER GRAY WITH HARDENER 4L</v>
      </c>
      <c r="F537" s="37" t="s">
        <v>41</v>
      </c>
      <c r="G537" s="31">
        <v>4.0</v>
      </c>
      <c r="H537" s="39" t="str">
        <f t="array" ref="H537">IFERROR(XLOOKUP(D537,'MASTER ITEM LIST'!A:A,'MASTER ITEM LIST'!D:D), "")</f>
        <v>GAL</v>
      </c>
      <c r="I537" s="40">
        <v>1000.0</v>
      </c>
      <c r="J537" s="41">
        <f t="shared" si="2"/>
        <v>4000</v>
      </c>
    </row>
    <row r="538" ht="22.5" customHeight="1">
      <c r="A538" s="29">
        <v>46196.0</v>
      </c>
      <c r="B538" s="31" t="s">
        <v>1339</v>
      </c>
      <c r="C538" s="32" t="s">
        <v>38</v>
      </c>
      <c r="D538" s="33" t="s">
        <v>563</v>
      </c>
      <c r="E538" s="35" t="str">
        <f t="array" ref="E538">IF(D538="", "", XLOOKUP(D538, 'MASTER ITEM LIST'!A:A, 'MASTER ITEM LIST'!B:B, ""))</f>
        <v>NIPPON EXTREME QDU WHITE 4L</v>
      </c>
      <c r="F538" s="37" t="s">
        <v>41</v>
      </c>
      <c r="G538" s="31">
        <v>1.0</v>
      </c>
      <c r="H538" s="39" t="str">
        <f t="array" ref="H538">IFERROR(XLOOKUP(D538,'MASTER ITEM LIST'!A:A,'MASTER ITEM LIST'!D:D), "")</f>
        <v>GAL</v>
      </c>
      <c r="I538" s="40">
        <v>1850.0</v>
      </c>
      <c r="J538" s="41">
        <f t="shared" si="2"/>
        <v>1850</v>
      </c>
    </row>
    <row r="539" ht="22.5" customHeight="1">
      <c r="A539" s="29">
        <v>46196.0</v>
      </c>
      <c r="B539" s="31" t="s">
        <v>1339</v>
      </c>
      <c r="C539" s="32" t="s">
        <v>38</v>
      </c>
      <c r="D539" s="33" t="s">
        <v>1183</v>
      </c>
      <c r="E539" s="35" t="str">
        <f t="array" ref="E539">IF(D539="", "", XLOOKUP(D539, 'MASTER ITEM LIST'!A:A, 'MASTER ITEM LIST'!B:B, ""))</f>
        <v>GLAZER AUTOMOTIVE ENAMEL THALO BLUE-4L</v>
      </c>
      <c r="F539" s="37" t="s">
        <v>41</v>
      </c>
      <c r="G539" s="31">
        <v>1.0</v>
      </c>
      <c r="H539" s="39" t="str">
        <f t="array" ref="H539">IFERROR(XLOOKUP(D539,'MASTER ITEM LIST'!A:A,'MASTER ITEM LIST'!D:D), "")</f>
        <v>GALON</v>
      </c>
      <c r="I539" s="40">
        <v>855.0</v>
      </c>
      <c r="J539" s="41">
        <f t="shared" si="2"/>
        <v>855</v>
      </c>
    </row>
    <row r="540" ht="22.5" customHeight="1">
      <c r="A540" s="29">
        <v>46196.0</v>
      </c>
      <c r="B540" s="31" t="s">
        <v>1344</v>
      </c>
      <c r="C540" s="32" t="s">
        <v>38</v>
      </c>
      <c r="D540" s="42" t="s">
        <v>415</v>
      </c>
      <c r="E540" s="35" t="str">
        <f t="array" ref="E540">IF(D540="", "", XLOOKUP(D540, 'MASTER ITEM LIST'!A:A, 'MASTER ITEM LIST'!B:B, ""))</f>
        <v>NAX PREMILA NP9700 HS 2K CLEAR WITH HARDENER 1L</v>
      </c>
      <c r="F540" s="37" t="s">
        <v>41</v>
      </c>
      <c r="G540" s="31">
        <v>12.0</v>
      </c>
      <c r="H540" s="39" t="str">
        <f t="array" ref="H540">IFERROR(XLOOKUP(D540,'MASTER ITEM LIST'!A:A,'MASTER ITEM LIST'!D:D), "")</f>
        <v>LITER</v>
      </c>
      <c r="I540" s="40">
        <v>1350.0</v>
      </c>
      <c r="J540" s="41">
        <f t="shared" si="2"/>
        <v>16200</v>
      </c>
    </row>
    <row r="541" ht="22.5" customHeight="1">
      <c r="A541" s="29">
        <v>46197.0</v>
      </c>
      <c r="B541" s="31" t="s">
        <v>1345</v>
      </c>
      <c r="C541" s="32" t="s">
        <v>1346</v>
      </c>
      <c r="D541" s="42" t="s">
        <v>122</v>
      </c>
      <c r="E541" s="35" t="str">
        <f t="array" ref="E541">IF(D541="", "", XLOOKUP(D541, 'MASTER ITEM LIST'!A:A, 'MASTER ITEM LIST'!B:B, ""))</f>
        <v>WHITE SUN ROOF ROS-SR-100 RAIN OR SHINE 4L</v>
      </c>
      <c r="F541" s="37" t="s">
        <v>1347</v>
      </c>
      <c r="G541" s="31">
        <v>2.0</v>
      </c>
      <c r="H541" s="39" t="str">
        <f t="array" ref="H541">IFERROR(XLOOKUP(D541,'MASTER ITEM LIST'!A:A,'MASTER ITEM LIST'!D:D), "")</f>
        <v>4L</v>
      </c>
      <c r="I541" s="73">
        <v>672.4</v>
      </c>
      <c r="J541" s="41">
        <f t="shared" si="2"/>
        <v>1344.8</v>
      </c>
    </row>
    <row r="542" ht="22.5" customHeight="1">
      <c r="A542" s="29">
        <v>46197.0</v>
      </c>
      <c r="B542" s="31" t="s">
        <v>1345</v>
      </c>
      <c r="C542" s="32" t="s">
        <v>1346</v>
      </c>
      <c r="D542" s="42" t="s">
        <v>132</v>
      </c>
      <c r="E542" s="35" t="str">
        <f t="array" ref="E542">IF(D542="", "", XLOOKUP(D542, 'MASTER ITEM LIST'!A:A, 'MASTER ITEM LIST'!B:B, ""))</f>
        <v>WELCOAT REGULAR QDE BLACK 4L</v>
      </c>
      <c r="F542" s="37" t="s">
        <v>1204</v>
      </c>
      <c r="G542" s="31">
        <v>1.0</v>
      </c>
      <c r="H542" s="39" t="str">
        <f t="array" ref="H542">IFERROR(XLOOKUP(D542,'MASTER ITEM LIST'!A:A,'MASTER ITEM LIST'!D:D), "")</f>
        <v>GALON</v>
      </c>
      <c r="I542" s="40">
        <v>570.0</v>
      </c>
      <c r="J542" s="41">
        <f t="shared" si="2"/>
        <v>570</v>
      </c>
    </row>
    <row r="543" ht="22.5" customHeight="1">
      <c r="A543" s="29">
        <v>46197.0</v>
      </c>
      <c r="B543" s="31" t="s">
        <v>1345</v>
      </c>
      <c r="C543" s="32" t="s">
        <v>1346</v>
      </c>
      <c r="D543" s="42" t="s">
        <v>156</v>
      </c>
      <c r="E543" s="35" t="str">
        <f t="array" ref="E543">IF(D543="", "", XLOOKUP(D543, 'MASTER ITEM LIST'!A:A, 'MASTER ITEM LIST'!B:B, ""))</f>
        <v>WASTE COTTON POD</v>
      </c>
      <c r="F543" s="37" t="s">
        <v>1204</v>
      </c>
      <c r="G543" s="31">
        <v>7.25</v>
      </c>
      <c r="H543" s="39" t="str">
        <f t="array" ref="H543">IFERROR(XLOOKUP(D543,'MASTER ITEM LIST'!A:A,'MASTER ITEM LIST'!D:D), "")</f>
        <v>KL</v>
      </c>
      <c r="I543" s="40">
        <v>70.0</v>
      </c>
      <c r="J543" s="41">
        <f t="shared" si="2"/>
        <v>507.5</v>
      </c>
    </row>
    <row r="544" ht="22.5" customHeight="1">
      <c r="A544" s="29">
        <v>46197.0</v>
      </c>
      <c r="B544" s="31" t="s">
        <v>1345</v>
      </c>
      <c r="C544" s="32" t="s">
        <v>1346</v>
      </c>
      <c r="D544" s="42" t="s">
        <v>161</v>
      </c>
      <c r="E544" s="35" t="str">
        <f t="array" ref="E544">IF(D544="", "", XLOOKUP(D544, 'MASTER ITEM LIST'!A:A, 'MASTER ITEM LIST'!B:B, ""))</f>
        <v>VULCASEAL</v>
      </c>
      <c r="F544" s="37" t="s">
        <v>1204</v>
      </c>
      <c r="G544" s="31">
        <v>1.0</v>
      </c>
      <c r="H544" s="39" t="str">
        <f t="array" ref="H544">IFERROR(XLOOKUP(D544,'MASTER ITEM LIST'!A:A,'MASTER ITEM LIST'!D:D), "")</f>
        <v>PCS</v>
      </c>
      <c r="I544" s="40">
        <v>62.0</v>
      </c>
      <c r="J544" s="41">
        <f t="shared" si="2"/>
        <v>62</v>
      </c>
    </row>
    <row r="545" ht="22.5" customHeight="1">
      <c r="A545" s="29">
        <v>46197.0</v>
      </c>
      <c r="B545" s="31" t="s">
        <v>1345</v>
      </c>
      <c r="C545" s="32" t="s">
        <v>1346</v>
      </c>
      <c r="D545" s="42" t="s">
        <v>177</v>
      </c>
      <c r="E545" s="35" t="str">
        <f t="array" ref="E545">IF(D545="", "", XLOOKUP(D545, 'MASTER ITEM LIST'!A:A, 'MASTER ITEM LIST'!B:B, ""))</f>
        <v>UNO LACQUER THINNER BOT</v>
      </c>
      <c r="F545" s="37" t="s">
        <v>1204</v>
      </c>
      <c r="G545" s="31">
        <v>12.0</v>
      </c>
      <c r="H545" s="39" t="str">
        <f t="array" ref="H545">IFERROR(XLOOKUP(D545,'MASTER ITEM LIST'!A:A,'MASTER ITEM LIST'!D:D), "")</f>
        <v>BOT</v>
      </c>
      <c r="I545" s="40">
        <v>50.0</v>
      </c>
      <c r="J545" s="41">
        <f t="shared" si="2"/>
        <v>600</v>
      </c>
    </row>
    <row r="546" ht="22.5" customHeight="1">
      <c r="A546" s="29">
        <v>46197.0</v>
      </c>
      <c r="B546" s="31" t="s">
        <v>1345</v>
      </c>
      <c r="C546" s="32" t="s">
        <v>1346</v>
      </c>
      <c r="D546" s="42" t="s">
        <v>174</v>
      </c>
      <c r="E546" s="35" t="str">
        <f t="array" ref="E546">IF(D546="", "", XLOOKUP(D546, 'MASTER ITEM LIST'!A:A, 'MASTER ITEM LIST'!B:B, ""))</f>
        <v>UNO PAINT THINNER BOT</v>
      </c>
      <c r="F546" s="37" t="s">
        <v>1347</v>
      </c>
      <c r="G546" s="31">
        <v>2.0</v>
      </c>
      <c r="H546" s="39" t="str">
        <f t="array" ref="H546">IFERROR(XLOOKUP(D546,'MASTER ITEM LIST'!A:A,'MASTER ITEM LIST'!D:D), "")</f>
        <v>PC/S</v>
      </c>
      <c r="I546" s="40">
        <v>52.0</v>
      </c>
      <c r="J546" s="41">
        <f t="shared" si="2"/>
        <v>104</v>
      </c>
    </row>
    <row r="547" ht="22.5" customHeight="1">
      <c r="A547" s="29">
        <v>46197.0</v>
      </c>
      <c r="B547" s="31" t="s">
        <v>1345</v>
      </c>
      <c r="C547" s="32" t="s">
        <v>1346</v>
      </c>
      <c r="D547" s="42" t="s">
        <v>187</v>
      </c>
      <c r="E547" s="35" t="str">
        <f t="array" ref="E547">IF(D547="", "", XLOOKUP(D547, 'MASTER ITEM LIST'!A:A, 'MASTER ITEM LIST'!B:B, ""))</f>
        <v>TOLUIDINE RED ACRY-COLOR AC-10 1L DAVIES</v>
      </c>
      <c r="F547" s="37" t="s">
        <v>1204</v>
      </c>
      <c r="G547" s="31">
        <v>3.0</v>
      </c>
      <c r="H547" s="39" t="str">
        <f t="array" ref="H547">IFERROR(XLOOKUP(D547,'MASTER ITEM LIST'!A:A,'MASTER ITEM LIST'!D:D), "")</f>
        <v>1L</v>
      </c>
      <c r="I547" s="40">
        <v>108.0</v>
      </c>
      <c r="J547" s="41">
        <f t="shared" si="2"/>
        <v>324</v>
      </c>
    </row>
    <row r="548" ht="22.5" customHeight="1">
      <c r="A548" s="29">
        <v>46197.0</v>
      </c>
      <c r="B548" s="31" t="s">
        <v>1345</v>
      </c>
      <c r="C548" s="32" t="s">
        <v>1346</v>
      </c>
      <c r="D548" s="42" t="s">
        <v>155</v>
      </c>
      <c r="E548" s="35" t="str">
        <f t="array" ref="E548">IF(D548="", "", XLOOKUP(D548, 'MASTER ITEM LIST'!A:A, 'MASTER ITEM LIST'!B:B, ""))</f>
        <v>TIMEOUT BODY FILLER WITH HARDENER 4L</v>
      </c>
      <c r="F548" s="37" t="s">
        <v>1204</v>
      </c>
      <c r="G548" s="31">
        <v>7.0</v>
      </c>
      <c r="H548" s="39" t="str">
        <f t="array" ref="H548">IFERROR(XLOOKUP(D548,'MASTER ITEM LIST'!A:A,'MASTER ITEM LIST'!D:D), "")</f>
        <v>GAL</v>
      </c>
      <c r="I548" s="40">
        <v>585.0</v>
      </c>
      <c r="J548" s="41">
        <f t="shared" si="2"/>
        <v>4095</v>
      </c>
    </row>
    <row r="549" ht="22.5" customHeight="1">
      <c r="A549" s="29">
        <v>46197.0</v>
      </c>
      <c r="B549" s="31" t="s">
        <v>1345</v>
      </c>
      <c r="C549" s="32" t="s">
        <v>1346</v>
      </c>
      <c r="D549" s="42" t="s">
        <v>205</v>
      </c>
      <c r="E549" s="35" t="str">
        <f t="array" ref="E549">IF(D549="", "", XLOOKUP(D549, 'MASTER ITEM LIST'!A:A, 'MASTER ITEM LIST'!B:B, ""))</f>
        <v>TIMELESS PREMIUM LIQUID WAX 5OML</v>
      </c>
      <c r="F549" s="37" t="s">
        <v>1347</v>
      </c>
      <c r="G549" s="31">
        <v>45.0</v>
      </c>
      <c r="H549" s="39" t="str">
        <f t="array" ref="H549">IFERROR(XLOOKUP(D549,'MASTER ITEM LIST'!A:A,'MASTER ITEM LIST'!D:D), "")</f>
        <v>PC/S</v>
      </c>
      <c r="I549" s="40">
        <v>50.0</v>
      </c>
      <c r="J549" s="41">
        <f t="shared" si="2"/>
        <v>2250</v>
      </c>
    </row>
    <row r="550" ht="22.5" customHeight="1">
      <c r="A550" s="29">
        <v>46197.0</v>
      </c>
      <c r="B550" s="31" t="s">
        <v>1345</v>
      </c>
      <c r="C550" s="32" t="s">
        <v>1346</v>
      </c>
      <c r="D550" s="42" t="s">
        <v>214</v>
      </c>
      <c r="E550" s="35" t="str">
        <f t="array" ref="E550">IF(D550="", "", XLOOKUP(D550, 'MASTER ITEM LIST'!A:A, 'MASTER ITEM LIST'!B:B, ""))</f>
        <v>THALO GREEN ACRY-COLOR AC-30 1L DAVIES</v>
      </c>
      <c r="F550" s="37" t="s">
        <v>1204</v>
      </c>
      <c r="G550" s="31">
        <v>1.0</v>
      </c>
      <c r="H550" s="39" t="str">
        <f t="array" ref="H550">IFERROR(XLOOKUP(D550,'MASTER ITEM LIST'!A:A,'MASTER ITEM LIST'!D:D), "")</f>
        <v>1L</v>
      </c>
      <c r="I550" s="40">
        <v>103.0</v>
      </c>
      <c r="J550" s="41">
        <f t="shared" si="2"/>
        <v>103</v>
      </c>
    </row>
    <row r="551" ht="22.5" customHeight="1">
      <c r="A551" s="29">
        <v>46197.0</v>
      </c>
      <c r="B551" s="31" t="s">
        <v>1345</v>
      </c>
      <c r="C551" s="32" t="s">
        <v>1346</v>
      </c>
      <c r="D551" s="42" t="s">
        <v>216</v>
      </c>
      <c r="E551" s="35" t="str">
        <f t="array" ref="E551">IF(D551="", "", XLOOKUP(D551, 'MASTER ITEM LIST'!A:A, 'MASTER ITEM LIST'!B:B, ""))</f>
        <v>THALO BLUE ACRY-COLOR AC-20 1L DAVIES</v>
      </c>
      <c r="F551" s="37" t="s">
        <v>1204</v>
      </c>
      <c r="G551" s="31">
        <v>1.0</v>
      </c>
      <c r="H551" s="39" t="str">
        <f t="array" ref="H551">IFERROR(XLOOKUP(D551,'MASTER ITEM LIST'!A:A,'MASTER ITEM LIST'!D:D), "")</f>
        <v>1L</v>
      </c>
      <c r="I551" s="40">
        <v>103.0</v>
      </c>
      <c r="J551" s="41">
        <f t="shared" si="2"/>
        <v>103</v>
      </c>
    </row>
    <row r="552" ht="22.5" customHeight="1">
      <c r="A552" s="29">
        <v>46197.0</v>
      </c>
      <c r="B552" s="31" t="s">
        <v>1345</v>
      </c>
      <c r="C552" s="32" t="s">
        <v>1346</v>
      </c>
      <c r="D552" s="42" t="s">
        <v>236</v>
      </c>
      <c r="E552" s="35" t="str">
        <f t="array" ref="E552">IF(D552="", "", XLOOKUP(D552, 'MASTER ITEM LIST'!A:A, 'MASTER ITEM LIST'!B:B, ""))</f>
        <v>SAND PAPER #80</v>
      </c>
      <c r="F552" s="37" t="s">
        <v>1347</v>
      </c>
      <c r="G552" s="31">
        <v>160.0</v>
      </c>
      <c r="H552" s="39" t="str">
        <f t="array" ref="H552">IFERROR(XLOOKUP(D552,'MASTER ITEM LIST'!A:A,'MASTER ITEM LIST'!D:D), "")</f>
        <v>PC/S</v>
      </c>
      <c r="I552" s="40">
        <v>28.0</v>
      </c>
      <c r="J552" s="41">
        <f t="shared" si="2"/>
        <v>4480</v>
      </c>
    </row>
    <row r="553" ht="22.5" customHeight="1">
      <c r="A553" s="29">
        <v>46197.0</v>
      </c>
      <c r="B553" s="31" t="s">
        <v>1345</v>
      </c>
      <c r="C553" s="32" t="s">
        <v>1346</v>
      </c>
      <c r="D553" s="42" t="s">
        <v>186</v>
      </c>
      <c r="E553" s="35" t="str">
        <f t="array" ref="E553">IF(D553="", "", XLOOKUP(D553, 'MASTER ITEM LIST'!A:A, 'MASTER ITEM LIST'!B:B, ""))</f>
        <v>SAND PAPER #100</v>
      </c>
      <c r="F553" s="37" t="s">
        <v>1347</v>
      </c>
      <c r="G553" s="31">
        <v>109.0</v>
      </c>
      <c r="H553" s="39" t="str">
        <f t="array" ref="H553">IFERROR(XLOOKUP(D553,'MASTER ITEM LIST'!A:A,'MASTER ITEM LIST'!D:D), "")</f>
        <v>PC/S</v>
      </c>
      <c r="I553" s="40">
        <v>28.0</v>
      </c>
      <c r="J553" s="41">
        <f t="shared" si="2"/>
        <v>3052</v>
      </c>
    </row>
    <row r="554" ht="22.5" customHeight="1">
      <c r="A554" s="29">
        <v>46197.0</v>
      </c>
      <c r="B554" s="31" t="s">
        <v>1345</v>
      </c>
      <c r="C554" s="32" t="s">
        <v>1346</v>
      </c>
      <c r="D554" s="42" t="s">
        <v>244</v>
      </c>
      <c r="E554" s="35" t="str">
        <f t="array" ref="E554">IF(D554="", "", XLOOKUP(D554, 'MASTER ITEM LIST'!A:A, 'MASTER ITEM LIST'!B:B, ""))</f>
        <v>RUGBY</v>
      </c>
      <c r="F554" s="37" t="s">
        <v>1204</v>
      </c>
      <c r="G554" s="31">
        <v>3.0</v>
      </c>
      <c r="H554" s="39" t="str">
        <f t="array" ref="H554">IFERROR(XLOOKUP(D554,'MASTER ITEM LIST'!A:A,'MASTER ITEM LIST'!D:D), "")</f>
        <v>PCS</v>
      </c>
      <c r="I554" s="40">
        <v>66.0</v>
      </c>
      <c r="J554" s="41">
        <f t="shared" si="2"/>
        <v>198</v>
      </c>
    </row>
    <row r="555" ht="22.5" customHeight="1">
      <c r="A555" s="29">
        <v>46197.0</v>
      </c>
      <c r="B555" s="31" t="s">
        <v>1345</v>
      </c>
      <c r="C555" s="32" t="s">
        <v>1346</v>
      </c>
      <c r="D555" s="42" t="s">
        <v>253</v>
      </c>
      <c r="E555" s="35" t="str">
        <f t="array" ref="E555">IF(D555="", "", XLOOKUP(D555, 'MASTER ITEM LIST'!A:A, 'MASTER ITEM LIST'!B:B, ""))</f>
        <v>ROBERLO RUBBING COMPOUND 1KG</v>
      </c>
      <c r="F555" s="37" t="s">
        <v>1204</v>
      </c>
      <c r="G555" s="31">
        <v>3.5</v>
      </c>
      <c r="H555" s="39" t="str">
        <f t="array" ref="H555">IFERROR(XLOOKUP(D555,'MASTER ITEM LIST'!A:A,'MASTER ITEM LIST'!D:D), "")</f>
        <v>KG</v>
      </c>
      <c r="I555" s="40">
        <v>780.0</v>
      </c>
      <c r="J555" s="41">
        <f t="shared" si="2"/>
        <v>2730</v>
      </c>
    </row>
    <row r="556" ht="22.5" customHeight="1">
      <c r="A556" s="29">
        <v>46197.0</v>
      </c>
      <c r="B556" s="31" t="s">
        <v>1345</v>
      </c>
      <c r="C556" s="32" t="s">
        <v>1346</v>
      </c>
      <c r="D556" s="42" t="s">
        <v>273</v>
      </c>
      <c r="E556" s="35" t="str">
        <f t="array" ref="E556">IF(D556="", "", XLOOKUP(D556, 'MASTER ITEM LIST'!A:A, 'MASTER ITEM LIST'!B:B, ""))</f>
        <v>RAW SIENNA ACRY-COLOR AC-90 1L DAVIES</v>
      </c>
      <c r="F556" s="37" t="s">
        <v>1204</v>
      </c>
      <c r="G556" s="31">
        <v>2.0</v>
      </c>
      <c r="H556" s="39" t="str">
        <f t="array" ref="H556">IFERROR(XLOOKUP(D556,'MASTER ITEM LIST'!A:A,'MASTER ITEM LIST'!D:D), "")</f>
        <v>1L</v>
      </c>
      <c r="I556" s="40">
        <v>115.0</v>
      </c>
      <c r="J556" s="41">
        <f t="shared" si="2"/>
        <v>230</v>
      </c>
    </row>
    <row r="557" ht="22.5" customHeight="1">
      <c r="A557" s="29">
        <v>46197.0</v>
      </c>
      <c r="B557" s="31" t="s">
        <v>1345</v>
      </c>
      <c r="C557" s="32" t="s">
        <v>1346</v>
      </c>
      <c r="D557" s="42" t="s">
        <v>330</v>
      </c>
      <c r="E557" s="35" t="str">
        <f t="array" ref="E557">IF(D557="", "", XLOOKUP(D557, 'MASTER ITEM LIST'!A:A, 'MASTER ITEM LIST'!B:B, ""))</f>
        <v>Q-SHIELD EXTRA HG-710 GLOSS WHITE 5L</v>
      </c>
      <c r="F557" s="37" t="s">
        <v>1204</v>
      </c>
      <c r="G557" s="31">
        <v>3.0</v>
      </c>
      <c r="H557" s="39" t="str">
        <f t="array" ref="H557">IFERROR(XLOOKUP(D557,'MASTER ITEM LIST'!A:A,'MASTER ITEM LIST'!D:D), "")</f>
        <v>GAL</v>
      </c>
      <c r="I557" s="40">
        <v>851.0</v>
      </c>
      <c r="J557" s="41">
        <f t="shared" si="2"/>
        <v>2553</v>
      </c>
    </row>
    <row r="558" ht="22.5" customHeight="1">
      <c r="A558" s="29">
        <v>46197.0</v>
      </c>
      <c r="B558" s="31" t="s">
        <v>1345</v>
      </c>
      <c r="C558" s="32" t="s">
        <v>1346</v>
      </c>
      <c r="D558" s="42" t="s">
        <v>341</v>
      </c>
      <c r="E558" s="35" t="str">
        <f t="array" ref="E558">IF(D558="", "", XLOOKUP(D558, 'MASTER ITEM LIST'!A:A, 'MASTER ITEM LIST'!B:B, ""))</f>
        <v>Q-SHIELD EXTRA HG-710 GLOSS WHITE 15L</v>
      </c>
      <c r="F558" s="37" t="s">
        <v>1204</v>
      </c>
      <c r="G558" s="31">
        <v>0.0</v>
      </c>
      <c r="H558" s="39" t="str">
        <f t="array" ref="H558">IFERROR(XLOOKUP(D558,'MASTER ITEM LIST'!A:A,'MASTER ITEM LIST'!D:D), "")</f>
        <v>PAIL</v>
      </c>
      <c r="I558" s="40">
        <v>2442.0</v>
      </c>
      <c r="J558" s="41">
        <f t="shared" si="2"/>
        <v>0</v>
      </c>
    </row>
    <row r="559" ht="22.5" customHeight="1">
      <c r="A559" s="29">
        <v>46197.0</v>
      </c>
      <c r="B559" s="31" t="s">
        <v>1345</v>
      </c>
      <c r="C559" s="32" t="s">
        <v>1346</v>
      </c>
      <c r="D559" s="42" t="s">
        <v>345</v>
      </c>
      <c r="E559" s="35" t="str">
        <f t="array" ref="E559">IF(D559="", "", XLOOKUP(D559, 'MASTER ITEM LIST'!A:A, 'MASTER ITEM LIST'!B:B, ""))</f>
        <v>PYLOX LAZER WHITE 02</v>
      </c>
      <c r="F559" s="37" t="s">
        <v>1204</v>
      </c>
      <c r="G559" s="31">
        <v>2.0</v>
      </c>
      <c r="H559" s="39" t="str">
        <f t="array" ref="H559">IFERROR(XLOOKUP(D559,'MASTER ITEM LIST'!A:A,'MASTER ITEM LIST'!D:D), "")</f>
        <v>CAN</v>
      </c>
      <c r="I559" s="40">
        <v>95.0</v>
      </c>
      <c r="J559" s="41">
        <f t="shared" si="2"/>
        <v>190</v>
      </c>
    </row>
    <row r="560" ht="22.5" customHeight="1">
      <c r="A560" s="29">
        <v>46197.0</v>
      </c>
      <c r="B560" s="31" t="s">
        <v>1345</v>
      </c>
      <c r="C560" s="32" t="s">
        <v>1346</v>
      </c>
      <c r="D560" s="42" t="s">
        <v>353</v>
      </c>
      <c r="E560" s="35" t="str">
        <f t="array" ref="E560">IF(D560="", "", XLOOKUP(D560, 'MASTER ITEM LIST'!A:A, 'MASTER ITEM LIST'!B:B, ""))</f>
        <v>PYLOX LAZER SKY BLUE 22</v>
      </c>
      <c r="F560" s="37" t="s">
        <v>1204</v>
      </c>
      <c r="G560" s="31">
        <v>2.0</v>
      </c>
      <c r="H560" s="39" t="str">
        <f t="array" ref="H560">IFERROR(XLOOKUP(D560,'MASTER ITEM LIST'!A:A,'MASTER ITEM LIST'!D:D), "")</f>
        <v>CAN</v>
      </c>
      <c r="I560" s="40">
        <v>95.0</v>
      </c>
      <c r="J560" s="41">
        <f t="shared" si="2"/>
        <v>190</v>
      </c>
    </row>
    <row r="561" ht="22.5" customHeight="1">
      <c r="A561" s="29">
        <v>46197.0</v>
      </c>
      <c r="B561" s="31" t="s">
        <v>1345</v>
      </c>
      <c r="C561" s="32" t="s">
        <v>1346</v>
      </c>
      <c r="D561" s="42" t="s">
        <v>355</v>
      </c>
      <c r="E561" s="35" t="str">
        <f t="array" ref="E561">IF(D561="", "", XLOOKUP(D561, 'MASTER ITEM LIST'!A:A, 'MASTER ITEM LIST'!B:B, ""))</f>
        <v>PYLOX LAZER SILVER 42</v>
      </c>
      <c r="F561" s="37" t="s">
        <v>1204</v>
      </c>
      <c r="G561" s="31">
        <v>2.0</v>
      </c>
      <c r="H561" s="39" t="str">
        <f t="array" ref="H561">IFERROR(XLOOKUP(D561,'MASTER ITEM LIST'!A:A,'MASTER ITEM LIST'!D:D), "")</f>
        <v>CAN</v>
      </c>
      <c r="I561" s="40">
        <v>95.0</v>
      </c>
      <c r="J561" s="41">
        <f t="shared" si="2"/>
        <v>190</v>
      </c>
    </row>
    <row r="562" ht="22.5" customHeight="1">
      <c r="A562" s="29">
        <v>46197.0</v>
      </c>
      <c r="B562" s="31" t="s">
        <v>1345</v>
      </c>
      <c r="C562" s="32" t="s">
        <v>1346</v>
      </c>
      <c r="D562" s="42" t="s">
        <v>362</v>
      </c>
      <c r="E562" s="35" t="str">
        <f t="array" ref="E562">IF(D562="", "", XLOOKUP(D562, 'MASTER ITEM LIST'!A:A, 'MASTER ITEM LIST'!B:B, ""))</f>
        <v>PYLOX LAZER MATT WHITE 03</v>
      </c>
      <c r="F562" s="37" t="s">
        <v>1204</v>
      </c>
      <c r="G562" s="31">
        <v>1.0</v>
      </c>
      <c r="H562" s="39" t="str">
        <f t="array" ref="H562">IFERROR(XLOOKUP(D562,'MASTER ITEM LIST'!A:A,'MASTER ITEM LIST'!D:D), "")</f>
        <v>CAN</v>
      </c>
      <c r="I562" s="40">
        <v>95.0</v>
      </c>
      <c r="J562" s="41">
        <f t="shared" si="2"/>
        <v>95</v>
      </c>
    </row>
    <row r="563" ht="22.5" customHeight="1">
      <c r="A563" s="29">
        <v>46197.0</v>
      </c>
      <c r="B563" s="31" t="s">
        <v>1345</v>
      </c>
      <c r="C563" s="32" t="s">
        <v>1346</v>
      </c>
      <c r="D563" s="42" t="s">
        <v>364</v>
      </c>
      <c r="E563" s="35" t="str">
        <f t="array" ref="E563">IF(D563="", "", XLOOKUP(D563, 'MASTER ITEM LIST'!A:A, 'MASTER ITEM LIST'!B:B, ""))</f>
        <v>PYLOX LAZER LIGHT GREEN 33</v>
      </c>
      <c r="F563" s="37" t="s">
        <v>1204</v>
      </c>
      <c r="G563" s="31">
        <v>1.0</v>
      </c>
      <c r="H563" s="39" t="str">
        <f t="array" ref="H563">IFERROR(XLOOKUP(D563,'MASTER ITEM LIST'!A:A,'MASTER ITEM LIST'!D:D), "")</f>
        <v>CAN</v>
      </c>
      <c r="I563" s="40">
        <v>95.0</v>
      </c>
      <c r="J563" s="41">
        <f t="shared" si="2"/>
        <v>95</v>
      </c>
    </row>
    <row r="564" ht="22.5" customHeight="1">
      <c r="A564" s="29">
        <v>46197.0</v>
      </c>
      <c r="B564" s="31" t="s">
        <v>1345</v>
      </c>
      <c r="C564" s="32" t="s">
        <v>1346</v>
      </c>
      <c r="D564" s="42" t="s">
        <v>340</v>
      </c>
      <c r="E564" s="35" t="str">
        <f t="array" ref="E564">IF(D564="", "", XLOOKUP(D564, 'MASTER ITEM LIST'!A:A, 'MASTER ITEM LIST'!B:B, ""))</f>
        <v>PYLOX LAZER GLOSS BLACK 48</v>
      </c>
      <c r="F564" s="37" t="s">
        <v>1204</v>
      </c>
      <c r="G564" s="31">
        <v>13.0</v>
      </c>
      <c r="H564" s="39" t="str">
        <f t="array" ref="H564">IFERROR(XLOOKUP(D564,'MASTER ITEM LIST'!A:A,'MASTER ITEM LIST'!D:D), "")</f>
        <v>CAN</v>
      </c>
      <c r="I564" s="40">
        <v>95.0</v>
      </c>
      <c r="J564" s="41">
        <f t="shared" si="2"/>
        <v>1235</v>
      </c>
    </row>
    <row r="565" ht="22.5" customHeight="1">
      <c r="A565" s="29">
        <v>46197.0</v>
      </c>
      <c r="B565" s="31" t="s">
        <v>1345</v>
      </c>
      <c r="C565" s="32" t="s">
        <v>1346</v>
      </c>
      <c r="D565" s="42" t="s">
        <v>379</v>
      </c>
      <c r="E565" s="35" t="str">
        <f t="array" ref="E565">IF(D565="", "", XLOOKUP(D565, 'MASTER ITEM LIST'!A:A, 'MASTER ITEM LIST'!B:B, ""))</f>
        <v>PYLOX LAZER FLOURESCENT VIOLET 604</v>
      </c>
      <c r="F565" s="37" t="s">
        <v>1204</v>
      </c>
      <c r="G565" s="31">
        <v>1.0</v>
      </c>
      <c r="H565" s="39" t="str">
        <f t="array" ref="H565">IFERROR(XLOOKUP(D565,'MASTER ITEM LIST'!A:A,'MASTER ITEM LIST'!D:D), "")</f>
        <v>CAN</v>
      </c>
      <c r="I565" s="40">
        <v>135.0</v>
      </c>
      <c r="J565" s="41">
        <f t="shared" si="2"/>
        <v>135</v>
      </c>
    </row>
    <row r="566" ht="22.5" customHeight="1">
      <c r="A566" s="29">
        <v>46197.0</v>
      </c>
      <c r="B566" s="31" t="s">
        <v>1345</v>
      </c>
      <c r="C566" s="32" t="s">
        <v>1346</v>
      </c>
      <c r="D566" s="42" t="s">
        <v>385</v>
      </c>
      <c r="E566" s="35" t="str">
        <f t="array" ref="E566">IF(D566="", "", XLOOKUP(D566, 'MASTER ITEM LIST'!A:A, 'MASTER ITEM LIST'!B:B, ""))</f>
        <v>PYLOX LAZER FLOURESCENT ORANGE 601</v>
      </c>
      <c r="F566" s="37" t="s">
        <v>1204</v>
      </c>
      <c r="G566" s="31">
        <v>0.0</v>
      </c>
      <c r="H566" s="39" t="str">
        <f t="array" ref="H566">IFERROR(XLOOKUP(D566,'MASTER ITEM LIST'!A:A,'MASTER ITEM LIST'!D:D), "")</f>
        <v>CAN</v>
      </c>
      <c r="I566" s="40">
        <v>135.0</v>
      </c>
      <c r="J566" s="41">
        <f t="shared" si="2"/>
        <v>0</v>
      </c>
    </row>
    <row r="567" ht="22.5" customHeight="1">
      <c r="A567" s="29">
        <v>46197.0</v>
      </c>
      <c r="B567" s="31" t="s">
        <v>1345</v>
      </c>
      <c r="C567" s="32" t="s">
        <v>1346</v>
      </c>
      <c r="D567" s="42" t="s">
        <v>399</v>
      </c>
      <c r="E567" s="35" t="str">
        <f t="array" ref="E567">IF(D567="", "", XLOOKUP(D567, 'MASTER ITEM LIST'!A:A, 'MASTER ITEM LIST'!B:B, ""))</f>
        <v>PYLOX LAZER CLEAR 01</v>
      </c>
      <c r="F567" s="37" t="s">
        <v>1204</v>
      </c>
      <c r="G567" s="31">
        <v>2.0</v>
      </c>
      <c r="H567" s="39" t="str">
        <f t="array" ref="H567">IFERROR(XLOOKUP(D567,'MASTER ITEM LIST'!A:A,'MASTER ITEM LIST'!D:D), "")</f>
        <v>CAN</v>
      </c>
      <c r="I567" s="40">
        <v>95.0</v>
      </c>
      <c r="J567" s="41">
        <f t="shared" si="2"/>
        <v>190</v>
      </c>
    </row>
    <row r="568" ht="22.5" customHeight="1">
      <c r="A568" s="29">
        <v>46197.0</v>
      </c>
      <c r="B568" s="31" t="s">
        <v>1345</v>
      </c>
      <c r="C568" s="32" t="s">
        <v>1346</v>
      </c>
      <c r="D568" s="42" t="s">
        <v>401</v>
      </c>
      <c r="E568" s="35" t="str">
        <f t="array" ref="E568">IF(D568="", "", XLOOKUP(D568, 'MASTER ITEM LIST'!A:A, 'MASTER ITEM LIST'!B:B, ""))</f>
        <v>PYLOX LAZER CANDYTONE RED 801</v>
      </c>
      <c r="F568" s="37" t="s">
        <v>1347</v>
      </c>
      <c r="G568" s="31">
        <v>0.0</v>
      </c>
      <c r="H568" s="39" t="str">
        <f t="array" ref="H568">IFERROR(XLOOKUP(D568,'MASTER ITEM LIST'!A:A,'MASTER ITEM LIST'!D:D), "")</f>
        <v>CAN</v>
      </c>
      <c r="I568" s="40">
        <v>110.0</v>
      </c>
      <c r="J568" s="41">
        <f t="shared" si="2"/>
        <v>0</v>
      </c>
    </row>
    <row r="569" ht="22.5" customHeight="1">
      <c r="A569" s="29">
        <v>46197.0</v>
      </c>
      <c r="B569" s="31" t="s">
        <v>1345</v>
      </c>
      <c r="C569" s="32" t="s">
        <v>1346</v>
      </c>
      <c r="D569" s="42" t="s">
        <v>417</v>
      </c>
      <c r="E569" s="35" t="str">
        <f t="array" ref="E569">IF(D569="", "", XLOOKUP(D569, 'MASTER ITEM LIST'!A:A, 'MASTER ITEM LIST'!B:B, ""))</f>
        <v>POLYGLOSS TOP COAT W/H</v>
      </c>
      <c r="F569" s="37" t="s">
        <v>1347</v>
      </c>
      <c r="G569" s="31">
        <v>7.0</v>
      </c>
      <c r="H569" s="39" t="str">
        <f t="array" ref="H569">IFERROR(XLOOKUP(D569,'MASTER ITEM LIST'!A:A,'MASTER ITEM LIST'!D:D), "")</f>
        <v>LITER</v>
      </c>
      <c r="I569" s="40">
        <v>470.0</v>
      </c>
      <c r="J569" s="41">
        <f t="shared" si="2"/>
        <v>3290</v>
      </c>
    </row>
    <row r="570" ht="22.5" customHeight="1">
      <c r="A570" s="29">
        <v>46197.0</v>
      </c>
      <c r="B570" s="31" t="s">
        <v>1345</v>
      </c>
      <c r="C570" s="32" t="s">
        <v>1346</v>
      </c>
      <c r="D570" s="42" t="s">
        <v>454</v>
      </c>
      <c r="E570" s="35" t="str">
        <f t="array" ref="E570">IF(D570="", "", XLOOKUP(D570, 'MASTER ITEM LIST'!A:A, 'MASTER ITEM LIST'!B:B, ""))</f>
        <v>POLYGLOSS PU 888 RED 4L</v>
      </c>
      <c r="F570" s="37" t="s">
        <v>1204</v>
      </c>
      <c r="G570" s="31">
        <v>0.125</v>
      </c>
      <c r="H570" s="39" t="str">
        <f t="array" ref="H570">IFERROR(XLOOKUP(D570,'MASTER ITEM LIST'!A:A,'MASTER ITEM LIST'!D:D), "")</f>
        <v>GALON</v>
      </c>
      <c r="I570" s="40">
        <v>2450.0</v>
      </c>
      <c r="J570" s="41">
        <f t="shared" si="2"/>
        <v>306.25</v>
      </c>
    </row>
    <row r="571" ht="22.5" customHeight="1">
      <c r="A571" s="29">
        <v>46197.0</v>
      </c>
      <c r="B571" s="31" t="s">
        <v>1345</v>
      </c>
      <c r="C571" s="32" t="s">
        <v>1346</v>
      </c>
      <c r="D571" s="42" t="s">
        <v>458</v>
      </c>
      <c r="E571" s="35" t="str">
        <f t="array" ref="E571">IF(D571="", "", XLOOKUP(D571, 'MASTER ITEM LIST'!A:A, 'MASTER ITEM LIST'!B:B, ""))</f>
        <v>PLATONE QDE YELLOW 4L</v>
      </c>
      <c r="F571" s="37" t="s">
        <v>1204</v>
      </c>
      <c r="G571" s="31">
        <v>3.0</v>
      </c>
      <c r="H571" s="39" t="str">
        <f t="array" ref="H571">IFERROR(XLOOKUP(D571,'MASTER ITEM LIST'!A:A,'MASTER ITEM LIST'!D:D), "")</f>
        <v>GAL</v>
      </c>
      <c r="I571" s="40">
        <v>836.0</v>
      </c>
      <c r="J571" s="41">
        <f t="shared" si="2"/>
        <v>2508</v>
      </c>
    </row>
    <row r="572" ht="22.5" customHeight="1">
      <c r="A572" s="29">
        <v>46197.0</v>
      </c>
      <c r="B572" s="31" t="s">
        <v>1345</v>
      </c>
      <c r="C572" s="32" t="s">
        <v>1346</v>
      </c>
      <c r="D572" s="42" t="s">
        <v>466</v>
      </c>
      <c r="E572" s="35" t="str">
        <f t="array" ref="E572">IF(D572="", "", XLOOKUP(D572, 'MASTER ITEM LIST'!A:A, 'MASTER ITEM LIST'!B:B, ""))</f>
        <v>PLATONE QDE ROYAL BLUE 4L</v>
      </c>
      <c r="F572" s="37" t="s">
        <v>1204</v>
      </c>
      <c r="G572" s="31">
        <v>2.0</v>
      </c>
      <c r="H572" s="39" t="str">
        <f t="array" ref="H572">IFERROR(XLOOKUP(D572,'MASTER ITEM LIST'!A:A,'MASTER ITEM LIST'!D:D), "")</f>
        <v>GAL</v>
      </c>
      <c r="I572" s="40">
        <v>698.0</v>
      </c>
      <c r="J572" s="41">
        <f t="shared" si="2"/>
        <v>1396</v>
      </c>
    </row>
    <row r="573" ht="22.5" customHeight="1">
      <c r="A573" s="29">
        <v>46197.0</v>
      </c>
      <c r="B573" s="31" t="s">
        <v>1345</v>
      </c>
      <c r="C573" s="32" t="s">
        <v>1346</v>
      </c>
      <c r="D573" s="42" t="s">
        <v>334</v>
      </c>
      <c r="E573" s="35" t="str">
        <f t="array" ref="E573">IF(D573="", "", XLOOKUP(D573, 'MASTER ITEM LIST'!A:A, 'MASTER ITEM LIST'!B:B, ""))</f>
        <v>PLATONE QDE BLACK 4L</v>
      </c>
      <c r="F573" s="37" t="s">
        <v>1204</v>
      </c>
      <c r="G573" s="31">
        <v>0.4375</v>
      </c>
      <c r="H573" s="39" t="str">
        <f t="array" ref="H573">IFERROR(XLOOKUP(D573,'MASTER ITEM LIST'!A:A,'MASTER ITEM LIST'!D:D), "")</f>
        <v>GAL</v>
      </c>
      <c r="I573" s="40">
        <v>661.0</v>
      </c>
      <c r="J573" s="41">
        <f t="shared" si="2"/>
        <v>289.1875</v>
      </c>
    </row>
    <row r="574" ht="22.5" customHeight="1">
      <c r="A574" s="29">
        <v>46197.0</v>
      </c>
      <c r="B574" s="31" t="s">
        <v>1345</v>
      </c>
      <c r="C574" s="32" t="s">
        <v>1346</v>
      </c>
      <c r="D574" s="42" t="s">
        <v>505</v>
      </c>
      <c r="E574" s="35" t="str">
        <f t="array" ref="E574">IF(D574="", "", XLOOKUP(D574, 'MASTER ITEM LIST'!A:A, 'MASTER ITEM LIST'!B:B, ""))</f>
        <v>PAINT ROLLER TRAY</v>
      </c>
      <c r="F574" s="37" t="s">
        <v>1347</v>
      </c>
      <c r="G574" s="31">
        <v>12.0</v>
      </c>
      <c r="H574" s="39" t="str">
        <f t="array" ref="H574">IFERROR(XLOOKUP(D574,'MASTER ITEM LIST'!A:A,'MASTER ITEM LIST'!D:D), "")</f>
        <v>PC/S</v>
      </c>
      <c r="I574" s="40">
        <v>40.0</v>
      </c>
      <c r="J574" s="41">
        <f t="shared" si="2"/>
        <v>480</v>
      </c>
    </row>
    <row r="575" ht="22.5" customHeight="1">
      <c r="A575" s="29">
        <v>46197.0</v>
      </c>
      <c r="B575" s="31" t="s">
        <v>1345</v>
      </c>
      <c r="C575" s="32" t="s">
        <v>1346</v>
      </c>
      <c r="D575" s="42" t="s">
        <v>63</v>
      </c>
      <c r="E575" s="35" t="str">
        <f t="array" ref="E575">IF(D575="", "", XLOOKUP(D575, 'MASTER ITEM LIST'!A:A, 'MASTER ITEM LIST'!B:B, ""))</f>
        <v>OLD NEWS</v>
      </c>
      <c r="F575" s="37" t="s">
        <v>1347</v>
      </c>
      <c r="G575" s="31">
        <v>52.5</v>
      </c>
      <c r="H575" s="39" t="str">
        <f t="array" ref="H575">IFERROR(XLOOKUP(D575,'MASTER ITEM LIST'!A:A,'MASTER ITEM LIST'!D:D), "")</f>
        <v>KG</v>
      </c>
      <c r="I575" s="40">
        <v>45.0</v>
      </c>
      <c r="J575" s="41">
        <f t="shared" si="2"/>
        <v>2362.5</v>
      </c>
    </row>
    <row r="576" ht="22.5" customHeight="1">
      <c r="A576" s="29">
        <v>46197.0</v>
      </c>
      <c r="B576" s="31" t="s">
        <v>1345</v>
      </c>
      <c r="C576" s="32" t="s">
        <v>1346</v>
      </c>
      <c r="D576" s="42" t="s">
        <v>520</v>
      </c>
      <c r="E576" s="35" t="str">
        <f t="array" ref="E576">IF(D576="", "", XLOOKUP(D576, 'MASTER ITEM LIST'!A:A, 'MASTER ITEM LIST'!B:B, ""))</f>
        <v>NIPPON ULTRA 8100T FD 2K CLEAR W/HARDENER 1L</v>
      </c>
      <c r="F576" s="37" t="s">
        <v>1347</v>
      </c>
      <c r="G576" s="31"/>
      <c r="H576" s="39" t="str">
        <f t="array" ref="H576">IFERROR(XLOOKUP(D576,'MASTER ITEM LIST'!A:A,'MASTER ITEM LIST'!D:D), "")</f>
        <v>LITER</v>
      </c>
      <c r="I576" s="40">
        <v>1200.0</v>
      </c>
      <c r="J576" s="41" t="str">
        <f t="shared" si="2"/>
        <v/>
      </c>
    </row>
    <row r="577" ht="22.5" customHeight="1">
      <c r="A577" s="29">
        <v>46197.0</v>
      </c>
      <c r="B577" s="31" t="s">
        <v>1345</v>
      </c>
      <c r="C577" s="32" t="s">
        <v>1346</v>
      </c>
      <c r="D577" s="42" t="s">
        <v>537</v>
      </c>
      <c r="E577" s="35" t="str">
        <f t="array" ref="E577">IF(D577="", "", XLOOKUP(D577, 'MASTER ITEM LIST'!A:A, 'MASTER ITEM LIST'!B:B, ""))</f>
        <v>NIPPON METAL PRIMER RED OXIDE GAL</v>
      </c>
      <c r="F577" s="37" t="s">
        <v>1204</v>
      </c>
      <c r="G577" s="31">
        <v>1.0</v>
      </c>
      <c r="H577" s="39" t="str">
        <f t="array" ref="H577">IFERROR(XLOOKUP(D577,'MASTER ITEM LIST'!A:A,'MASTER ITEM LIST'!D:D), "")</f>
        <v>GAL</v>
      </c>
      <c r="I577" s="40">
        <v>515.0</v>
      </c>
      <c r="J577" s="41">
        <f t="shared" si="2"/>
        <v>515</v>
      </c>
    </row>
    <row r="578" ht="22.5" customHeight="1">
      <c r="A578" s="29">
        <v>46197.0</v>
      </c>
      <c r="B578" s="31" t="s">
        <v>1345</v>
      </c>
      <c r="C578" s="32" t="s">
        <v>1346</v>
      </c>
      <c r="D578" s="42" t="s">
        <v>540</v>
      </c>
      <c r="E578" s="35" t="str">
        <f t="array" ref="E578">IF(D578="", "", XLOOKUP(D578, 'MASTER ITEM LIST'!A:A, 'MASTER ITEM LIST'!B:B, ""))</f>
        <v>NIPPON LACQUER THINNER 4L</v>
      </c>
      <c r="F578" s="37" t="s">
        <v>1204</v>
      </c>
      <c r="G578" s="31">
        <v>1.0</v>
      </c>
      <c r="H578" s="39" t="str">
        <f t="array" ref="H578">IFERROR(XLOOKUP(D578,'MASTER ITEM LIST'!A:A,'MASTER ITEM LIST'!D:D), "")</f>
        <v>GAL</v>
      </c>
      <c r="I578" s="40">
        <v>435.0</v>
      </c>
      <c r="J578" s="41">
        <f t="shared" si="2"/>
        <v>435</v>
      </c>
    </row>
    <row r="579" ht="22.5" customHeight="1">
      <c r="A579" s="29">
        <v>46197.0</v>
      </c>
      <c r="B579" s="31" t="s">
        <v>1345</v>
      </c>
      <c r="C579" s="32" t="s">
        <v>1346</v>
      </c>
      <c r="D579" s="42" t="s">
        <v>397</v>
      </c>
      <c r="E579" s="35" t="str">
        <f t="array" ref="E579">IF(D579="", "", XLOOKUP(D579, 'MASTER ITEM LIST'!A:A, 'MASTER ITEM LIST'!B:B, ""))</f>
        <v>NIPPON HS FILLER 1L</v>
      </c>
      <c r="F579" s="37" t="s">
        <v>1204</v>
      </c>
      <c r="G579" s="31">
        <v>6.0</v>
      </c>
      <c r="H579" s="39" t="str">
        <f t="array" ref="H579">IFERROR(XLOOKUP(D579,'MASTER ITEM LIST'!A:A,'MASTER ITEM LIST'!D:D), "")</f>
        <v>LITER</v>
      </c>
      <c r="I579" s="40">
        <v>550.0</v>
      </c>
      <c r="J579" s="41">
        <f t="shared" si="2"/>
        <v>3300</v>
      </c>
    </row>
    <row r="580" ht="22.5" customHeight="1">
      <c r="A580" s="29">
        <v>46197.0</v>
      </c>
      <c r="B580" s="31" t="s">
        <v>1345</v>
      </c>
      <c r="C580" s="32" t="s">
        <v>1346</v>
      </c>
      <c r="D580" s="42" t="s">
        <v>551</v>
      </c>
      <c r="E580" s="35" t="str">
        <f t="array" ref="E580">IF(D580="", "", XLOOKUP(D580, 'MASTER ITEM LIST'!A:A, 'MASTER ITEM LIST'!B:B, ""))</f>
        <v>NIPPON FLATWALL ENAMEL WHITE 4L</v>
      </c>
      <c r="F580" s="37" t="s">
        <v>1204</v>
      </c>
      <c r="G580" s="31">
        <v>3.0</v>
      </c>
      <c r="H580" s="39" t="str">
        <f t="array" ref="H580">IFERROR(XLOOKUP(D580,'MASTER ITEM LIST'!A:A,'MASTER ITEM LIST'!D:D), "")</f>
        <v>GAL</v>
      </c>
      <c r="I580" s="40">
        <v>615.0</v>
      </c>
      <c r="J580" s="41">
        <f t="shared" si="2"/>
        <v>1845</v>
      </c>
    </row>
    <row r="581" ht="22.5" customHeight="1">
      <c r="A581" s="29">
        <v>46197.0</v>
      </c>
      <c r="B581" s="31" t="s">
        <v>1345</v>
      </c>
      <c r="C581" s="32" t="s">
        <v>1346</v>
      </c>
      <c r="D581" s="42" t="s">
        <v>555</v>
      </c>
      <c r="E581" s="35" t="str">
        <f t="array" ref="E581">IF(D581="", "", XLOOKUP(D581, 'MASTER ITEM LIST'!A:A, 'MASTER ITEM LIST'!B:B, ""))</f>
        <v>NIPPON FLATTENING AGENT PASTE 1L</v>
      </c>
      <c r="F581" s="37" t="s">
        <v>1204</v>
      </c>
      <c r="G581" s="31">
        <v>1.0</v>
      </c>
      <c r="H581" s="39" t="str">
        <f t="array" ref="H581">IFERROR(XLOOKUP(D581,'MASTER ITEM LIST'!A:A,'MASTER ITEM LIST'!D:D), "")</f>
        <v>LITER</v>
      </c>
      <c r="I581" s="40">
        <v>620.0</v>
      </c>
      <c r="J581" s="41">
        <f t="shared" si="2"/>
        <v>620</v>
      </c>
    </row>
    <row r="582" ht="22.5" customHeight="1">
      <c r="A582" s="29">
        <v>46197.0</v>
      </c>
      <c r="B582" s="31" t="s">
        <v>1345</v>
      </c>
      <c r="C582" s="32" t="s">
        <v>1346</v>
      </c>
      <c r="D582" s="42" t="s">
        <v>563</v>
      </c>
      <c r="E582" s="35" t="str">
        <f t="array" ref="E582">IF(D582="", "", XLOOKUP(D582, 'MASTER ITEM LIST'!A:A, 'MASTER ITEM LIST'!B:B, ""))</f>
        <v>NIPPON EXTREME QDU WHITE 4L</v>
      </c>
      <c r="F582" s="37" t="s">
        <v>1347</v>
      </c>
      <c r="G582" s="31">
        <v>0.125</v>
      </c>
      <c r="H582" s="39" t="str">
        <f t="array" ref="H582">IFERROR(XLOOKUP(D582,'MASTER ITEM LIST'!A:A,'MASTER ITEM LIST'!D:D), "")</f>
        <v>GAL</v>
      </c>
      <c r="I582" s="40">
        <v>1550.0</v>
      </c>
      <c r="J582" s="41">
        <f t="shared" si="2"/>
        <v>193.75</v>
      </c>
    </row>
    <row r="583" ht="22.5" customHeight="1">
      <c r="A583" s="29">
        <v>46197.0</v>
      </c>
      <c r="B583" s="31" t="s">
        <v>1345</v>
      </c>
      <c r="C583" s="32" t="s">
        <v>1346</v>
      </c>
      <c r="D583" s="42" t="s">
        <v>565</v>
      </c>
      <c r="E583" s="35" t="str">
        <f t="array" ref="E583">IF(D583="", "", XLOOKUP(D583, 'MASTER ITEM LIST'!A:A, 'MASTER ITEM LIST'!B:B, ""))</f>
        <v>NIPPON EXTREME QDU WARM YELLOW 4L</v>
      </c>
      <c r="F583" s="37" t="s">
        <v>1204</v>
      </c>
      <c r="G583" s="31">
        <v>1.0</v>
      </c>
      <c r="H583" s="39" t="str">
        <f t="array" ref="H583">IFERROR(XLOOKUP(D583,'MASTER ITEM LIST'!A:A,'MASTER ITEM LIST'!D:D), "")</f>
        <v>GAL/S</v>
      </c>
      <c r="I583" s="40">
        <v>1630.0</v>
      </c>
      <c r="J583" s="41">
        <f t="shared" si="2"/>
        <v>1630</v>
      </c>
    </row>
    <row r="584" ht="22.5" customHeight="1">
      <c r="A584" s="29">
        <v>46197.0</v>
      </c>
      <c r="B584" s="31" t="s">
        <v>1345</v>
      </c>
      <c r="C584" s="32" t="s">
        <v>1346</v>
      </c>
      <c r="D584" s="42" t="s">
        <v>568</v>
      </c>
      <c r="E584" s="35" t="str">
        <f t="array" ref="E584">IF(D584="", "", XLOOKUP(D584, 'MASTER ITEM LIST'!A:A, 'MASTER ITEM LIST'!B:B, ""))</f>
        <v>NIPPON EXTREME QDU SILVER 4L</v>
      </c>
      <c r="F584" s="37" t="s">
        <v>1204</v>
      </c>
      <c r="G584" s="31">
        <v>1.40625</v>
      </c>
      <c r="H584" s="39" t="str">
        <f t="array" ref="H584">IFERROR(XLOOKUP(D584,'MASTER ITEM LIST'!A:A,'MASTER ITEM LIST'!D:D), "")</f>
        <v>GAL</v>
      </c>
      <c r="I584" s="40">
        <v>1485.0</v>
      </c>
      <c r="J584" s="41">
        <f t="shared" si="2"/>
        <v>2088.28125</v>
      </c>
    </row>
    <row r="585" ht="22.5" customHeight="1">
      <c r="A585" s="29">
        <v>46197.0</v>
      </c>
      <c r="B585" s="31" t="s">
        <v>1345</v>
      </c>
      <c r="C585" s="32" t="s">
        <v>1346</v>
      </c>
      <c r="D585" s="42" t="s">
        <v>574</v>
      </c>
      <c r="E585" s="35" t="str">
        <f t="array" ref="E585">IF(D585="", "", XLOOKUP(D585, 'MASTER ITEM LIST'!A:A, 'MASTER ITEM LIST'!B:B, ""))</f>
        <v>NIPPON EXTREME QDU ORANGE 4L</v>
      </c>
      <c r="F585" s="37" t="s">
        <v>1204</v>
      </c>
      <c r="G585" s="31">
        <v>1.0</v>
      </c>
      <c r="H585" s="39" t="str">
        <f t="array" ref="H585">IFERROR(XLOOKUP(D585,'MASTER ITEM LIST'!A:A,'MASTER ITEM LIST'!D:D), "")</f>
        <v>GAL</v>
      </c>
      <c r="I585" s="40">
        <v>1630.0</v>
      </c>
      <c r="J585" s="41">
        <f t="shared" si="2"/>
        <v>1630</v>
      </c>
    </row>
    <row r="586" ht="22.5" customHeight="1">
      <c r="A586" s="29">
        <v>46197.0</v>
      </c>
      <c r="B586" s="31" t="s">
        <v>1345</v>
      </c>
      <c r="C586" s="32" t="s">
        <v>1346</v>
      </c>
      <c r="D586" s="42" t="s">
        <v>72</v>
      </c>
      <c r="E586" s="35" t="str">
        <f t="array" ref="E586">IF(D586="", "", XLOOKUP(D586, 'MASTER ITEM LIST'!A:A, 'MASTER ITEM LIST'!B:B, ""))</f>
        <v>NIPPON EXTREME QDU BLACK 4L</v>
      </c>
      <c r="F586" s="37" t="s">
        <v>1204</v>
      </c>
      <c r="G586" s="31">
        <v>3.28125</v>
      </c>
      <c r="H586" s="39" t="str">
        <f t="array" ref="H586">IFERROR(XLOOKUP(D586,'MASTER ITEM LIST'!A:A,'MASTER ITEM LIST'!D:D), "")</f>
        <v>GAL</v>
      </c>
      <c r="I586" s="40">
        <v>1485.0</v>
      </c>
      <c r="J586" s="41">
        <f t="shared" si="2"/>
        <v>4872.65625</v>
      </c>
    </row>
    <row r="587" ht="22.5" customHeight="1">
      <c r="A587" s="29">
        <v>46197.0</v>
      </c>
      <c r="B587" s="31" t="s">
        <v>1345</v>
      </c>
      <c r="C587" s="32" t="s">
        <v>1346</v>
      </c>
      <c r="D587" s="42" t="s">
        <v>646</v>
      </c>
      <c r="E587" s="35" t="str">
        <f t="array" ref="E587">IF(D587="", "", XLOOKUP(D587, 'MASTER ITEM LIST'!A:A, 'MASTER ITEM LIST'!B:B, ""))</f>
        <v>NIPPON DOU CLASSIC FLAT WHITE 701 5L</v>
      </c>
      <c r="F587" s="37" t="s">
        <v>1204</v>
      </c>
      <c r="G587" s="31">
        <v>2.0</v>
      </c>
      <c r="H587" s="39" t="str">
        <f t="array" ref="H587">IFERROR(XLOOKUP(D587,'MASTER ITEM LIST'!A:A,'MASTER ITEM LIST'!D:D), "")</f>
        <v>GAL</v>
      </c>
      <c r="I587" s="40">
        <v>360.0</v>
      </c>
      <c r="J587" s="41">
        <f t="shared" si="2"/>
        <v>720</v>
      </c>
    </row>
    <row r="588" ht="22.5" customHeight="1">
      <c r="A588" s="29">
        <v>46197.0</v>
      </c>
      <c r="B588" s="31" t="s">
        <v>1345</v>
      </c>
      <c r="C588" s="32" t="s">
        <v>1346</v>
      </c>
      <c r="D588" s="42" t="s">
        <v>676</v>
      </c>
      <c r="E588" s="35" t="str">
        <f t="array" ref="E588">IF(D588="", "", XLOOKUP(D588, 'MASTER ITEM LIST'!A:A, 'MASTER ITEM LIST'!B:B, ""))</f>
        <v>NIPPON ACRYLIC GLOSS THINNER 4L</v>
      </c>
      <c r="F588" s="37" t="s">
        <v>1204</v>
      </c>
      <c r="G588" s="31">
        <v>5.0</v>
      </c>
      <c r="H588" s="39" t="str">
        <f t="array" ref="H588">IFERROR(XLOOKUP(D588,'MASTER ITEM LIST'!A:A,'MASTER ITEM LIST'!D:D), "")</f>
        <v>GAL/S</v>
      </c>
      <c r="I588" s="40">
        <v>450.0</v>
      </c>
      <c r="J588" s="41">
        <f t="shared" si="2"/>
        <v>2250</v>
      </c>
    </row>
    <row r="589" ht="22.5" customHeight="1">
      <c r="A589" s="29">
        <v>46197.0</v>
      </c>
      <c r="B589" s="31" t="s">
        <v>1345</v>
      </c>
      <c r="C589" s="32" t="s">
        <v>1346</v>
      </c>
      <c r="D589" s="42" t="s">
        <v>703</v>
      </c>
      <c r="E589" s="35" t="str">
        <f t="array" ref="E589">IF(D589="", "", XLOOKUP(D589, 'MASTER ITEM LIST'!A:A, 'MASTER ITEM LIST'!B:B, ""))</f>
        <v>NAX SOD145 SOLVENT NAPTHA/DEGREASER 4L</v>
      </c>
      <c r="F589" s="37" t="s">
        <v>1347</v>
      </c>
      <c r="G589" s="31">
        <v>1.5</v>
      </c>
      <c r="H589" s="39" t="str">
        <f t="array" ref="H589">IFERROR(XLOOKUP(D589,'MASTER ITEM LIST'!A:A,'MASTER ITEM LIST'!D:D), "")</f>
        <v>GAL</v>
      </c>
      <c r="I589" s="40">
        <v>445.0</v>
      </c>
      <c r="J589" s="41">
        <f t="shared" si="2"/>
        <v>667.5</v>
      </c>
    </row>
    <row r="590" ht="22.5" customHeight="1">
      <c r="A590" s="29">
        <v>46197.0</v>
      </c>
      <c r="B590" s="31" t="s">
        <v>1345</v>
      </c>
      <c r="C590" s="32" t="s">
        <v>1346</v>
      </c>
      <c r="D590" s="42" t="s">
        <v>706</v>
      </c>
      <c r="E590" s="35" t="str">
        <f t="array" ref="E590">IF(D590="", "", XLOOKUP(D590, 'MASTER ITEM LIST'!A:A, 'MASTER ITEM LIST'!B:B, ""))</f>
        <v>NAX SOB745 BLENDING THINNER 4L</v>
      </c>
      <c r="F590" s="37" t="s">
        <v>1347</v>
      </c>
      <c r="G590" s="31">
        <v>0.4</v>
      </c>
      <c r="H590" s="39" t="str">
        <f t="array" ref="H590">IFERROR(XLOOKUP(D590,'MASTER ITEM LIST'!A:A,'MASTER ITEM LIST'!D:D), "")</f>
        <v>GAL</v>
      </c>
      <c r="I590" s="40">
        <v>786.0</v>
      </c>
      <c r="J590" s="41">
        <f t="shared" si="2"/>
        <v>314.4</v>
      </c>
    </row>
    <row r="591" ht="22.5" customHeight="1">
      <c r="A591" s="29">
        <v>46197.0</v>
      </c>
      <c r="B591" s="31" t="s">
        <v>1345</v>
      </c>
      <c r="C591" s="32" t="s">
        <v>1346</v>
      </c>
      <c r="D591" s="42" t="s">
        <v>415</v>
      </c>
      <c r="E591" s="35" t="str">
        <f t="array" ref="E591">IF(D591="", "", XLOOKUP(D591, 'MASTER ITEM LIST'!A:A, 'MASTER ITEM LIST'!B:B, ""))</f>
        <v>NAX PREMILA NP9700 HS 2K CLEAR WITH HARDENER 1L</v>
      </c>
      <c r="F591" s="37" t="s">
        <v>1347</v>
      </c>
      <c r="G591" s="31">
        <v>5.0</v>
      </c>
      <c r="H591" s="39" t="str">
        <f t="array" ref="H591">IFERROR(XLOOKUP(D591,'MASTER ITEM LIST'!A:A,'MASTER ITEM LIST'!D:D), "")</f>
        <v>LITER</v>
      </c>
      <c r="I591" s="40">
        <v>1030.0</v>
      </c>
      <c r="J591" s="41">
        <f t="shared" si="2"/>
        <v>5150</v>
      </c>
    </row>
    <row r="592" ht="22.5" customHeight="1">
      <c r="A592" s="29">
        <v>46197.0</v>
      </c>
      <c r="B592" s="31" t="s">
        <v>1345</v>
      </c>
      <c r="C592" s="32" t="s">
        <v>1346</v>
      </c>
      <c r="D592" s="42" t="s">
        <v>56</v>
      </c>
      <c r="E592" s="35" t="str">
        <f t="array" ref="E592">IF(D592="", "", XLOOKUP(D592, 'MASTER ITEM LIST'!A:A, 'MASTER ITEM LIST'!B:B, ""))</f>
        <v>NAX PREMILA MT903 SUN GREEN 1L</v>
      </c>
      <c r="F592" s="37" t="s">
        <v>1204</v>
      </c>
      <c r="G592" s="31">
        <v>1.0</v>
      </c>
      <c r="H592" s="39" t="str">
        <f t="array" ref="H592">IFERROR(XLOOKUP(D592,'MASTER ITEM LIST'!A:A,'MASTER ITEM LIST'!D:D), "")</f>
        <v>LTR/S</v>
      </c>
      <c r="I592" s="40">
        <v>1561.0</v>
      </c>
      <c r="J592" s="41">
        <f t="shared" si="2"/>
        <v>1561</v>
      </c>
    </row>
    <row r="593" ht="22.5" customHeight="1">
      <c r="A593" s="29">
        <v>46197.0</v>
      </c>
      <c r="B593" s="31" t="s">
        <v>1345</v>
      </c>
      <c r="C593" s="32" t="s">
        <v>1346</v>
      </c>
      <c r="D593" s="42" t="s">
        <v>76</v>
      </c>
      <c r="E593" s="35" t="str">
        <f t="array" ref="E593">IF(D593="", "", XLOOKUP(D593, 'MASTER ITEM LIST'!A:A, 'MASTER ITEM LIST'!B:B, ""))</f>
        <v>NAX PREMILA MT805 CUSTOM BLUE 1L</v>
      </c>
      <c r="F593" s="37" t="s">
        <v>1204</v>
      </c>
      <c r="G593" s="31">
        <v>1.0</v>
      </c>
      <c r="H593" s="39" t="str">
        <f t="array" ref="H593">IFERROR(XLOOKUP(D593,'MASTER ITEM LIST'!A:A,'MASTER ITEM LIST'!D:D), "")</f>
        <v>LTR/S</v>
      </c>
      <c r="I593" s="40">
        <v>1593.0</v>
      </c>
      <c r="J593" s="41">
        <f t="shared" si="2"/>
        <v>1593</v>
      </c>
    </row>
    <row r="594" ht="22.5" customHeight="1">
      <c r="A594" s="29">
        <v>46197.0</v>
      </c>
      <c r="B594" s="31" t="s">
        <v>1345</v>
      </c>
      <c r="C594" s="32" t="s">
        <v>1346</v>
      </c>
      <c r="D594" s="42" t="s">
        <v>80</v>
      </c>
      <c r="E594" s="35" t="str">
        <f t="array" ref="E594">IF(D594="", "", XLOOKUP(D594, 'MASTER ITEM LIST'!A:A, 'MASTER ITEM LIST'!B:B, ""))</f>
        <v>NAX PREMILA MT804 ORIENT BLUE 1L</v>
      </c>
      <c r="F594" s="37" t="s">
        <v>1204</v>
      </c>
      <c r="G594" s="31">
        <v>1.0</v>
      </c>
      <c r="H594" s="39" t="str">
        <f t="array" ref="H594">IFERROR(XLOOKUP(D594,'MASTER ITEM LIST'!A:A,'MASTER ITEM LIST'!D:D), "")</f>
        <v>LTR/S</v>
      </c>
      <c r="I594" s="40">
        <v>1593.0</v>
      </c>
      <c r="J594" s="41">
        <f t="shared" si="2"/>
        <v>1593</v>
      </c>
    </row>
    <row r="595" ht="22.5" customHeight="1">
      <c r="A595" s="29">
        <v>46197.0</v>
      </c>
      <c r="B595" s="31" t="s">
        <v>1345</v>
      </c>
      <c r="C595" s="32" t="s">
        <v>1346</v>
      </c>
      <c r="D595" s="42" t="s">
        <v>88</v>
      </c>
      <c r="E595" s="35" t="str">
        <f t="array" ref="E595">IF(D595="", "", XLOOKUP(D595, 'MASTER ITEM LIST'!A:A, 'MASTER ITEM LIST'!B:B, ""))</f>
        <v>NAX PREMILA MT803 FRESH BLUE 1L</v>
      </c>
      <c r="F595" s="37" t="s">
        <v>1204</v>
      </c>
      <c r="G595" s="31">
        <v>1.0</v>
      </c>
      <c r="H595" s="39" t="str">
        <f t="array" ref="H595">IFERROR(XLOOKUP(D595,'MASTER ITEM LIST'!A:A,'MASTER ITEM LIST'!D:D), "")</f>
        <v>LTR/S</v>
      </c>
      <c r="I595" s="40">
        <v>1593.0</v>
      </c>
      <c r="J595" s="41">
        <f t="shared" si="2"/>
        <v>1593</v>
      </c>
    </row>
    <row r="596" ht="22.5" customHeight="1">
      <c r="A596" s="29">
        <v>46197.0</v>
      </c>
      <c r="B596" s="31" t="s">
        <v>1345</v>
      </c>
      <c r="C596" s="32" t="s">
        <v>1346</v>
      </c>
      <c r="D596" s="42" t="s">
        <v>106</v>
      </c>
      <c r="E596" s="35" t="str">
        <f t="array" ref="E596">IF(D596="", "", XLOOKUP(D596, 'MASTER ITEM LIST'!A:A, 'MASTER ITEM LIST'!B:B, ""))</f>
        <v>NAX PREMILA MT607 AUTUMN RED 1L</v>
      </c>
      <c r="F596" s="37" t="s">
        <v>1347</v>
      </c>
      <c r="G596" s="31">
        <v>2.0</v>
      </c>
      <c r="H596" s="39" t="str">
        <f t="array" ref="H596">IFERROR(XLOOKUP(D596,'MASTER ITEM LIST'!A:A,'MASTER ITEM LIST'!D:D), "")</f>
        <v>LTR/S</v>
      </c>
      <c r="I596" s="40">
        <v>2048.0</v>
      </c>
      <c r="J596" s="41">
        <f t="shared" si="2"/>
        <v>4096</v>
      </c>
    </row>
    <row r="597" ht="22.5" customHeight="1">
      <c r="A597" s="29">
        <v>46197.0</v>
      </c>
      <c r="B597" s="31" t="s">
        <v>1345</v>
      </c>
      <c r="C597" s="32" t="s">
        <v>1346</v>
      </c>
      <c r="D597" s="42" t="s">
        <v>116</v>
      </c>
      <c r="E597" s="35" t="str">
        <f t="array" ref="E597">IF(D597="", "", XLOOKUP(D597, 'MASTER ITEM LIST'!A:A, 'MASTER ITEM LIST'!B:B, ""))</f>
        <v>NAX PREMILA MT604 EXTRA MAROON 1L</v>
      </c>
      <c r="F597" s="37" t="s">
        <v>1347</v>
      </c>
      <c r="G597" s="31">
        <v>2.0</v>
      </c>
      <c r="H597" s="39" t="str">
        <f t="array" ref="H597">IFERROR(XLOOKUP(D597,'MASTER ITEM LIST'!A:A,'MASTER ITEM LIST'!D:D), "")</f>
        <v>LTR/S</v>
      </c>
      <c r="I597" s="40">
        <v>2048.0</v>
      </c>
      <c r="J597" s="41">
        <f t="shared" si="2"/>
        <v>4096</v>
      </c>
    </row>
    <row r="598" ht="22.5" customHeight="1">
      <c r="A598" s="29">
        <v>46197.0</v>
      </c>
      <c r="B598" s="31" t="s">
        <v>1345</v>
      </c>
      <c r="C598" s="32" t="s">
        <v>1346</v>
      </c>
      <c r="D598" s="42" t="s">
        <v>128</v>
      </c>
      <c r="E598" s="35" t="str">
        <f t="array" ref="E598">IF(D598="", "", XLOOKUP(D598, 'MASTER ITEM LIST'!A:A, 'MASTER ITEM LIST'!B:B, ""))</f>
        <v>NAX PREMILA MT602 PEGASUS MAROON 1L</v>
      </c>
      <c r="F598" s="37" t="s">
        <v>1204</v>
      </c>
      <c r="G598" s="31">
        <v>2.0</v>
      </c>
      <c r="H598" s="39" t="str">
        <f t="array" ref="H598">IFERROR(XLOOKUP(D598,'MASTER ITEM LIST'!A:A,'MASTER ITEM LIST'!D:D), "")</f>
        <v>LTR/S</v>
      </c>
      <c r="I598" s="40">
        <v>2302.0</v>
      </c>
      <c r="J598" s="41">
        <f t="shared" si="2"/>
        <v>4604</v>
      </c>
    </row>
    <row r="599" ht="22.5" customHeight="1">
      <c r="A599" s="29">
        <v>46197.0</v>
      </c>
      <c r="B599" s="31" t="s">
        <v>1345</v>
      </c>
      <c r="C599" s="32" t="s">
        <v>1346</v>
      </c>
      <c r="D599" s="42" t="s">
        <v>143</v>
      </c>
      <c r="E599" s="35" t="str">
        <f t="array" ref="E599">IF(D599="", "", XLOOKUP(D599, 'MASTER ITEM LIST'!A:A, 'MASTER ITEM LIST'!B:B, ""))</f>
        <v>NAX PREMILA MT507 RUBY RED 1L</v>
      </c>
      <c r="F599" s="37" t="s">
        <v>1204</v>
      </c>
      <c r="G599" s="31">
        <v>1.0</v>
      </c>
      <c r="H599" s="39" t="str">
        <f t="array" ref="H599">IFERROR(XLOOKUP(D599,'MASTER ITEM LIST'!A:A,'MASTER ITEM LIST'!D:D), "")</f>
        <v>LTR/S</v>
      </c>
      <c r="I599" s="40">
        <v>2867.0</v>
      </c>
      <c r="J599" s="41">
        <f t="shared" si="2"/>
        <v>2867</v>
      </c>
    </row>
    <row r="600" ht="22.5" customHeight="1">
      <c r="A600" s="29">
        <v>46197.0</v>
      </c>
      <c r="B600" s="31" t="s">
        <v>1345</v>
      </c>
      <c r="C600" s="32" t="s">
        <v>1346</v>
      </c>
      <c r="D600" s="42" t="s">
        <v>199</v>
      </c>
      <c r="E600" s="35" t="str">
        <f t="array" ref="E600">IF(D600="", "", XLOOKUP(D600, 'MASTER ITEM LIST'!A:A, 'MASTER ITEM LIST'!B:B, ""))</f>
        <v>NAX PREMILA MT301 MAPICO YELLOW 1L</v>
      </c>
      <c r="F600" s="37" t="s">
        <v>1204</v>
      </c>
      <c r="G600" s="31">
        <v>0.0</v>
      </c>
      <c r="H600" s="39" t="str">
        <f t="array" ref="H600">IFERROR(XLOOKUP(D600,'MASTER ITEM LIST'!A:A,'MASTER ITEM LIST'!D:D), "")</f>
        <v>LTR/S</v>
      </c>
      <c r="I600" s="40">
        <v>1896.0</v>
      </c>
      <c r="J600" s="41">
        <f t="shared" si="2"/>
        <v>0</v>
      </c>
    </row>
    <row r="601" ht="22.5" customHeight="1">
      <c r="A601" s="29">
        <v>46197.0</v>
      </c>
      <c r="B601" s="31" t="s">
        <v>1345</v>
      </c>
      <c r="C601" s="32" t="s">
        <v>1346</v>
      </c>
      <c r="D601" s="42" t="s">
        <v>207</v>
      </c>
      <c r="E601" s="35" t="str">
        <f t="array" ref="E601">IF(D601="", "", XLOOKUP(D601, 'MASTER ITEM LIST'!A:A, 'MASTER ITEM LIST'!B:B, ""))</f>
        <v>NAX PREMILA MT202 TINTING BLACK NP 1L</v>
      </c>
      <c r="F601" s="37" t="s">
        <v>1204</v>
      </c>
      <c r="G601" s="31">
        <v>1.0</v>
      </c>
      <c r="H601" s="39" t="str">
        <f t="array" ref="H601">IFERROR(XLOOKUP(D601,'MASTER ITEM LIST'!A:A,'MASTER ITEM LIST'!D:D), "")</f>
        <v>LTR/S</v>
      </c>
      <c r="I601" s="40">
        <v>1090.0</v>
      </c>
      <c r="J601" s="41">
        <f t="shared" si="2"/>
        <v>1090</v>
      </c>
    </row>
    <row r="602" ht="22.5" customHeight="1">
      <c r="A602" s="29">
        <v>46197.0</v>
      </c>
      <c r="B602" s="31" t="s">
        <v>1345</v>
      </c>
      <c r="C602" s="32" t="s">
        <v>1346</v>
      </c>
      <c r="D602" s="42" t="s">
        <v>249</v>
      </c>
      <c r="E602" s="35" t="str">
        <f t="array" ref="E602">IF(D602="", "", XLOOKUP(D602, 'MASTER ITEM LIST'!A:A, 'MASTER ITEM LIST'!B:B, ""))</f>
        <v>NAX PREMILA MT100 WHITE HS 4L</v>
      </c>
      <c r="F602" s="37" t="s">
        <v>1204</v>
      </c>
      <c r="G602" s="31">
        <v>1.0</v>
      </c>
      <c r="H602" s="39" t="str">
        <f t="array" ref="H602">IFERROR(XLOOKUP(D602,'MASTER ITEM LIST'!A:A,'MASTER ITEM LIST'!D:D), "")</f>
        <v>GAL/S</v>
      </c>
      <c r="I602" s="40">
        <v>4160.0</v>
      </c>
      <c r="J602" s="41">
        <f t="shared" si="2"/>
        <v>4160</v>
      </c>
    </row>
    <row r="603" ht="22.5" customHeight="1">
      <c r="A603" s="29">
        <v>46197.0</v>
      </c>
      <c r="B603" s="31" t="s">
        <v>1345</v>
      </c>
      <c r="C603" s="32" t="s">
        <v>1346</v>
      </c>
      <c r="D603" s="42" t="s">
        <v>256</v>
      </c>
      <c r="E603" s="35" t="str">
        <f t="array" ref="E603">IF(D603="", "", XLOOKUP(D603, 'MASTER ITEM LIST'!A:A, 'MASTER ITEM LIST'!B:B, ""))</f>
        <v>NAX PREMILA MT100 WHITE HS 1L</v>
      </c>
      <c r="F603" s="37" t="s">
        <v>1204</v>
      </c>
      <c r="G603" s="31">
        <v>2.0</v>
      </c>
      <c r="H603" s="39" t="str">
        <f t="array" ref="H603">IFERROR(XLOOKUP(D603,'MASTER ITEM LIST'!A:A,'MASTER ITEM LIST'!D:D), "")</f>
        <v>LTR/S</v>
      </c>
      <c r="I603" s="40">
        <v>1090.0</v>
      </c>
      <c r="J603" s="41">
        <f t="shared" si="2"/>
        <v>2180</v>
      </c>
    </row>
    <row r="604" ht="22.5" customHeight="1">
      <c r="A604" s="29">
        <v>46197.0</v>
      </c>
      <c r="B604" s="31" t="s">
        <v>1345</v>
      </c>
      <c r="C604" s="32" t="s">
        <v>1346</v>
      </c>
      <c r="D604" s="42" t="s">
        <v>301</v>
      </c>
      <c r="E604" s="35" t="str">
        <f t="array" ref="E604">IF(D604="", "", XLOOKUP(D604, 'MASTER ITEM LIST'!A:A, 'MASTER ITEM LIST'!B:B, ""))</f>
        <v>NAX PREMILA MT083 MICA BASE 4R RED 1L</v>
      </c>
      <c r="F604" s="37" t="s">
        <v>1347</v>
      </c>
      <c r="G604" s="31">
        <v>1.0</v>
      </c>
      <c r="H604" s="39" t="str">
        <f t="array" ref="H604">IFERROR(XLOOKUP(D604,'MASTER ITEM LIST'!A:A,'MASTER ITEM LIST'!D:D), "")</f>
        <v>LTR/S</v>
      </c>
      <c r="I604" s="40">
        <v>3000.0</v>
      </c>
      <c r="J604" s="41">
        <f t="shared" si="2"/>
        <v>3000</v>
      </c>
    </row>
    <row r="605" ht="22.5" customHeight="1">
      <c r="A605" s="29">
        <v>46197.0</v>
      </c>
      <c r="B605" s="31" t="s">
        <v>1345</v>
      </c>
      <c r="C605" s="32" t="s">
        <v>1346</v>
      </c>
      <c r="D605" s="42" t="s">
        <v>305</v>
      </c>
      <c r="E605" s="35" t="str">
        <f t="array" ref="E605">IF(D605="", "", XLOOKUP(D605, 'MASTER ITEM LIST'!A:A, 'MASTER ITEM LIST'!B:B, ""))</f>
        <v>NAX PREMILA MT081 MICA BASE 3PK RUTILE RED 1L</v>
      </c>
      <c r="F605" s="37" t="s">
        <v>1347</v>
      </c>
      <c r="G605" s="31">
        <v>0.0</v>
      </c>
      <c r="H605" s="39" t="str">
        <f t="array" ref="H605">IFERROR(XLOOKUP(D605,'MASTER ITEM LIST'!A:A,'MASTER ITEM LIST'!D:D), "")</f>
        <v>LTR/S</v>
      </c>
      <c r="I605" s="40">
        <v>3000.0</v>
      </c>
      <c r="J605" s="41">
        <f t="shared" si="2"/>
        <v>0</v>
      </c>
    </row>
    <row r="606" ht="22.5" customHeight="1">
      <c r="A606" s="29">
        <v>46197.0</v>
      </c>
      <c r="B606" s="31" t="s">
        <v>1345</v>
      </c>
      <c r="C606" s="32" t="s">
        <v>1346</v>
      </c>
      <c r="D606" s="42" t="s">
        <v>324</v>
      </c>
      <c r="E606" s="35" t="str">
        <f t="array" ref="E606">IF(D606="", "", XLOOKUP(D606, 'MASTER ITEM LIST'!A:A, 'MASTER ITEM LIST'!B:B, ""))</f>
        <v>NAX PREMILA MT078 MICA BASE 5W BRIGHT WHITE 1L</v>
      </c>
      <c r="F606" s="37" t="s">
        <v>1204</v>
      </c>
      <c r="G606" s="31">
        <v>1.0</v>
      </c>
      <c r="H606" s="39" t="str">
        <f t="array" ref="H606">IFERROR(XLOOKUP(D606,'MASTER ITEM LIST'!A:A,'MASTER ITEM LIST'!D:D), "")</f>
        <v>LTR/S</v>
      </c>
      <c r="I606" s="40">
        <v>3000.0</v>
      </c>
      <c r="J606" s="41">
        <f t="shared" si="2"/>
        <v>3000</v>
      </c>
    </row>
    <row r="607" ht="22.5" customHeight="1">
      <c r="A607" s="29">
        <v>46197.0</v>
      </c>
      <c r="B607" s="31" t="s">
        <v>1345</v>
      </c>
      <c r="C607" s="32" t="s">
        <v>1346</v>
      </c>
      <c r="D607" s="42" t="s">
        <v>366</v>
      </c>
      <c r="E607" s="35" t="str">
        <f t="array" ref="E607">IF(D607="", "", XLOOKUP(D607, 'MASTER ITEM LIST'!A:A, 'MASTER ITEM LIST'!B:B, ""))</f>
        <v>NAX PREMILA MT06A NEO MICA BASE 3YG YELLOW 1L</v>
      </c>
      <c r="F607" s="37" t="s">
        <v>1204</v>
      </c>
      <c r="G607" s="31">
        <v>1.0</v>
      </c>
      <c r="H607" s="39" t="str">
        <f t="array" ref="H607">IFERROR(XLOOKUP(D607,'MASTER ITEM LIST'!A:A,'MASTER ITEM LIST'!D:D), "")</f>
        <v>LTR/S</v>
      </c>
      <c r="I607" s="40">
        <v>3650.0</v>
      </c>
      <c r="J607" s="41">
        <f t="shared" si="2"/>
        <v>3650</v>
      </c>
    </row>
    <row r="608" ht="22.5" customHeight="1">
      <c r="A608" s="29">
        <v>46197.0</v>
      </c>
      <c r="B608" s="31" t="s">
        <v>1345</v>
      </c>
      <c r="C608" s="32" t="s">
        <v>1346</v>
      </c>
      <c r="D608" s="42" t="s">
        <v>373</v>
      </c>
      <c r="E608" s="35" t="str">
        <f t="array" ref="E608">IF(D608="", "", XLOOKUP(D608, 'MASTER ITEM LIST'!A:A, 'MASTER ITEM LIST'!B:B, ""))</f>
        <v>NAX PREMILA MT068 MICA BASE 3U RADIANT RED 1L</v>
      </c>
      <c r="F608" s="37" t="s">
        <v>1347</v>
      </c>
      <c r="G608" s="31">
        <v>1.0</v>
      </c>
      <c r="H608" s="39" t="str">
        <f t="array" ref="H608">IFERROR(XLOOKUP(D608,'MASTER ITEM LIST'!A:A,'MASTER ITEM LIST'!D:D), "")</f>
        <v>LTR/S</v>
      </c>
      <c r="I608" s="40">
        <v>6000.0</v>
      </c>
      <c r="J608" s="41">
        <f t="shared" si="2"/>
        <v>6000</v>
      </c>
    </row>
    <row r="609" ht="22.5" customHeight="1">
      <c r="A609" s="29">
        <v>46197.0</v>
      </c>
      <c r="B609" s="31" t="s">
        <v>1345</v>
      </c>
      <c r="C609" s="32" t="s">
        <v>1346</v>
      </c>
      <c r="D609" s="42" t="s">
        <v>377</v>
      </c>
      <c r="E609" s="35" t="str">
        <f t="array" ref="E609">IF(D609="", "", XLOOKUP(D609, 'MASTER ITEM LIST'!A:A, 'MASTER ITEM LIST'!B:B, ""))</f>
        <v>NAX PREMILA MT067 MICA BASE 2K RED BROWN 1L</v>
      </c>
      <c r="F609" s="37" t="s">
        <v>1204</v>
      </c>
      <c r="G609" s="31">
        <v>1.0</v>
      </c>
      <c r="H609" s="39" t="str">
        <f t="array" ref="H609">IFERROR(XLOOKUP(D609,'MASTER ITEM LIST'!A:A,'MASTER ITEM LIST'!D:D), "")</f>
        <v>LTR/S</v>
      </c>
      <c r="I609" s="40">
        <v>3000.0</v>
      </c>
      <c r="J609" s="41">
        <f t="shared" si="2"/>
        <v>3000</v>
      </c>
    </row>
    <row r="610" ht="22.5" customHeight="1">
      <c r="A610" s="29">
        <v>46197.0</v>
      </c>
      <c r="B610" s="31" t="s">
        <v>1345</v>
      </c>
      <c r="C610" s="32" t="s">
        <v>1346</v>
      </c>
      <c r="D610" s="42" t="s">
        <v>398</v>
      </c>
      <c r="E610" s="35" t="str">
        <f t="array" ref="E610">IF(D610="", "", XLOOKUP(D610, 'MASTER ITEM LIST'!A:A, 'MASTER ITEM LIST'!B:B, ""))</f>
        <v>NAX PREMILA MT061 MICA BASE 6W FINE SATIN 1L</v>
      </c>
      <c r="F610" s="37" t="s">
        <v>1204</v>
      </c>
      <c r="G610" s="31">
        <v>1.0</v>
      </c>
      <c r="H610" s="39" t="str">
        <f t="array" ref="H610">IFERROR(XLOOKUP(D610,'MASTER ITEM LIST'!A:A,'MASTER ITEM LIST'!D:D), "")</f>
        <v>LTR/S</v>
      </c>
      <c r="I610" s="40">
        <v>3000.0</v>
      </c>
      <c r="J610" s="41">
        <f t="shared" si="2"/>
        <v>3000</v>
      </c>
    </row>
    <row r="611" ht="22.5" customHeight="1">
      <c r="A611" s="29">
        <v>46197.0</v>
      </c>
      <c r="B611" s="31" t="s">
        <v>1345</v>
      </c>
      <c r="C611" s="32" t="s">
        <v>1346</v>
      </c>
      <c r="D611" s="42" t="s">
        <v>404</v>
      </c>
      <c r="E611" s="35" t="str">
        <f t="array" ref="E611">IF(D611="", "", XLOOKUP(D611, 'MASTER ITEM LIST'!A:A, 'MASTER ITEM LIST'!B:B, ""))</f>
        <v>NAX PREMILA MT051 MICA BASE 2BZ BRONZE 1L</v>
      </c>
      <c r="F611" s="37" t="s">
        <v>1204</v>
      </c>
      <c r="G611" s="31">
        <v>1.0</v>
      </c>
      <c r="H611" s="39" t="str">
        <f t="array" ref="H611">IFERROR(XLOOKUP(D611,'MASTER ITEM LIST'!A:A,'MASTER ITEM LIST'!D:D), "")</f>
        <v>LTR/S</v>
      </c>
      <c r="I611" s="40">
        <v>3000.0</v>
      </c>
      <c r="J611" s="41">
        <f t="shared" si="2"/>
        <v>3000</v>
      </c>
    </row>
    <row r="612" ht="22.5" customHeight="1">
      <c r="A612" s="29">
        <v>46197.0</v>
      </c>
      <c r="B612" s="31" t="s">
        <v>1345</v>
      </c>
      <c r="C612" s="32" t="s">
        <v>1346</v>
      </c>
      <c r="D612" s="42" t="s">
        <v>423</v>
      </c>
      <c r="E612" s="35" t="str">
        <f t="array" ref="E612">IF(D612="", "", XLOOKUP(D612, 'MASTER ITEM LIST'!A:A, 'MASTER ITEM LIST'!B:B, ""))</f>
        <v>NAX PREMILA MT028 HIGH SPARKLE SUPER GLAMOUR 1L</v>
      </c>
      <c r="F612" s="37" t="s">
        <v>1347</v>
      </c>
      <c r="G612" s="31">
        <v>1.0</v>
      </c>
      <c r="H612" s="39" t="str">
        <f t="array" ref="H612">IFERROR(XLOOKUP(D612,'MASTER ITEM LIST'!A:A,'MASTER ITEM LIST'!D:D), "")</f>
        <v>LTR/S</v>
      </c>
      <c r="I612" s="40">
        <v>2150.0</v>
      </c>
      <c r="J612" s="41">
        <f t="shared" si="2"/>
        <v>2150</v>
      </c>
    </row>
    <row r="613" ht="22.5" customHeight="1">
      <c r="A613" s="29">
        <v>46197.0</v>
      </c>
      <c r="B613" s="31" t="s">
        <v>1345</v>
      </c>
      <c r="C613" s="32" t="s">
        <v>1346</v>
      </c>
      <c r="D613" s="42" t="s">
        <v>460</v>
      </c>
      <c r="E613" s="35" t="str">
        <f t="array" ref="E613">IF(D613="", "", XLOOKUP(D613, 'MASTER ITEM LIST'!A:A, 'MASTER ITEM LIST'!B:B, ""))</f>
        <v>NAX PREMILA MT004 CRYSTAL SILVER COARSE 1L</v>
      </c>
      <c r="F613" s="37" t="s">
        <v>1204</v>
      </c>
      <c r="G613" s="31">
        <v>1.0</v>
      </c>
      <c r="H613" s="39" t="str">
        <f t="array" ref="H613">IFERROR(XLOOKUP(D613,'MASTER ITEM LIST'!A:A,'MASTER ITEM LIST'!D:D), "")</f>
        <v>LTR/S</v>
      </c>
      <c r="I613" s="40">
        <v>2150.0</v>
      </c>
      <c r="J613" s="41">
        <f t="shared" si="2"/>
        <v>2150</v>
      </c>
    </row>
    <row r="614" ht="22.5" customHeight="1">
      <c r="A614" s="29">
        <v>46197.0</v>
      </c>
      <c r="B614" s="31" t="s">
        <v>1345</v>
      </c>
      <c r="C614" s="32" t="s">
        <v>1346</v>
      </c>
      <c r="D614" s="42" t="s">
        <v>410</v>
      </c>
      <c r="E614" s="35" t="str">
        <f t="array" ref="E614">IF(D614="", "", XLOOKUP(D614, 'MASTER ITEM LIST'!A:A, 'MASTER ITEM LIST'!B:B, ""))</f>
        <v>NAX NAX21 URETHANE HAEDENER</v>
      </c>
      <c r="F614" s="37" t="s">
        <v>1347</v>
      </c>
      <c r="G614" s="31">
        <v>1.0</v>
      </c>
      <c r="H614" s="39" t="str">
        <f t="array" ref="H614">IFERROR(XLOOKUP(D614,'MASTER ITEM LIST'!A:A,'MASTER ITEM LIST'!D:D), "")</f>
        <v>CANS</v>
      </c>
      <c r="I614" s="40">
        <v>190.0</v>
      </c>
      <c r="J614" s="41">
        <f t="shared" si="2"/>
        <v>190</v>
      </c>
    </row>
    <row r="615" ht="22.5" customHeight="1">
      <c r="A615" s="29">
        <v>46197.0</v>
      </c>
      <c r="B615" s="31" t="s">
        <v>1345</v>
      </c>
      <c r="C615" s="32" t="s">
        <v>1346</v>
      </c>
      <c r="D615" s="42" t="s">
        <v>94</v>
      </c>
      <c r="E615" s="35" t="str">
        <f t="array" ref="E615">IF(D615="", "", XLOOKUP(D615, 'MASTER ITEM LIST'!A:A, 'MASTER ITEM LIST'!B:B, ""))</f>
        <v>NAX NAT-990 TTC BLACK 4L</v>
      </c>
      <c r="F615" s="37" t="s">
        <v>1204</v>
      </c>
      <c r="G615" s="31">
        <v>0.875</v>
      </c>
      <c r="H615" s="39" t="str">
        <f t="array" ref="H615">IFERROR(XLOOKUP(D615,'MASTER ITEM LIST'!A:A,'MASTER ITEM LIST'!D:D), "")</f>
        <v>GAL</v>
      </c>
      <c r="I615" s="40">
        <v>1518.0</v>
      </c>
      <c r="J615" s="41">
        <f t="shared" si="2"/>
        <v>1328.25</v>
      </c>
    </row>
    <row r="616" ht="22.5" customHeight="1">
      <c r="A616" s="29">
        <v>46197.0</v>
      </c>
      <c r="B616" s="31" t="s">
        <v>1345</v>
      </c>
      <c r="C616" s="32" t="s">
        <v>1346</v>
      </c>
      <c r="D616" s="42" t="s">
        <v>501</v>
      </c>
      <c r="E616" s="35" t="str">
        <f t="array" ref="E616">IF(D616="", "", XLOOKUP(D616, 'MASTER ITEM LIST'!A:A, 'MASTER ITEM LIST'!B:B, ""))</f>
        <v>NAX NAT-990 TTC BLACK 1L</v>
      </c>
      <c r="F616" s="37" t="s">
        <v>1204</v>
      </c>
      <c r="G616" s="31">
        <v>6.0</v>
      </c>
      <c r="H616" s="39" t="str">
        <f t="array" ref="H616">IFERROR(XLOOKUP(D616,'MASTER ITEM LIST'!A:A,'MASTER ITEM LIST'!D:D), "")</f>
        <v>LITER</v>
      </c>
      <c r="I616" s="40">
        <v>409.0</v>
      </c>
      <c r="J616" s="41">
        <f t="shared" si="2"/>
        <v>2454</v>
      </c>
    </row>
    <row r="617" ht="22.5" customHeight="1">
      <c r="A617" s="29">
        <v>46197.0</v>
      </c>
      <c r="B617" s="31" t="s">
        <v>1345</v>
      </c>
      <c r="C617" s="32" t="s">
        <v>1346</v>
      </c>
      <c r="D617" s="42" t="s">
        <v>508</v>
      </c>
      <c r="E617" s="35" t="str">
        <f t="array" ref="E617">IF(D617="", "", XLOOKUP(D617, 'MASTER ITEM LIST'!A:A, 'MASTER ITEM LIST'!B:B, ""))</f>
        <v>NAX NAT-745 TTC MEDIUM SPARKLE SILVER 1L</v>
      </c>
      <c r="F617" s="37" t="s">
        <v>1347</v>
      </c>
      <c r="G617" s="31">
        <v>1.0</v>
      </c>
      <c r="H617" s="39" t="str">
        <f t="array" ref="H617">IFERROR(XLOOKUP(D617,'MASTER ITEM LIST'!A:A,'MASTER ITEM LIST'!D:D), "")</f>
        <v>LITER</v>
      </c>
      <c r="I617" s="40">
        <v>830.0</v>
      </c>
      <c r="J617" s="41">
        <f t="shared" si="2"/>
        <v>830</v>
      </c>
    </row>
    <row r="618" ht="22.5" customHeight="1">
      <c r="A618" s="29">
        <v>46197.0</v>
      </c>
      <c r="B618" s="31" t="s">
        <v>1345</v>
      </c>
      <c r="C618" s="32" t="s">
        <v>1346</v>
      </c>
      <c r="D618" s="42" t="s">
        <v>511</v>
      </c>
      <c r="E618" s="35" t="str">
        <f t="array" ref="E618">IF(D618="", "", XLOOKUP(D618, 'MASTER ITEM LIST'!A:A, 'MASTER ITEM LIST'!B:B, ""))</f>
        <v>NAX NAT-740 TTC ULTRA FINE SILVER 1L</v>
      </c>
      <c r="F618" s="37" t="s">
        <v>1204</v>
      </c>
      <c r="G618" s="31">
        <v>2.0</v>
      </c>
      <c r="H618" s="39" t="str">
        <f t="array" ref="H618">IFERROR(XLOOKUP(D618,'MASTER ITEM LIST'!A:A,'MASTER ITEM LIST'!D:D), "")</f>
        <v>LITER</v>
      </c>
      <c r="I618" s="40">
        <v>470.0</v>
      </c>
      <c r="J618" s="41">
        <f t="shared" si="2"/>
        <v>940</v>
      </c>
    </row>
    <row r="619" ht="22.5" customHeight="1">
      <c r="A619" s="29">
        <v>46197.0</v>
      </c>
      <c r="B619" s="31" t="s">
        <v>1345</v>
      </c>
      <c r="C619" s="32" t="s">
        <v>1346</v>
      </c>
      <c r="D619" s="42" t="s">
        <v>546</v>
      </c>
      <c r="E619" s="35" t="str">
        <f t="array" ref="E619">IF(D619="", "", XLOOKUP(D619, 'MASTER ITEM LIST'!A:A, 'MASTER ITEM LIST'!B:B, ""))</f>
        <v>NAX NAT-719 TTC COARSE SILVER 4L</v>
      </c>
      <c r="F619" s="37" t="s">
        <v>1204</v>
      </c>
      <c r="G619" s="31">
        <v>1.0</v>
      </c>
      <c r="H619" s="39" t="str">
        <f t="array" ref="H619">IFERROR(XLOOKUP(D619,'MASTER ITEM LIST'!A:A,'MASTER ITEM LIST'!D:D), "")</f>
        <v>GAL</v>
      </c>
      <c r="I619" s="40">
        <v>2325.0</v>
      </c>
      <c r="J619" s="41">
        <f t="shared" si="2"/>
        <v>2325</v>
      </c>
    </row>
    <row r="620" ht="22.5" customHeight="1">
      <c r="A620" s="29">
        <v>46197.0</v>
      </c>
      <c r="B620" s="31" t="s">
        <v>1345</v>
      </c>
      <c r="C620" s="32" t="s">
        <v>1346</v>
      </c>
      <c r="D620" s="42" t="s">
        <v>562</v>
      </c>
      <c r="E620" s="35" t="str">
        <f t="array" ref="E620">IF(D620="", "", XLOOKUP(D620, 'MASTER ITEM LIST'!A:A, 'MASTER ITEM LIST'!B:B, ""))</f>
        <v>NAX NAT-715 TTC FINE SILVER 1L</v>
      </c>
      <c r="F620" s="37" t="s">
        <v>1204</v>
      </c>
      <c r="G620" s="31">
        <v>1.0</v>
      </c>
      <c r="H620" s="39" t="str">
        <f t="array" ref="H620">IFERROR(XLOOKUP(D620,'MASTER ITEM LIST'!A:A,'MASTER ITEM LIST'!D:D), "")</f>
        <v>LITER</v>
      </c>
      <c r="I620" s="40">
        <v>422.0</v>
      </c>
      <c r="J620" s="41">
        <f t="shared" si="2"/>
        <v>422</v>
      </c>
    </row>
    <row r="621" ht="22.5" customHeight="1">
      <c r="A621" s="29">
        <v>46197.0</v>
      </c>
      <c r="B621" s="31" t="s">
        <v>1345</v>
      </c>
      <c r="C621" s="32" t="s">
        <v>1346</v>
      </c>
      <c r="D621" s="42" t="s">
        <v>569</v>
      </c>
      <c r="E621" s="35" t="str">
        <f t="array" ref="E621">IF(D621="", "", XLOOKUP(D621, 'MASTER ITEM LIST'!A:A, 'MASTER ITEM LIST'!B:B, ""))</f>
        <v>NAX NAT-712 TTC MEDIUM FINE SILVER 1L</v>
      </c>
      <c r="F621" s="37" t="s">
        <v>1204</v>
      </c>
      <c r="G621" s="31">
        <v>7.0</v>
      </c>
      <c r="H621" s="39" t="str">
        <f t="array" ref="H621">IFERROR(XLOOKUP(D621,'MASTER ITEM LIST'!A:A,'MASTER ITEM LIST'!D:D), "")</f>
        <v>LITER</v>
      </c>
      <c r="I621" s="40">
        <v>581.0</v>
      </c>
      <c r="J621" s="41">
        <f t="shared" si="2"/>
        <v>4067</v>
      </c>
    </row>
    <row r="622" ht="22.5" customHeight="1">
      <c r="A622" s="29">
        <v>46197.0</v>
      </c>
      <c r="B622" s="31" t="s">
        <v>1345</v>
      </c>
      <c r="C622" s="32" t="s">
        <v>1346</v>
      </c>
      <c r="D622" s="42" t="s">
        <v>875</v>
      </c>
      <c r="E622" s="35" t="str">
        <f t="array" ref="E622">IF(D622="", "", XLOOKUP(D622, 'MASTER ITEM LIST'!A:A, 'MASTER ITEM LIST'!B:B, ""))</f>
        <v>NAX NAT705 SUPER FINE SILVER 1L</v>
      </c>
      <c r="F622" s="37" t="s">
        <v>1204</v>
      </c>
      <c r="G622" s="31">
        <v>1.0</v>
      </c>
      <c r="H622" s="39" t="str">
        <f t="array" ref="H622">IFERROR(XLOOKUP(D622,'MASTER ITEM LIST'!A:A,'MASTER ITEM LIST'!D:D), "")</f>
        <v>LITER</v>
      </c>
      <c r="I622" s="40">
        <v>422.0</v>
      </c>
      <c r="J622" s="41">
        <f t="shared" si="2"/>
        <v>422</v>
      </c>
    </row>
    <row r="623" ht="22.5" customHeight="1">
      <c r="A623" s="29">
        <v>46197.0</v>
      </c>
      <c r="B623" s="31" t="s">
        <v>1345</v>
      </c>
      <c r="C623" s="32" t="s">
        <v>1346</v>
      </c>
      <c r="D623" s="42" t="s">
        <v>585</v>
      </c>
      <c r="E623" s="35" t="str">
        <f t="array" ref="E623">IF(D623="", "", XLOOKUP(D623, 'MASTER ITEM LIST'!A:A, 'MASTER ITEM LIST'!B:B, ""))</f>
        <v>NAX NAT-556 TTC BLUE NO.8 1L</v>
      </c>
      <c r="F623" s="37" t="s">
        <v>1204</v>
      </c>
      <c r="G623" s="31">
        <v>1.0</v>
      </c>
      <c r="H623" s="39" t="str">
        <f t="array" ref="H623">IFERROR(XLOOKUP(D623,'MASTER ITEM LIST'!A:A,'MASTER ITEM LIST'!D:D), "")</f>
        <v>LITER</v>
      </c>
      <c r="I623" s="40">
        <v>620.0</v>
      </c>
      <c r="J623" s="41">
        <f t="shared" si="2"/>
        <v>620</v>
      </c>
    </row>
    <row r="624" ht="22.5" customHeight="1">
      <c r="A624" s="29">
        <v>46197.0</v>
      </c>
      <c r="B624" s="31" t="s">
        <v>1345</v>
      </c>
      <c r="C624" s="32" t="s">
        <v>1346</v>
      </c>
      <c r="D624" s="42" t="s">
        <v>611</v>
      </c>
      <c r="E624" s="35" t="str">
        <f t="array" ref="E624">IF(D624="", "", XLOOKUP(D624, 'MASTER ITEM LIST'!A:A, 'MASTER ITEM LIST'!B:B, ""))</f>
        <v>NAX NAT-410 TTC CYANINE GREEN 1L</v>
      </c>
      <c r="F624" s="37" t="s">
        <v>1204</v>
      </c>
      <c r="G624" s="31">
        <v>1.0</v>
      </c>
      <c r="H624" s="39" t="str">
        <f t="array" ref="H624">IFERROR(XLOOKUP(D624,'MASTER ITEM LIST'!A:A,'MASTER ITEM LIST'!D:D), "")</f>
        <v>LITER</v>
      </c>
      <c r="I624" s="40">
        <v>683.0</v>
      </c>
      <c r="J624" s="41">
        <f t="shared" si="2"/>
        <v>683</v>
      </c>
    </row>
    <row r="625" ht="22.5" customHeight="1">
      <c r="A625" s="29">
        <v>46197.0</v>
      </c>
      <c r="B625" s="31" t="s">
        <v>1345</v>
      </c>
      <c r="C625" s="32" t="s">
        <v>1346</v>
      </c>
      <c r="D625" s="42" t="s">
        <v>615</v>
      </c>
      <c r="E625" s="35" t="str">
        <f t="array" ref="E625">IF(D625="", "", XLOOKUP(D625, 'MASTER ITEM LIST'!A:A, 'MASTER ITEM LIST'!B:B, ""))</f>
        <v>NAX NAT-390 TTC IRON YELLOW 1L</v>
      </c>
      <c r="F625" s="37" t="s">
        <v>1347</v>
      </c>
      <c r="G625" s="31">
        <v>0.0</v>
      </c>
      <c r="H625" s="39" t="str">
        <f t="array" ref="H625">IFERROR(XLOOKUP(D625,'MASTER ITEM LIST'!A:A,'MASTER ITEM LIST'!D:D), "")</f>
        <v>LITER</v>
      </c>
      <c r="I625" s="40">
        <v>367.0</v>
      </c>
      <c r="J625" s="41">
        <f t="shared" si="2"/>
        <v>0</v>
      </c>
    </row>
    <row r="626" ht="22.5" customHeight="1">
      <c r="A626" s="29">
        <v>46197.0</v>
      </c>
      <c r="B626" s="31" t="s">
        <v>1345</v>
      </c>
      <c r="C626" s="32" t="s">
        <v>1346</v>
      </c>
      <c r="D626" s="42" t="s">
        <v>630</v>
      </c>
      <c r="E626" s="35" t="str">
        <f t="array" ref="E626">IF(D626="", "", XLOOKUP(D626, 'MASTER ITEM LIST'!A:A, 'MASTER ITEM LIST'!B:B, ""))</f>
        <v>NAX NAT-320 TTC GOLD YELLOW 1L</v>
      </c>
      <c r="F626" s="37" t="s">
        <v>1204</v>
      </c>
      <c r="G626" s="31">
        <v>0.0</v>
      </c>
      <c r="H626" s="39" t="str">
        <f t="array" ref="H626">IFERROR(XLOOKUP(D626,'MASTER ITEM LIST'!A:A,'MASTER ITEM LIST'!D:D), "")</f>
        <v>LITER</v>
      </c>
      <c r="I626" s="40">
        <v>425.0</v>
      </c>
      <c r="J626" s="41">
        <f t="shared" si="2"/>
        <v>0</v>
      </c>
    </row>
    <row r="627" ht="22.5" customHeight="1">
      <c r="A627" s="29">
        <v>46197.0</v>
      </c>
      <c r="B627" s="31" t="s">
        <v>1345</v>
      </c>
      <c r="C627" s="32" t="s">
        <v>1346</v>
      </c>
      <c r="D627" s="42" t="s">
        <v>636</v>
      </c>
      <c r="E627" s="35" t="str">
        <f t="array" ref="E627">IF(D627="", "", XLOOKUP(D627, 'MASTER ITEM LIST'!A:A, 'MASTER ITEM LIST'!B:B, ""))</f>
        <v>NAX NAT-305 TTC GREEN YELLOW 1L</v>
      </c>
      <c r="F627" s="37" t="s">
        <v>1204</v>
      </c>
      <c r="G627" s="31">
        <v>1.0</v>
      </c>
      <c r="H627" s="39" t="str">
        <f t="array" ref="H627">IFERROR(XLOOKUP(D627,'MASTER ITEM LIST'!A:A,'MASTER ITEM LIST'!D:D), "")</f>
        <v>LITER</v>
      </c>
      <c r="I627" s="40">
        <v>1380.0</v>
      </c>
      <c r="J627" s="41">
        <f t="shared" si="2"/>
        <v>1380</v>
      </c>
    </row>
    <row r="628" ht="22.5" customHeight="1">
      <c r="A628" s="29">
        <v>46197.0</v>
      </c>
      <c r="B628" s="31" t="s">
        <v>1345</v>
      </c>
      <c r="C628" s="32" t="s">
        <v>1346</v>
      </c>
      <c r="D628" s="42" t="s">
        <v>681</v>
      </c>
      <c r="E628" s="35" t="str">
        <f t="array" ref="E628">IF(D628="", "", XLOOKUP(D628, 'MASTER ITEM LIST'!A:A, 'MASTER ITEM LIST'!B:B, ""))</f>
        <v>NAX NAT-147 TTC THRENE RED 1L</v>
      </c>
      <c r="F628" s="37" t="s">
        <v>1204</v>
      </c>
      <c r="G628" s="31">
        <v>1.0</v>
      </c>
      <c r="H628" s="39" t="str">
        <f t="array" ref="H628">IFERROR(XLOOKUP(D628,'MASTER ITEM LIST'!A:A,'MASTER ITEM LIST'!D:D), "")</f>
        <v>LITER</v>
      </c>
      <c r="I628" s="40">
        <v>1120.0</v>
      </c>
      <c r="J628" s="41">
        <f t="shared" si="2"/>
        <v>1120</v>
      </c>
    </row>
    <row r="629" ht="22.5" customHeight="1">
      <c r="A629" s="29">
        <v>46197.0</v>
      </c>
      <c r="B629" s="31" t="s">
        <v>1345</v>
      </c>
      <c r="C629" s="32" t="s">
        <v>1346</v>
      </c>
      <c r="D629" s="42" t="s">
        <v>694</v>
      </c>
      <c r="E629" s="35" t="str">
        <f t="array" ref="E629">IF(D629="", "", XLOOKUP(D629, 'MASTER ITEM LIST'!A:A, 'MASTER ITEM LIST'!B:B, ""))</f>
        <v>NAX NAT-1304 TTC CRYSTALLINE ORANGE 1L</v>
      </c>
      <c r="F629" s="37" t="s">
        <v>1204</v>
      </c>
      <c r="G629" s="31">
        <v>1.0</v>
      </c>
      <c r="H629" s="39" t="str">
        <f t="array" ref="H629">IFERROR(XLOOKUP(D629,'MASTER ITEM LIST'!A:A,'MASTER ITEM LIST'!D:D), "")</f>
        <v>LITER</v>
      </c>
      <c r="I629" s="40">
        <v>1965.0</v>
      </c>
      <c r="J629" s="41">
        <f t="shared" si="2"/>
        <v>1965</v>
      </c>
    </row>
    <row r="630" ht="22.5" customHeight="1">
      <c r="A630" s="29">
        <v>46197.0</v>
      </c>
      <c r="B630" s="31" t="s">
        <v>1345</v>
      </c>
      <c r="C630" s="32" t="s">
        <v>1346</v>
      </c>
      <c r="D630" s="42" t="s">
        <v>742</v>
      </c>
      <c r="E630" s="35" t="str">
        <f t="array" ref="E630">IF(D630="", "", XLOOKUP(D630, 'MASTER ITEM LIST'!A:A, 'MASTER ITEM LIST'!B:B, ""))</f>
        <v>NAX NAT-1160 TTC RED COPPER MICA 1L</v>
      </c>
      <c r="F630" s="37" t="s">
        <v>1204</v>
      </c>
      <c r="G630" s="31">
        <v>0.0</v>
      </c>
      <c r="H630" s="39" t="str">
        <f t="array" ref="H630">IFERROR(XLOOKUP(D630,'MASTER ITEM LIST'!A:A,'MASTER ITEM LIST'!D:D), "")</f>
        <v>LITER</v>
      </c>
      <c r="I630" s="40">
        <v>694.0</v>
      </c>
      <c r="J630" s="41">
        <f t="shared" si="2"/>
        <v>0</v>
      </c>
    </row>
    <row r="631" ht="22.5" customHeight="1">
      <c r="A631" s="29">
        <v>46197.0</v>
      </c>
      <c r="B631" s="31" t="s">
        <v>1345</v>
      </c>
      <c r="C631" s="32" t="s">
        <v>1346</v>
      </c>
      <c r="D631" s="42" t="s">
        <v>759</v>
      </c>
      <c r="E631" s="35" t="str">
        <f t="array" ref="E631">IF(D631="", "", XLOOKUP(D631, 'MASTER ITEM LIST'!A:A, 'MASTER ITEM LIST'!B:B, ""))</f>
        <v>NAX NAT-1110 TTC BRIGHT WHITE 4L</v>
      </c>
      <c r="F631" s="37" t="s">
        <v>1204</v>
      </c>
      <c r="G631" s="31">
        <v>1.0</v>
      </c>
      <c r="H631" s="39" t="str">
        <f t="array" ref="H631">IFERROR(XLOOKUP(D631,'MASTER ITEM LIST'!A:A,'MASTER ITEM LIST'!D:D), "")</f>
        <v>GAL</v>
      </c>
      <c r="I631" s="40">
        <v>2400.0</v>
      </c>
      <c r="J631" s="41">
        <f t="shared" si="2"/>
        <v>2400</v>
      </c>
    </row>
    <row r="632" ht="22.5" customHeight="1">
      <c r="A632" s="29">
        <v>46197.0</v>
      </c>
      <c r="B632" s="31" t="s">
        <v>1345</v>
      </c>
      <c r="C632" s="32" t="s">
        <v>1346</v>
      </c>
      <c r="D632" s="42" t="s">
        <v>764</v>
      </c>
      <c r="E632" s="35" t="str">
        <f t="array" ref="E632">IF(D632="", "", XLOOKUP(D632, 'MASTER ITEM LIST'!A:A, 'MASTER ITEM LIST'!B:B, ""))</f>
        <v>NAX NAT-1107 TTC FINE RED MICA 1L</v>
      </c>
      <c r="F632" s="37" t="s">
        <v>1204</v>
      </c>
      <c r="G632" s="31">
        <v>0.0</v>
      </c>
      <c r="H632" s="39" t="str">
        <f t="array" ref="H632">IFERROR(XLOOKUP(D632,'MASTER ITEM LIST'!A:A,'MASTER ITEM LIST'!D:D), "")</f>
        <v>LITER</v>
      </c>
      <c r="I632" s="40">
        <v>779.0</v>
      </c>
      <c r="J632" s="41">
        <f t="shared" si="2"/>
        <v>0</v>
      </c>
    </row>
    <row r="633" ht="22.5" customHeight="1">
      <c r="A633" s="29">
        <v>46197.0</v>
      </c>
      <c r="B633" s="31" t="s">
        <v>1345</v>
      </c>
      <c r="C633" s="32" t="s">
        <v>1346</v>
      </c>
      <c r="D633" s="42" t="s">
        <v>767</v>
      </c>
      <c r="E633" s="35" t="str">
        <f t="array" ref="E633">IF(D633="", "", XLOOKUP(D633, 'MASTER ITEM LIST'!A:A, 'MASTER ITEM LIST'!B:B, ""))</f>
        <v>NAX NAT-1106 TTC PEARL BLUE MICA 1L</v>
      </c>
      <c r="F633" s="37" t="s">
        <v>1204</v>
      </c>
      <c r="G633" s="31">
        <v>1.0</v>
      </c>
      <c r="H633" s="39" t="str">
        <f t="array" ref="H633">IFERROR(XLOOKUP(D633,'MASTER ITEM LIST'!A:A,'MASTER ITEM LIST'!D:D), "")</f>
        <v>LITER</v>
      </c>
      <c r="I633" s="40">
        <v>863.0</v>
      </c>
      <c r="J633" s="41">
        <f t="shared" si="2"/>
        <v>863</v>
      </c>
    </row>
    <row r="634" ht="22.5" customHeight="1">
      <c r="A634" s="29">
        <v>46197.0</v>
      </c>
      <c r="B634" s="31" t="s">
        <v>1345</v>
      </c>
      <c r="C634" s="32" t="s">
        <v>1346</v>
      </c>
      <c r="D634" s="42" t="s">
        <v>481</v>
      </c>
      <c r="E634" s="35" t="str">
        <f t="array" ref="E634">IF(D634="", "", XLOOKUP(D634, 'MASTER ITEM LIST'!A:A, 'MASTER ITEM LIST'!B:B, ""))</f>
        <v>NAX NAT-1062 QDU 040 SUPER WHITE 1L</v>
      </c>
      <c r="F634" s="37" t="s">
        <v>1204</v>
      </c>
      <c r="G634" s="31">
        <v>1.0</v>
      </c>
      <c r="H634" s="39" t="str">
        <f t="array" ref="H634">IFERROR(XLOOKUP(D634,'MASTER ITEM LIST'!A:A,'MASTER ITEM LIST'!D:D), "")</f>
        <v>LITER</v>
      </c>
      <c r="I634" s="40">
        <v>442.0</v>
      </c>
      <c r="J634" s="41">
        <f t="shared" si="2"/>
        <v>442</v>
      </c>
    </row>
    <row r="635" ht="22.5" customHeight="1">
      <c r="A635" s="29">
        <v>46197.0</v>
      </c>
      <c r="B635" s="31" t="s">
        <v>1345</v>
      </c>
      <c r="C635" s="32" t="s">
        <v>1346</v>
      </c>
      <c r="D635" s="42" t="s">
        <v>835</v>
      </c>
      <c r="E635" s="35" t="str">
        <f t="array" ref="E635">IF(D635="", "", XLOOKUP(D635, 'MASTER ITEM LIST'!A:A, 'MASTER ITEM LIST'!B:B, ""))</f>
        <v>NAX EXTREME EPOXY ENAMEL WHITE WITH HARDENER 4L</v>
      </c>
      <c r="F635" s="37" t="s">
        <v>1347</v>
      </c>
      <c r="G635" s="31">
        <v>0.5</v>
      </c>
      <c r="H635" s="39" t="str">
        <f t="array" ref="H635">IFERROR(XLOOKUP(D635,'MASTER ITEM LIST'!A:A,'MASTER ITEM LIST'!D:D), "")</f>
        <v>GAL</v>
      </c>
      <c r="I635" s="40">
        <v>1320.0</v>
      </c>
      <c r="J635" s="41">
        <f t="shared" si="2"/>
        <v>660</v>
      </c>
    </row>
    <row r="636" ht="22.5" customHeight="1">
      <c r="A636" s="29">
        <v>46197.0</v>
      </c>
      <c r="B636" s="31" t="s">
        <v>1345</v>
      </c>
      <c r="C636" s="32" t="s">
        <v>1346</v>
      </c>
      <c r="D636" s="42" t="s">
        <v>838</v>
      </c>
      <c r="E636" s="35" t="str">
        <f t="array" ref="E636">IF(D636="", "", XLOOKUP(D636, 'MASTER ITEM LIST'!A:A, 'MASTER ITEM LIST'!B:B, ""))</f>
        <v>NAX EXTREME EPOXY ENAMEL BLACK WITH HARDENER 4L</v>
      </c>
      <c r="F636" s="37" t="s">
        <v>1204</v>
      </c>
      <c r="G636" s="31">
        <v>1.0</v>
      </c>
      <c r="H636" s="39" t="str">
        <f t="array" ref="H636">IFERROR(XLOOKUP(D636,'MASTER ITEM LIST'!A:A,'MASTER ITEM LIST'!D:D), "")</f>
        <v>GAL</v>
      </c>
      <c r="I636" s="40">
        <v>1050.0</v>
      </c>
      <c r="J636" s="41">
        <f t="shared" si="2"/>
        <v>1050</v>
      </c>
    </row>
    <row r="637" ht="22.5" customHeight="1">
      <c r="A637" s="29">
        <v>46197.0</v>
      </c>
      <c r="B637" s="31" t="s">
        <v>1345</v>
      </c>
      <c r="C637" s="32" t="s">
        <v>1346</v>
      </c>
      <c r="D637" s="42" t="s">
        <v>233</v>
      </c>
      <c r="E637" s="35" t="str">
        <f t="array" ref="E637">IF(D637="", "", XLOOKUP(D637, 'MASTER ITEM LIST'!A:A, 'MASTER ITEM LIST'!B:B, ""))</f>
        <v>NAX ALPHA HB SPRAY FILLER GRAY WITH HARDENER 1L</v>
      </c>
      <c r="F637" s="37" t="s">
        <v>1347</v>
      </c>
      <c r="G637" s="31">
        <v>13.035</v>
      </c>
      <c r="H637" s="39" t="str">
        <f t="array" ref="H637">IFERROR(XLOOKUP(D637,'MASTER ITEM LIST'!A:A,'MASTER ITEM LIST'!D:D), "")</f>
        <v>LITER</v>
      </c>
      <c r="I637" s="40">
        <v>363.0</v>
      </c>
      <c r="J637" s="41">
        <f t="shared" si="2"/>
        <v>4731.705</v>
      </c>
    </row>
    <row r="638" ht="22.5" customHeight="1">
      <c r="A638" s="29">
        <v>46197.0</v>
      </c>
      <c r="B638" s="31" t="s">
        <v>1345</v>
      </c>
      <c r="C638" s="32" t="s">
        <v>1346</v>
      </c>
      <c r="D638" s="42" t="s">
        <v>160</v>
      </c>
      <c r="E638" s="35" t="str">
        <f t="array" ref="E638">IF(D638="", "", XLOOKUP(D638, 'MASTER ITEM LIST'!A:A, 'MASTER ITEM LIST'!B:B, ""))</f>
        <v>NAX 141 NAX MAXIMA URETHANE FD CLEAR WITH HARDENER 1L</v>
      </c>
      <c r="F638" s="37" t="s">
        <v>1204</v>
      </c>
      <c r="G638" s="31">
        <v>22.75</v>
      </c>
      <c r="H638" s="39" t="str">
        <f t="array" ref="H638">IFERROR(XLOOKUP(D638,'MASTER ITEM LIST'!A:A,'MASTER ITEM LIST'!D:D), "")</f>
        <v>LITER</v>
      </c>
      <c r="I638" s="40">
        <v>344.0</v>
      </c>
      <c r="J638" s="41">
        <f t="shared" si="2"/>
        <v>7826</v>
      </c>
    </row>
    <row r="639" ht="22.5" customHeight="1">
      <c r="A639" s="29">
        <v>46197.0</v>
      </c>
      <c r="B639" s="31" t="s">
        <v>1345</v>
      </c>
      <c r="C639" s="32" t="s">
        <v>1346</v>
      </c>
      <c r="D639" s="42" t="s">
        <v>53</v>
      </c>
      <c r="E639" s="35" t="str">
        <f t="array" ref="E639">IF(D639="", "", XLOOKUP(D639, 'MASTER ITEM LIST'!A:A, 'MASTER ITEM LIST'!B:B, ""))</f>
        <v>NAX 108 CERAMIC 2K CLEAR WITH HARDENER 1L</v>
      </c>
      <c r="F639" s="37" t="s">
        <v>1347</v>
      </c>
      <c r="G639" s="31">
        <v>15.0</v>
      </c>
      <c r="H639" s="39" t="str">
        <f t="array" ref="H639">IFERROR(XLOOKUP(D639,'MASTER ITEM LIST'!A:A,'MASTER ITEM LIST'!D:D), "")</f>
        <v>LITER</v>
      </c>
      <c r="I639" s="40">
        <v>460.0</v>
      </c>
      <c r="J639" s="41">
        <f t="shared" si="2"/>
        <v>6900</v>
      </c>
    </row>
    <row r="640" ht="22.5" customHeight="1">
      <c r="A640" s="29">
        <v>46197.0</v>
      </c>
      <c r="B640" s="31" t="s">
        <v>1345</v>
      </c>
      <c r="C640" s="32" t="s">
        <v>1346</v>
      </c>
      <c r="D640" s="42" t="s">
        <v>604</v>
      </c>
      <c r="E640" s="35" t="str">
        <f t="array" ref="E640">IF(D640="", "", XLOOKUP(D640, 'MASTER ITEM LIST'!A:A, 'MASTER ITEM LIST'!B:B, ""))</f>
        <v>METALGUARD EPOXY PRIMER WHITE WITH HARDENER 4L</v>
      </c>
      <c r="F640" s="37" t="s">
        <v>1204</v>
      </c>
      <c r="G640" s="31">
        <v>1.82</v>
      </c>
      <c r="H640" s="39" t="str">
        <f t="array" ref="H640">IFERROR(XLOOKUP(D640,'MASTER ITEM LIST'!A:A,'MASTER ITEM LIST'!D:D), "")</f>
        <v>GAL</v>
      </c>
      <c r="I640" s="40">
        <v>710.0</v>
      </c>
      <c r="J640" s="41">
        <f t="shared" si="2"/>
        <v>1292.2</v>
      </c>
    </row>
    <row r="641" ht="22.5" customHeight="1">
      <c r="A641" s="29">
        <v>46197.0</v>
      </c>
      <c r="B641" s="31" t="s">
        <v>1345</v>
      </c>
      <c r="C641" s="32" t="s">
        <v>1346</v>
      </c>
      <c r="D641" s="42" t="s">
        <v>782</v>
      </c>
      <c r="E641" s="35" t="str">
        <f t="array" ref="E641">IF(D641="", "", XLOOKUP(D641, 'MASTER ITEM LIST'!A:A, 'MASTER ITEM LIST'!B:B, ""))</f>
        <v>METALGUARD EPOXY PRIMER RED OXIDE WITH HARDENER 1L</v>
      </c>
      <c r="F641" s="37" t="s">
        <v>1204</v>
      </c>
      <c r="G641" s="31">
        <v>3.75</v>
      </c>
      <c r="H641" s="39" t="str">
        <f t="array" ref="H641">IFERROR(XLOOKUP(D641,'MASTER ITEM LIST'!A:A,'MASTER ITEM LIST'!D:D), "")</f>
        <v>LITER</v>
      </c>
      <c r="I641" s="40">
        <v>193.0</v>
      </c>
      <c r="J641" s="41">
        <f t="shared" si="2"/>
        <v>723.75</v>
      </c>
    </row>
    <row r="642" ht="22.5" customHeight="1">
      <c r="A642" s="29">
        <v>46197.0</v>
      </c>
      <c r="B642" s="31" t="s">
        <v>1345</v>
      </c>
      <c r="C642" s="32" t="s">
        <v>1346</v>
      </c>
      <c r="D642" s="42" t="s">
        <v>779</v>
      </c>
      <c r="E642" s="35" t="str">
        <f t="array" ref="E642">IF(D642="", "", XLOOKUP(D642, 'MASTER ITEM LIST'!A:A, 'MASTER ITEM LIST'!B:B, ""))</f>
        <v>METALGUARD EPOXY PRIMER GRAY WITH HARDENER 4L</v>
      </c>
      <c r="F642" s="37" t="s">
        <v>1204</v>
      </c>
      <c r="G642" s="31">
        <v>6.25</v>
      </c>
      <c r="H642" s="39" t="str">
        <f t="array" ref="H642">IFERROR(XLOOKUP(D642,'MASTER ITEM LIST'!A:A,'MASTER ITEM LIST'!D:D), "")</f>
        <v>GAL</v>
      </c>
      <c r="I642" s="40">
        <v>685.0</v>
      </c>
      <c r="J642" s="41">
        <f t="shared" si="2"/>
        <v>4281.25</v>
      </c>
    </row>
    <row r="643" ht="22.5" customHeight="1">
      <c r="A643" s="29">
        <v>46197.0</v>
      </c>
      <c r="B643" s="31" t="s">
        <v>1345</v>
      </c>
      <c r="C643" s="32" t="s">
        <v>1346</v>
      </c>
      <c r="D643" s="42" t="s">
        <v>776</v>
      </c>
      <c r="E643" s="35" t="str">
        <f t="array" ref="E643">IF(D643="", "", XLOOKUP(D643, 'MASTER ITEM LIST'!A:A, 'MASTER ITEM LIST'!B:B, ""))</f>
        <v>METALGUARD EPOXY PRIMER BLACK WITH HARDENER 4L</v>
      </c>
      <c r="F643" s="37" t="s">
        <v>1204</v>
      </c>
      <c r="G643" s="31">
        <v>4.25</v>
      </c>
      <c r="H643" s="39" t="str">
        <f t="array" ref="H643">IFERROR(XLOOKUP(D643,'MASTER ITEM LIST'!A:A,'MASTER ITEM LIST'!D:D), "")</f>
        <v>GAL</v>
      </c>
      <c r="I643" s="40">
        <v>710.0</v>
      </c>
      <c r="J643" s="41">
        <f t="shared" si="2"/>
        <v>3017.5</v>
      </c>
    </row>
    <row r="644" ht="22.5" customHeight="1">
      <c r="A644" s="29">
        <v>46197.0</v>
      </c>
      <c r="B644" s="31" t="s">
        <v>1345</v>
      </c>
      <c r="C644" s="32" t="s">
        <v>1346</v>
      </c>
      <c r="D644" s="42" t="s">
        <v>909</v>
      </c>
      <c r="E644" s="35" t="str">
        <f t="array" ref="E644">IF(D644="", "", XLOOKUP(D644, 'MASTER ITEM LIST'!A:A, 'MASTER ITEM LIST'!B:B, ""))</f>
        <v>JAPAN PUTTY KNIFE #6</v>
      </c>
      <c r="F644" s="37" t="s">
        <v>1204</v>
      </c>
      <c r="G644" s="31">
        <v>1.0</v>
      </c>
      <c r="H644" s="39" t="str">
        <f t="array" ref="H644">IFERROR(XLOOKUP(D644,'MASTER ITEM LIST'!A:A,'MASTER ITEM LIST'!D:D), "")</f>
        <v>PC/S</v>
      </c>
      <c r="I644" s="40">
        <v>15.0</v>
      </c>
      <c r="J644" s="41">
        <f t="shared" si="2"/>
        <v>15</v>
      </c>
    </row>
    <row r="645" ht="22.5" customHeight="1">
      <c r="A645" s="29">
        <v>46197.0</v>
      </c>
      <c r="B645" s="31" t="s">
        <v>1345</v>
      </c>
      <c r="C645" s="32" t="s">
        <v>1346</v>
      </c>
      <c r="D645" s="42" t="s">
        <v>1024</v>
      </c>
      <c r="E645" s="35" t="str">
        <f t="array" ref="E645">IF(D645="", "", XLOOKUP(D645, 'MASTER ITEM LIST'!A:A, 'MASTER ITEM LIST'!B:B, ""))</f>
        <v>FLAT WHITE ACRYLIC LATEX B-701 BOYSEN 4L</v>
      </c>
      <c r="F645" s="37" t="s">
        <v>1204</v>
      </c>
      <c r="G645" s="31">
        <v>2.75</v>
      </c>
      <c r="H645" s="39" t="str">
        <f t="array" ref="H645">IFERROR(XLOOKUP(D645,'MASTER ITEM LIST'!A:A,'MASTER ITEM LIST'!D:D), "")</f>
        <v>4L</v>
      </c>
      <c r="I645" s="40">
        <v>640.0</v>
      </c>
      <c r="J645" s="41">
        <f t="shared" si="2"/>
        <v>1760</v>
      </c>
    </row>
    <row r="646" ht="22.5" customHeight="1">
      <c r="A646" s="29">
        <v>46197.0</v>
      </c>
      <c r="B646" s="31" t="s">
        <v>1345</v>
      </c>
      <c r="C646" s="32" t="s">
        <v>1346</v>
      </c>
      <c r="D646" s="42" t="s">
        <v>1003</v>
      </c>
      <c r="E646" s="35" t="str">
        <f t="array" ref="E646">IF(D646="", "", XLOOKUP(D646, 'MASTER ITEM LIST'!A:A, 'MASTER ITEM LIST'!B:B, ""))</f>
        <v>GOLDEN BUTTER ROS-678 RAIN OR SHINE 4L</v>
      </c>
      <c r="F646" s="37" t="s">
        <v>1204</v>
      </c>
      <c r="G646" s="31">
        <v>1.0</v>
      </c>
      <c r="H646" s="39" t="str">
        <f t="array" ref="H646">IFERROR(XLOOKUP(D646,'MASTER ITEM LIST'!A:A,'MASTER ITEM LIST'!D:D), "")</f>
        <v>4L</v>
      </c>
      <c r="I646" s="40">
        <v>645.3</v>
      </c>
      <c r="J646" s="41">
        <f t="shared" si="2"/>
        <v>645.3</v>
      </c>
    </row>
    <row r="647" ht="22.5" customHeight="1">
      <c r="A647" s="29">
        <v>46197.0</v>
      </c>
      <c r="B647" s="31" t="s">
        <v>1345</v>
      </c>
      <c r="C647" s="32" t="s">
        <v>1346</v>
      </c>
      <c r="D647" s="42" t="s">
        <v>516</v>
      </c>
      <c r="E647" s="35" t="str">
        <f t="array" ref="E647">IF(D647="", "", XLOOKUP(D647, 'MASTER ITEM LIST'!A:A, 'MASTER ITEM LIST'!B:B, ""))</f>
        <v>EAGLE SANDPAPER #1500</v>
      </c>
      <c r="F647" s="37" t="s">
        <v>1204</v>
      </c>
      <c r="G647" s="31">
        <v>56.0</v>
      </c>
      <c r="H647" s="39" t="str">
        <f t="array" ref="H647">IFERROR(XLOOKUP(D647,'MASTER ITEM LIST'!A:A,'MASTER ITEM LIST'!D:D), "")</f>
        <v>PC/S</v>
      </c>
      <c r="I647" s="40">
        <v>28.0</v>
      </c>
      <c r="J647" s="41">
        <f t="shared" si="2"/>
        <v>1568</v>
      </c>
    </row>
    <row r="648" ht="22.5" customHeight="1">
      <c r="A648" s="29">
        <v>46197.0</v>
      </c>
      <c r="B648" s="31" t="s">
        <v>1345</v>
      </c>
      <c r="C648" s="32" t="s">
        <v>1346</v>
      </c>
      <c r="D648" s="42" t="s">
        <v>567</v>
      </c>
      <c r="E648" s="35" t="str">
        <f t="array" ref="E648">IF(D648="", "", XLOOKUP(D648, 'MASTER ITEM LIST'!A:A, 'MASTER ITEM LIST'!B:B, ""))</f>
        <v>EAGLE SANDPAPER #800</v>
      </c>
      <c r="F648" s="37" t="s">
        <v>1204</v>
      </c>
      <c r="G648" s="31">
        <v>171.0</v>
      </c>
      <c r="H648" s="39" t="str">
        <f t="array" ref="H648">IFERROR(XLOOKUP(D648,'MASTER ITEM LIST'!A:A,'MASTER ITEM LIST'!D:D), "")</f>
        <v>PC/S</v>
      </c>
      <c r="I648" s="40">
        <v>18.5</v>
      </c>
      <c r="J648" s="41">
        <f t="shared" si="2"/>
        <v>3163.5</v>
      </c>
    </row>
    <row r="649" ht="22.5" customHeight="1">
      <c r="A649" s="29">
        <v>46197.0</v>
      </c>
      <c r="B649" s="31" t="s">
        <v>1345</v>
      </c>
      <c r="C649" s="32" t="s">
        <v>1346</v>
      </c>
      <c r="D649" s="42" t="s">
        <v>432</v>
      </c>
      <c r="E649" s="35" t="str">
        <f t="array" ref="E649">IF(D649="", "", XLOOKUP(D649, 'MASTER ITEM LIST'!A:A, 'MASTER ITEM LIST'!B:B, ""))</f>
        <v>EAGLE SANDPAPER #600</v>
      </c>
      <c r="F649" s="37" t="s">
        <v>1204</v>
      </c>
      <c r="G649" s="31">
        <v>40.0</v>
      </c>
      <c r="H649" s="39" t="str">
        <f t="array" ref="H649">IFERROR(XLOOKUP(D649,'MASTER ITEM LIST'!A:A,'MASTER ITEM LIST'!D:D), "")</f>
        <v>PCS</v>
      </c>
      <c r="I649" s="40">
        <v>18.5</v>
      </c>
      <c r="J649" s="41">
        <f t="shared" si="2"/>
        <v>740</v>
      </c>
    </row>
    <row r="650" ht="22.5" customHeight="1">
      <c r="A650" s="29">
        <v>46197.0</v>
      </c>
      <c r="B650" s="31" t="s">
        <v>1345</v>
      </c>
      <c r="C650" s="32" t="s">
        <v>1346</v>
      </c>
      <c r="D650" s="42" t="s">
        <v>931</v>
      </c>
      <c r="E650" s="35" t="str">
        <f t="array" ref="E650">IF(D650="", "", XLOOKUP(D650, 'MASTER ITEM LIST'!A:A, 'MASTER ITEM LIST'!B:B, ""))</f>
        <v>EAGLE SANDPAPER #60</v>
      </c>
      <c r="F650" s="37" t="s">
        <v>1204</v>
      </c>
      <c r="G650" s="31">
        <v>54.0</v>
      </c>
      <c r="H650" s="39" t="str">
        <f t="array" ref="H650">IFERROR(XLOOKUP(D650,'MASTER ITEM LIST'!A:A,'MASTER ITEM LIST'!D:D), "")</f>
        <v>PC/S</v>
      </c>
      <c r="I650" s="40">
        <v>28.0</v>
      </c>
      <c r="J650" s="41">
        <f t="shared" si="2"/>
        <v>1512</v>
      </c>
    </row>
    <row r="651" ht="22.5" customHeight="1">
      <c r="A651" s="29">
        <v>46197.0</v>
      </c>
      <c r="B651" s="31" t="s">
        <v>1345</v>
      </c>
      <c r="C651" s="32" t="s">
        <v>1346</v>
      </c>
      <c r="D651" s="42" t="s">
        <v>554</v>
      </c>
      <c r="E651" s="35" t="str">
        <f t="array" ref="E651">IF(D651="", "", XLOOKUP(D651, 'MASTER ITEM LIST'!A:A, 'MASTER ITEM LIST'!B:B, ""))</f>
        <v>EAGLE SANDPAPER #400</v>
      </c>
      <c r="F651" s="37" t="s">
        <v>1347</v>
      </c>
      <c r="G651" s="31">
        <v>44.0</v>
      </c>
      <c r="H651" s="39" t="str">
        <f t="array" ref="H651">IFERROR(XLOOKUP(D651,'MASTER ITEM LIST'!A:A,'MASTER ITEM LIST'!D:D), "")</f>
        <v>PC/S</v>
      </c>
      <c r="I651" s="40">
        <v>18.5</v>
      </c>
      <c r="J651" s="41">
        <f t="shared" si="2"/>
        <v>814</v>
      </c>
    </row>
    <row r="652" ht="22.5" customHeight="1">
      <c r="A652" s="29">
        <v>46197.0</v>
      </c>
      <c r="B652" s="31" t="s">
        <v>1345</v>
      </c>
      <c r="C652" s="32" t="s">
        <v>1346</v>
      </c>
      <c r="D652" s="42" t="s">
        <v>548</v>
      </c>
      <c r="E652" s="35" t="str">
        <f t="array" ref="E652">IF(D652="", "", XLOOKUP(D652, 'MASTER ITEM LIST'!A:A, 'MASTER ITEM LIST'!B:B, ""))</f>
        <v>EAGLE SANDPAPER #240</v>
      </c>
      <c r="F652" s="37" t="s">
        <v>1347</v>
      </c>
      <c r="G652" s="31">
        <v>85.0</v>
      </c>
      <c r="H652" s="39" t="str">
        <f t="array" ref="H652">IFERROR(XLOOKUP(D652,'MASTER ITEM LIST'!A:A,'MASTER ITEM LIST'!D:D), "")</f>
        <v>PC/S</v>
      </c>
      <c r="I652" s="40">
        <v>18.5</v>
      </c>
      <c r="J652" s="41">
        <f t="shared" si="2"/>
        <v>1572.5</v>
      </c>
    </row>
    <row r="653" ht="22.5" customHeight="1">
      <c r="A653" s="29">
        <v>46197.0</v>
      </c>
      <c r="B653" s="31" t="s">
        <v>1345</v>
      </c>
      <c r="C653" s="32" t="s">
        <v>1346</v>
      </c>
      <c r="D653" s="42" t="s">
        <v>198</v>
      </c>
      <c r="E653" s="35" t="str">
        <f t="array" ref="E653">IF(D653="", "", XLOOKUP(D653, 'MASTER ITEM LIST'!A:A, 'MASTER ITEM LIST'!B:B, ""))</f>
        <v>EAGLE SANDPAPER #2000</v>
      </c>
      <c r="F653" s="37" t="s">
        <v>1347</v>
      </c>
      <c r="G653" s="31">
        <v>18.0</v>
      </c>
      <c r="H653" s="39" t="str">
        <f t="array" ref="H653">IFERROR(XLOOKUP(D653,'MASTER ITEM LIST'!A:A,'MASTER ITEM LIST'!D:D), "")</f>
        <v>PC/S</v>
      </c>
      <c r="I653" s="40">
        <v>28.0</v>
      </c>
      <c r="J653" s="41">
        <f t="shared" si="2"/>
        <v>504</v>
      </c>
    </row>
    <row r="654" ht="22.5" customHeight="1">
      <c r="A654" s="29">
        <v>46197.0</v>
      </c>
      <c r="B654" s="31" t="s">
        <v>1345</v>
      </c>
      <c r="C654" s="32" t="s">
        <v>1346</v>
      </c>
      <c r="D654" s="42" t="s">
        <v>326</v>
      </c>
      <c r="E654" s="35" t="str">
        <f t="array" ref="E654">IF(D654="", "", XLOOKUP(D654, 'MASTER ITEM LIST'!A:A, 'MASTER ITEM LIST'!B:B, ""))</f>
        <v>EAGLE SANDPAPER #1200</v>
      </c>
      <c r="F654" s="37" t="s">
        <v>1347</v>
      </c>
      <c r="G654" s="31">
        <v>78.0</v>
      </c>
      <c r="H654" s="39" t="str">
        <f t="array" ref="H654">IFERROR(XLOOKUP(D654,'MASTER ITEM LIST'!A:A,'MASTER ITEM LIST'!D:D), "")</f>
        <v>PC/S</v>
      </c>
      <c r="I654" s="40">
        <v>18.5</v>
      </c>
      <c r="J654" s="41">
        <f t="shared" si="2"/>
        <v>1443</v>
      </c>
    </row>
    <row r="655" ht="22.5" customHeight="1">
      <c r="A655" s="29">
        <v>46197.0</v>
      </c>
      <c r="B655" s="31" t="s">
        <v>1345</v>
      </c>
      <c r="C655" s="32" t="s">
        <v>1346</v>
      </c>
      <c r="D655" s="42" t="s">
        <v>117</v>
      </c>
      <c r="E655" s="35" t="str">
        <f t="array" ref="E655">IF(D655="", "", XLOOKUP(D655, 'MASTER ITEM LIST'!A:A, 'MASTER ITEM LIST'!B:B, ""))</f>
        <v>EAGLE SANDPAPER #120</v>
      </c>
      <c r="F655" s="37" t="s">
        <v>1347</v>
      </c>
      <c r="G655" s="31">
        <v>75.0</v>
      </c>
      <c r="H655" s="39" t="str">
        <f t="array" ref="H655">IFERROR(XLOOKUP(D655,'MASTER ITEM LIST'!A:A,'MASTER ITEM LIST'!D:D), "")</f>
        <v>PC/S</v>
      </c>
      <c r="I655" s="40">
        <v>18.5</v>
      </c>
      <c r="J655" s="41">
        <f t="shared" si="2"/>
        <v>1387.5</v>
      </c>
    </row>
    <row r="656" ht="22.5" customHeight="1">
      <c r="A656" s="29">
        <v>46197.0</v>
      </c>
      <c r="B656" s="31" t="s">
        <v>1345</v>
      </c>
      <c r="C656" s="32" t="s">
        <v>1346</v>
      </c>
      <c r="D656" s="42" t="s">
        <v>942</v>
      </c>
      <c r="E656" s="35" t="str">
        <f t="array" ref="E656">IF(D656="", "", XLOOKUP(D656, 'MASTER ITEM LIST'!A:A, 'MASTER ITEM LIST'!B:B, ""))</f>
        <v>EAGLE SANDPAPER #1000</v>
      </c>
      <c r="F656" s="37" t="s">
        <v>1204</v>
      </c>
      <c r="G656" s="31">
        <v>132.0</v>
      </c>
      <c r="H656" s="39" t="str">
        <f t="array" ref="H656">IFERROR(XLOOKUP(D656,'MASTER ITEM LIST'!A:A,'MASTER ITEM LIST'!D:D), "")</f>
        <v>PC/S</v>
      </c>
      <c r="I656" s="40">
        <v>18.5</v>
      </c>
      <c r="J656" s="41">
        <f t="shared" si="2"/>
        <v>2442</v>
      </c>
    </row>
    <row r="657" ht="22.5" customHeight="1">
      <c r="A657" s="29">
        <v>46197.0</v>
      </c>
      <c r="B657" s="31" t="s">
        <v>1345</v>
      </c>
      <c r="C657" s="32" t="s">
        <v>1346</v>
      </c>
      <c r="D657" s="42" t="s">
        <v>426</v>
      </c>
      <c r="E657" s="35" t="str">
        <f t="array" ref="E657">IF(D657="", "", XLOOKUP(D657, 'MASTER ITEM LIST'!A:A, 'MASTER ITEM LIST'!B:B, ""))</f>
        <v>EAGLE SAND PAPER #320</v>
      </c>
      <c r="F657" s="37" t="s">
        <v>1204</v>
      </c>
      <c r="G657" s="31">
        <v>5.0</v>
      </c>
      <c r="H657" s="39" t="str">
        <f t="array" ref="H657">IFERROR(XLOOKUP(D657,'MASTER ITEM LIST'!A:A,'MASTER ITEM LIST'!D:D), "")</f>
        <v>PCS</v>
      </c>
      <c r="I657" s="40">
        <v>18.5</v>
      </c>
      <c r="J657" s="41">
        <f t="shared" si="2"/>
        <v>92.5</v>
      </c>
    </row>
    <row r="658" ht="22.5" customHeight="1">
      <c r="A658" s="29">
        <v>46197.0</v>
      </c>
      <c r="B658" s="31" t="s">
        <v>1345</v>
      </c>
      <c r="C658" s="32" t="s">
        <v>1346</v>
      </c>
      <c r="D658" s="42" t="s">
        <v>259</v>
      </c>
      <c r="E658" s="35" t="str">
        <f t="array" ref="E658">IF(D658="", "", XLOOKUP(D658, 'MASTER ITEM LIST'!A:A, 'MASTER ITEM LIST'!B:B, ""))</f>
        <v>DRAGONFLY PAINT BRUSH #4</v>
      </c>
      <c r="F658" s="37" t="s">
        <v>1204</v>
      </c>
      <c r="G658" s="31">
        <v>4.0</v>
      </c>
      <c r="H658" s="39" t="str">
        <f t="array" ref="H658">IFERROR(XLOOKUP(D658,'MASTER ITEM LIST'!A:A,'MASTER ITEM LIST'!D:D), "")</f>
        <v>PC/S</v>
      </c>
      <c r="I658" s="40">
        <v>99.0</v>
      </c>
      <c r="J658" s="41">
        <f t="shared" si="2"/>
        <v>396</v>
      </c>
    </row>
    <row r="659" ht="22.5" customHeight="1">
      <c r="A659" s="29">
        <v>46197.0</v>
      </c>
      <c r="B659" s="31" t="s">
        <v>1345</v>
      </c>
      <c r="C659" s="32" t="s">
        <v>1346</v>
      </c>
      <c r="D659" s="42" t="s">
        <v>246</v>
      </c>
      <c r="E659" s="35" t="str">
        <f t="array" ref="E659">IF(D659="", "", XLOOKUP(D659, 'MASTER ITEM LIST'!A:A, 'MASTER ITEM LIST'!B:B, ""))</f>
        <v>DOMINO BODY FILTER WITH HARDENER 4L</v>
      </c>
      <c r="F659" s="37" t="s">
        <v>1347</v>
      </c>
      <c r="G659" s="31">
        <v>8.25</v>
      </c>
      <c r="H659" s="39" t="str">
        <f t="array" ref="H659">IFERROR(XLOOKUP(D659,'MASTER ITEM LIST'!A:A,'MASTER ITEM LIST'!D:D), "")</f>
        <v>GAL</v>
      </c>
      <c r="I659" s="40">
        <v>495.0</v>
      </c>
      <c r="J659" s="41">
        <f t="shared" si="2"/>
        <v>4083.75</v>
      </c>
    </row>
    <row r="660" ht="22.5" customHeight="1">
      <c r="A660" s="29">
        <v>46197.0</v>
      </c>
      <c r="B660" s="31" t="s">
        <v>1345</v>
      </c>
      <c r="C660" s="32" t="s">
        <v>1346</v>
      </c>
      <c r="D660" s="42" t="s">
        <v>674</v>
      </c>
      <c r="E660" s="35" t="str">
        <f t="array" ref="E660">IF(D660="", "", XLOOKUP(D660, 'MASTER ITEM LIST'!A:A, 'MASTER ITEM LIST'!B:B, ""))</f>
        <v>DOMINO BODY FILTER WITH HARDENER 1L</v>
      </c>
      <c r="F660" s="37" t="s">
        <v>1204</v>
      </c>
      <c r="G660" s="31">
        <v>18.0</v>
      </c>
      <c r="H660" s="39" t="str">
        <f t="array" ref="H660">IFERROR(XLOOKUP(D660,'MASTER ITEM LIST'!A:A,'MASTER ITEM LIST'!D:D), "")</f>
        <v>LITER</v>
      </c>
      <c r="I660" s="40">
        <v>150.0</v>
      </c>
      <c r="J660" s="41">
        <f t="shared" si="2"/>
        <v>2700</v>
      </c>
    </row>
    <row r="661" ht="22.5" customHeight="1">
      <c r="A661" s="29">
        <v>46197.0</v>
      </c>
      <c r="B661" s="31" t="s">
        <v>1345</v>
      </c>
      <c r="C661" s="32" t="s">
        <v>1346</v>
      </c>
      <c r="D661" s="42" t="s">
        <v>57</v>
      </c>
      <c r="E661" s="35" t="str">
        <f t="array" ref="E661">IF(D661="", "", XLOOKUP(D661, 'MASTER ITEM LIST'!A:A, 'MASTER ITEM LIST'!B:B, ""))</f>
        <v>DO IT URETHANE THINNER 4L</v>
      </c>
      <c r="F661" s="37" t="s">
        <v>1347</v>
      </c>
      <c r="G661" s="31">
        <v>1.5</v>
      </c>
      <c r="H661" s="39" t="str">
        <f t="array" ref="H661">IFERROR(XLOOKUP(D661,'MASTER ITEM LIST'!A:A,'MASTER ITEM LIST'!D:D), "")</f>
        <v>GAL/S</v>
      </c>
      <c r="I661" s="40">
        <v>590.0</v>
      </c>
      <c r="J661" s="41">
        <f t="shared" si="2"/>
        <v>885</v>
      </c>
    </row>
    <row r="662" ht="22.5" customHeight="1">
      <c r="A662" s="29">
        <v>46197.0</v>
      </c>
      <c r="B662" s="31" t="s">
        <v>1345</v>
      </c>
      <c r="C662" s="32" t="s">
        <v>1346</v>
      </c>
      <c r="D662" s="42" t="s">
        <v>1070</v>
      </c>
      <c r="E662" s="35" t="str">
        <f t="array" ref="E662">IF(D662="", "", XLOOKUP(D662, 'MASTER ITEM LIST'!A:A, 'MASTER ITEM LIST'!B:B, ""))</f>
        <v>DO IT URETHANE BLACK 4L</v>
      </c>
      <c r="F662" s="37" t="s">
        <v>1347</v>
      </c>
      <c r="G662" s="31">
        <v>1.0</v>
      </c>
      <c r="H662" s="39" t="str">
        <f t="array" ref="H662">IFERROR(XLOOKUP(D662,'MASTER ITEM LIST'!A:A,'MASTER ITEM LIST'!D:D), "")</f>
        <v>GAL/S</v>
      </c>
      <c r="I662" s="40">
        <v>2205.0</v>
      </c>
      <c r="J662" s="41">
        <f t="shared" si="2"/>
        <v>2205</v>
      </c>
    </row>
    <row r="663" ht="22.5" customHeight="1">
      <c r="A663" s="29">
        <v>46197.0</v>
      </c>
      <c r="B663" s="31" t="s">
        <v>1345</v>
      </c>
      <c r="C663" s="32" t="s">
        <v>1346</v>
      </c>
      <c r="D663" s="42" t="s">
        <v>922</v>
      </c>
      <c r="E663" s="35" t="str">
        <f t="array" ref="E663">IF(D663="", "", XLOOKUP(D663, 'MASTER ITEM LIST'!A:A, 'MASTER ITEM LIST'!B:B, ""))</f>
        <v>DO IT SHIELD ALL MULTI-PURPOSE WAX 250ML</v>
      </c>
      <c r="F663" s="37" t="s">
        <v>1204</v>
      </c>
      <c r="G663" s="31">
        <v>2.0</v>
      </c>
      <c r="H663" s="39" t="str">
        <f t="array" ref="H663">IFERROR(XLOOKUP(D663,'MASTER ITEM LIST'!A:A,'MASTER ITEM LIST'!D:D), "")</f>
        <v>BOT</v>
      </c>
      <c r="I663" s="40">
        <v>160.0</v>
      </c>
      <c r="J663" s="41">
        <f t="shared" si="2"/>
        <v>320</v>
      </c>
    </row>
    <row r="664" ht="22.5" customHeight="1">
      <c r="A664" s="29">
        <v>46197.0</v>
      </c>
      <c r="B664" s="31" t="s">
        <v>1345</v>
      </c>
      <c r="C664" s="32" t="s">
        <v>1346</v>
      </c>
      <c r="D664" s="42" t="s">
        <v>1023</v>
      </c>
      <c r="E664" s="35" t="str">
        <f t="array" ref="E664">IF(D664="", "", XLOOKUP(D664, 'MASTER ITEM LIST'!A:A, 'MASTER ITEM LIST'!B:B, ""))</f>
        <v>DAVIES QDE WHITE 4L</v>
      </c>
      <c r="F664" s="37" t="s">
        <v>1204</v>
      </c>
      <c r="G664" s="31">
        <v>4.5</v>
      </c>
      <c r="H664" s="39" t="str">
        <f t="array" ref="H664">IFERROR(XLOOKUP(D664,'MASTER ITEM LIST'!A:A,'MASTER ITEM LIST'!D:D), "")</f>
        <v>GALON</v>
      </c>
      <c r="I664" s="40">
        <v>820.0</v>
      </c>
      <c r="J664" s="41">
        <f t="shared" si="2"/>
        <v>3690</v>
      </c>
    </row>
    <row r="665" ht="22.5" customHeight="1">
      <c r="A665" s="29">
        <v>46197.0</v>
      </c>
      <c r="B665" s="31" t="s">
        <v>1345</v>
      </c>
      <c r="C665" s="32" t="s">
        <v>1346</v>
      </c>
      <c r="D665" s="42" t="s">
        <v>1087</v>
      </c>
      <c r="E665" s="35" t="str">
        <f t="array" ref="E665">IF(D665="", "", XLOOKUP(D665, 'MASTER ITEM LIST'!A:A, 'MASTER ITEM LIST'!B:B, ""))</f>
        <v>DAVIES OIL TINTING COLOR TC-60 LAMP BLACK 1/4L</v>
      </c>
      <c r="F665" s="37" t="s">
        <v>1204</v>
      </c>
      <c r="G665" s="31">
        <v>1.0</v>
      </c>
      <c r="H665" s="39" t="str">
        <f t="array" ref="H665">IFERROR(XLOOKUP(D665,'MASTER ITEM LIST'!A:A,'MASTER ITEM LIST'!D:D), "")</f>
        <v>1/4L</v>
      </c>
      <c r="I665" s="40">
        <v>95.0</v>
      </c>
      <c r="J665" s="41">
        <f t="shared" si="2"/>
        <v>95</v>
      </c>
    </row>
    <row r="666" ht="22.5" customHeight="1">
      <c r="A666" s="29">
        <v>46197.0</v>
      </c>
      <c r="B666" s="31" t="s">
        <v>1345</v>
      </c>
      <c r="C666" s="32" t="s">
        <v>1346</v>
      </c>
      <c r="D666" s="42" t="s">
        <v>1090</v>
      </c>
      <c r="E666" s="35" t="str">
        <f t="array" ref="E666">IF(D666="", "", XLOOKUP(D666, 'MASTER ITEM LIST'!A:A, 'MASTER ITEM LIST'!B:B, ""))</f>
        <v>DAVIES LIQUID-TILE TINTING COLOR VENETIAN RED 1L</v>
      </c>
      <c r="F666" s="37" t="s">
        <v>1347</v>
      </c>
      <c r="G666" s="31">
        <v>1.0</v>
      </c>
      <c r="H666" s="39" t="str">
        <f t="array" ref="H666">IFERROR(XLOOKUP(D666,'MASTER ITEM LIST'!A:A,'MASTER ITEM LIST'!D:D), "")</f>
        <v>LITER</v>
      </c>
      <c r="I666" s="40">
        <v>399.0</v>
      </c>
      <c r="J666" s="41">
        <f t="shared" si="2"/>
        <v>399</v>
      </c>
    </row>
    <row r="667" ht="22.5" customHeight="1">
      <c r="A667" s="29">
        <v>46197.0</v>
      </c>
      <c r="B667" s="31" t="s">
        <v>1345</v>
      </c>
      <c r="C667" s="32" t="s">
        <v>1346</v>
      </c>
      <c r="D667" s="42" t="s">
        <v>1033</v>
      </c>
      <c r="E667" s="35" t="str">
        <f t="array" ref="E667">IF(D667="", "", XLOOKUP(D667, 'MASTER ITEM LIST'!A:A, 'MASTER ITEM LIST'!B:B, ""))</f>
        <v>CUMI SUPREME FLOOR SANDING 80</v>
      </c>
      <c r="F667" s="37" t="s">
        <v>1204</v>
      </c>
      <c r="G667" s="31">
        <v>9.0</v>
      </c>
      <c r="H667" s="39" t="str">
        <f t="array" ref="H667">IFERROR(XLOOKUP(D667,'MASTER ITEM LIST'!A:A,'MASTER ITEM LIST'!D:D), "")</f>
        <v>FT</v>
      </c>
      <c r="I667" s="40">
        <v>42.4</v>
      </c>
      <c r="J667" s="41">
        <f t="shared" si="2"/>
        <v>381.6</v>
      </c>
    </row>
    <row r="668" ht="22.5" customHeight="1">
      <c r="A668" s="29">
        <v>46197.0</v>
      </c>
      <c r="B668" s="31" t="s">
        <v>1345</v>
      </c>
      <c r="C668" s="32" t="s">
        <v>1346</v>
      </c>
      <c r="D668" s="42" t="s">
        <v>315</v>
      </c>
      <c r="E668" s="35" t="str">
        <f t="array" ref="E668">IF(D668="", "", XLOOKUP(D668, 'MASTER ITEM LIST'!A:A, 'MASTER ITEM LIST'!B:B, ""))</f>
        <v>CUMI SUPREME FLOOR SANDING 60</v>
      </c>
      <c r="F668" s="37" t="s">
        <v>1204</v>
      </c>
      <c r="G668" s="31">
        <v>14.0</v>
      </c>
      <c r="H668" s="39" t="str">
        <f t="array" ref="H668">IFERROR(XLOOKUP(D668,'MASTER ITEM LIST'!A:A,'MASTER ITEM LIST'!D:D), "")</f>
        <v>FT</v>
      </c>
      <c r="I668" s="40">
        <v>44.73</v>
      </c>
      <c r="J668" s="41">
        <f t="shared" si="2"/>
        <v>626.22</v>
      </c>
    </row>
    <row r="669" ht="22.5" customHeight="1">
      <c r="A669" s="29">
        <v>46197.0</v>
      </c>
      <c r="B669" s="31" t="s">
        <v>1345</v>
      </c>
      <c r="C669" s="32" t="s">
        <v>1346</v>
      </c>
      <c r="D669" s="42" t="s">
        <v>1046</v>
      </c>
      <c r="E669" s="35" t="str">
        <f t="array" ref="E669">IF(D669="", "", XLOOKUP(D669, 'MASTER ITEM LIST'!A:A, 'MASTER ITEM LIST'!B:B, ""))</f>
        <v>CUMI SUPREME FLOOR SANDING 36</v>
      </c>
      <c r="F669" s="37" t="s">
        <v>1204</v>
      </c>
      <c r="G669" s="31">
        <v>3.5</v>
      </c>
      <c r="H669" s="39" t="str">
        <f t="array" ref="H669">IFERROR(XLOOKUP(D669,'MASTER ITEM LIST'!A:A,'MASTER ITEM LIST'!D:D), "")</f>
        <v>FT</v>
      </c>
      <c r="I669" s="40">
        <v>55.36</v>
      </c>
      <c r="J669" s="41">
        <f t="shared" si="2"/>
        <v>193.76</v>
      </c>
    </row>
    <row r="670" ht="22.5" customHeight="1">
      <c r="A670" s="29">
        <v>46197.0</v>
      </c>
      <c r="B670" s="31" t="s">
        <v>1345</v>
      </c>
      <c r="C670" s="32" t="s">
        <v>1346</v>
      </c>
      <c r="D670" s="42" t="s">
        <v>1051</v>
      </c>
      <c r="E670" s="35" t="str">
        <f t="array" ref="E670">IF(D670="", "", XLOOKUP(D670, 'MASTER ITEM LIST'!A:A, 'MASTER ITEM LIST'!B:B, ""))</f>
        <v>CUMI SUPREME FLOOR SANDING 100</v>
      </c>
      <c r="F670" s="37" t="s">
        <v>1204</v>
      </c>
      <c r="G670" s="31">
        <v>26.5</v>
      </c>
      <c r="H670" s="39" t="str">
        <f t="array" ref="H670">IFERROR(XLOOKUP(D670,'MASTER ITEM LIST'!A:A,'MASTER ITEM LIST'!D:D), "")</f>
        <v>FT</v>
      </c>
      <c r="I670" s="40">
        <v>39.03</v>
      </c>
      <c r="J670" s="41">
        <f t="shared" si="2"/>
        <v>1034.295</v>
      </c>
    </row>
    <row r="671" ht="22.5" customHeight="1">
      <c r="A671" s="29">
        <v>46197.0</v>
      </c>
      <c r="B671" s="31" t="s">
        <v>1345</v>
      </c>
      <c r="C671" s="32" t="s">
        <v>1346</v>
      </c>
      <c r="D671" s="42" t="s">
        <v>136</v>
      </c>
      <c r="E671" s="35" t="str">
        <f t="array" ref="E671">IF(D671="", "", XLOOKUP(D671, 'MASTER ITEM LIST'!A:A, 'MASTER ITEM LIST'!B:B, ""))</f>
        <v>CROCO MASKING TAPE 3/4 18MM (1X64)</v>
      </c>
      <c r="F671" s="37" t="s">
        <v>1204</v>
      </c>
      <c r="G671" s="31">
        <v>134.0</v>
      </c>
      <c r="H671" s="39" t="str">
        <f t="array" ref="H671">IFERROR(XLOOKUP(D671,'MASTER ITEM LIST'!A:A,'MASTER ITEM LIST'!D:D), "")</f>
        <v>PC/S</v>
      </c>
      <c r="I671" s="40">
        <v>23.59</v>
      </c>
      <c r="J671" s="41">
        <f t="shared" si="2"/>
        <v>3161.06</v>
      </c>
    </row>
    <row r="672" ht="22.5" customHeight="1">
      <c r="A672" s="29">
        <v>46197.0</v>
      </c>
      <c r="B672" s="31" t="s">
        <v>1345</v>
      </c>
      <c r="C672" s="32" t="s">
        <v>1346</v>
      </c>
      <c r="D672" s="42" t="s">
        <v>79</v>
      </c>
      <c r="E672" s="35" t="str">
        <f t="array" ref="E672">IF(D672="", "", XLOOKUP(D672, 'MASTER ITEM LIST'!A:A, 'MASTER ITEM LIST'!B:B, ""))</f>
        <v>CROCO MASKING TAPE 1/2 12MM (1X96)</v>
      </c>
      <c r="F672" s="37" t="s">
        <v>1204</v>
      </c>
      <c r="G672" s="31">
        <v>40.0</v>
      </c>
      <c r="H672" s="39" t="str">
        <f t="array" ref="H672">IFERROR(XLOOKUP(D672,'MASTER ITEM LIST'!A:A,'MASTER ITEM LIST'!D:D), "")</f>
        <v>PC/S</v>
      </c>
      <c r="I672" s="40">
        <v>15.73</v>
      </c>
      <c r="J672" s="41">
        <f t="shared" si="2"/>
        <v>629.2</v>
      </c>
    </row>
    <row r="673" ht="22.5" customHeight="1">
      <c r="A673" s="29">
        <v>46197.0</v>
      </c>
      <c r="B673" s="31" t="s">
        <v>1345</v>
      </c>
      <c r="C673" s="32" t="s">
        <v>1346</v>
      </c>
      <c r="D673" s="42" t="s">
        <v>935</v>
      </c>
      <c r="E673" s="35" t="str">
        <f t="array" ref="E673">IF(D673="", "", XLOOKUP(D673, 'MASTER ITEM LIST'!A:A, 'MASTER ITEM LIST'!B:B, ""))</f>
        <v>CROCO MASKING TAPE #2</v>
      </c>
      <c r="F673" s="37" t="s">
        <v>1204</v>
      </c>
      <c r="G673" s="31">
        <v>2.0</v>
      </c>
      <c r="H673" s="39" t="str">
        <f t="array" ref="H673">IFERROR(XLOOKUP(D673,'MASTER ITEM LIST'!A:A,'MASTER ITEM LIST'!D:D), "")</f>
        <v>PCS</v>
      </c>
      <c r="I673" s="40">
        <v>63.0</v>
      </c>
      <c r="J673" s="41">
        <f t="shared" si="2"/>
        <v>126</v>
      </c>
    </row>
    <row r="674" ht="22.5" customHeight="1">
      <c r="A674" s="29">
        <v>46197.0</v>
      </c>
      <c r="B674" s="31" t="s">
        <v>1345</v>
      </c>
      <c r="C674" s="32" t="s">
        <v>1346</v>
      </c>
      <c r="D674" s="42" t="s">
        <v>717</v>
      </c>
      <c r="E674" s="35" t="str">
        <f t="array" ref="E674">IF(D674="", "", XLOOKUP(D674, 'MASTER ITEM LIST'!A:A, 'MASTER ITEM LIST'!B:B, ""))</f>
        <v>CROCO MASKING TAPE #1</v>
      </c>
      <c r="F674" s="37" t="s">
        <v>1204</v>
      </c>
      <c r="G674" s="31">
        <v>2.0</v>
      </c>
      <c r="H674" s="39" t="str">
        <f t="array" ref="H674">IFERROR(XLOOKUP(D674,'MASTER ITEM LIST'!A:A,'MASTER ITEM LIST'!D:D), "")</f>
        <v>PCS</v>
      </c>
      <c r="I674" s="40">
        <v>32.0</v>
      </c>
      <c r="J674" s="41">
        <f t="shared" si="2"/>
        <v>64</v>
      </c>
    </row>
    <row r="675" ht="22.5" customHeight="1">
      <c r="A675" s="29">
        <v>46197.0</v>
      </c>
      <c r="B675" s="31" t="s">
        <v>1345</v>
      </c>
      <c r="C675" s="32" t="s">
        <v>1346</v>
      </c>
      <c r="D675" s="42" t="s">
        <v>969</v>
      </c>
      <c r="E675" s="35" t="str">
        <f t="array" ref="E675">IF(D675="", "", XLOOKUP(D675, 'MASTER ITEM LIST'!A:A, 'MASTER ITEM LIST'!B:B, ""))</f>
        <v>BURNT SIENNA TINTING COLOR PWTCO-6133 1/4L PREMIUM WELCOAT</v>
      </c>
      <c r="F675" s="37" t="s">
        <v>1204</v>
      </c>
      <c r="G675" s="31">
        <v>1.0</v>
      </c>
      <c r="H675" s="39" t="str">
        <f t="array" ref="H675">IFERROR(XLOOKUP(D675,'MASTER ITEM LIST'!A:A,'MASTER ITEM LIST'!D:D), "")</f>
        <v>1/4L</v>
      </c>
      <c r="I675" s="40">
        <v>80.59</v>
      </c>
      <c r="J675" s="41">
        <f t="shared" si="2"/>
        <v>80.59</v>
      </c>
    </row>
    <row r="676" ht="22.5" customHeight="1">
      <c r="A676" s="29">
        <v>46197.0</v>
      </c>
      <c r="B676" s="31" t="s">
        <v>1345</v>
      </c>
      <c r="C676" s="32" t="s">
        <v>1346</v>
      </c>
      <c r="D676" s="42" t="s">
        <v>99</v>
      </c>
      <c r="E676" s="35" t="str">
        <f t="array" ref="E676">IF(D676="", "", XLOOKUP(D676, 'MASTER ITEM LIST'!A:A, 'MASTER ITEM LIST'!B:B, ""))</f>
        <v>BOYSEN LTC LAMP BLACK 1L</v>
      </c>
      <c r="F676" s="37" t="s">
        <v>1347</v>
      </c>
      <c r="G676" s="31">
        <v>4.0</v>
      </c>
      <c r="H676" s="39" t="str">
        <f t="array" ref="H676">IFERROR(XLOOKUP(D676,'MASTER ITEM LIST'!A:A,'MASTER ITEM LIST'!D:D), "")</f>
        <v>LITER</v>
      </c>
      <c r="I676" s="40">
        <v>615.0</v>
      </c>
      <c r="J676" s="41">
        <f t="shared" si="2"/>
        <v>2460</v>
      </c>
    </row>
    <row r="677" ht="22.5" customHeight="1">
      <c r="A677" s="29">
        <v>46197.0</v>
      </c>
      <c r="B677" s="31" t="s">
        <v>1345</v>
      </c>
      <c r="C677" s="32" t="s">
        <v>1346</v>
      </c>
      <c r="D677" s="42" t="s">
        <v>1094</v>
      </c>
      <c r="E677" s="35" t="str">
        <f t="array" ref="E677">IF(D677="", "", XLOOKUP(D677, 'MASTER ITEM LIST'!A:A, 'MASTER ITEM LIST'!B:B, ""))</f>
        <v>BEIGE SUN ROOF ROS-SR-182 RAIN OR SHINE 4L</v>
      </c>
      <c r="F677" s="37" t="s">
        <v>1204</v>
      </c>
      <c r="G677" s="31">
        <v>1.0</v>
      </c>
      <c r="H677" s="39" t="str">
        <f t="array" ref="H677">IFERROR(XLOOKUP(D677,'MASTER ITEM LIST'!A:A,'MASTER ITEM LIST'!D:D), "")</f>
        <v>4L</v>
      </c>
      <c r="I677" s="40">
        <v>577.0</v>
      </c>
      <c r="J677" s="41">
        <f t="shared" si="2"/>
        <v>577</v>
      </c>
    </row>
    <row r="678" ht="22.5" customHeight="1">
      <c r="A678" s="29">
        <v>46197.0</v>
      </c>
      <c r="B678" s="31" t="s">
        <v>1345</v>
      </c>
      <c r="C678" s="32" t="s">
        <v>1346</v>
      </c>
      <c r="D678" s="42" t="s">
        <v>1082</v>
      </c>
      <c r="E678" s="35" t="str">
        <f t="array" ref="E678">IF(D678="", "", XLOOKUP(D678, 'MASTER ITEM LIST'!A:A, 'MASTER ITEM LIST'!B:B, ""))</f>
        <v>ACRYTEX PRIMER WHITE B-1705 BOYSEN 4L</v>
      </c>
      <c r="F678" s="37" t="s">
        <v>1204</v>
      </c>
      <c r="G678" s="31">
        <v>5.0</v>
      </c>
      <c r="H678" s="39" t="str">
        <f t="array" ref="H678">IFERROR(XLOOKUP(D678,'MASTER ITEM LIST'!A:A,'MASTER ITEM LIST'!D:D), "")</f>
        <v>4L</v>
      </c>
      <c r="I678" s="40">
        <v>979.0</v>
      </c>
      <c r="J678" s="41">
        <f t="shared" si="2"/>
        <v>4895</v>
      </c>
    </row>
    <row r="679" ht="22.5" customHeight="1">
      <c r="A679" s="29">
        <v>46197.0</v>
      </c>
      <c r="B679" s="31" t="s">
        <v>1345</v>
      </c>
      <c r="C679" s="32" t="s">
        <v>1346</v>
      </c>
      <c r="D679" s="42" t="s">
        <v>112</v>
      </c>
      <c r="E679" s="35" t="str">
        <f t="array" ref="E679">IF(D679="", "", XLOOKUP(D679, 'MASTER ITEM LIST'!A:A, 'MASTER ITEM LIST'!B:B, ""))</f>
        <v>2B PAINT ROLLER #7</v>
      </c>
      <c r="F679" s="37" t="s">
        <v>1204</v>
      </c>
      <c r="G679" s="31">
        <v>10.0</v>
      </c>
      <c r="H679" s="39" t="str">
        <f t="array" ref="H679">IFERROR(XLOOKUP(D679,'MASTER ITEM LIST'!A:A,'MASTER ITEM LIST'!D:D), "")</f>
        <v>PC/S</v>
      </c>
      <c r="I679" s="40">
        <v>62.0</v>
      </c>
      <c r="J679" s="41">
        <f t="shared" si="2"/>
        <v>620</v>
      </c>
    </row>
    <row r="680" ht="22.5" customHeight="1">
      <c r="A680" s="29">
        <v>46197.0</v>
      </c>
      <c r="B680" s="31" t="s">
        <v>1345</v>
      </c>
      <c r="C680" s="32" t="s">
        <v>1346</v>
      </c>
      <c r="D680" s="42" t="s">
        <v>107</v>
      </c>
      <c r="E680" s="35" t="str">
        <f t="array" ref="E680">IF(D680="", "", XLOOKUP(D680, 'MASTER ITEM LIST'!A:A, 'MASTER ITEM LIST'!B:B, ""))</f>
        <v>2B PAINT ROLLER #4</v>
      </c>
      <c r="F680" s="37" t="s">
        <v>1204</v>
      </c>
      <c r="G680" s="31">
        <v>24.0</v>
      </c>
      <c r="H680" s="39" t="str">
        <f t="array" ref="H680">IFERROR(XLOOKUP(D680,'MASTER ITEM LIST'!A:A,'MASTER ITEM LIST'!D:D), "")</f>
        <v>PC/S</v>
      </c>
      <c r="I680" s="40">
        <v>35.0</v>
      </c>
      <c r="J680" s="41">
        <f t="shared" si="2"/>
        <v>840</v>
      </c>
    </row>
    <row r="681" ht="22.5" customHeight="1">
      <c r="A681" s="29">
        <v>46197.0</v>
      </c>
      <c r="B681" s="31" t="s">
        <v>1345</v>
      </c>
      <c r="C681" s="32" t="s">
        <v>1346</v>
      </c>
      <c r="D681" s="42" t="s">
        <v>1147</v>
      </c>
      <c r="E681" s="35" t="str">
        <f t="array" ref="E681">IF(D681="", "", XLOOKUP(D681, 'MASTER ITEM LIST'!A:A, 'MASTER ITEM LIST'!B:B, ""))</f>
        <v>2B PAINT BRUSH #3</v>
      </c>
      <c r="F681" s="37" t="s">
        <v>1347</v>
      </c>
      <c r="G681" s="31">
        <v>1.0</v>
      </c>
      <c r="H681" s="39" t="str">
        <f t="array" ref="H681">IFERROR(XLOOKUP(D681,'MASTER ITEM LIST'!A:A,'MASTER ITEM LIST'!D:D), "")</f>
        <v>PC/S</v>
      </c>
      <c r="I681" s="40">
        <v>65.0</v>
      </c>
      <c r="J681" s="41">
        <f t="shared" si="2"/>
        <v>65</v>
      </c>
    </row>
    <row r="682" ht="22.5" customHeight="1">
      <c r="A682" s="29">
        <v>46197.0</v>
      </c>
      <c r="B682" s="31" t="s">
        <v>1345</v>
      </c>
      <c r="C682" s="32" t="s">
        <v>1346</v>
      </c>
      <c r="D682" s="42" t="s">
        <v>828</v>
      </c>
      <c r="E682" s="35" t="str">
        <f t="array" ref="E682">IF(D682="", "", XLOOKUP(D682, 'MASTER ITEM LIST'!A:A, 'MASTER ITEM LIST'!B:B, ""))</f>
        <v>NAX PP BUMPER PRIMER GRAY 1L</v>
      </c>
      <c r="F682" s="37" t="s">
        <v>1204</v>
      </c>
      <c r="G682" s="31">
        <v>15.25</v>
      </c>
      <c r="H682" s="39" t="str">
        <f t="array" ref="H682">IFERROR(XLOOKUP(D682,'MASTER ITEM LIST'!A:A,'MASTER ITEM LIST'!D:D), "")</f>
        <v>LITER</v>
      </c>
      <c r="I682" s="40">
        <v>496.0</v>
      </c>
      <c r="J682" s="41">
        <f t="shared" si="2"/>
        <v>7564</v>
      </c>
    </row>
    <row r="683" ht="22.5" customHeight="1">
      <c r="A683" s="29">
        <v>46197.0</v>
      </c>
      <c r="B683" s="31" t="s">
        <v>1345</v>
      </c>
      <c r="C683" s="32" t="s">
        <v>1346</v>
      </c>
      <c r="D683" s="42" t="s">
        <v>103</v>
      </c>
      <c r="E683" s="35" t="str">
        <f t="array" ref="E683">IF(D683="", "", XLOOKUP(D683, 'MASTER ITEM LIST'!A:A, 'MASTER ITEM LIST'!B:B, ""))</f>
        <v>RAIN OR SHINE WHITE 4L</v>
      </c>
      <c r="F683" s="37" t="s">
        <v>1347</v>
      </c>
      <c r="G683" s="31">
        <v>2.0</v>
      </c>
      <c r="H683" s="39" t="str">
        <f t="array" ref="H683">IFERROR(XLOOKUP(D683,'MASTER ITEM LIST'!A:A,'MASTER ITEM LIST'!D:D), "")</f>
        <v>GALON</v>
      </c>
      <c r="I683" s="40">
        <v>735.0</v>
      </c>
      <c r="J683" s="41">
        <f t="shared" si="2"/>
        <v>1470</v>
      </c>
    </row>
    <row r="684" ht="22.5" customHeight="1">
      <c r="A684" s="29">
        <v>46197.0</v>
      </c>
      <c r="B684" s="31" t="s">
        <v>1345</v>
      </c>
      <c r="C684" s="32" t="s">
        <v>1346</v>
      </c>
      <c r="D684" s="42" t="s">
        <v>1166</v>
      </c>
      <c r="E684" s="35" t="str">
        <f t="array" ref="E684">IF(D684="", "", XLOOKUP(D684, 'MASTER ITEM LIST'!A:A, 'MASTER ITEM LIST'!B:B, ""))</f>
        <v>2B PAINT BRUSH 1 1/2</v>
      </c>
      <c r="F684" s="37" t="s">
        <v>1204</v>
      </c>
      <c r="G684" s="31">
        <v>5.0</v>
      </c>
      <c r="H684" s="39" t="str">
        <f t="array" ref="H684">IFERROR(XLOOKUP(D684,'MASTER ITEM LIST'!A:A,'MASTER ITEM LIST'!D:D), "")</f>
        <v>PC/S</v>
      </c>
      <c r="I684" s="40">
        <v>25.0</v>
      </c>
      <c r="J684" s="41">
        <f t="shared" si="2"/>
        <v>125</v>
      </c>
    </row>
    <row r="685" ht="22.5" customHeight="1">
      <c r="A685" s="29">
        <v>46197.0</v>
      </c>
      <c r="B685" s="31" t="s">
        <v>1345</v>
      </c>
      <c r="C685" s="32" t="s">
        <v>1346</v>
      </c>
      <c r="D685" s="42" t="s">
        <v>1170</v>
      </c>
      <c r="E685" s="35" t="str">
        <f t="array" ref="E685">IF(D685="", "", XLOOKUP(D685, 'MASTER ITEM LIST'!A:A, 'MASTER ITEM LIST'!B:B, ""))</f>
        <v>RAIN OR SHINE-TEMPTATION 4L</v>
      </c>
      <c r="F685" s="37" t="s">
        <v>1347</v>
      </c>
      <c r="G685" s="31">
        <v>0.125</v>
      </c>
      <c r="H685" s="39" t="str">
        <f t="array" ref="H685">IFERROR(XLOOKUP(D685,'MASTER ITEM LIST'!A:A,'MASTER ITEM LIST'!D:D), "")</f>
        <v>GALON</v>
      </c>
      <c r="I685" s="40">
        <f t="array" ref="I685">IFERROR(XLOOKUP(D685,'MASTER ITEM LIST'!A:A,'MASTER ITEM LIST'!C:C), "")</f>
        <v>650</v>
      </c>
      <c r="J685" s="41">
        <f t="shared" si="2"/>
        <v>81.25</v>
      </c>
    </row>
    <row r="686" ht="22.5" customHeight="1">
      <c r="A686" s="29">
        <v>46197.0</v>
      </c>
      <c r="B686" s="31" t="s">
        <v>1345</v>
      </c>
      <c r="C686" s="32" t="s">
        <v>1346</v>
      </c>
      <c r="D686" s="42" t="s">
        <v>384</v>
      </c>
      <c r="E686" s="35" t="str">
        <f t="array" ref="E686">IF(D686="", "", XLOOKUP(D686, 'MASTER ITEM LIST'!A:A, 'MASTER ITEM LIST'!B:B, ""))</f>
        <v>PAINT BRUSH 2B #1</v>
      </c>
      <c r="F686" s="37" t="s">
        <v>1204</v>
      </c>
      <c r="G686" s="31">
        <v>11.0</v>
      </c>
      <c r="H686" s="39" t="str">
        <f t="array" ref="H686">IFERROR(XLOOKUP(D686,'MASTER ITEM LIST'!A:A,'MASTER ITEM LIST'!D:D), "")</f>
        <v>PC/S</v>
      </c>
      <c r="I686" s="40">
        <f t="array" ref="I686">IFERROR(XLOOKUP(D686,'MASTER ITEM LIST'!A:A,'MASTER ITEM LIST'!C:C), "")</f>
        <v>18</v>
      </c>
      <c r="J686" s="41">
        <f t="shared" si="2"/>
        <v>198</v>
      </c>
    </row>
    <row r="687" ht="22.5" customHeight="1">
      <c r="A687" s="29">
        <v>46197.0</v>
      </c>
      <c r="B687" s="31" t="s">
        <v>1345</v>
      </c>
      <c r="C687" s="32" t="s">
        <v>1346</v>
      </c>
      <c r="D687" s="42" t="s">
        <v>1181</v>
      </c>
      <c r="E687" s="35" t="str">
        <f t="array" ref="E687">IF(D687="", "", XLOOKUP(D687, 'MASTER ITEM LIST'!A:A, 'MASTER ITEM LIST'!B:B, ""))</f>
        <v>POLYGLOSS-ZINCROMATE PRIMER GREEN-1L</v>
      </c>
      <c r="F687" s="37" t="s">
        <v>1347</v>
      </c>
      <c r="G687" s="31">
        <v>5.0</v>
      </c>
      <c r="H687" s="39" t="str">
        <f t="array" ref="H687">IFERROR(XLOOKUP(D687,'MASTER ITEM LIST'!A:A,'MASTER ITEM LIST'!D:D), "")</f>
        <v>LITER</v>
      </c>
      <c r="I687" s="40">
        <v>520.0</v>
      </c>
      <c r="J687" s="41">
        <f t="shared" si="2"/>
        <v>2600</v>
      </c>
    </row>
    <row r="688" ht="22.5" customHeight="1">
      <c r="A688" s="29">
        <v>46197.0</v>
      </c>
      <c r="B688" s="31" t="s">
        <v>1345</v>
      </c>
      <c r="C688" s="32" t="s">
        <v>1346</v>
      </c>
      <c r="D688" s="42" t="s">
        <v>1142</v>
      </c>
      <c r="E688" s="35" t="str">
        <f t="array" ref="E688">IF(D688="", "", XLOOKUP(D688, 'MASTER ITEM LIST'!A:A, 'MASTER ITEM LIST'!B:B, ""))</f>
        <v>ALPHA CHROMA ACRYTILE GLOSS WHITE 4L</v>
      </c>
      <c r="F688" s="37" t="s">
        <v>1347</v>
      </c>
      <c r="G688" s="31">
        <v>1.0</v>
      </c>
      <c r="H688" s="39" t="str">
        <f t="array" ref="H688">IFERROR(XLOOKUP(D688,'MASTER ITEM LIST'!A:A,'MASTER ITEM LIST'!D:D), "")</f>
        <v>GALON</v>
      </c>
      <c r="I688" s="40">
        <f t="array" ref="I688">IFERROR(XLOOKUP(D688,'MASTER ITEM LIST'!A:A,'MASTER ITEM LIST'!C:C), "")</f>
        <v>0</v>
      </c>
      <c r="J688" s="41">
        <f t="shared" si="2"/>
        <v>0</v>
      </c>
    </row>
    <row r="689" ht="22.5" customHeight="1">
      <c r="A689" s="29">
        <v>46197.0</v>
      </c>
      <c r="B689" s="31" t="s">
        <v>1345</v>
      </c>
      <c r="C689" s="32" t="s">
        <v>1346</v>
      </c>
      <c r="D689" s="42" t="s">
        <v>1062</v>
      </c>
      <c r="E689" s="35" t="str">
        <f t="array" ref="E689">IF(D689="", "", XLOOKUP(D689, 'MASTER ITEM LIST'!A:A, 'MASTER ITEM LIST'!B:B, ""))</f>
        <v>DRAGONFLY MINI BABY ROLLER #4 W/H</v>
      </c>
      <c r="F689" s="37" t="s">
        <v>1347</v>
      </c>
      <c r="G689" s="31">
        <v>2.0</v>
      </c>
      <c r="H689" s="39" t="str">
        <f t="array" ref="H689">IFERROR(XLOOKUP(D689,'MASTER ITEM LIST'!A:A,'MASTER ITEM LIST'!D:D), "")</f>
        <v>PC/S</v>
      </c>
      <c r="I689" s="40">
        <f t="array" ref="I689">IFERROR(XLOOKUP(D689,'MASTER ITEM LIST'!A:A,'MASTER ITEM LIST'!C:C), "")</f>
        <v>35</v>
      </c>
      <c r="J689" s="41">
        <f t="shared" si="2"/>
        <v>70</v>
      </c>
    </row>
    <row r="690" ht="22.5" customHeight="1">
      <c r="A690" s="29">
        <v>46197.0</v>
      </c>
      <c r="B690" s="31" t="s">
        <v>1345</v>
      </c>
      <c r="C690" s="32" t="s">
        <v>1346</v>
      </c>
      <c r="D690" s="42" t="s">
        <v>121</v>
      </c>
      <c r="E690" s="35" t="str">
        <f t="array" ref="E690">IF(D690="", "", XLOOKUP(D690, 'MASTER ITEM LIST'!A:A, 'MASTER ITEM LIST'!B:B, ""))</f>
        <v>DRAGONFLY PAINT BRUSH #1 1/2</v>
      </c>
      <c r="F690" s="37" t="s">
        <v>1347</v>
      </c>
      <c r="G690" s="31">
        <v>5.0</v>
      </c>
      <c r="H690" s="39" t="str">
        <f t="array" ref="H690">IFERROR(XLOOKUP(D690,'MASTER ITEM LIST'!A:A,'MASTER ITEM LIST'!D:D), "")</f>
        <v>PC/S</v>
      </c>
      <c r="I690" s="40">
        <f t="array" ref="I690">IFERROR(XLOOKUP(D690,'MASTER ITEM LIST'!A:A,'MASTER ITEM LIST'!C:C), "")</f>
        <v>25</v>
      </c>
      <c r="J690" s="41">
        <f t="shared" si="2"/>
        <v>125</v>
      </c>
    </row>
    <row r="691" ht="22.5" customHeight="1">
      <c r="A691" s="29">
        <v>46197.0</v>
      </c>
      <c r="B691" s="31" t="s">
        <v>1345</v>
      </c>
      <c r="C691" s="32" t="s">
        <v>1346</v>
      </c>
      <c r="D691" s="42" t="s">
        <v>1052</v>
      </c>
      <c r="E691" s="35" t="str">
        <f t="array" ref="E691">IF(D691="", "", XLOOKUP(D691, 'MASTER ITEM LIST'!A:A, 'MASTER ITEM LIST'!B:B, ""))</f>
        <v>DRAGONFLY PAINT ROLLER #7 W/H</v>
      </c>
      <c r="F691" s="37" t="s">
        <v>1347</v>
      </c>
      <c r="G691" s="31">
        <v>1.0</v>
      </c>
      <c r="H691" s="39" t="str">
        <f t="array" ref="H691">IFERROR(XLOOKUP(D691,'MASTER ITEM LIST'!A:A,'MASTER ITEM LIST'!D:D), "")</f>
        <v>PC/S</v>
      </c>
      <c r="I691" s="40">
        <f t="array" ref="I691">IFERROR(XLOOKUP(D691,'MASTER ITEM LIST'!A:A,'MASTER ITEM LIST'!C:C), "")</f>
        <v>65</v>
      </c>
      <c r="J691" s="41">
        <f t="shared" si="2"/>
        <v>65</v>
      </c>
    </row>
    <row r="692" ht="22.5" customHeight="1">
      <c r="A692" s="29">
        <v>46197.0</v>
      </c>
      <c r="B692" s="31" t="s">
        <v>1345</v>
      </c>
      <c r="C692" s="32" t="s">
        <v>1346</v>
      </c>
      <c r="D692" s="42" t="s">
        <v>304</v>
      </c>
      <c r="E692" s="35" t="str">
        <f t="array" ref="E692">IF(D692="", "", XLOOKUP(D692, 'MASTER ITEM LIST'!A:A, 'MASTER ITEM LIST'!B:B, ""))</f>
        <v>NAX NAT-100 TTC WHITE 4L</v>
      </c>
      <c r="F692" s="37" t="s">
        <v>1347</v>
      </c>
      <c r="G692" s="31">
        <v>0.84375</v>
      </c>
      <c r="H692" s="39" t="str">
        <f t="array" ref="H692">IFERROR(XLOOKUP(D692,'MASTER ITEM LIST'!A:A,'MASTER ITEM LIST'!D:D), "")</f>
        <v>GAL</v>
      </c>
      <c r="I692" s="40">
        <f t="array" ref="I692">IFERROR(XLOOKUP(D692,'MASTER ITEM LIST'!A:A,'MASTER ITEM LIST'!C:C), "")</f>
        <v>1905</v>
      </c>
      <c r="J692" s="41">
        <f t="shared" si="2"/>
        <v>1607.34375</v>
      </c>
    </row>
    <row r="693" ht="22.5" customHeight="1">
      <c r="A693" s="29">
        <v>46197.0</v>
      </c>
      <c r="B693" s="31" t="s">
        <v>1345</v>
      </c>
      <c r="C693" s="32" t="s">
        <v>1346</v>
      </c>
      <c r="D693" s="42" t="s">
        <v>818</v>
      </c>
      <c r="E693" s="35" t="str">
        <f t="array" ref="E693">IF(D693="", "", XLOOKUP(D693, 'MASTER ITEM LIST'!A:A, 'MASTER ITEM LIST'!B:B, ""))</f>
        <v>NAX NAT-3974 QDU FLAT BLACK 1L</v>
      </c>
      <c r="F693" s="37" t="s">
        <v>1347</v>
      </c>
      <c r="G693" s="31">
        <v>0.0</v>
      </c>
      <c r="H693" s="39" t="str">
        <f t="array" ref="H693">IFERROR(XLOOKUP(D693,'MASTER ITEM LIST'!A:A,'MASTER ITEM LIST'!D:D), "")</f>
        <v>LITER</v>
      </c>
      <c r="I693" s="40">
        <f t="array" ref="I693">IFERROR(XLOOKUP(D693,'MASTER ITEM LIST'!A:A,'MASTER ITEM LIST'!C:C), "")</f>
        <v>451</v>
      </c>
      <c r="J693" s="41">
        <f t="shared" si="2"/>
        <v>0</v>
      </c>
    </row>
    <row r="694" ht="22.5" customHeight="1">
      <c r="A694" s="29">
        <v>46197.0</v>
      </c>
      <c r="B694" s="31" t="s">
        <v>1345</v>
      </c>
      <c r="C694" s="32" t="s">
        <v>1346</v>
      </c>
      <c r="D694" s="42" t="s">
        <v>122</v>
      </c>
      <c r="E694" s="35" t="str">
        <f t="array" ref="E694">IF(D694="", "", XLOOKUP(D694, 'MASTER ITEM LIST'!A:A, 'MASTER ITEM LIST'!B:B, ""))</f>
        <v>WHITE SUN ROOF ROS-SR-100 RAIN OR SHINE 4L</v>
      </c>
      <c r="F694" s="37" t="s">
        <v>1204</v>
      </c>
      <c r="G694" s="31">
        <v>2.0</v>
      </c>
      <c r="H694" s="39" t="str">
        <f t="array" ref="H694">IFERROR(XLOOKUP(D694,'MASTER ITEM LIST'!A:A,'MASTER ITEM LIST'!D:D), "")</f>
        <v>4L</v>
      </c>
      <c r="I694" s="40">
        <v>672.0</v>
      </c>
      <c r="J694" s="41">
        <f t="shared" si="2"/>
        <v>1344</v>
      </c>
    </row>
    <row r="695" ht="22.5" customHeight="1">
      <c r="A695" s="29">
        <v>46197.0</v>
      </c>
      <c r="B695" s="31" t="s">
        <v>1345</v>
      </c>
      <c r="C695" s="32" t="s">
        <v>1346</v>
      </c>
      <c r="D695" s="33" t="s">
        <v>474</v>
      </c>
      <c r="E695" s="35" t="str">
        <f t="array" ref="E695">IF(D695="", "", XLOOKUP(D695, 'MASTER ITEM LIST'!A:A, 'MASTER ITEM LIST'!B:B, ""))</f>
        <v>PLATONE QDE INTERNATIONAL RED 4L</v>
      </c>
      <c r="F695" s="37" t="s">
        <v>1204</v>
      </c>
      <c r="G695" s="31">
        <v>1.75</v>
      </c>
      <c r="H695" s="39" t="str">
        <f t="array" ref="H695">IFERROR(XLOOKUP(D695,'MASTER ITEM LIST'!A:A,'MASTER ITEM LIST'!D:D), "")</f>
        <v>GAL</v>
      </c>
      <c r="I695" s="40">
        <v>773.0</v>
      </c>
      <c r="J695" s="41">
        <f t="shared" si="2"/>
        <v>1352.75</v>
      </c>
    </row>
    <row r="696" ht="22.5" customHeight="1">
      <c r="A696" s="29">
        <v>46197.0</v>
      </c>
      <c r="B696" s="31" t="s">
        <v>1345</v>
      </c>
      <c r="C696" s="32" t="s">
        <v>1346</v>
      </c>
      <c r="D696" s="33" t="s">
        <v>495</v>
      </c>
      <c r="E696" s="35" t="str">
        <f t="array" ref="E696">IF(D696="", "", XLOOKUP(D696, 'MASTER ITEM LIST'!A:A, 'MASTER ITEM LIST'!B:B, ""))</f>
        <v>PHTHALO GREEN TINTING COLOR PWTCO-9033 1/4L PREMIUM WELCOAT</v>
      </c>
      <c r="F696" s="37" t="s">
        <v>1204</v>
      </c>
      <c r="G696" s="31">
        <v>1.0</v>
      </c>
      <c r="H696" s="39" t="str">
        <f t="array" ref="H696">IFERROR(XLOOKUP(D696,'MASTER ITEM LIST'!A:A,'MASTER ITEM LIST'!D:D), "")</f>
        <v>1/4L</v>
      </c>
      <c r="I696" s="40">
        <v>80.59</v>
      </c>
      <c r="J696" s="41">
        <f t="shared" si="2"/>
        <v>80.59</v>
      </c>
    </row>
    <row r="697" ht="22.5" customHeight="1">
      <c r="A697" s="29">
        <v>46197.0</v>
      </c>
      <c r="B697" s="31" t="s">
        <v>1345</v>
      </c>
      <c r="C697" s="32" t="s">
        <v>1346</v>
      </c>
      <c r="D697" s="42" t="s">
        <v>384</v>
      </c>
      <c r="E697" s="35" t="str">
        <f t="array" ref="E697">IF(D697="", "", XLOOKUP(D697, 'MASTER ITEM LIST'!A:A, 'MASTER ITEM LIST'!B:B, ""))</f>
        <v>PAINT BRUSH 2B #1</v>
      </c>
      <c r="F697" s="37" t="s">
        <v>1347</v>
      </c>
      <c r="G697" s="31">
        <v>19.0</v>
      </c>
      <c r="H697" s="39" t="str">
        <f t="array" ref="H697">IFERROR(XLOOKUP(D697,'MASTER ITEM LIST'!A:A,'MASTER ITEM LIST'!D:D), "")</f>
        <v>PC/S</v>
      </c>
      <c r="I697" s="40">
        <v>18.0</v>
      </c>
      <c r="J697" s="41">
        <f t="shared" si="2"/>
        <v>342</v>
      </c>
    </row>
    <row r="698" ht="22.5" customHeight="1">
      <c r="A698" s="29">
        <v>46197.0</v>
      </c>
      <c r="B698" s="31" t="s">
        <v>1345</v>
      </c>
      <c r="C698" s="32" t="s">
        <v>1346</v>
      </c>
      <c r="D698" s="42" t="s">
        <v>557</v>
      </c>
      <c r="E698" s="35" t="str">
        <f t="array" ref="E698">IF(D698="", "", XLOOKUP(D698, 'MASTER ITEM LIST'!A:A, 'MASTER ITEM LIST'!B:B, ""))</f>
        <v>NIPPON FF151 FLOP CONTROL</v>
      </c>
      <c r="F698" s="37" t="s">
        <v>1204</v>
      </c>
      <c r="G698" s="31">
        <v>7.0</v>
      </c>
      <c r="H698" s="39" t="str">
        <f t="array" ref="H698">IFERROR(XLOOKUP(D698,'MASTER ITEM LIST'!A:A,'MASTER ITEM LIST'!D:D), "")</f>
        <v>LTR</v>
      </c>
      <c r="I698" s="40">
        <v>1160.0</v>
      </c>
      <c r="J698" s="41">
        <f t="shared" si="2"/>
        <v>8120</v>
      </c>
    </row>
    <row r="699" ht="22.5" customHeight="1">
      <c r="A699" s="29">
        <v>46197.0</v>
      </c>
      <c r="B699" s="31" t="s">
        <v>1345</v>
      </c>
      <c r="C699" s="32" t="s">
        <v>1346</v>
      </c>
      <c r="D699" s="42" t="s">
        <v>578</v>
      </c>
      <c r="E699" s="35" t="str">
        <f t="array" ref="E699">IF(D699="", "", XLOOKUP(D699, 'MASTER ITEM LIST'!A:A, 'MASTER ITEM LIST'!B:B, ""))</f>
        <v>NIPPON EXTREME QDU GREEN 4L</v>
      </c>
      <c r="F699" s="37" t="s">
        <v>1204</v>
      </c>
      <c r="G699" s="31">
        <v>1.0</v>
      </c>
      <c r="H699" s="39" t="str">
        <f t="array" ref="H699">IFERROR(XLOOKUP(D699,'MASTER ITEM LIST'!A:A,'MASTER ITEM LIST'!D:D), "")</f>
        <v>GAL</v>
      </c>
      <c r="I699" s="40">
        <v>1630.0</v>
      </c>
      <c r="J699" s="41">
        <f t="shared" si="2"/>
        <v>1630</v>
      </c>
    </row>
    <row r="700" ht="22.5" customHeight="1">
      <c r="A700" s="29">
        <v>46197.0</v>
      </c>
      <c r="B700" s="31" t="s">
        <v>1345</v>
      </c>
      <c r="C700" s="32" t="s">
        <v>1346</v>
      </c>
      <c r="D700" s="42" t="s">
        <v>213</v>
      </c>
      <c r="E700" s="35" t="str">
        <f t="array" ref="E700">IF(D700="", "", XLOOKUP(D700, 'MASTER ITEM LIST'!A:A, 'MASTER ITEM LIST'!B:B, ""))</f>
        <v>NAX PREMILA NP9200 2K CLEAR WITH HARDENER 1L</v>
      </c>
      <c r="F700" s="37" t="s">
        <v>1204</v>
      </c>
      <c r="G700" s="31">
        <v>9.75</v>
      </c>
      <c r="H700" s="39" t="str">
        <f t="array" ref="H700">IFERROR(XLOOKUP(D700,'MASTER ITEM LIST'!A:A,'MASTER ITEM LIST'!D:D), "")</f>
        <v>LITER</v>
      </c>
      <c r="I700" s="40">
        <v>871.0</v>
      </c>
      <c r="J700" s="41">
        <f t="shared" si="2"/>
        <v>8492.25</v>
      </c>
    </row>
    <row r="701" ht="22.5" customHeight="1">
      <c r="A701" s="29">
        <v>46197.0</v>
      </c>
      <c r="B701" s="31" t="s">
        <v>1345</v>
      </c>
      <c r="C701" s="32" t="s">
        <v>1346</v>
      </c>
      <c r="D701" s="42" t="s">
        <v>747</v>
      </c>
      <c r="E701" s="35" t="str">
        <f t="array" ref="E701">IF(D701="", "", XLOOKUP(D701, 'MASTER ITEM LIST'!A:A, 'MASTER ITEM LIST'!B:B, ""))</f>
        <v>NAX PREMILA MT701 FAST VIOLET 1L</v>
      </c>
      <c r="F701" s="37" t="s">
        <v>1204</v>
      </c>
      <c r="G701" s="31">
        <v>1.0</v>
      </c>
      <c r="H701" s="39" t="str">
        <f t="array" ref="H701">IFERROR(XLOOKUP(D701,'MASTER ITEM LIST'!A:A,'MASTER ITEM LIST'!D:D), "")</f>
        <v>LTR/S</v>
      </c>
      <c r="I701" s="40">
        <v>1744.0</v>
      </c>
      <c r="J701" s="41">
        <f t="shared" si="2"/>
        <v>1744</v>
      </c>
    </row>
    <row r="702" ht="22.5" customHeight="1">
      <c r="A702" s="29">
        <v>46197.0</v>
      </c>
      <c r="B702" s="31" t="s">
        <v>1345</v>
      </c>
      <c r="C702" s="32" t="s">
        <v>1346</v>
      </c>
      <c r="D702" s="42" t="s">
        <v>202</v>
      </c>
      <c r="E702" s="35" t="str">
        <f t="array" ref="E702">IF(D702="", "", XLOOKUP(D702, 'MASTER ITEM LIST'!A:A, 'MASTER ITEM LIST'!B:B, ""))</f>
        <v>NAX PREMILA MT203 DEEP BLACK 1L</v>
      </c>
      <c r="F702" s="37" t="s">
        <v>1204</v>
      </c>
      <c r="G702" s="31">
        <v>2.0</v>
      </c>
      <c r="H702" s="39" t="str">
        <f t="array" ref="H702">IFERROR(XLOOKUP(D702,'MASTER ITEM LIST'!A:A,'MASTER ITEM LIST'!D:D), "")</f>
        <v>LTR/S</v>
      </c>
      <c r="I702" s="40">
        <v>1668.0</v>
      </c>
      <c r="J702" s="41">
        <f t="shared" si="2"/>
        <v>3336</v>
      </c>
    </row>
    <row r="703" ht="22.5" customHeight="1">
      <c r="A703" s="29">
        <v>46197.0</v>
      </c>
      <c r="B703" s="31" t="s">
        <v>1345</v>
      </c>
      <c r="C703" s="32" t="s">
        <v>1346</v>
      </c>
      <c r="D703" s="42" t="s">
        <v>266</v>
      </c>
      <c r="E703" s="35" t="str">
        <f t="array" ref="E703">IF(D703="", "", XLOOKUP(D703, 'MASTER ITEM LIST'!A:A, 'MASTER ITEM LIST'!B:B, ""))</f>
        <v>NAX PREMILA MT096 MICA BASE 3M CRYSTAL SILVER 1L</v>
      </c>
      <c r="F703" s="37" t="s">
        <v>1204</v>
      </c>
      <c r="G703" s="31">
        <v>1.0</v>
      </c>
      <c r="H703" s="39" t="str">
        <f t="array" ref="H703">IFERROR(XLOOKUP(D703,'MASTER ITEM LIST'!A:A,'MASTER ITEM LIST'!D:D), "")</f>
        <v>LTR/S</v>
      </c>
      <c r="I703" s="40">
        <v>6000.0</v>
      </c>
      <c r="J703" s="41">
        <f t="shared" si="2"/>
        <v>6000</v>
      </c>
    </row>
    <row r="704" ht="22.5" customHeight="1">
      <c r="A704" s="29">
        <v>46197.0</v>
      </c>
      <c r="B704" s="31" t="s">
        <v>1345</v>
      </c>
      <c r="C704" s="32" t="s">
        <v>1346</v>
      </c>
      <c r="D704" s="42" t="s">
        <v>361</v>
      </c>
      <c r="E704" s="35" t="str">
        <f t="array" ref="E704">IF(D704="", "", XLOOKUP(D704, 'MASTER ITEM LIST'!A:A, 'MASTER ITEM LIST'!B:B, ""))</f>
        <v>NAX PREMILA MT06H NEO MICA BASE 3AB BLUE 1L</v>
      </c>
      <c r="F704" s="37" t="s">
        <v>1204</v>
      </c>
      <c r="G704" s="31">
        <v>2.0</v>
      </c>
      <c r="H704" s="39" t="str">
        <f t="array" ref="H704">IFERROR(XLOOKUP(D704,'MASTER ITEM LIST'!A:A,'MASTER ITEM LIST'!D:D), "")</f>
        <v>LTR/S</v>
      </c>
      <c r="I704" s="40">
        <v>3650.0</v>
      </c>
      <c r="J704" s="41">
        <f t="shared" si="2"/>
        <v>7300</v>
      </c>
    </row>
    <row r="705" ht="22.5" customHeight="1">
      <c r="A705" s="29">
        <v>46197.0</v>
      </c>
      <c r="B705" s="31" t="s">
        <v>1345</v>
      </c>
      <c r="C705" s="32" t="s">
        <v>1346</v>
      </c>
      <c r="D705" s="42" t="s">
        <v>465</v>
      </c>
      <c r="E705" s="35" t="str">
        <f t="array" ref="E705">IF(D705="", "", XLOOKUP(D705, 'MASTER ITEM LIST'!A:A, 'MASTER ITEM LIST'!B:B, ""))</f>
        <v>NAX PREMILA MT003 CRYSTAL SILVER MEDIUM 1L</v>
      </c>
      <c r="F705" s="37" t="s">
        <v>1204</v>
      </c>
      <c r="G705" s="31">
        <v>1.0</v>
      </c>
      <c r="H705" s="39" t="str">
        <f t="array" ref="H705">IFERROR(XLOOKUP(D705,'MASTER ITEM LIST'!A:A,'MASTER ITEM LIST'!D:D), "")</f>
        <v>LTR/S</v>
      </c>
      <c r="I705" s="40">
        <v>2150.0</v>
      </c>
      <c r="J705" s="41">
        <f t="shared" si="2"/>
        <v>2150</v>
      </c>
    </row>
    <row r="706" ht="22.5" customHeight="1">
      <c r="A706" s="29">
        <v>46197.0</v>
      </c>
      <c r="B706" s="31" t="s">
        <v>1345</v>
      </c>
      <c r="C706" s="32" t="s">
        <v>1346</v>
      </c>
      <c r="D706" s="42" t="s">
        <v>846</v>
      </c>
      <c r="E706" s="35" t="str">
        <f t="array" ref="E706">IF(D706="", "", XLOOKUP(D706, 'MASTER ITEM LIST'!A:A, 'MASTER ITEM LIST'!B:B, ""))</f>
        <v>NAX PREMILA 2K NB200 HARDENER</v>
      </c>
      <c r="F706" s="37" t="s">
        <v>1204</v>
      </c>
      <c r="G706" s="31">
        <v>1.0</v>
      </c>
      <c r="H706" s="39" t="str">
        <f t="array" ref="H706">IFERROR(XLOOKUP(D706,'MASTER ITEM LIST'!A:A,'MASTER ITEM LIST'!D:D), "")</f>
        <v>LTR</v>
      </c>
      <c r="I706" s="40">
        <v>1030.0</v>
      </c>
      <c r="J706" s="41">
        <f t="shared" si="2"/>
        <v>1030</v>
      </c>
    </row>
    <row r="707" ht="22.5" customHeight="1">
      <c r="A707" s="29">
        <v>46197.0</v>
      </c>
      <c r="B707" s="31" t="s">
        <v>1345</v>
      </c>
      <c r="C707" s="32" t="s">
        <v>1346</v>
      </c>
      <c r="D707" s="42" t="s">
        <v>517</v>
      </c>
      <c r="E707" s="35" t="str">
        <f t="array" ref="E707">IF(D707="", "", XLOOKUP(D707, 'MASTER ITEM LIST'!A:A, 'MASTER ITEM LIST'!B:B, ""))</f>
        <v>NAX NAT-736 TTC HI-SPARKLE EXTRA COARSE 1L</v>
      </c>
      <c r="F707" s="37" t="s">
        <v>1204</v>
      </c>
      <c r="G707" s="31">
        <v>3.0</v>
      </c>
      <c r="H707" s="39" t="str">
        <f t="array" ref="H707">IFERROR(XLOOKUP(D707,'MASTER ITEM LIST'!A:A,'MASTER ITEM LIST'!D:D), "")</f>
        <v>LITER</v>
      </c>
      <c r="I707" s="40">
        <v>685.0</v>
      </c>
      <c r="J707" s="41">
        <f t="shared" si="2"/>
        <v>2055</v>
      </c>
    </row>
    <row r="708" ht="22.5" customHeight="1">
      <c r="A708" s="29">
        <v>46197.0</v>
      </c>
      <c r="B708" s="31" t="s">
        <v>1345</v>
      </c>
      <c r="C708" s="32" t="s">
        <v>1346</v>
      </c>
      <c r="D708" s="42" t="s">
        <v>735</v>
      </c>
      <c r="E708" s="35" t="str">
        <f t="array" ref="E708">IF(D708="", "", XLOOKUP(D708, 'MASTER ITEM LIST'!A:A, 'MASTER ITEM LIST'!B:B, ""))</f>
        <v>NAX NAT-1165 TTC HI-LITE RED 1L</v>
      </c>
      <c r="F708" s="37" t="s">
        <v>1204</v>
      </c>
      <c r="G708" s="31">
        <v>1.0</v>
      </c>
      <c r="H708" s="39" t="str">
        <f t="array" ref="H708">IFERROR(XLOOKUP(D708,'MASTER ITEM LIST'!A:A,'MASTER ITEM LIST'!D:D), "")</f>
        <v>LITER</v>
      </c>
      <c r="I708" s="40">
        <v>780.0</v>
      </c>
      <c r="J708" s="41">
        <f t="shared" si="2"/>
        <v>780</v>
      </c>
    </row>
    <row r="709" ht="22.5" customHeight="1">
      <c r="A709" s="29">
        <v>46197.0</v>
      </c>
      <c r="B709" s="31" t="s">
        <v>1345</v>
      </c>
      <c r="C709" s="32" t="s">
        <v>1346</v>
      </c>
      <c r="D709" s="42" t="s">
        <v>737</v>
      </c>
      <c r="E709" s="35" t="str">
        <f t="array" ref="E709">IF(D709="", "", XLOOKUP(D709, 'MASTER ITEM LIST'!A:A, 'MASTER ITEM LIST'!B:B, ""))</f>
        <v>NAX NAT-1164 TTC BRIGHT GOLD MICA 1L</v>
      </c>
      <c r="F709" s="37" t="s">
        <v>1204</v>
      </c>
      <c r="G709" s="31">
        <v>2.0</v>
      </c>
      <c r="H709" s="39" t="str">
        <f t="array" ref="H709">IFERROR(XLOOKUP(D709,'MASTER ITEM LIST'!A:A,'MASTER ITEM LIST'!D:D), "")</f>
        <v>LITER</v>
      </c>
      <c r="I709" s="40">
        <v>640.0</v>
      </c>
      <c r="J709" s="41">
        <f t="shared" si="2"/>
        <v>1280</v>
      </c>
    </row>
    <row r="710" ht="22.5" customHeight="1">
      <c r="A710" s="29">
        <v>46197.0</v>
      </c>
      <c r="B710" s="31" t="s">
        <v>1345</v>
      </c>
      <c r="C710" s="32" t="s">
        <v>1346</v>
      </c>
      <c r="D710" s="42" t="s">
        <v>929</v>
      </c>
      <c r="E710" s="35" t="str">
        <f t="array" ref="E710">IF(D710="", "", XLOOKUP(D710, 'MASTER ITEM LIST'!A:A, 'MASTER ITEM LIST'!B:B, ""))</f>
        <v>NAX NAT-1159 TTC MEDIUM RUSSET MICA 1L</v>
      </c>
      <c r="F710" s="37" t="s">
        <v>1204</v>
      </c>
      <c r="G710" s="31">
        <v>3.0</v>
      </c>
      <c r="H710" s="39" t="str">
        <f t="array" ref="H710">IFERROR(XLOOKUP(D710,'MASTER ITEM LIST'!A:A,'MASTER ITEM LIST'!D:D), "")</f>
        <v>LITER</v>
      </c>
      <c r="I710" s="40">
        <v>780.0</v>
      </c>
      <c r="J710" s="41">
        <f t="shared" si="2"/>
        <v>2340</v>
      </c>
    </row>
    <row r="711" ht="22.5" customHeight="1">
      <c r="A711" s="29">
        <v>46197.0</v>
      </c>
      <c r="B711" s="31" t="s">
        <v>1345</v>
      </c>
      <c r="C711" s="32" t="s">
        <v>1346</v>
      </c>
      <c r="D711" s="42" t="s">
        <v>748</v>
      </c>
      <c r="E711" s="35" t="str">
        <f t="array" ref="E711">IF(D711="", "", XLOOKUP(D711, 'MASTER ITEM LIST'!A:A, 'MASTER ITEM LIST'!B:B, ""))</f>
        <v>NAX NAT-1157 TTC BRIGHT COPPER MICA 1L</v>
      </c>
      <c r="F711" s="37" t="s">
        <v>1204</v>
      </c>
      <c r="G711" s="31">
        <v>1.0</v>
      </c>
      <c r="H711" s="39" t="str">
        <f t="array" ref="H711">IFERROR(XLOOKUP(D711,'MASTER ITEM LIST'!A:A,'MASTER ITEM LIST'!D:D), "")</f>
        <v>LITER</v>
      </c>
      <c r="I711" s="40">
        <v>780.0</v>
      </c>
      <c r="J711" s="41">
        <f t="shared" si="2"/>
        <v>780</v>
      </c>
    </row>
    <row r="712" ht="22.5" customHeight="1">
      <c r="A712" s="29">
        <v>46197.0</v>
      </c>
      <c r="B712" s="31" t="s">
        <v>1345</v>
      </c>
      <c r="C712" s="32" t="s">
        <v>1346</v>
      </c>
      <c r="D712" s="42" t="s">
        <v>487</v>
      </c>
      <c r="E712" s="35" t="str">
        <f t="array" ref="E712">IF(D712="", "", XLOOKUP(D712, 'MASTER ITEM LIST'!A:A, 'MASTER ITEM LIST'!B:B, ""))</f>
        <v>NAX NAT-10100 NH-585 PEARL WHITE MICA 1L</v>
      </c>
      <c r="F712" s="37" t="s">
        <v>1204</v>
      </c>
      <c r="G712" s="31">
        <v>4.0</v>
      </c>
      <c r="H712" s="39" t="str">
        <f t="array" ref="H712">IFERROR(XLOOKUP(D712,'MASTER ITEM LIST'!A:A,'MASTER ITEM LIST'!D:D), "")</f>
        <v>LITER</v>
      </c>
      <c r="I712" s="40">
        <v>675.0</v>
      </c>
      <c r="J712" s="41">
        <f t="shared" si="2"/>
        <v>2700</v>
      </c>
    </row>
    <row r="713" ht="22.5" customHeight="1">
      <c r="A713" s="29">
        <v>46197.0</v>
      </c>
      <c r="B713" s="31" t="s">
        <v>1345</v>
      </c>
      <c r="C713" s="32" t="s">
        <v>1346</v>
      </c>
      <c r="D713" s="42" t="s">
        <v>127</v>
      </c>
      <c r="E713" s="35" t="str">
        <f t="array" ref="E713">IF(D713="", "", XLOOKUP(D713, 'MASTER ITEM LIST'!A:A, 'MASTER ITEM LIST'!B:B, ""))</f>
        <v>JAPAN PUTTY KNIFE #4</v>
      </c>
      <c r="F713" s="37" t="s">
        <v>1204</v>
      </c>
      <c r="G713" s="31">
        <v>18.0</v>
      </c>
      <c r="H713" s="39" t="str">
        <f t="array" ref="H713">IFERROR(XLOOKUP(D713,'MASTER ITEM LIST'!A:A,'MASTER ITEM LIST'!D:D), "")</f>
        <v>PC/S</v>
      </c>
      <c r="I713" s="40">
        <v>12.0</v>
      </c>
      <c r="J713" s="41">
        <f t="shared" si="2"/>
        <v>216</v>
      </c>
    </row>
    <row r="714" ht="22.5" customHeight="1">
      <c r="A714" s="29">
        <v>46197.0</v>
      </c>
      <c r="B714" s="31" t="s">
        <v>1345</v>
      </c>
      <c r="C714" s="32" t="s">
        <v>1346</v>
      </c>
      <c r="D714" s="42" t="s">
        <v>976</v>
      </c>
      <c r="E714" s="35" t="str">
        <f t="array" ref="E714">IF(D714="", "", XLOOKUP(D714, 'MASTER ITEM LIST'!A:A, 'MASTER ITEM LIST'!B:B, ""))</f>
        <v>HANSA YELLOW OIL TINITNG COLOR PWTCO-5033 1/4L WELCOAT PREMIUM</v>
      </c>
      <c r="F714" s="37" t="s">
        <v>1204</v>
      </c>
      <c r="G714" s="31">
        <v>1.0</v>
      </c>
      <c r="H714" s="39" t="str">
        <f t="array" ref="H714">IFERROR(XLOOKUP(D714,'MASTER ITEM LIST'!A:A,'MASTER ITEM LIST'!D:D), "")</f>
        <v>1/4L</v>
      </c>
      <c r="I714" s="40">
        <v>90.88</v>
      </c>
      <c r="J714" s="41">
        <f t="shared" si="2"/>
        <v>90.88</v>
      </c>
    </row>
    <row r="715" ht="22.5" customHeight="1">
      <c r="A715" s="29">
        <v>46197.0</v>
      </c>
      <c r="B715" s="31" t="s">
        <v>1345</v>
      </c>
      <c r="C715" s="32" t="s">
        <v>1346</v>
      </c>
      <c r="D715" s="42" t="s">
        <v>1017</v>
      </c>
      <c r="E715" s="35" t="str">
        <f t="array" ref="E715">IF(D715="", "", XLOOKUP(D715, 'MASTER ITEM LIST'!A:A, 'MASTER ITEM LIST'!B:B, ""))</f>
        <v>GLAZER AUTOMOTIVE ENAMEL BLACK 4L</v>
      </c>
      <c r="F715" s="37" t="s">
        <v>1204</v>
      </c>
      <c r="G715" s="31">
        <v>1.0</v>
      </c>
      <c r="H715" s="39" t="str">
        <f t="array" ref="H715">IFERROR(XLOOKUP(D715,'MASTER ITEM LIST'!A:A,'MASTER ITEM LIST'!D:D), "")</f>
        <v>GALON</v>
      </c>
      <c r="I715" s="40">
        <v>761.0</v>
      </c>
      <c r="J715" s="41">
        <f t="shared" si="2"/>
        <v>761</v>
      </c>
    </row>
    <row r="716" ht="22.5" customHeight="1">
      <c r="A716" s="29">
        <v>46197.0</v>
      </c>
      <c r="B716" s="31" t="s">
        <v>1345</v>
      </c>
      <c r="C716" s="32" t="s">
        <v>1346</v>
      </c>
      <c r="D716" s="42" t="s">
        <v>1085</v>
      </c>
      <c r="E716" s="35" t="str">
        <f t="array" ref="E716">IF(D716="", "", XLOOKUP(D716, 'MASTER ITEM LIST'!A:A, 'MASTER ITEM LIST'!B:B, ""))</f>
        <v>DAVIES OTC THALO BLUE 1/4L</v>
      </c>
      <c r="F716" s="37" t="s">
        <v>1204</v>
      </c>
      <c r="G716" s="31">
        <v>8.0</v>
      </c>
      <c r="H716" s="39" t="str">
        <f t="array" ref="H716">IFERROR(XLOOKUP(D716,'MASTER ITEM LIST'!A:A,'MASTER ITEM LIST'!D:D), "")</f>
        <v>1/4L</v>
      </c>
      <c r="I716" s="40">
        <v>95.0</v>
      </c>
      <c r="J716" s="41">
        <f t="shared" si="2"/>
        <v>760</v>
      </c>
    </row>
    <row r="717" ht="22.5" customHeight="1">
      <c r="A717" s="29">
        <v>46197.0</v>
      </c>
      <c r="B717" s="31" t="s">
        <v>1345</v>
      </c>
      <c r="C717" s="32" t="s">
        <v>1346</v>
      </c>
      <c r="D717" s="42" t="s">
        <v>1118</v>
      </c>
      <c r="E717" s="35" t="str">
        <f t="array" ref="E717">IF(D717="", "", XLOOKUP(D717, 'MASTER ITEM LIST'!A:A, 'MASTER ITEM LIST'!B:B, ""))</f>
        <v>BULLETIN RED TINTING COLOR PWTCO-2133 1/4L PREMIUM WELCOAT</v>
      </c>
      <c r="F717" s="37" t="s">
        <v>1204</v>
      </c>
      <c r="G717" s="31">
        <v>4.0</v>
      </c>
      <c r="H717" s="39" t="str">
        <f t="array" ref="H717">IFERROR(XLOOKUP(D717,'MASTER ITEM LIST'!A:A,'MASTER ITEM LIST'!D:D), "")</f>
        <v>1/4L</v>
      </c>
      <c r="I717" s="40">
        <v>87.45</v>
      </c>
      <c r="J717" s="41">
        <f t="shared" si="2"/>
        <v>349.8</v>
      </c>
    </row>
    <row r="718" ht="22.5" customHeight="1">
      <c r="A718" s="29">
        <v>46197.0</v>
      </c>
      <c r="B718" s="31" t="s">
        <v>1345</v>
      </c>
      <c r="C718" s="32" t="s">
        <v>1346</v>
      </c>
      <c r="D718" s="42" t="s">
        <v>100</v>
      </c>
      <c r="E718" s="35" t="str">
        <f t="array" ref="E718">IF(D718="", "", XLOOKUP(D718, 'MASTER ITEM LIST'!A:A, 'MASTER ITEM LIST'!B:B, ""))</f>
        <v>BOYSEN ACRYTEX GLOSS WHITE 4L (DOUBLE ENTRY)</v>
      </c>
      <c r="F718" s="37" t="s">
        <v>1204</v>
      </c>
      <c r="G718" s="31">
        <v>2.0</v>
      </c>
      <c r="H718" s="39" t="str">
        <f t="array" ref="H718">IFERROR(XLOOKUP(D718,'MASTER ITEM LIST'!A:A,'MASTER ITEM LIST'!D:D), "")</f>
        <v>GALON</v>
      </c>
      <c r="I718" s="40">
        <v>1080.0</v>
      </c>
      <c r="J718" s="41">
        <f t="shared" si="2"/>
        <v>2160</v>
      </c>
    </row>
    <row r="719" ht="22.5" customHeight="1">
      <c r="A719" s="29">
        <v>46197.0</v>
      </c>
      <c r="B719" s="31" t="s">
        <v>1345</v>
      </c>
      <c r="C719" s="32" t="s">
        <v>1346</v>
      </c>
      <c r="D719" s="42" t="s">
        <v>104</v>
      </c>
      <c r="E719" s="35" t="str">
        <f t="array" ref="E719">IF(D719="", "", XLOOKUP(D719, 'MASTER ITEM LIST'!A:A, 'MASTER ITEM LIST'!B:B, ""))</f>
        <v>BOYSEN ACRYTEX GLOSS WHITE 4L</v>
      </c>
      <c r="F719" s="37" t="s">
        <v>1204</v>
      </c>
      <c r="G719" s="31">
        <v>4.0</v>
      </c>
      <c r="H719" s="39" t="str">
        <f t="array" ref="H719">IFERROR(XLOOKUP(D719,'MASTER ITEM LIST'!A:A,'MASTER ITEM LIST'!D:D), "")</f>
        <v>GALON</v>
      </c>
      <c r="I719" s="40">
        <v>1096.0</v>
      </c>
      <c r="J719" s="41">
        <f t="shared" si="2"/>
        <v>4384</v>
      </c>
    </row>
    <row r="720" ht="22.5" customHeight="1">
      <c r="A720" s="29">
        <v>46197.0</v>
      </c>
      <c r="B720" s="31" t="s">
        <v>1345</v>
      </c>
      <c r="C720" s="32" t="s">
        <v>1346</v>
      </c>
      <c r="D720" s="42" t="s">
        <v>40</v>
      </c>
      <c r="E720" s="35" t="str">
        <f t="array" ref="E720">IF(D720="", "", XLOOKUP(D720, 'MASTER ITEM LIST'!A:A, 'MASTER ITEM LIST'!B:B, ""))</f>
        <v>2B PAINT BRUSH #2</v>
      </c>
      <c r="F720" s="37" t="s">
        <v>1204</v>
      </c>
      <c r="G720" s="31">
        <v>5.0</v>
      </c>
      <c r="H720" s="39" t="str">
        <f t="array" ref="H720">IFERROR(XLOOKUP(D720,'MASTER ITEM LIST'!A:A,'MASTER ITEM LIST'!D:D), "")</f>
        <v>PC/S</v>
      </c>
      <c r="I720" s="40">
        <v>31.0</v>
      </c>
      <c r="J720" s="41">
        <f t="shared" si="2"/>
        <v>155</v>
      </c>
    </row>
    <row r="721" ht="22.5" customHeight="1">
      <c r="A721" s="29">
        <v>46197.0</v>
      </c>
      <c r="B721" s="31" t="s">
        <v>1345</v>
      </c>
      <c r="C721" s="32" t="s">
        <v>1346</v>
      </c>
      <c r="D721" s="42" t="s">
        <v>67</v>
      </c>
      <c r="E721" s="35" t="str">
        <f t="array" ref="E721">IF(D721="", "", XLOOKUP(D721, 'MASTER ITEM LIST'!A:A, 'MASTER ITEM LIST'!B:B, ""))</f>
        <v>POLYGLOSS ANTI-CORROSSION</v>
      </c>
      <c r="F721" s="37" t="s">
        <v>1347</v>
      </c>
      <c r="G721" s="31">
        <v>6.5</v>
      </c>
      <c r="H721" s="39" t="str">
        <f t="array" ref="H721">IFERROR(XLOOKUP(D721,'MASTER ITEM LIST'!A:A,'MASTER ITEM LIST'!D:D), "")</f>
        <v>LITER</v>
      </c>
      <c r="I721" s="40">
        <v>440.0</v>
      </c>
      <c r="J721" s="41">
        <f t="shared" si="2"/>
        <v>2860</v>
      </c>
    </row>
    <row r="722" ht="22.5" customHeight="1">
      <c r="A722" s="29">
        <v>46197.0</v>
      </c>
      <c r="B722" s="31" t="s">
        <v>1345</v>
      </c>
      <c r="C722" s="32" t="s">
        <v>1346</v>
      </c>
      <c r="D722" s="42" t="s">
        <v>21</v>
      </c>
      <c r="E722" s="35" t="str">
        <f t="array" ref="E722">IF(D722="", "", XLOOKUP(D722, 'MASTER ITEM LIST'!A:A, 'MASTER ITEM LIST'!B:B, ""))</f>
        <v>RAIN OR SHINE CHOCOLATE BROWN 4L</v>
      </c>
      <c r="F722" s="37" t="s">
        <v>1347</v>
      </c>
      <c r="G722" s="31">
        <v>0.25</v>
      </c>
      <c r="H722" s="39" t="str">
        <f t="array" ref="H722">IFERROR(XLOOKUP(D722,'MASTER ITEM LIST'!A:A,'MASTER ITEM LIST'!D:D), "")</f>
        <v>GALON</v>
      </c>
      <c r="I722" s="40">
        <v>665.0</v>
      </c>
      <c r="J722" s="41">
        <f t="shared" si="2"/>
        <v>166.25</v>
      </c>
    </row>
    <row r="723" ht="22.5" customHeight="1">
      <c r="A723" s="29">
        <v>46197.0</v>
      </c>
      <c r="B723" s="31" t="s">
        <v>1345</v>
      </c>
      <c r="C723" s="32" t="s">
        <v>1346</v>
      </c>
      <c r="D723" s="42" t="s">
        <v>35</v>
      </c>
      <c r="E723" s="35" t="str">
        <f t="array" ref="E723">IF(D723="", "", XLOOKUP(D723, 'MASTER ITEM LIST'!A:A, 'MASTER ITEM LIST'!B:B, ""))</f>
        <v>RAIN OR SHINE CHOCOLATE BROWN 1L</v>
      </c>
      <c r="F723" s="37" t="s">
        <v>1347</v>
      </c>
      <c r="G723" s="31">
        <v>1.0</v>
      </c>
      <c r="H723" s="39" t="str">
        <f t="array" ref="H723">IFERROR(XLOOKUP(D723,'MASTER ITEM LIST'!A:A,'MASTER ITEM LIST'!D:D), "")</f>
        <v>LITER</v>
      </c>
      <c r="I723" s="40">
        <v>0.0</v>
      </c>
      <c r="J723" s="41">
        <f t="shared" si="2"/>
        <v>0</v>
      </c>
    </row>
    <row r="724" ht="22.5" customHeight="1">
      <c r="A724" s="29">
        <v>46197.0</v>
      </c>
      <c r="B724" s="31" t="s">
        <v>1345</v>
      </c>
      <c r="C724" s="32" t="s">
        <v>1346</v>
      </c>
      <c r="D724" s="42" t="s">
        <v>43</v>
      </c>
      <c r="E724" s="35" t="str">
        <f t="array" ref="E724">IF(D724="", "", XLOOKUP(D724, 'MASTER ITEM LIST'!A:A, 'MASTER ITEM LIST'!B:B, ""))</f>
        <v>RAIN OR SHINE BAGUIO GREEN 4L</v>
      </c>
      <c r="F724" s="37" t="s">
        <v>1347</v>
      </c>
      <c r="G724" s="31">
        <v>2.0</v>
      </c>
      <c r="H724" s="39" t="str">
        <f t="array" ref="H724">IFERROR(XLOOKUP(D724,'MASTER ITEM LIST'!A:A,'MASTER ITEM LIST'!D:D), "")</f>
        <v>GALON</v>
      </c>
      <c r="I724" s="40">
        <v>665.0</v>
      </c>
      <c r="J724" s="41">
        <f t="shared" si="2"/>
        <v>1330</v>
      </c>
    </row>
    <row r="725" ht="22.5" customHeight="1">
      <c r="A725" s="29">
        <v>46197.0</v>
      </c>
      <c r="B725" s="31" t="s">
        <v>1345</v>
      </c>
      <c r="C725" s="32" t="s">
        <v>1346</v>
      </c>
      <c r="D725" s="42" t="s">
        <v>46</v>
      </c>
      <c r="E725" s="35" t="str">
        <f t="array" ref="E725">IF(D725="", "", XLOOKUP(D725, 'MASTER ITEM LIST'!A:A, 'MASTER ITEM LIST'!B:B, ""))</f>
        <v>POLYGLOSS URETHANE THINNER 4L</v>
      </c>
      <c r="F725" s="37" t="s">
        <v>1347</v>
      </c>
      <c r="G725" s="31">
        <v>1.75</v>
      </c>
      <c r="H725" s="39" t="str">
        <f t="array" ref="H725">IFERROR(XLOOKUP(D725,'MASTER ITEM LIST'!A:A,'MASTER ITEM LIST'!D:D), "")</f>
        <v>GALON</v>
      </c>
      <c r="I725" s="40">
        <v>675.0</v>
      </c>
      <c r="J725" s="41">
        <f t="shared" si="2"/>
        <v>1181.25</v>
      </c>
    </row>
    <row r="726" ht="22.5" customHeight="1">
      <c r="A726" s="29">
        <v>46197.0</v>
      </c>
      <c r="B726" s="31" t="s">
        <v>1345</v>
      </c>
      <c r="C726" s="32" t="s">
        <v>1346</v>
      </c>
      <c r="D726" s="42" t="s">
        <v>51</v>
      </c>
      <c r="E726" s="35" t="str">
        <f t="array" ref="E726">IF(D726="", "", XLOOKUP(D726, 'MASTER ITEM LIST'!A:A, 'MASTER ITEM LIST'!B:B, ""))</f>
        <v>POLYGLOSS PU PHTHALO BLUE 4L</v>
      </c>
      <c r="F726" s="37" t="s">
        <v>1347</v>
      </c>
      <c r="G726" s="31">
        <v>0.25</v>
      </c>
      <c r="H726" s="39" t="str">
        <f t="array" ref="H726">IFERROR(XLOOKUP(D726,'MASTER ITEM LIST'!A:A,'MASTER ITEM LIST'!D:D), "")</f>
        <v>GALON</v>
      </c>
      <c r="I726" s="40">
        <v>1883.0</v>
      </c>
      <c r="J726" s="41">
        <f t="shared" si="2"/>
        <v>470.75</v>
      </c>
    </row>
    <row r="727" ht="22.5" customHeight="1">
      <c r="A727" s="29">
        <v>46197.0</v>
      </c>
      <c r="B727" s="31" t="s">
        <v>1345</v>
      </c>
      <c r="C727" s="32" t="s">
        <v>1346</v>
      </c>
      <c r="D727" s="42" t="s">
        <v>54</v>
      </c>
      <c r="E727" s="35" t="str">
        <f t="array" ref="E727">IF(D727="", "", XLOOKUP(D727, 'MASTER ITEM LIST'!A:A, 'MASTER ITEM LIST'!B:B, ""))</f>
        <v>POLYGLOSS PU MICA RED FINE 4L</v>
      </c>
      <c r="F727" s="37" t="s">
        <v>1347</v>
      </c>
      <c r="G727" s="31">
        <v>0.5</v>
      </c>
      <c r="H727" s="39" t="str">
        <f t="array" ref="H727">IFERROR(XLOOKUP(D727,'MASTER ITEM LIST'!A:A,'MASTER ITEM LIST'!D:D), "")</f>
        <v>GALON</v>
      </c>
      <c r="I727" s="40">
        <v>2822.0</v>
      </c>
      <c r="J727" s="41">
        <f t="shared" si="2"/>
        <v>1411</v>
      </c>
    </row>
    <row r="728" ht="22.5" customHeight="1">
      <c r="A728" s="29">
        <v>46197.0</v>
      </c>
      <c r="B728" s="31" t="s">
        <v>1345</v>
      </c>
      <c r="C728" s="32" t="s">
        <v>1346</v>
      </c>
      <c r="D728" s="42" t="s">
        <v>58</v>
      </c>
      <c r="E728" s="35" t="str">
        <f t="array" ref="E728">IF(D728="", "", XLOOKUP(D728, 'MASTER ITEM LIST'!A:A, 'MASTER ITEM LIST'!B:B, ""))</f>
        <v>POLYGLOSS PU METALLIC COARSE 4L</v>
      </c>
      <c r="F728" s="37" t="s">
        <v>1347</v>
      </c>
      <c r="G728" s="31">
        <v>0.0625</v>
      </c>
      <c r="H728" s="39" t="str">
        <f t="array" ref="H728">IFERROR(XLOOKUP(D728,'MASTER ITEM LIST'!A:A,'MASTER ITEM LIST'!D:D), "")</f>
        <v>GALON</v>
      </c>
      <c r="I728" s="40">
        <v>1743.0</v>
      </c>
      <c r="J728" s="41">
        <f t="shared" si="2"/>
        <v>108.9375</v>
      </c>
    </row>
    <row r="729" ht="22.5" customHeight="1">
      <c r="A729" s="29">
        <v>46197.0</v>
      </c>
      <c r="B729" s="31" t="s">
        <v>1345</v>
      </c>
      <c r="C729" s="32" t="s">
        <v>1346</v>
      </c>
      <c r="D729" s="42" t="s">
        <v>45</v>
      </c>
      <c r="E729" s="35" t="str">
        <f t="array" ref="E729">IF(D729="", "", XLOOKUP(D729, 'MASTER ITEM LIST'!A:A, 'MASTER ITEM LIST'!B:B, ""))</f>
        <v>POLYGLOSS PU JET BLACK 4L</v>
      </c>
      <c r="F729" s="37" t="s">
        <v>1347</v>
      </c>
      <c r="G729" s="31">
        <v>1.625</v>
      </c>
      <c r="H729" s="39" t="str">
        <f t="array" ref="H729">IFERROR(XLOOKUP(D729,'MASTER ITEM LIST'!A:A,'MASTER ITEM LIST'!D:D), "")</f>
        <v>GALON</v>
      </c>
      <c r="I729" s="40">
        <v>1828.0</v>
      </c>
      <c r="J729" s="41">
        <f t="shared" si="2"/>
        <v>2970.5</v>
      </c>
    </row>
    <row r="730" ht="22.5" customHeight="1">
      <c r="A730" s="29">
        <v>46197.0</v>
      </c>
      <c r="B730" s="31" t="s">
        <v>1345</v>
      </c>
      <c r="C730" s="32" t="s">
        <v>1346</v>
      </c>
      <c r="D730" s="42" t="s">
        <v>64</v>
      </c>
      <c r="E730" s="35" t="str">
        <f t="array" ref="E730">IF(D730="", "", XLOOKUP(D730, 'MASTER ITEM LIST'!A:A, 'MASTER ITEM LIST'!B:B, ""))</f>
        <v>POLYGLOSS PU FLAT BLACK 4L</v>
      </c>
      <c r="F730" s="37" t="s">
        <v>1347</v>
      </c>
      <c r="G730" s="31">
        <v>0.71875</v>
      </c>
      <c r="H730" s="39" t="str">
        <f t="array" ref="H730">IFERROR(XLOOKUP(D730,'MASTER ITEM LIST'!A:A,'MASTER ITEM LIST'!D:D), "")</f>
        <v>GALON</v>
      </c>
      <c r="I730" s="40">
        <v>1930.0</v>
      </c>
      <c r="J730" s="41">
        <f t="shared" si="2"/>
        <v>1387.1875</v>
      </c>
    </row>
    <row r="731" ht="22.5" customHeight="1">
      <c r="A731" s="29">
        <v>46197.0</v>
      </c>
      <c r="B731" s="31" t="s">
        <v>1345</v>
      </c>
      <c r="C731" s="32" t="s">
        <v>1346</v>
      </c>
      <c r="D731" s="42" t="s">
        <v>73</v>
      </c>
      <c r="E731" s="35" t="str">
        <f t="array" ref="E731">IF(D731="", "", XLOOKUP(D731, 'MASTER ITEM LIST'!A:A, 'MASTER ITEM LIST'!B:B, ""))</f>
        <v>PLATONE QDE WHITE 4L</v>
      </c>
      <c r="F731" s="37" t="s">
        <v>1347</v>
      </c>
      <c r="G731" s="31">
        <v>1.0</v>
      </c>
      <c r="H731" s="39" t="str">
        <f t="array" ref="H731">IFERROR(XLOOKUP(D731,'MASTER ITEM LIST'!A:A,'MASTER ITEM LIST'!D:D), "")</f>
        <v>GAL</v>
      </c>
      <c r="I731" s="40">
        <v>650.0</v>
      </c>
      <c r="J731" s="41">
        <f t="shared" si="2"/>
        <v>650</v>
      </c>
    </row>
    <row r="732" ht="22.5" customHeight="1">
      <c r="A732" s="29">
        <v>46197.0</v>
      </c>
      <c r="B732" s="31" t="s">
        <v>1345</v>
      </c>
      <c r="C732" s="32" t="s">
        <v>1346</v>
      </c>
      <c r="D732" s="42" t="s">
        <v>77</v>
      </c>
      <c r="E732" s="35" t="str">
        <f t="array" ref="E732">IF(D732="", "", XLOOKUP(D732, 'MASTER ITEM LIST'!A:A, 'MASTER ITEM LIST'!B:B, ""))</f>
        <v>PLATONE QDE BLACK 1L</v>
      </c>
      <c r="F732" s="37" t="s">
        <v>1347</v>
      </c>
      <c r="G732" s="31">
        <v>0.1875</v>
      </c>
      <c r="H732" s="39" t="str">
        <f t="array" ref="H732">IFERROR(XLOOKUP(D732,'MASTER ITEM LIST'!A:A,'MASTER ITEM LIST'!D:D), "")</f>
        <v>LITER</v>
      </c>
      <c r="I732" s="40">
        <v>0.0</v>
      </c>
      <c r="J732" s="41">
        <f t="shared" si="2"/>
        <v>0</v>
      </c>
    </row>
    <row r="733" ht="22.5" customHeight="1">
      <c r="A733" s="29">
        <v>46197.0</v>
      </c>
      <c r="B733" s="31" t="s">
        <v>1345</v>
      </c>
      <c r="C733" s="32" t="s">
        <v>1346</v>
      </c>
      <c r="D733" s="42" t="s">
        <v>81</v>
      </c>
      <c r="E733" s="35" t="str">
        <f t="array" ref="E733">IF(D733="", "", XLOOKUP(D733, 'MASTER ITEM LIST'!A:A, 'MASTER ITEM LIST'!B:B, ""))</f>
        <v>NIPPON SEALERMAX 5170 4L</v>
      </c>
      <c r="F733" s="37" t="s">
        <v>1347</v>
      </c>
      <c r="G733" s="31">
        <v>0.5</v>
      </c>
      <c r="H733" s="39" t="str">
        <f t="array" ref="H733">IFERROR(XLOOKUP(D733,'MASTER ITEM LIST'!A:A,'MASTER ITEM LIST'!D:D), "")</f>
        <v>GAL/S</v>
      </c>
      <c r="I733" s="40">
        <v>960.0</v>
      </c>
      <c r="J733" s="41">
        <f t="shared" si="2"/>
        <v>480</v>
      </c>
    </row>
    <row r="734" ht="22.5" customHeight="1">
      <c r="A734" s="29">
        <v>46197.0</v>
      </c>
      <c r="B734" s="31" t="s">
        <v>1345</v>
      </c>
      <c r="C734" s="32" t="s">
        <v>1346</v>
      </c>
      <c r="D734" s="42" t="s">
        <v>86</v>
      </c>
      <c r="E734" s="35" t="str">
        <f t="array" ref="E734">IF(D734="", "", XLOOKUP(D734, 'MASTER ITEM LIST'!A:A, 'MASTER ITEM LIST'!B:B, ""))</f>
        <v>NIPPON ROLLER PAINT #7</v>
      </c>
      <c r="F734" s="37" t="s">
        <v>1347</v>
      </c>
      <c r="G734" s="31">
        <v>2.0</v>
      </c>
      <c r="H734" s="39" t="str">
        <f t="array" ref="H734">IFERROR(XLOOKUP(D734,'MASTER ITEM LIST'!A:A,'MASTER ITEM LIST'!D:D), "")</f>
        <v>PC/S</v>
      </c>
      <c r="I734" s="40">
        <v>0.0</v>
      </c>
      <c r="J734" s="41">
        <f t="shared" si="2"/>
        <v>0</v>
      </c>
    </row>
    <row r="735" ht="22.5" customHeight="1">
      <c r="A735" s="29">
        <v>46197.0</v>
      </c>
      <c r="B735" s="31" t="s">
        <v>1345</v>
      </c>
      <c r="C735" s="32" t="s">
        <v>1346</v>
      </c>
      <c r="D735" s="42" t="s">
        <v>90</v>
      </c>
      <c r="E735" s="35" t="str">
        <f t="array" ref="E735">IF(D735="", "", XLOOKUP(D735, 'MASTER ITEM LIST'!A:A, 'MASTER ITEM LIST'!B:B, ""))</f>
        <v>NAX SOB757 HIGH GRADE URETHANE THINNER 4L</v>
      </c>
      <c r="F735" s="37" t="s">
        <v>1347</v>
      </c>
      <c r="G735" s="31">
        <v>11.0625</v>
      </c>
      <c r="H735" s="39" t="str">
        <f t="array" ref="H735">IFERROR(XLOOKUP(D735,'MASTER ITEM LIST'!A:A,'MASTER ITEM LIST'!D:D), "")</f>
        <v>GAL</v>
      </c>
      <c r="I735" s="40">
        <v>570.0</v>
      </c>
      <c r="J735" s="41">
        <f t="shared" si="2"/>
        <v>6305.625</v>
      </c>
    </row>
    <row r="736" ht="22.5" customHeight="1">
      <c r="A736" s="29">
        <v>46197.0</v>
      </c>
      <c r="B736" s="31" t="s">
        <v>1345</v>
      </c>
      <c r="C736" s="32" t="s">
        <v>1346</v>
      </c>
      <c r="D736" s="42" t="s">
        <v>100</v>
      </c>
      <c r="E736" s="35" t="str">
        <f t="array" ref="E736">IF(D736="", "", XLOOKUP(D736, 'MASTER ITEM LIST'!A:A, 'MASTER ITEM LIST'!B:B, ""))</f>
        <v>BOYSEN ACRYTEX GLOSS WHITE 4L (DOUBLE ENTRY)</v>
      </c>
      <c r="F736" s="37" t="s">
        <v>1347</v>
      </c>
      <c r="G736" s="31">
        <v>2.0</v>
      </c>
      <c r="H736" s="39" t="str">
        <f t="array" ref="H736">IFERROR(XLOOKUP(D736,'MASTER ITEM LIST'!A:A,'MASTER ITEM LIST'!D:D), "")</f>
        <v>GALON</v>
      </c>
      <c r="I736" s="40">
        <v>1080.0</v>
      </c>
      <c r="J736" s="41">
        <f t="shared" si="2"/>
        <v>2160</v>
      </c>
    </row>
    <row r="737" ht="22.5" customHeight="1">
      <c r="A737" s="29">
        <v>46197.0</v>
      </c>
      <c r="B737" s="31" t="s">
        <v>1345</v>
      </c>
      <c r="C737" s="32" t="s">
        <v>1346</v>
      </c>
      <c r="D737" s="42" t="s">
        <v>104</v>
      </c>
      <c r="E737" s="35" t="str">
        <f t="array" ref="E737">IF(D737="", "", XLOOKUP(D737, 'MASTER ITEM LIST'!A:A, 'MASTER ITEM LIST'!B:B, ""))</f>
        <v>BOYSEN ACRYTEX GLOSS WHITE 4L</v>
      </c>
      <c r="F737" s="37" t="s">
        <v>1347</v>
      </c>
      <c r="G737" s="31">
        <v>2.0</v>
      </c>
      <c r="H737" s="39" t="str">
        <f t="array" ref="H737">IFERROR(XLOOKUP(D737,'MASTER ITEM LIST'!A:A,'MASTER ITEM LIST'!D:D), "")</f>
        <v>GALON</v>
      </c>
      <c r="I737" s="40">
        <v>1096.0</v>
      </c>
      <c r="J737" s="41">
        <f t="shared" si="2"/>
        <v>2192</v>
      </c>
    </row>
    <row r="738" ht="22.5" customHeight="1">
      <c r="A738" s="29">
        <v>46197.0</v>
      </c>
      <c r="B738" s="31" t="s">
        <v>1345</v>
      </c>
      <c r="C738" s="32" t="s">
        <v>1346</v>
      </c>
      <c r="D738" s="42" t="s">
        <v>108</v>
      </c>
      <c r="E738" s="35" t="str">
        <f t="array" ref="E738">IF(D738="", "", XLOOKUP(D738, 'MASTER ITEM LIST'!A:A, 'MASTER ITEM LIST'!B:B, ""))</f>
        <v>URETHANE MIXING POLYGLOSS, DO IT 1L</v>
      </c>
      <c r="F738" s="37" t="s">
        <v>1347</v>
      </c>
      <c r="G738" s="31">
        <v>0.5</v>
      </c>
      <c r="H738" s="39" t="str">
        <f t="array" ref="H738">IFERROR(XLOOKUP(D738,'MASTER ITEM LIST'!A:A,'MASTER ITEM LIST'!D:D), "")</f>
        <v>LITER</v>
      </c>
      <c r="I738" s="40">
        <v>850.0</v>
      </c>
      <c r="J738" s="41">
        <f t="shared" si="2"/>
        <v>425</v>
      </c>
    </row>
    <row r="739" ht="22.5" customHeight="1">
      <c r="A739" s="29">
        <v>46197.0</v>
      </c>
      <c r="B739" s="31" t="s">
        <v>1345</v>
      </c>
      <c r="C739" s="32" t="s">
        <v>1346</v>
      </c>
      <c r="D739" s="42" t="s">
        <v>111</v>
      </c>
      <c r="E739" s="35" t="str">
        <f t="array" ref="E739">IF(D739="", "", XLOOKUP(D739, 'MASTER ITEM LIST'!A:A, 'MASTER ITEM LIST'!B:B, ""))</f>
        <v>RAIN OR SHINE- HAPPY DAYS 4L</v>
      </c>
      <c r="F739" s="37" t="s">
        <v>1347</v>
      </c>
      <c r="G739" s="31">
        <v>2.0</v>
      </c>
      <c r="H739" s="39" t="str">
        <f t="array" ref="H739">IFERROR(XLOOKUP(D739,'MASTER ITEM LIST'!A:A,'MASTER ITEM LIST'!D:D), "")</f>
        <v>GALON</v>
      </c>
      <c r="I739" s="40">
        <v>650.0</v>
      </c>
      <c r="J739" s="41">
        <f t="shared" si="2"/>
        <v>1300</v>
      </c>
    </row>
    <row r="740" ht="22.5" customHeight="1">
      <c r="A740" s="29">
        <v>46197.0</v>
      </c>
      <c r="B740" s="31" t="s">
        <v>1345</v>
      </c>
      <c r="C740" s="32" t="s">
        <v>1346</v>
      </c>
      <c r="D740" s="42" t="s">
        <v>114</v>
      </c>
      <c r="E740" s="35" t="str">
        <f t="array" ref="E740">IF(D740="", "", XLOOKUP(D740, 'MASTER ITEM LIST'!A:A, 'MASTER ITEM LIST'!B:B, ""))</f>
        <v>POLYGLOSS-BRIGHT ALUMINUM 4L</v>
      </c>
      <c r="F740" s="37" t="s">
        <v>1347</v>
      </c>
      <c r="G740" s="31">
        <v>0.125</v>
      </c>
      <c r="H740" s="39" t="str">
        <f t="array" ref="H740">IFERROR(XLOOKUP(D740,'MASTER ITEM LIST'!A:A,'MASTER ITEM LIST'!D:D), "")</f>
        <v>GALON</v>
      </c>
      <c r="I740" s="40">
        <v>1950.0</v>
      </c>
      <c r="J740" s="41">
        <f t="shared" si="2"/>
        <v>243.75</v>
      </c>
    </row>
    <row r="741" ht="22.5" customHeight="1">
      <c r="A741" s="29">
        <v>46197.0</v>
      </c>
      <c r="B741" s="31" t="s">
        <v>1345</v>
      </c>
      <c r="C741" s="32" t="s">
        <v>1346</v>
      </c>
      <c r="D741" s="42" t="s">
        <v>118</v>
      </c>
      <c r="E741" s="35" t="str">
        <f t="array" ref="E741">IF(D741="", "", XLOOKUP(D741, 'MASTER ITEM LIST'!A:A, 'MASTER ITEM LIST'!B:B, ""))</f>
        <v>ALPHA CHROMA ACRYTILE REDUCER</v>
      </c>
      <c r="F741" s="37" t="s">
        <v>1347</v>
      </c>
      <c r="G741" s="31">
        <v>1.0</v>
      </c>
      <c r="H741" s="39" t="str">
        <f t="array" ref="H741">IFERROR(XLOOKUP(D741,'MASTER ITEM LIST'!A:A,'MASTER ITEM LIST'!D:D), "")</f>
        <v>GALON</v>
      </c>
      <c r="I741" s="40">
        <v>550.0</v>
      </c>
      <c r="J741" s="41">
        <f t="shared" si="2"/>
        <v>550</v>
      </c>
    </row>
    <row r="742" ht="22.5" customHeight="1">
      <c r="A742" s="29">
        <v>46196.0</v>
      </c>
      <c r="B742" s="31"/>
      <c r="C742" s="32" t="s">
        <v>1203</v>
      </c>
      <c r="D742" s="42" t="s">
        <v>207</v>
      </c>
      <c r="E742" s="35" t="str">
        <f t="array" ref="E742">IF(D742="", "", XLOOKUP(D742, 'MASTER ITEM LIST'!A:A, 'MASTER ITEM LIST'!B:B, ""))</f>
        <v>NAX PREMILA MT202 TINTING BLACK NP 1L</v>
      </c>
      <c r="F742" s="37" t="s">
        <v>1204</v>
      </c>
      <c r="G742" s="31">
        <v>1.0</v>
      </c>
      <c r="H742" s="39" t="str">
        <f t="array" ref="H742">IFERROR(XLOOKUP(D742,'MASTER ITEM LIST'!A:A,'MASTER ITEM LIST'!D:D), "")</f>
        <v>LTR/S</v>
      </c>
      <c r="I742" s="40">
        <v>1090.0</v>
      </c>
      <c r="J742" s="41">
        <f t="shared" si="2"/>
        <v>1090</v>
      </c>
    </row>
    <row r="743" ht="22.5" customHeight="1">
      <c r="A743" s="29">
        <v>46196.0</v>
      </c>
      <c r="B743" s="31"/>
      <c r="C743" s="32" t="s">
        <v>1203</v>
      </c>
      <c r="D743" s="33" t="s">
        <v>571</v>
      </c>
      <c r="E743" s="35" t="str">
        <f t="array" ref="E743">IF(D743="", "", XLOOKUP(D743, 'MASTER ITEM LIST'!A:A, 'MASTER ITEM LIST'!B:B, ""))</f>
        <v>NIPPON EXTREME QDU RED 4L</v>
      </c>
      <c r="F743" s="37" t="s">
        <v>1204</v>
      </c>
      <c r="G743" s="31">
        <v>1.0</v>
      </c>
      <c r="H743" s="39" t="str">
        <f t="array" ref="H743">IFERROR(XLOOKUP(D743,'MASTER ITEM LIST'!A:A,'MASTER ITEM LIST'!D:D), "")</f>
        <v>GAL</v>
      </c>
      <c r="I743" s="40">
        <v>1630.0</v>
      </c>
      <c r="J743" s="41">
        <f t="shared" si="2"/>
        <v>1630</v>
      </c>
    </row>
    <row r="744" ht="22.5" customHeight="1">
      <c r="A744" s="29">
        <v>46196.0</v>
      </c>
      <c r="B744" s="31"/>
      <c r="C744" s="32" t="s">
        <v>1203</v>
      </c>
      <c r="D744" s="33" t="s">
        <v>563</v>
      </c>
      <c r="E744" s="35" t="str">
        <f t="array" ref="E744">IF(D744="", "", XLOOKUP(D744, 'MASTER ITEM LIST'!A:A, 'MASTER ITEM LIST'!B:B, ""))</f>
        <v>NIPPON EXTREME QDU WHITE 4L</v>
      </c>
      <c r="F744" s="37" t="s">
        <v>1204</v>
      </c>
      <c r="G744" s="31">
        <v>1.0</v>
      </c>
      <c r="H744" s="39" t="str">
        <f t="array" ref="H744">IFERROR(XLOOKUP(D744,'MASTER ITEM LIST'!A:A,'MASTER ITEM LIST'!D:D), "")</f>
        <v>GAL</v>
      </c>
      <c r="I744" s="40">
        <v>1550.0</v>
      </c>
      <c r="J744" s="41">
        <f t="shared" si="2"/>
        <v>1550</v>
      </c>
    </row>
    <row r="745" ht="22.5" customHeight="1">
      <c r="A745" s="29">
        <v>46197.0</v>
      </c>
      <c r="B745" s="31"/>
      <c r="C745" s="32" t="s">
        <v>1203</v>
      </c>
      <c r="D745" s="42" t="s">
        <v>718</v>
      </c>
      <c r="E745" s="35" t="str">
        <f t="array" ref="E745">IF(D745="", "", XLOOKUP(D745, 'MASTER ITEM LIST'!A:A, 'MASTER ITEM LIST'!B:B, ""))</f>
        <v>NAX PREMILA NB100 B/C BINDER 4L</v>
      </c>
      <c r="F745" s="37" t="s">
        <v>1204</v>
      </c>
      <c r="G745" s="31">
        <v>1.0</v>
      </c>
      <c r="H745" s="39" t="str">
        <f t="array" ref="H745">IFERROR(XLOOKUP(D745,'MASTER ITEM LIST'!A:A,'MASTER ITEM LIST'!D:D), "")</f>
        <v>GAL</v>
      </c>
      <c r="I745" s="40"/>
      <c r="J745" s="41">
        <f t="shared" si="2"/>
        <v>0</v>
      </c>
    </row>
    <row r="746" ht="22.5" customHeight="1">
      <c r="A746" s="29">
        <v>46197.0</v>
      </c>
      <c r="B746" s="31"/>
      <c r="C746" s="32" t="s">
        <v>1203</v>
      </c>
      <c r="D746" s="42" t="s">
        <v>563</v>
      </c>
      <c r="E746" s="35" t="str">
        <f t="array" ref="E746">IF(D746="", "", XLOOKUP(D746, 'MASTER ITEM LIST'!A:A, 'MASTER ITEM LIST'!B:B, ""))</f>
        <v>NIPPON EXTREME QDU WHITE 4L</v>
      </c>
      <c r="F746" s="37" t="s">
        <v>1204</v>
      </c>
      <c r="G746" s="31">
        <v>1.0</v>
      </c>
      <c r="H746" s="39" t="str">
        <f t="array" ref="H746">IFERROR(XLOOKUP(D746,'MASTER ITEM LIST'!A:A,'MASTER ITEM LIST'!D:D), "")</f>
        <v>GAL</v>
      </c>
      <c r="I746" s="40"/>
      <c r="J746" s="41">
        <f t="shared" si="2"/>
        <v>0</v>
      </c>
    </row>
    <row r="747" ht="22.5" customHeight="1">
      <c r="A747" s="29">
        <v>46200.0</v>
      </c>
      <c r="B747" s="31"/>
      <c r="C747" s="32" t="s">
        <v>1203</v>
      </c>
      <c r="D747" s="33" t="s">
        <v>676</v>
      </c>
      <c r="E747" s="35" t="str">
        <f t="array" ref="E747">IF(D747="", "", XLOOKUP(D747, 'MASTER ITEM LIST'!A:A, 'MASTER ITEM LIST'!B:B, ""))</f>
        <v>NIPPON ACRYLIC GLOSS THINNER 4L</v>
      </c>
      <c r="F747" s="37" t="s">
        <v>1204</v>
      </c>
      <c r="G747" s="31">
        <v>1.0</v>
      </c>
      <c r="H747" s="39" t="str">
        <f t="array" ref="H747">IFERROR(XLOOKUP(D747,'MASTER ITEM LIST'!A:A,'MASTER ITEM LIST'!D:D), "")</f>
        <v>GAL/S</v>
      </c>
      <c r="I747" s="40"/>
      <c r="J747" s="41">
        <f t="shared" si="2"/>
        <v>0</v>
      </c>
    </row>
    <row r="748" ht="22.5" customHeight="1">
      <c r="A748" s="29">
        <v>46200.0</v>
      </c>
      <c r="B748" s="31"/>
      <c r="C748" s="32" t="s">
        <v>1205</v>
      </c>
      <c r="D748" s="42" t="s">
        <v>156</v>
      </c>
      <c r="E748" s="35" t="str">
        <f t="array" ref="E748">IF(D748="", "", XLOOKUP(D748, 'MASTER ITEM LIST'!A:A, 'MASTER ITEM LIST'!B:B, ""))</f>
        <v>WASTE COTTON POD</v>
      </c>
      <c r="F748" s="37" t="s">
        <v>1204</v>
      </c>
      <c r="G748" s="31">
        <v>1.0</v>
      </c>
      <c r="H748" s="39" t="str">
        <f t="array" ref="H748">IFERROR(XLOOKUP(D748,'MASTER ITEM LIST'!A:A,'MASTER ITEM LIST'!D:D), "")</f>
        <v>KL</v>
      </c>
      <c r="I748" s="40"/>
      <c r="J748" s="41">
        <f t="shared" si="2"/>
        <v>0</v>
      </c>
    </row>
    <row r="749" ht="22.5" customHeight="1">
      <c r="A749" s="29">
        <v>46200.0</v>
      </c>
      <c r="B749" s="31"/>
      <c r="C749" s="32" t="s">
        <v>1205</v>
      </c>
      <c r="D749" s="42" t="s">
        <v>717</v>
      </c>
      <c r="E749" s="35" t="str">
        <f t="array" ref="E749">IF(D749="", "", XLOOKUP(D749, 'MASTER ITEM LIST'!A:A, 'MASTER ITEM LIST'!B:B, ""))</f>
        <v>CROCO MASKING TAPE #1</v>
      </c>
      <c r="F749" s="37" t="s">
        <v>1204</v>
      </c>
      <c r="G749" s="31">
        <v>1.0</v>
      </c>
      <c r="H749" s="39" t="str">
        <f t="array" ref="H749">IFERROR(XLOOKUP(D749,'MASTER ITEM LIST'!A:A,'MASTER ITEM LIST'!D:D), "")</f>
        <v>PCS</v>
      </c>
      <c r="I749" s="40"/>
      <c r="J749" s="41">
        <f t="shared" si="2"/>
        <v>0</v>
      </c>
    </row>
    <row r="750" ht="22.5" customHeight="1">
      <c r="A750" s="29">
        <v>46200.0</v>
      </c>
      <c r="B750" s="31"/>
      <c r="C750" s="32" t="s">
        <v>1203</v>
      </c>
      <c r="D750" s="33" t="s">
        <v>474</v>
      </c>
      <c r="E750" s="35" t="str">
        <f t="array" ref="E750">IF(D750="", "", XLOOKUP(D750, 'MASTER ITEM LIST'!A:A, 'MASTER ITEM LIST'!B:B, ""))</f>
        <v>PLATONE QDE INTERNATIONAL RED 4L</v>
      </c>
      <c r="F750" s="37" t="s">
        <v>1204</v>
      </c>
      <c r="G750" s="31">
        <v>1.0</v>
      </c>
      <c r="H750" s="39" t="str">
        <f t="array" ref="H750">IFERROR(XLOOKUP(D750,'MASTER ITEM LIST'!A:A,'MASTER ITEM LIST'!D:D), "")</f>
        <v>GAL</v>
      </c>
      <c r="I750" s="40"/>
      <c r="J750" s="41">
        <f t="shared" si="2"/>
        <v>0</v>
      </c>
    </row>
    <row r="751" ht="22.5" customHeight="1">
      <c r="A751" s="29">
        <v>46203.0</v>
      </c>
      <c r="B751" s="31"/>
      <c r="C751" s="32" t="s">
        <v>1203</v>
      </c>
      <c r="D751" s="42" t="s">
        <v>769</v>
      </c>
      <c r="E751" s="35" t="str">
        <f t="array" ref="E751">IF(D751="", "", XLOOKUP(D751, 'MASTER ITEM LIST'!A:A, 'MASTER ITEM LIST'!B:B, ""))</f>
        <v>NAX PREMILA MT503 THRENE RED G 1L</v>
      </c>
      <c r="F751" s="37" t="s">
        <v>1204</v>
      </c>
      <c r="G751" s="31">
        <v>1.0</v>
      </c>
      <c r="H751" s="39" t="str">
        <f t="array" ref="H751">IFERROR(XLOOKUP(D751,'MASTER ITEM LIST'!A:A,'MASTER ITEM LIST'!D:D), "")</f>
        <v>LTR/S</v>
      </c>
      <c r="I751" s="40"/>
      <c r="J751" s="41">
        <f t="shared" si="2"/>
        <v>0</v>
      </c>
    </row>
    <row r="752" ht="22.5" customHeight="1">
      <c r="A752" s="29">
        <v>46203.0</v>
      </c>
      <c r="B752" s="31"/>
      <c r="C752" s="32" t="s">
        <v>1203</v>
      </c>
      <c r="D752" s="42" t="s">
        <v>718</v>
      </c>
      <c r="E752" s="35" t="str">
        <f t="array" ref="E752">IF(D752="", "", XLOOKUP(D752, 'MASTER ITEM LIST'!A:A, 'MASTER ITEM LIST'!B:B, ""))</f>
        <v>NAX PREMILA NB100 B/C BINDER 4L</v>
      </c>
      <c r="F752" s="37" t="s">
        <v>1204</v>
      </c>
      <c r="G752" s="31">
        <v>1.0</v>
      </c>
      <c r="H752" s="39" t="str">
        <f t="array" ref="H752">IFERROR(XLOOKUP(D752,'MASTER ITEM LIST'!A:A,'MASTER ITEM LIST'!D:D), "")</f>
        <v>GAL</v>
      </c>
      <c r="I752" s="40"/>
      <c r="J752" s="41">
        <f t="shared" si="2"/>
        <v>0</v>
      </c>
    </row>
    <row r="753" ht="22.5" customHeight="1">
      <c r="A753" s="29">
        <v>46203.0</v>
      </c>
      <c r="B753" s="31"/>
      <c r="C753" s="32" t="s">
        <v>1203</v>
      </c>
      <c r="D753" s="42" t="s">
        <v>557</v>
      </c>
      <c r="E753" s="35" t="str">
        <f t="array" ref="E753">IF(D753="", "", XLOOKUP(D753, 'MASTER ITEM LIST'!A:A, 'MASTER ITEM LIST'!B:B, ""))</f>
        <v>NIPPON FF151 FLOP CONTROL</v>
      </c>
      <c r="F753" s="37" t="s">
        <v>1204</v>
      </c>
      <c r="G753" s="31">
        <v>1.0</v>
      </c>
      <c r="H753" s="39" t="str">
        <f t="array" ref="H753">IFERROR(XLOOKUP(D753,'MASTER ITEM LIST'!A:A,'MASTER ITEM LIST'!D:D), "")</f>
        <v>LTR</v>
      </c>
      <c r="I753" s="40"/>
      <c r="J753" s="41">
        <f t="shared" si="2"/>
        <v>0</v>
      </c>
    </row>
    <row r="754" ht="22.5" customHeight="1">
      <c r="A754" s="29">
        <v>46204.0</v>
      </c>
      <c r="B754" s="31"/>
      <c r="C754" s="32" t="s">
        <v>1203</v>
      </c>
      <c r="D754" s="42" t="s">
        <v>106</v>
      </c>
      <c r="E754" s="35" t="str">
        <f t="array" ref="E754">IF(D754="", "", XLOOKUP(D754, 'MASTER ITEM LIST'!A:A, 'MASTER ITEM LIST'!B:B, ""))</f>
        <v>NAX PREMILA MT607 AUTUMN RED 1L</v>
      </c>
      <c r="F754" s="37" t="s">
        <v>1204</v>
      </c>
      <c r="G754" s="31">
        <v>1.0</v>
      </c>
      <c r="H754" s="39" t="str">
        <f t="array" ref="H754">IFERROR(XLOOKUP(D754,'MASTER ITEM LIST'!A:A,'MASTER ITEM LIST'!D:D), "")</f>
        <v>LTR/S</v>
      </c>
      <c r="I754" s="40"/>
      <c r="J754" s="41">
        <f t="shared" si="2"/>
        <v>0</v>
      </c>
    </row>
    <row r="755" ht="22.5" customHeight="1">
      <c r="A755" s="29">
        <v>46204.0</v>
      </c>
      <c r="B755" s="31"/>
      <c r="C755" s="32" t="s">
        <v>1203</v>
      </c>
      <c r="D755" s="33" t="s">
        <v>950</v>
      </c>
      <c r="E755" s="35" t="str">
        <f t="array" ref="E755">IF(D755="", "", XLOOKUP(D755, 'MASTER ITEM LIST'!A:A, 'MASTER ITEM LIST'!B:B, ""))</f>
        <v>DO IT URETHANE WHITE 4L</v>
      </c>
      <c r="F755" s="37" t="s">
        <v>1204</v>
      </c>
      <c r="G755" s="31">
        <v>2.125</v>
      </c>
      <c r="H755" s="39" t="str">
        <f t="array" ref="H755">IFERROR(XLOOKUP(D755,'MASTER ITEM LIST'!A:A,'MASTER ITEM LIST'!D:D), "")</f>
        <v>GAL/S</v>
      </c>
      <c r="I755" s="40"/>
      <c r="J755" s="41">
        <f t="shared" si="2"/>
        <v>0</v>
      </c>
    </row>
    <row r="756" ht="22.5" customHeight="1">
      <c r="A756" s="29">
        <v>46204.0</v>
      </c>
      <c r="B756" s="31" t="s">
        <v>1607</v>
      </c>
      <c r="C756" s="32" t="s">
        <v>38</v>
      </c>
      <c r="D756" s="42" t="s">
        <v>90</v>
      </c>
      <c r="E756" s="35" t="str">
        <f t="array" ref="E756">IF(D756="", "", XLOOKUP(D756, 'MASTER ITEM LIST'!A:A, 'MASTER ITEM LIST'!B:B, ""))</f>
        <v>NAX SOB757 HIGH GRADE URETHANE THINNER 4L</v>
      </c>
      <c r="F756" s="37" t="s">
        <v>41</v>
      </c>
      <c r="G756" s="31">
        <v>18.0</v>
      </c>
      <c r="H756" s="39" t="str">
        <f t="array" ref="H756">IFERROR(XLOOKUP(D756,'MASTER ITEM LIST'!A:A,'MASTER ITEM LIST'!D:D), "")</f>
        <v>GAL</v>
      </c>
      <c r="I756" s="40">
        <v>680.0</v>
      </c>
      <c r="J756" s="41">
        <f t="shared" si="2"/>
        <v>12240</v>
      </c>
    </row>
    <row r="757" ht="22.5" customHeight="1">
      <c r="A757" s="29">
        <v>46204.0</v>
      </c>
      <c r="B757" s="31" t="s">
        <v>1607</v>
      </c>
      <c r="C757" s="32" t="s">
        <v>38</v>
      </c>
      <c r="D757" s="42" t="s">
        <v>563</v>
      </c>
      <c r="E757" s="35" t="str">
        <f t="array" ref="E757">IF(D757="", "", XLOOKUP(D757, 'MASTER ITEM LIST'!A:A, 'MASTER ITEM LIST'!B:B, ""))</f>
        <v>NIPPON EXTREME QDU WHITE 4L</v>
      </c>
      <c r="F757" s="37" t="s">
        <v>41</v>
      </c>
      <c r="G757" s="31">
        <v>2.0</v>
      </c>
      <c r="H757" s="39" t="str">
        <f t="array" ref="H757">IFERROR(XLOOKUP(D757,'MASTER ITEM LIST'!A:A,'MASTER ITEM LIST'!D:D), "")</f>
        <v>GAL</v>
      </c>
      <c r="I757" s="40">
        <v>1640.0</v>
      </c>
      <c r="J757" s="41">
        <f t="shared" si="2"/>
        <v>3280</v>
      </c>
    </row>
    <row r="758" ht="22.5" customHeight="1">
      <c r="A758" s="29">
        <v>46204.0</v>
      </c>
      <c r="B758" s="31" t="s">
        <v>1607</v>
      </c>
      <c r="C758" s="32" t="s">
        <v>38</v>
      </c>
      <c r="D758" s="33" t="s">
        <v>571</v>
      </c>
      <c r="E758" s="35" t="str">
        <f t="array" ref="E758">IF(D758="", "", XLOOKUP(D758, 'MASTER ITEM LIST'!A:A, 'MASTER ITEM LIST'!B:B, ""))</f>
        <v>NIPPON EXTREME QDU RED 4L</v>
      </c>
      <c r="F758" s="37" t="s">
        <v>41</v>
      </c>
      <c r="G758" s="31">
        <v>1.0</v>
      </c>
      <c r="H758" s="39" t="str">
        <f t="array" ref="H758">IFERROR(XLOOKUP(D758,'MASTER ITEM LIST'!A:A,'MASTER ITEM LIST'!D:D), "")</f>
        <v>GAL</v>
      </c>
      <c r="I758" s="40">
        <v>1800.0</v>
      </c>
      <c r="J758" s="41">
        <f t="shared" si="2"/>
        <v>1800</v>
      </c>
    </row>
    <row r="759" ht="22.5" customHeight="1">
      <c r="A759" s="29">
        <v>46204.0</v>
      </c>
      <c r="B759" s="31" t="s">
        <v>1607</v>
      </c>
      <c r="C759" s="32" t="s">
        <v>38</v>
      </c>
      <c r="D759" s="42" t="s">
        <v>718</v>
      </c>
      <c r="E759" s="35" t="str">
        <f t="array" ref="E759">IF(D759="", "", XLOOKUP(D759, 'MASTER ITEM LIST'!A:A, 'MASTER ITEM LIST'!B:B, ""))</f>
        <v>NAX PREMILA NB100 B/C BINDER 4L</v>
      </c>
      <c r="F759" s="37" t="s">
        <v>41</v>
      </c>
      <c r="G759" s="31">
        <v>4.0</v>
      </c>
      <c r="H759" s="39" t="str">
        <f t="array" ref="H759">IFERROR(XLOOKUP(D759,'MASTER ITEM LIST'!A:A,'MASTER ITEM LIST'!D:D), "")</f>
        <v>GAL</v>
      </c>
      <c r="I759" s="40">
        <v>2280.0</v>
      </c>
      <c r="J759" s="41">
        <f t="shared" si="2"/>
        <v>9120</v>
      </c>
    </row>
    <row r="760" ht="22.5" customHeight="1">
      <c r="A760" s="29">
        <v>46204.0</v>
      </c>
      <c r="B760" s="31" t="s">
        <v>1607</v>
      </c>
      <c r="C760" s="32" t="s">
        <v>38</v>
      </c>
      <c r="D760" s="42" t="s">
        <v>465</v>
      </c>
      <c r="E760" s="35" t="str">
        <f t="array" ref="E760">IF(D760="", "", XLOOKUP(D760, 'MASTER ITEM LIST'!A:A, 'MASTER ITEM LIST'!B:B, ""))</f>
        <v>NAX PREMILA MT003 CRYSTAL SILVER MEDIUM 1L</v>
      </c>
      <c r="F760" s="37" t="s">
        <v>41</v>
      </c>
      <c r="G760" s="31">
        <v>1.0</v>
      </c>
      <c r="H760" s="39" t="str">
        <f t="array" ref="H760">IFERROR(XLOOKUP(D760,'MASTER ITEM LIST'!A:A,'MASTER ITEM LIST'!D:D), "")</f>
        <v>LTR/S</v>
      </c>
      <c r="I760" s="40">
        <v>2360.0</v>
      </c>
      <c r="J760" s="41">
        <f t="shared" si="2"/>
        <v>2360</v>
      </c>
    </row>
    <row r="761" ht="22.5" customHeight="1">
      <c r="A761" s="29">
        <v>46204.0</v>
      </c>
      <c r="B761" s="31" t="s">
        <v>1607</v>
      </c>
      <c r="C761" s="32" t="s">
        <v>38</v>
      </c>
      <c r="D761" s="33" t="s">
        <v>474</v>
      </c>
      <c r="E761" s="35" t="str">
        <f t="array" ref="E761">IF(D761="", "", XLOOKUP(D761, 'MASTER ITEM LIST'!A:A, 'MASTER ITEM LIST'!B:B, ""))</f>
        <v>PLATONE QDE INTERNATIONAL RED 4L</v>
      </c>
      <c r="F761" s="37" t="s">
        <v>41</v>
      </c>
      <c r="G761" s="31">
        <v>4.0</v>
      </c>
      <c r="H761" s="39" t="str">
        <f t="array" ref="H761">IFERROR(XLOOKUP(D761,'MASTER ITEM LIST'!A:A,'MASTER ITEM LIST'!D:D), "")</f>
        <v>GAL</v>
      </c>
      <c r="I761" s="40">
        <v>950.0</v>
      </c>
      <c r="J761" s="41">
        <f t="shared" si="2"/>
        <v>3800</v>
      </c>
    </row>
    <row r="762" ht="22.5" customHeight="1">
      <c r="A762" s="29">
        <v>46204.0</v>
      </c>
      <c r="B762" s="31" t="s">
        <v>1607</v>
      </c>
      <c r="C762" s="32" t="s">
        <v>38</v>
      </c>
      <c r="D762" s="33" t="s">
        <v>43</v>
      </c>
      <c r="E762" s="35" t="str">
        <f t="array" ref="E762">IF(D762="", "", XLOOKUP(D762, 'MASTER ITEM LIST'!A:A, 'MASTER ITEM LIST'!B:B, ""))</f>
        <v>RAIN OR SHINE BAGUIO GREEN 4L</v>
      </c>
      <c r="F762" s="37" t="s">
        <v>41</v>
      </c>
      <c r="G762" s="31">
        <v>4.0</v>
      </c>
      <c r="H762" s="39" t="str">
        <f t="array" ref="H762">IFERROR(XLOOKUP(D762,'MASTER ITEM LIST'!A:A,'MASTER ITEM LIST'!D:D), "")</f>
        <v>GALON</v>
      </c>
      <c r="I762" s="40">
        <v>750.0</v>
      </c>
      <c r="J762" s="41">
        <f t="shared" si="2"/>
        <v>3000</v>
      </c>
    </row>
    <row r="763" ht="22.5" customHeight="1">
      <c r="A763" s="29">
        <v>46204.0</v>
      </c>
      <c r="B763" s="31" t="s">
        <v>1607</v>
      </c>
      <c r="C763" s="32" t="s">
        <v>38</v>
      </c>
      <c r="D763" s="33" t="s">
        <v>64</v>
      </c>
      <c r="E763" s="35" t="str">
        <f t="array" ref="E763">IF(D763="", "", XLOOKUP(D763, 'MASTER ITEM LIST'!A:A, 'MASTER ITEM LIST'!B:B, ""))</f>
        <v>POLYGLOSS PU FLAT BLACK 4L</v>
      </c>
      <c r="F763" s="37" t="s">
        <v>41</v>
      </c>
      <c r="G763" s="31">
        <v>1.0</v>
      </c>
      <c r="H763" s="39" t="str">
        <f t="array" ref="H763">IFERROR(XLOOKUP(D763,'MASTER ITEM LIST'!A:A,'MASTER ITEM LIST'!D:D), "")</f>
        <v>GALON</v>
      </c>
      <c r="I763" s="40">
        <v>2150.0</v>
      </c>
      <c r="J763" s="41">
        <f t="shared" si="2"/>
        <v>2150</v>
      </c>
    </row>
    <row r="764" ht="22.5" customHeight="1">
      <c r="A764" s="29">
        <v>46204.0</v>
      </c>
      <c r="B764" s="31" t="s">
        <v>1607</v>
      </c>
      <c r="C764" s="32" t="s">
        <v>38</v>
      </c>
      <c r="D764" s="33" t="s">
        <v>442</v>
      </c>
      <c r="E764" s="35" t="str">
        <f t="array" ref="E764">IF(D764="", "", XLOOKUP(D764, 'MASTER ITEM LIST'!A:A, 'MASTER ITEM LIST'!B:B, ""))</f>
        <v>POLYGLOSS PU GLEAMIST WHITE 4L</v>
      </c>
      <c r="F764" s="37" t="s">
        <v>41</v>
      </c>
      <c r="G764" s="31">
        <v>1.0</v>
      </c>
      <c r="H764" s="39" t="str">
        <f t="array" ref="H764">IFERROR(XLOOKUP(D764,'MASTER ITEM LIST'!A:A,'MASTER ITEM LIST'!D:D), "")</f>
        <v>GALON</v>
      </c>
      <c r="I764" s="40">
        <v>1850.0</v>
      </c>
      <c r="J764" s="41">
        <f t="shared" si="2"/>
        <v>1850</v>
      </c>
    </row>
    <row r="765" ht="22.5" customHeight="1">
      <c r="A765" s="29">
        <v>46204.0</v>
      </c>
      <c r="B765" s="31" t="s">
        <v>1608</v>
      </c>
      <c r="C765" s="32" t="s">
        <v>38</v>
      </c>
      <c r="D765" s="33" t="s">
        <v>604</v>
      </c>
      <c r="E765" s="35" t="str">
        <f t="array" ref="E765">IF(D765="", "", XLOOKUP(D765, 'MASTER ITEM LIST'!A:A, 'MASTER ITEM LIST'!B:B, ""))</f>
        <v>METALGUARD EPOXY PRIMER WHITE WITH HARDENER 4L</v>
      </c>
      <c r="F765" s="37" t="s">
        <v>41</v>
      </c>
      <c r="G765" s="31">
        <v>4.0</v>
      </c>
      <c r="H765" s="39" t="str">
        <f t="array" ref="H765">IFERROR(XLOOKUP(D765,'MASTER ITEM LIST'!A:A,'MASTER ITEM LIST'!D:D), "")</f>
        <v>GAL</v>
      </c>
      <c r="I765" s="40">
        <v>955.0</v>
      </c>
      <c r="J765" s="41">
        <f t="shared" si="2"/>
        <v>3820</v>
      </c>
    </row>
    <row r="766" ht="22.5" customHeight="1">
      <c r="A766" s="29">
        <v>46204.0</v>
      </c>
      <c r="B766" s="31" t="s">
        <v>1608</v>
      </c>
      <c r="C766" s="32" t="s">
        <v>38</v>
      </c>
      <c r="D766" s="42" t="s">
        <v>278</v>
      </c>
      <c r="E766" s="35" t="str">
        <f t="array" ref="E766">IF(D766="", "", XLOOKUP(D766, 'MASTER ITEM LIST'!A:A, 'MASTER ITEM LIST'!B:B, ""))</f>
        <v>RAIN OR SHINE TULLE WHITE</v>
      </c>
      <c r="F766" s="37" t="s">
        <v>41</v>
      </c>
      <c r="G766" s="31">
        <v>1.0</v>
      </c>
      <c r="H766" s="39" t="str">
        <f t="array" ref="H766">IFERROR(XLOOKUP(D766,'MASTER ITEM LIST'!A:A,'MASTER ITEM LIST'!D:D), "")</f>
        <v>GALON</v>
      </c>
      <c r="I766" s="40">
        <v>750.0</v>
      </c>
      <c r="J766" s="41">
        <f t="shared" si="2"/>
        <v>750</v>
      </c>
    </row>
    <row r="767" ht="22.5" customHeight="1">
      <c r="A767" s="29">
        <v>46204.0</v>
      </c>
      <c r="B767" s="31" t="s">
        <v>1608</v>
      </c>
      <c r="C767" s="32" t="s">
        <v>38</v>
      </c>
      <c r="D767" s="42" t="s">
        <v>557</v>
      </c>
      <c r="E767" s="35" t="str">
        <f t="array" ref="E767">IF(D767="", "", XLOOKUP(D767, 'MASTER ITEM LIST'!A:A, 'MASTER ITEM LIST'!B:B, ""))</f>
        <v>NIPPON FF151 FLOP CONTROL</v>
      </c>
      <c r="F767" s="37" t="s">
        <v>41</v>
      </c>
      <c r="G767" s="31">
        <v>1.0</v>
      </c>
      <c r="H767" s="39" t="str">
        <f t="array" ref="H767">IFERROR(XLOOKUP(D767,'MASTER ITEM LIST'!A:A,'MASTER ITEM LIST'!D:D), "")</f>
        <v>LTR</v>
      </c>
      <c r="I767" s="40">
        <v>1100.0</v>
      </c>
      <c r="J767" s="41">
        <f t="shared" si="2"/>
        <v>1100</v>
      </c>
    </row>
    <row r="768" ht="22.5" customHeight="1">
      <c r="A768" s="29">
        <v>46204.0</v>
      </c>
      <c r="B768" s="31" t="s">
        <v>1608</v>
      </c>
      <c r="C768" s="32" t="s">
        <v>38</v>
      </c>
      <c r="D768" s="42" t="s">
        <v>769</v>
      </c>
      <c r="E768" s="35" t="str">
        <f t="array" ref="E768">IF(D768="", "", XLOOKUP(D768, 'MASTER ITEM LIST'!A:A, 'MASTER ITEM LIST'!B:B, ""))</f>
        <v>NAX PREMILA MT503 THRENE RED G 1L</v>
      </c>
      <c r="F768" s="37" t="s">
        <v>41</v>
      </c>
      <c r="G768" s="31">
        <v>1.0</v>
      </c>
      <c r="H768" s="39" t="str">
        <f t="array" ref="H768">IFERROR(XLOOKUP(D768,'MASTER ITEM LIST'!A:A,'MASTER ITEM LIST'!D:D), "")</f>
        <v>LTR/S</v>
      </c>
      <c r="I768" s="40">
        <v>2300.0</v>
      </c>
      <c r="J768" s="41">
        <f t="shared" si="2"/>
        <v>2300</v>
      </c>
    </row>
    <row r="769" ht="22.5" customHeight="1">
      <c r="A769" s="29">
        <v>46204.0</v>
      </c>
      <c r="B769" s="31" t="s">
        <v>1608</v>
      </c>
      <c r="C769" s="32" t="s">
        <v>38</v>
      </c>
      <c r="D769" s="33" t="s">
        <v>1185</v>
      </c>
      <c r="E769" s="35" t="str">
        <f t="array" ref="E769">IF(D769="", "", XLOOKUP(D769, 'MASTER ITEM LIST'!A:A, 'MASTER ITEM LIST'!B:B, ""))</f>
        <v>DO IT URETHANE HARDENER</v>
      </c>
      <c r="F769" s="37" t="s">
        <v>41</v>
      </c>
      <c r="G769" s="31">
        <v>4.0</v>
      </c>
      <c r="H769" s="39" t="str">
        <f t="array" ref="H769">IFERROR(XLOOKUP(D769,'MASTER ITEM LIST'!A:A,'MASTER ITEM LIST'!D:D), "")</f>
        <v>CAN</v>
      </c>
      <c r="I769" s="40">
        <v>250.0</v>
      </c>
      <c r="J769" s="41">
        <f t="shared" si="2"/>
        <v>1000</v>
      </c>
    </row>
    <row r="770" ht="22.5" customHeight="1">
      <c r="A770" s="29">
        <v>46204.0</v>
      </c>
      <c r="B770" s="31"/>
      <c r="C770" s="32" t="s">
        <v>1307</v>
      </c>
      <c r="D770" s="42" t="s">
        <v>980</v>
      </c>
      <c r="E770" s="35" t="str">
        <f t="array" ref="E770">IF(D770="", "", XLOOKUP(D770, 'MASTER ITEM LIST'!A:A, 'MASTER ITEM LIST'!B:B, ""))</f>
        <v>METALGUARD EPOXY PRIMER BLACK W/H REPACK</v>
      </c>
      <c r="F770" s="37" t="s">
        <v>1347</v>
      </c>
      <c r="G770" s="31">
        <v>1.0</v>
      </c>
      <c r="H770" s="39" t="str">
        <f t="array" ref="H770">IFERROR(XLOOKUP(D770,'MASTER ITEM LIST'!A:A,'MASTER ITEM LIST'!D:D), "")</f>
        <v>LITER</v>
      </c>
      <c r="I770" s="40">
        <v>200.0</v>
      </c>
      <c r="J770" s="41">
        <f t="shared" si="2"/>
        <v>200</v>
      </c>
    </row>
    <row r="771" ht="22.5" customHeight="1">
      <c r="A771" s="29">
        <v>46205.0</v>
      </c>
      <c r="B771" s="31"/>
      <c r="C771" s="32" t="s">
        <v>1203</v>
      </c>
      <c r="D771" s="42" t="s">
        <v>220</v>
      </c>
      <c r="E771" s="35" t="str">
        <f t="array" ref="E771">IF(D771="", "", XLOOKUP(D771, 'MASTER ITEM LIST'!A:A, 'MASTER ITEM LIST'!B:B, ""))</f>
        <v>PREMILA MIXING 1L</v>
      </c>
      <c r="F771" s="37" t="s">
        <v>1347</v>
      </c>
      <c r="G771" s="31">
        <v>0.7</v>
      </c>
      <c r="H771" s="39" t="str">
        <f t="array" ref="H771">IFERROR(XLOOKUP(D771,'MASTER ITEM LIST'!A:A,'MASTER ITEM LIST'!D:D), "")</f>
        <v>LITER</v>
      </c>
      <c r="I771" s="40">
        <v>2440.0</v>
      </c>
      <c r="J771" s="41">
        <f t="shared" si="2"/>
        <v>1708</v>
      </c>
    </row>
    <row r="772" ht="22.5" customHeight="1">
      <c r="A772" s="29">
        <v>46205.0</v>
      </c>
      <c r="B772" s="31"/>
      <c r="C772" s="32" t="s">
        <v>1203</v>
      </c>
      <c r="D772" s="33" t="s">
        <v>167</v>
      </c>
      <c r="E772" s="35" t="str">
        <f t="array" ref="E772">IF(D772="", "", XLOOKUP(D772, 'MASTER ITEM LIST'!A:A, 'MASTER ITEM LIST'!B:B, ""))</f>
        <v>NAX QDU MIX 1L</v>
      </c>
      <c r="F772" s="37" t="s">
        <v>1347</v>
      </c>
      <c r="G772" s="13">
        <v>3.0</v>
      </c>
      <c r="H772" s="39" t="str">
        <f t="array" ref="H772">IFERROR(XLOOKUP(D772,'MASTER ITEM LIST'!A:A,'MASTER ITEM LIST'!D:D), "")</f>
        <v>LITER</v>
      </c>
      <c r="I772" s="40">
        <v>900.0</v>
      </c>
      <c r="J772" s="41">
        <f t="shared" si="2"/>
        <v>2700</v>
      </c>
    </row>
    <row r="773" ht="22.5" customHeight="1">
      <c r="A773" s="29">
        <v>46205.0</v>
      </c>
      <c r="B773" s="31"/>
      <c r="C773" s="32" t="s">
        <v>1203</v>
      </c>
      <c r="D773" s="42" t="s">
        <v>31</v>
      </c>
      <c r="E773" s="35" t="str">
        <f t="array" ref="E773">IF(D773="", "", XLOOKUP(D773, 'MASTER ITEM LIST'!A:A, 'MASTER ITEM LIST'!B:B, ""))</f>
        <v>EXTREME QDU MIXING 1L</v>
      </c>
      <c r="F773" s="37" t="s">
        <v>1347</v>
      </c>
      <c r="G773" s="31">
        <v>2.0</v>
      </c>
      <c r="H773" s="39" t="str">
        <f t="array" ref="H773">IFERROR(XLOOKUP(D773,'MASTER ITEM LIST'!A:A,'MASTER ITEM LIST'!D:D), "")</f>
        <v>LITER</v>
      </c>
      <c r="I773" s="40">
        <v>2000.0</v>
      </c>
      <c r="J773" s="41">
        <f t="shared" si="2"/>
        <v>4000</v>
      </c>
    </row>
    <row r="774" ht="22.5" customHeight="1">
      <c r="A774" s="29">
        <v>46205.0</v>
      </c>
      <c r="B774" s="31"/>
      <c r="C774" s="32" t="s">
        <v>1203</v>
      </c>
      <c r="D774" s="42" t="s">
        <v>1168</v>
      </c>
      <c r="E774" s="35" t="str">
        <f t="array" ref="E774">IF(D774="", "", XLOOKUP(D774, 'MASTER ITEM LIST'!A:A, 'MASTER ITEM LIST'!B:B, ""))</f>
        <v>URETHANE MIXING POLYGLOSS, DO IT 4L</v>
      </c>
      <c r="F774" s="37" t="s">
        <v>1347</v>
      </c>
      <c r="G774" s="31">
        <v>0.875</v>
      </c>
      <c r="H774" s="39" t="str">
        <f t="array" ref="H774">IFERROR(XLOOKUP(D774,'MASTER ITEM LIST'!A:A,'MASTER ITEM LIST'!D:D), "")</f>
        <v>GALON</v>
      </c>
      <c r="I774" s="40">
        <v>3200.0</v>
      </c>
      <c r="J774" s="41">
        <f t="shared" si="2"/>
        <v>2800</v>
      </c>
    </row>
    <row r="775" ht="22.5" customHeight="1">
      <c r="A775" s="29">
        <v>46205.0</v>
      </c>
      <c r="B775" s="31"/>
      <c r="C775" s="32" t="s">
        <v>1203</v>
      </c>
      <c r="D775" s="42" t="s">
        <v>134</v>
      </c>
      <c r="E775" s="35" t="str">
        <f t="array" ref="E775">IF(D775="", "", XLOOKUP(D775, 'MASTER ITEM LIST'!A:A, 'MASTER ITEM LIST'!B:B, ""))</f>
        <v>QDE MIXING NP, DAVIES, BOYSEN, ALPHA CHROMA, WC 1L</v>
      </c>
      <c r="F775" s="37" t="s">
        <v>1347</v>
      </c>
      <c r="G775" s="31">
        <v>2.0</v>
      </c>
      <c r="H775" s="39" t="str">
        <f t="array" ref="H775">IFERROR(XLOOKUP(D775,'MASTER ITEM LIST'!A:A,'MASTER ITEM LIST'!D:D), "")</f>
        <v>LITER</v>
      </c>
      <c r="I775" s="40">
        <v>200.0</v>
      </c>
      <c r="J775" s="41">
        <f t="shared" si="2"/>
        <v>400</v>
      </c>
    </row>
    <row r="776" ht="22.5" customHeight="1">
      <c r="A776" s="29">
        <v>46207.0</v>
      </c>
      <c r="B776" s="31"/>
      <c r="C776" s="32" t="s">
        <v>1203</v>
      </c>
      <c r="D776" s="42" t="s">
        <v>31</v>
      </c>
      <c r="E776" s="35" t="str">
        <f t="array" ref="E776">IF(D776="", "", XLOOKUP(D776, 'MASTER ITEM LIST'!A:A, 'MASTER ITEM LIST'!B:B, ""))</f>
        <v>EXTREME QDU MIXING 1L</v>
      </c>
      <c r="F776" s="37" t="s">
        <v>1347</v>
      </c>
      <c r="G776" s="31">
        <v>1.0</v>
      </c>
      <c r="H776" s="39" t="str">
        <f t="array" ref="H776">IFERROR(XLOOKUP(D776,'MASTER ITEM LIST'!A:A,'MASTER ITEM LIST'!D:D), "")</f>
        <v>LITER</v>
      </c>
      <c r="I776" s="40">
        <v>2000.0</v>
      </c>
      <c r="J776" s="41">
        <f t="shared" si="2"/>
        <v>2000</v>
      </c>
    </row>
    <row r="777" ht="22.5" customHeight="1">
      <c r="A777" s="29">
        <v>46207.0</v>
      </c>
      <c r="B777" s="31"/>
      <c r="C777" s="32" t="s">
        <v>1203</v>
      </c>
      <c r="D777" s="33" t="s">
        <v>737</v>
      </c>
      <c r="E777" s="35" t="str">
        <f t="array" ref="E777">IF(D777="", "", XLOOKUP(D777, 'MASTER ITEM LIST'!A:A, 'MASTER ITEM LIST'!B:B, ""))</f>
        <v>NAX NAT-1164 TTC BRIGHT GOLD MICA 1L</v>
      </c>
      <c r="F777" s="37" t="s">
        <v>1347</v>
      </c>
      <c r="G777" s="31">
        <v>1.0</v>
      </c>
      <c r="H777" s="39" t="str">
        <f t="array" ref="H777">IFERROR(XLOOKUP(D777,'MASTER ITEM LIST'!A:A,'MASTER ITEM LIST'!D:D), "")</f>
        <v>LITER</v>
      </c>
      <c r="I777" s="40">
        <v>640.0</v>
      </c>
      <c r="J777" s="41">
        <f t="shared" si="2"/>
        <v>640</v>
      </c>
    </row>
    <row r="778" ht="22.5" customHeight="1">
      <c r="A778" s="29">
        <v>46207.0</v>
      </c>
      <c r="B778" s="31"/>
      <c r="C778" s="32" t="s">
        <v>1203</v>
      </c>
      <c r="D778" s="42" t="s">
        <v>220</v>
      </c>
      <c r="E778" s="35" t="str">
        <f t="array" ref="E778">IF(D778="", "", XLOOKUP(D778, 'MASTER ITEM LIST'!A:A, 'MASTER ITEM LIST'!B:B, ""))</f>
        <v>PREMILA MIXING 1L</v>
      </c>
      <c r="F778" s="37" t="s">
        <v>1347</v>
      </c>
      <c r="G778" s="31">
        <v>1.0</v>
      </c>
      <c r="H778" s="39" t="str">
        <f t="array" ref="H778">IFERROR(XLOOKUP(D778,'MASTER ITEM LIST'!A:A,'MASTER ITEM LIST'!D:D), "")</f>
        <v>LITER</v>
      </c>
      <c r="I778" s="40">
        <v>2000.0</v>
      </c>
      <c r="J778" s="41">
        <f t="shared" si="2"/>
        <v>2000</v>
      </c>
    </row>
    <row r="779" ht="22.5" customHeight="1">
      <c r="A779" s="29">
        <v>46207.0</v>
      </c>
      <c r="B779" s="31"/>
      <c r="C779" s="32" t="s">
        <v>1203</v>
      </c>
      <c r="D779" s="33" t="s">
        <v>678</v>
      </c>
      <c r="E779" s="35" t="str">
        <f t="array" ref="E779">IF(D779="", "", XLOOKUP(D779, 'MASTER ITEM LIST'!A:A, 'MASTER ITEM LIST'!B:B, ""))</f>
        <v>NAX NAT-149 TTC DARK MAROON 1L</v>
      </c>
      <c r="F779" s="37" t="s">
        <v>1204</v>
      </c>
      <c r="G779" s="31">
        <v>1.0</v>
      </c>
      <c r="H779" s="39" t="str">
        <f t="array" ref="H779">IFERROR(XLOOKUP(D779,'MASTER ITEM LIST'!A:A,'MASTER ITEM LIST'!D:D), "")</f>
        <v>LITER</v>
      </c>
      <c r="I779" s="40">
        <v>1110.0</v>
      </c>
      <c r="J779" s="41">
        <f t="shared" si="2"/>
        <v>1110</v>
      </c>
    </row>
    <row r="780" ht="22.5" customHeight="1">
      <c r="A780" s="29">
        <v>46207.0</v>
      </c>
      <c r="B780" s="31"/>
      <c r="C780" s="32" t="s">
        <v>1203</v>
      </c>
      <c r="D780" s="33" t="s">
        <v>929</v>
      </c>
      <c r="E780" s="35" t="str">
        <f t="array" ref="E780">IF(D780="", "", XLOOKUP(D780, 'MASTER ITEM LIST'!A:A, 'MASTER ITEM LIST'!B:B, ""))</f>
        <v>NAX NAT-1159 TTC MEDIUM RUSSET MICA 1L</v>
      </c>
      <c r="F780" s="37" t="s">
        <v>1347</v>
      </c>
      <c r="G780" s="31">
        <v>1.0</v>
      </c>
      <c r="H780" s="39" t="str">
        <f t="array" ref="H780">IFERROR(XLOOKUP(D780,'MASTER ITEM LIST'!A:A,'MASTER ITEM LIST'!D:D), "")</f>
        <v>LITER</v>
      </c>
      <c r="I780" s="40">
        <v>780.0</v>
      </c>
      <c r="J780" s="41">
        <f t="shared" si="2"/>
        <v>780</v>
      </c>
    </row>
    <row r="781" ht="22.5" customHeight="1">
      <c r="A781" s="29">
        <v>46209.0</v>
      </c>
      <c r="B781" s="31"/>
      <c r="C781" s="32" t="s">
        <v>1203</v>
      </c>
      <c r="D781" s="42" t="s">
        <v>167</v>
      </c>
      <c r="E781" s="35" t="str">
        <f t="array" ref="E781">IF(D781="", "", XLOOKUP(D781, 'MASTER ITEM LIST'!A:A, 'MASTER ITEM LIST'!B:B, ""))</f>
        <v>NAX QDU MIX 1L</v>
      </c>
      <c r="F781" s="37" t="s">
        <v>1347</v>
      </c>
      <c r="G781" s="31">
        <v>1.0</v>
      </c>
      <c r="H781" s="39" t="str">
        <f t="array" ref="H781">IFERROR(XLOOKUP(D781,'MASTER ITEM LIST'!A:A,'MASTER ITEM LIST'!D:D), "")</f>
        <v>LITER</v>
      </c>
      <c r="I781" s="40">
        <v>900.0</v>
      </c>
      <c r="J781" s="41">
        <f t="shared" si="2"/>
        <v>900</v>
      </c>
    </row>
    <row r="782" ht="22.5" customHeight="1">
      <c r="A782" s="29">
        <v>46210.0</v>
      </c>
      <c r="B782" s="31"/>
      <c r="C782" s="32" t="s">
        <v>1203</v>
      </c>
      <c r="D782" s="42" t="s">
        <v>167</v>
      </c>
      <c r="E782" s="35" t="str">
        <f t="array" ref="E782">IF(D782="", "", XLOOKUP(D782, 'MASTER ITEM LIST'!A:A, 'MASTER ITEM LIST'!B:B, ""))</f>
        <v>NAX QDU MIX 1L</v>
      </c>
      <c r="F782" s="37" t="s">
        <v>1347</v>
      </c>
      <c r="G782" s="31">
        <v>1.0</v>
      </c>
      <c r="H782" s="39" t="str">
        <f t="array" ref="H782">IFERROR(XLOOKUP(D782,'MASTER ITEM LIST'!A:A,'MASTER ITEM LIST'!D:D), "")</f>
        <v>LITER</v>
      </c>
      <c r="I782" s="40">
        <v>900.0</v>
      </c>
      <c r="J782" s="41">
        <f t="shared" si="2"/>
        <v>900</v>
      </c>
    </row>
    <row r="783" ht="22.5" customHeight="1">
      <c r="A783" s="29">
        <v>46213.0</v>
      </c>
      <c r="B783" s="31"/>
      <c r="C783" s="32" t="s">
        <v>1203</v>
      </c>
      <c r="D783" s="42" t="s">
        <v>1187</v>
      </c>
      <c r="E783" s="35" t="str">
        <f t="array" ref="E783">IF(D783="", "", XLOOKUP(D783, 'MASTER ITEM LIST'!A:A, 'MASTER ITEM LIST'!B:B, ""))</f>
        <v>LATEXNP,ALPHA CROMA,DAVIES,BOYSEN,WC 15L</v>
      </c>
      <c r="F783" s="37" t="s">
        <v>1204</v>
      </c>
      <c r="G783" s="31">
        <v>1.0</v>
      </c>
      <c r="H783" s="39" t="str">
        <f t="array" ref="H783">IFERROR(XLOOKUP(D783,'MASTER ITEM LIST'!A:A,'MASTER ITEM LIST'!D:D), "")</f>
        <v>PAIL</v>
      </c>
      <c r="I783" s="40">
        <v>3200.0</v>
      </c>
      <c r="J783" s="41">
        <f t="shared" si="2"/>
        <v>3200</v>
      </c>
    </row>
    <row r="784" ht="22.5" customHeight="1">
      <c r="A784" s="29">
        <v>46209.0</v>
      </c>
      <c r="B784" s="31"/>
      <c r="C784" s="32" t="s">
        <v>1205</v>
      </c>
      <c r="D784" s="42" t="s">
        <v>717</v>
      </c>
      <c r="E784" s="35" t="str">
        <f t="array" ref="E784">IF(D784="", "", XLOOKUP(D784, 'MASTER ITEM LIST'!A:A, 'MASTER ITEM LIST'!B:B, ""))</f>
        <v>CROCO MASKING TAPE #1</v>
      </c>
      <c r="F784" s="37" t="s">
        <v>1204</v>
      </c>
      <c r="G784" s="31">
        <v>1.0</v>
      </c>
      <c r="H784" s="39" t="str">
        <f t="array" ref="H784">IFERROR(XLOOKUP(D784,'MASTER ITEM LIST'!A:A,'MASTER ITEM LIST'!D:D), "")</f>
        <v>PCS</v>
      </c>
      <c r="I784" s="40">
        <v>40.0</v>
      </c>
      <c r="J784" s="41">
        <f t="shared" si="2"/>
        <v>40</v>
      </c>
    </row>
    <row r="785" ht="22.5" customHeight="1">
      <c r="A785" s="29">
        <v>46211.0</v>
      </c>
      <c r="B785" s="31"/>
      <c r="C785" s="32" t="s">
        <v>1203</v>
      </c>
      <c r="D785" s="42" t="s">
        <v>718</v>
      </c>
      <c r="E785" s="35" t="str">
        <f t="array" ref="E785">IF(D785="", "", XLOOKUP(D785, 'MASTER ITEM LIST'!A:A, 'MASTER ITEM LIST'!B:B, ""))</f>
        <v>NAX PREMILA NB100 B/C BINDER 4L</v>
      </c>
      <c r="F785" s="37" t="s">
        <v>1204</v>
      </c>
      <c r="G785" s="31">
        <v>1.0</v>
      </c>
      <c r="H785" s="39" t="str">
        <f t="array" ref="H785">IFERROR(XLOOKUP(D785,'MASTER ITEM LIST'!A:A,'MASTER ITEM LIST'!D:D), "")</f>
        <v>GAL</v>
      </c>
      <c r="I785" s="40">
        <v>2160.0</v>
      </c>
      <c r="J785" s="41">
        <f t="shared" si="2"/>
        <v>2160</v>
      </c>
    </row>
    <row r="786" ht="22.5" customHeight="1">
      <c r="A786" s="29">
        <v>46212.0</v>
      </c>
      <c r="B786" s="31"/>
      <c r="C786" s="32" t="s">
        <v>1203</v>
      </c>
      <c r="D786" s="33" t="s">
        <v>895</v>
      </c>
      <c r="E786" s="35" t="str">
        <f t="array" ref="E786">IF(D786="", "", XLOOKUP(D786, 'MASTER ITEM LIST'!A:A, 'MASTER ITEM LIST'!B:B, ""))</f>
        <v>NAX NAT-1OO TTC WHITE 1L</v>
      </c>
      <c r="F786" s="37" t="s">
        <v>1204</v>
      </c>
      <c r="G786" s="31">
        <v>1.0</v>
      </c>
      <c r="H786" s="39" t="str">
        <f t="array" ref="H786">IFERROR(XLOOKUP(D786,'MASTER ITEM LIST'!A:A,'MASTER ITEM LIST'!D:D), "")</f>
        <v>LITER</v>
      </c>
      <c r="I786" s="40">
        <v>525.0</v>
      </c>
      <c r="J786" s="41">
        <f t="shared" si="2"/>
        <v>525</v>
      </c>
    </row>
    <row r="787" ht="22.5" customHeight="1">
      <c r="A787" s="29">
        <v>46212.0</v>
      </c>
      <c r="B787" s="31"/>
      <c r="C787" s="32" t="s">
        <v>1203</v>
      </c>
      <c r="D787" s="33" t="s">
        <v>620</v>
      </c>
      <c r="E787" s="35" t="str">
        <f t="array" ref="E787">IF(D787="", "", XLOOKUP(D787, 'MASTER ITEM LIST'!A:A, 'MASTER ITEM LIST'!B:B, ""))</f>
        <v>NIPPON DOU CLASSIC SG WHITE 715 15L</v>
      </c>
      <c r="F787" s="37" t="s">
        <v>1204</v>
      </c>
      <c r="G787" s="31">
        <v>1.0</v>
      </c>
      <c r="H787" s="39" t="str">
        <f t="array" ref="H787">IFERROR(XLOOKUP(D787,'MASTER ITEM LIST'!A:A,'MASTER ITEM LIST'!D:D), "")</f>
        <v>PAIL</v>
      </c>
      <c r="I787" s="40"/>
      <c r="J787" s="41">
        <f t="shared" si="2"/>
        <v>0</v>
      </c>
    </row>
    <row r="788" ht="22.5" customHeight="1">
      <c r="A788" s="29">
        <v>46216.0</v>
      </c>
      <c r="B788" s="31"/>
      <c r="C788" s="32" t="s">
        <v>1203</v>
      </c>
      <c r="D788" s="190" t="str">
        <f t="array" ref="D788">IF(E788="", "", XLOOKUP(E788, 'MASTER ITEM LIST'!B:B, 'MASTER ITEM LIST'!A:A, "Code Not Found"))</f>
        <v>NAXQDUMIX-1L</v>
      </c>
      <c r="E788" s="191" t="s">
        <v>1161</v>
      </c>
      <c r="F788" s="37" t="s">
        <v>1347</v>
      </c>
      <c r="G788" s="31">
        <v>2.75</v>
      </c>
      <c r="H788" s="39" t="str">
        <f t="array" ref="H788">IFERROR(XLOOKUP(D788,'MASTER ITEM LIST'!A:A,'MASTER ITEM LIST'!D:D), "")</f>
        <v>LITER</v>
      </c>
      <c r="I788" s="40"/>
      <c r="J788" s="41">
        <f t="shared" si="2"/>
        <v>0</v>
      </c>
    </row>
    <row r="789" ht="22.5" customHeight="1">
      <c r="A789" s="29">
        <v>46212.0</v>
      </c>
      <c r="B789" s="31"/>
      <c r="C789" s="32" t="s">
        <v>1203</v>
      </c>
      <c r="D789" s="190" t="str">
        <f t="array" ref="D789">IF(E789="", "", XLOOKUP(E789, 'MASTER ITEM LIST'!B:B, 'MASTER ITEM LIST'!A:A, "Code Not Found"))</f>
        <v>AC-20-1L</v>
      </c>
      <c r="E789" s="191" t="s">
        <v>218</v>
      </c>
      <c r="F789" s="37" t="s">
        <v>1204</v>
      </c>
      <c r="G789" s="31">
        <v>1.0</v>
      </c>
      <c r="H789" s="39" t="str">
        <f t="array" ref="H789">IFERROR(XLOOKUP(D789,'MASTER ITEM LIST'!A:A,'MASTER ITEM LIST'!D:D), "")</f>
        <v>1L</v>
      </c>
      <c r="I789" s="40">
        <v>103.0</v>
      </c>
      <c r="J789" s="41">
        <f t="shared" si="2"/>
        <v>103</v>
      </c>
    </row>
    <row r="790" ht="22.5" customHeight="1">
      <c r="A790" s="29">
        <v>46212.0</v>
      </c>
      <c r="B790" s="31"/>
      <c r="C790" s="32" t="s">
        <v>1203</v>
      </c>
      <c r="D790" s="190" t="str">
        <f t="array" ref="D790">IF(E790="", "", XLOOKUP(E790, 'MASTER ITEM LIST'!B:B, 'MASTER ITEM LIST'!A:A, "Code Not Found"))</f>
        <v>ALCROLTC -THALO BLUE-1L</v>
      </c>
      <c r="E790" s="191" t="s">
        <v>1190</v>
      </c>
      <c r="F790" s="37" t="s">
        <v>1204</v>
      </c>
      <c r="G790" s="31">
        <v>1.0</v>
      </c>
      <c r="H790" s="39" t="str">
        <f t="array" ref="H790">IFERROR(XLOOKUP(D790,'MASTER ITEM LIST'!A:A,'MASTER ITEM LIST'!D:D), "")</f>
        <v>LITER</v>
      </c>
      <c r="I790" s="40"/>
      <c r="J790" s="41">
        <f t="shared" si="2"/>
        <v>0</v>
      </c>
    </row>
    <row r="791" ht="22.5" customHeight="1">
      <c r="A791" s="29">
        <v>46216.0</v>
      </c>
      <c r="B791" s="31"/>
      <c r="C791" s="32" t="s">
        <v>1203</v>
      </c>
      <c r="D791" s="190" t="str">
        <f t="array" ref="D791">IF(E791="", "", XLOOKUP(E791, 'MASTER ITEM LIST'!B:B, 'MASTER ITEM LIST'!A:A, "Code Not Found"))</f>
        <v>PGMC-4L</v>
      </c>
      <c r="E791" s="88" t="s">
        <v>59</v>
      </c>
      <c r="F791" s="37" t="s">
        <v>1204</v>
      </c>
      <c r="G791" s="31">
        <v>1.0</v>
      </c>
      <c r="H791" s="39" t="str">
        <f t="array" ref="H791">IFERROR(XLOOKUP(D791,'MASTER ITEM LIST'!A:A,'MASTER ITEM LIST'!D:D), "")</f>
        <v>GALON</v>
      </c>
      <c r="I791" s="40"/>
      <c r="J791" s="41">
        <f t="shared" si="2"/>
        <v>0</v>
      </c>
    </row>
    <row r="792" ht="22.5" customHeight="1">
      <c r="A792" s="29">
        <v>46216.0</v>
      </c>
      <c r="B792" s="31"/>
      <c r="C792" s="32" t="s">
        <v>1203</v>
      </c>
      <c r="D792" s="190" t="str">
        <f t="array" ref="D792">IF(E792="", "", XLOOKUP(E792, 'MASTER ITEM LIST'!B:B, 'MASTER ITEM LIST'!A:A, "Code Not Found"))</f>
        <v>PGGO-4L</v>
      </c>
      <c r="E792" s="191" t="s">
        <v>446</v>
      </c>
      <c r="F792" s="37" t="s">
        <v>1204</v>
      </c>
      <c r="G792" s="31">
        <v>1.0</v>
      </c>
      <c r="H792" s="39" t="str">
        <f t="array" ref="H792">IFERROR(XLOOKUP(D792,'MASTER ITEM LIST'!A:A,'MASTER ITEM LIST'!D:D), "")</f>
        <v>GALON</v>
      </c>
      <c r="I792" s="40"/>
      <c r="J792" s="41">
        <f t="shared" si="2"/>
        <v>0</v>
      </c>
    </row>
    <row r="793" ht="22.5" customHeight="1">
      <c r="A793" s="29">
        <v>46216.0</v>
      </c>
      <c r="B793" s="31"/>
      <c r="C793" s="32" t="s">
        <v>1203</v>
      </c>
      <c r="D793" s="190" t="str">
        <f t="array" ref="D793">IF(E793="", "", XLOOKUP(E793, 'MASTER ITEM LIST'!B:B, 'MASTER ITEM LIST'!A:A, "Code Not Found"))</f>
        <v>PGGY-4L</v>
      </c>
      <c r="E793" s="191" t="s">
        <v>438</v>
      </c>
      <c r="F793" s="37" t="s">
        <v>1204</v>
      </c>
      <c r="G793" s="31">
        <v>1.0</v>
      </c>
      <c r="H793" s="39" t="str">
        <f t="array" ref="H793">IFERROR(XLOOKUP(D793,'MASTER ITEM LIST'!A:A,'MASTER ITEM LIST'!D:D), "")</f>
        <v>GALON</v>
      </c>
      <c r="I793" s="40"/>
      <c r="J793" s="41">
        <f t="shared" si="2"/>
        <v>0</v>
      </c>
    </row>
    <row r="794" ht="22.5" customHeight="1">
      <c r="A794" s="29">
        <v>46216.0</v>
      </c>
      <c r="B794" s="31"/>
      <c r="C794" s="32" t="s">
        <v>1205</v>
      </c>
      <c r="D794" s="190" t="str">
        <f t="array" ref="D794">IF(E794="", "", XLOOKUP(E794, 'MASTER ITEM LIST'!B:B, 'MASTER ITEM LIST'!A:A, "Code Not Found"))</f>
        <v>CRO-MT1</v>
      </c>
      <c r="E794" s="191" t="s">
        <v>1107</v>
      </c>
      <c r="F794" s="37" t="s">
        <v>1204</v>
      </c>
      <c r="G794" s="31">
        <v>1.0</v>
      </c>
      <c r="H794" s="39" t="str">
        <f t="array" ref="H794">IFERROR(XLOOKUP(D794,'MASTER ITEM LIST'!A:A,'MASTER ITEM LIST'!D:D), "")</f>
        <v>PCS</v>
      </c>
      <c r="I794" s="40"/>
      <c r="J794" s="41">
        <f t="shared" si="2"/>
        <v>0</v>
      </c>
    </row>
    <row r="795" ht="22.5" customHeight="1">
      <c r="A795" s="29">
        <v>46216.0</v>
      </c>
      <c r="B795" s="31"/>
      <c r="C795" s="32" t="s">
        <v>1203</v>
      </c>
      <c r="D795" s="190" t="str">
        <f t="array" ref="D795">IF(E795="", "", XLOOKUP(E795, 'MASTER ITEM LIST'!B:B, 'MASTER ITEM LIST'!A:A, "Code Not Found"))</f>
        <v>NPA1372</v>
      </c>
      <c r="E795" s="191" t="s">
        <v>691</v>
      </c>
      <c r="F795" s="37" t="s">
        <v>1204</v>
      </c>
      <c r="G795" s="31">
        <v>1.0</v>
      </c>
      <c r="H795" s="39" t="str">
        <f t="array" ref="H795">IFERROR(XLOOKUP(D795,'MASTER ITEM LIST'!A:A,'MASTER ITEM LIST'!D:D), "")</f>
        <v>GAL</v>
      </c>
      <c r="I795" s="40"/>
      <c r="J795" s="41">
        <f t="shared" si="2"/>
        <v>0</v>
      </c>
    </row>
    <row r="796" ht="22.5" customHeight="1">
      <c r="A796" s="29">
        <v>46217.0</v>
      </c>
      <c r="B796" s="31"/>
      <c r="C796" s="32" t="s">
        <v>1203</v>
      </c>
      <c r="D796" s="190" t="str">
        <f t="array" ref="D796">IF(E796="", "", XLOOKUP(E796, 'MASTER ITEM LIST'!B:B, 'MASTER ITEM LIST'!A:A, "Code Not Found"))</f>
        <v>NXU1587-4L</v>
      </c>
      <c r="E796" s="191" t="s">
        <v>586</v>
      </c>
      <c r="F796" s="37" t="s">
        <v>1204</v>
      </c>
      <c r="G796" s="31">
        <v>1.0</v>
      </c>
      <c r="H796" s="39" t="str">
        <f t="array" ref="H796">IFERROR(XLOOKUP(D796,'MASTER ITEM LIST'!A:A,'MASTER ITEM LIST'!D:D), "")</f>
        <v>GAL</v>
      </c>
      <c r="I796" s="40"/>
      <c r="J796" s="41">
        <f t="shared" si="2"/>
        <v>0</v>
      </c>
    </row>
    <row r="797" ht="22.5" customHeight="1">
      <c r="A797" s="29">
        <v>46217.0</v>
      </c>
      <c r="B797" s="31"/>
      <c r="C797" s="32" t="s">
        <v>1203</v>
      </c>
      <c r="D797" s="190" t="str">
        <f t="array" ref="D797">IF(E797="", "", XLOOKUP(E797, 'MASTER ITEM LIST'!B:B, 'MASTER ITEM LIST'!A:A, "Code Not Found"))</f>
        <v>NXU4075-4L</v>
      </c>
      <c r="E797" s="191" t="s">
        <v>564</v>
      </c>
      <c r="F797" s="37" t="s">
        <v>1204</v>
      </c>
      <c r="G797" s="31">
        <v>1.0</v>
      </c>
      <c r="H797" s="39" t="str">
        <f t="array" ref="H797">IFERROR(XLOOKUP(D797,'MASTER ITEM LIST'!A:A,'MASTER ITEM LIST'!D:D), "")</f>
        <v>GAL</v>
      </c>
      <c r="I797" s="40"/>
      <c r="J797" s="41">
        <f t="shared" si="2"/>
        <v>0</v>
      </c>
    </row>
    <row r="798" ht="22.5" customHeight="1">
      <c r="A798" s="29">
        <v>46218.0</v>
      </c>
      <c r="B798" s="31"/>
      <c r="C798" s="32" t="s">
        <v>1203</v>
      </c>
      <c r="D798" s="190" t="str">
        <f t="array" ref="D798">IF(E798="", "", XLOOKUP(E798, 'MASTER ITEM LIST'!B:B, 'MASTER ITEM LIST'!A:A, "Code Not Found"))</f>
        <v>DCSG715-15L</v>
      </c>
      <c r="E798" s="191" t="s">
        <v>622</v>
      </c>
      <c r="F798" s="37" t="s">
        <v>1204</v>
      </c>
      <c r="G798" s="31">
        <v>1.0</v>
      </c>
      <c r="H798" s="39" t="str">
        <f t="array" ref="H798">IFERROR(XLOOKUP(D798,'MASTER ITEM LIST'!A:A,'MASTER ITEM LIST'!D:D), "")</f>
        <v>PAIL</v>
      </c>
      <c r="I798" s="40"/>
      <c r="J798" s="41">
        <f t="shared" si="2"/>
        <v>0</v>
      </c>
    </row>
    <row r="799" ht="22.5" customHeight="1">
      <c r="A799" s="29">
        <v>46218.0</v>
      </c>
      <c r="B799" s="31"/>
      <c r="C799" s="32" t="s">
        <v>1203</v>
      </c>
      <c r="D799" s="190" t="str">
        <f t="array" ref="D799">IF(E799="", "", XLOOKUP(E799, 'MASTER ITEM LIST'!B:B, 'MASTER ITEM LIST'!A:A, "Code Not Found"))</f>
        <v>ALCROLTC -THALO BLUE-1L</v>
      </c>
      <c r="E799" s="191" t="s">
        <v>1190</v>
      </c>
      <c r="F799" s="37" t="s">
        <v>1204</v>
      </c>
      <c r="G799" s="31">
        <v>3.0</v>
      </c>
      <c r="H799" s="39" t="str">
        <f t="array" ref="H799">IFERROR(XLOOKUP(D799,'MASTER ITEM LIST'!A:A,'MASTER ITEM LIST'!D:D), "")</f>
        <v>LITER</v>
      </c>
      <c r="I799" s="40"/>
      <c r="J799" s="41">
        <f t="shared" si="2"/>
        <v>0</v>
      </c>
    </row>
    <row r="800" ht="22.5" customHeight="1">
      <c r="A800" s="29">
        <v>46218.0</v>
      </c>
      <c r="B800" s="31"/>
      <c r="C800" s="32" t="s">
        <v>1203</v>
      </c>
      <c r="D800" s="190" t="str">
        <f t="array" ref="D800">IF(E800="", "", XLOOKUP(E800, 'MASTER ITEM LIST'!B:B, 'MASTER ITEM LIST'!A:A, "Code Not Found"))</f>
        <v>AC-10-1L</v>
      </c>
      <c r="E800" s="88" t="s">
        <v>188</v>
      </c>
      <c r="F800" s="37" t="s">
        <v>1204</v>
      </c>
      <c r="G800" s="31">
        <v>1.0</v>
      </c>
      <c r="H800" s="39" t="str">
        <f t="array" ref="H800">IFERROR(XLOOKUP(D800,'MASTER ITEM LIST'!A:A,'MASTER ITEM LIST'!D:D), "")</f>
        <v>1L</v>
      </c>
      <c r="I800" s="40"/>
      <c r="J800" s="41">
        <f t="shared" si="2"/>
        <v>0</v>
      </c>
    </row>
    <row r="801" ht="22.5" customHeight="1">
      <c r="A801" s="29">
        <v>46218.0</v>
      </c>
      <c r="B801" s="31"/>
      <c r="C801" s="32" t="s">
        <v>1203</v>
      </c>
      <c r="D801" s="190" t="str">
        <f t="array" ref="D801">IF(E801="", "", XLOOKUP(E801, 'MASTER ITEM LIST'!B:B, 'MASTER ITEM LIST'!A:A, "Code Not Found"))</f>
        <v>ROS-823</v>
      </c>
      <c r="E801" s="88" t="s">
        <v>166</v>
      </c>
      <c r="F801" s="37" t="s">
        <v>1204</v>
      </c>
      <c r="G801" s="31">
        <v>1.0</v>
      </c>
      <c r="H801" s="39" t="str">
        <f t="array" ref="H801">IFERROR(XLOOKUP(D801,'MASTER ITEM LIST'!A:A,'MASTER ITEM LIST'!D:D), "")</f>
        <v>4L</v>
      </c>
      <c r="I801" s="40"/>
      <c r="J801" s="41">
        <f t="shared" si="2"/>
        <v>0</v>
      </c>
    </row>
    <row r="802" ht="22.5" customHeight="1">
      <c r="A802" s="29">
        <v>46220.0</v>
      </c>
      <c r="B802" s="31"/>
      <c r="C802" s="32" t="s">
        <v>38</v>
      </c>
      <c r="D802" s="190" t="str">
        <f t="array" ref="D802">IF(E802="", "", XLOOKUP(E802, 'MASTER ITEM LIST'!B:B, 'MASTER ITEM LIST'!A:A, "Code Not Found"))</f>
        <v>NAT1161</v>
      </c>
      <c r="E802" s="191" t="s">
        <v>927</v>
      </c>
      <c r="F802" s="37" t="s">
        <v>41</v>
      </c>
      <c r="G802" s="31">
        <v>1.0</v>
      </c>
      <c r="H802" s="39" t="str">
        <f t="array" ref="H802">IFERROR(XLOOKUP(D802,'MASTER ITEM LIST'!A:A,'MASTER ITEM LIST'!D:D), "")</f>
        <v>LITER</v>
      </c>
      <c r="I802" s="40">
        <v>940.0</v>
      </c>
      <c r="J802" s="41">
        <f t="shared" si="2"/>
        <v>940</v>
      </c>
    </row>
    <row r="803" ht="22.5" customHeight="1">
      <c r="A803" s="29">
        <v>46220.0</v>
      </c>
      <c r="B803" s="31"/>
      <c r="C803" s="32" t="s">
        <v>38</v>
      </c>
      <c r="D803" s="190" t="str">
        <f t="array" ref="D803">IF(E803="", "", XLOOKUP(E803, 'MASTER ITEM LIST'!B:B, 'MASTER ITEM LIST'!A:A, "Code Not Found"))</f>
        <v>NAX108</v>
      </c>
      <c r="E803" s="191" t="s">
        <v>960</v>
      </c>
      <c r="F803" s="37" t="s">
        <v>41</v>
      </c>
      <c r="G803" s="31">
        <v>24.0</v>
      </c>
      <c r="H803" s="39" t="str">
        <f t="array" ref="H803">IFERROR(XLOOKUP(D803,'MASTER ITEM LIST'!A:A,'MASTER ITEM LIST'!D:D), "")</f>
        <v>LITER</v>
      </c>
      <c r="I803" s="40">
        <v>560.0</v>
      </c>
      <c r="J803" s="41">
        <f t="shared" si="2"/>
        <v>13440</v>
      </c>
    </row>
    <row r="804" ht="22.5" customHeight="1">
      <c r="A804" s="29">
        <v>46220.0</v>
      </c>
      <c r="B804" s="31"/>
      <c r="C804" s="32" t="s">
        <v>38</v>
      </c>
      <c r="D804" s="190" t="str">
        <f t="array" ref="D804">IF(E804="", "", XLOOKUP(E804, 'MASTER ITEM LIST'!B:B, 'MASTER ITEM LIST'!A:A, "Code Not Found"))</f>
        <v>NAT1164</v>
      </c>
      <c r="E804" s="191" t="s">
        <v>924</v>
      </c>
      <c r="F804" s="37" t="s">
        <v>41</v>
      </c>
      <c r="G804" s="31">
        <v>1.0</v>
      </c>
      <c r="H804" s="39" t="str">
        <f t="array" ref="H804">IFERROR(XLOOKUP(D804,'MASTER ITEM LIST'!A:A,'MASTER ITEM LIST'!D:D), "")</f>
        <v>LITER</v>
      </c>
      <c r="I804" s="40">
        <v>875.0</v>
      </c>
      <c r="J804" s="41">
        <f t="shared" si="2"/>
        <v>875</v>
      </c>
    </row>
    <row r="805" ht="22.5" customHeight="1">
      <c r="A805" s="29">
        <v>46220.0</v>
      </c>
      <c r="B805" s="31"/>
      <c r="C805" s="32" t="s">
        <v>38</v>
      </c>
      <c r="D805" s="190" t="str">
        <f t="array" ref="D805">IF(E805="", "", XLOOKUP(E805, 'MASTER ITEM LIST'!B:B, 'MASTER ITEM LIST'!A:A, "Code Not Found"))</f>
        <v>MEG3602-4L</v>
      </c>
      <c r="E805" s="191" t="s">
        <v>971</v>
      </c>
      <c r="F805" s="37" t="s">
        <v>41</v>
      </c>
      <c r="G805" s="31">
        <v>2.0</v>
      </c>
      <c r="H805" s="39" t="str">
        <f t="array" ref="H805">IFERROR(XLOOKUP(D805,'MASTER ITEM LIST'!A:A,'MASTER ITEM LIST'!D:D), "")</f>
        <v>GAL</v>
      </c>
      <c r="I805" s="40">
        <v>955.0</v>
      </c>
      <c r="J805" s="41">
        <f t="shared" si="2"/>
        <v>1910</v>
      </c>
    </row>
    <row r="806" ht="22.5" customHeight="1">
      <c r="A806" s="29">
        <v>46220.0</v>
      </c>
      <c r="B806" s="31"/>
      <c r="C806" s="32" t="s">
        <v>38</v>
      </c>
      <c r="D806" s="190" t="str">
        <f t="array" ref="D806">IF(E806="", "", XLOOKUP(E806, 'MASTER ITEM LIST'!B:B, 'MASTER ITEM LIST'!A:A, "Code Not Found"))</f>
        <v>NLT-4L</v>
      </c>
      <c r="E806" s="191" t="s">
        <v>541</v>
      </c>
      <c r="F806" s="37" t="s">
        <v>41</v>
      </c>
      <c r="G806" s="31">
        <v>6.0</v>
      </c>
      <c r="H806" s="39" t="str">
        <f t="array" ref="H806">IFERROR(XLOOKUP(D806,'MASTER ITEM LIST'!A:A,'MASTER ITEM LIST'!D:D), "")</f>
        <v>GAL</v>
      </c>
      <c r="I806" s="40">
        <v>540.0</v>
      </c>
      <c r="J806" s="41">
        <f t="shared" si="2"/>
        <v>3240</v>
      </c>
    </row>
    <row r="807" ht="22.5" customHeight="1">
      <c r="A807" s="29">
        <v>46220.0</v>
      </c>
      <c r="B807" s="31"/>
      <c r="C807" s="32" t="s">
        <v>38</v>
      </c>
      <c r="D807" s="190" t="str">
        <f t="array" ref="D807">IF(E807="", "", XLOOKUP(E807, 'MASTER ITEM LIST'!B:B, 'MASTER ITEM LIST'!A:A, "Code Not Found"))</f>
        <v>NAT1159</v>
      </c>
      <c r="E807" s="191" t="s">
        <v>930</v>
      </c>
      <c r="F807" s="37" t="s">
        <v>41</v>
      </c>
      <c r="G807" s="31">
        <v>1.0</v>
      </c>
      <c r="H807" s="39" t="str">
        <f t="array" ref="H807">IFERROR(XLOOKUP(D807,'MASTER ITEM LIST'!A:A,'MASTER ITEM LIST'!D:D), "")</f>
        <v>LITER</v>
      </c>
      <c r="I807" s="40">
        <v>980.0</v>
      </c>
      <c r="J807" s="41">
        <f t="shared" si="2"/>
        <v>980</v>
      </c>
    </row>
    <row r="808" ht="22.5" customHeight="1">
      <c r="A808" s="29">
        <v>46220.0</v>
      </c>
      <c r="B808" s="31"/>
      <c r="C808" s="32" t="s">
        <v>38</v>
      </c>
      <c r="D808" s="190" t="str">
        <f t="array" ref="D808">IF(E808="", "", XLOOKUP(E808, 'MASTER ITEM LIST'!B:B, 'MASTER ITEM LIST'!A:A, "Code Not Found"))</f>
        <v>DOMBF-1L</v>
      </c>
      <c r="E808" s="191" t="s">
        <v>1065</v>
      </c>
      <c r="F808" s="37" t="s">
        <v>41</v>
      </c>
      <c r="G808" s="31">
        <v>12.0</v>
      </c>
      <c r="H808" s="39" t="str">
        <f t="array" ref="H808">IFERROR(XLOOKUP(D808,'MASTER ITEM LIST'!A:A,'MASTER ITEM LIST'!D:D), "")</f>
        <v>LITER</v>
      </c>
      <c r="I808" s="40">
        <v>165.0</v>
      </c>
      <c r="J808" s="41">
        <f t="shared" si="2"/>
        <v>1980</v>
      </c>
    </row>
    <row r="809" ht="22.5" customHeight="1">
      <c r="A809" s="29">
        <v>46220.0</v>
      </c>
      <c r="B809" s="31"/>
      <c r="C809" s="32" t="s">
        <v>38</v>
      </c>
      <c r="D809" s="190" t="str">
        <f t="array" ref="D809">IF(E809="", "", XLOOKUP(E809, 'MASTER ITEM LIST'!B:B, 'MASTER ITEM LIST'!A:A, "Code Not Found"))</f>
        <v>DOMBF-4L</v>
      </c>
      <c r="E809" s="191" t="s">
        <v>1064</v>
      </c>
      <c r="F809" s="37" t="s">
        <v>41</v>
      </c>
      <c r="G809" s="31">
        <v>6.0</v>
      </c>
      <c r="H809" s="39" t="str">
        <f t="array" ref="H809">IFERROR(XLOOKUP(D809,'MASTER ITEM LIST'!A:A,'MASTER ITEM LIST'!D:D), "")</f>
        <v>GAL</v>
      </c>
      <c r="I809" s="40">
        <v>680.0</v>
      </c>
      <c r="J809" s="41">
        <f t="shared" si="2"/>
        <v>4080</v>
      </c>
    </row>
    <row r="810" ht="22.5" customHeight="1">
      <c r="A810" s="29">
        <v>46220.0</v>
      </c>
      <c r="B810" s="31"/>
      <c r="C810" s="32" t="s">
        <v>38</v>
      </c>
      <c r="D810" s="190" t="str">
        <f t="array" ref="D810">IF(E810="", "", XLOOKUP(E810, 'MASTER ITEM LIST'!B:B, 'MASTER ITEM LIST'!A:A, "Code Not Found"))</f>
        <v>NAT3974</v>
      </c>
      <c r="E810" s="191" t="s">
        <v>885</v>
      </c>
      <c r="F810" s="37" t="s">
        <v>41</v>
      </c>
      <c r="G810" s="31">
        <v>2.0</v>
      </c>
      <c r="H810" s="39" t="str">
        <f t="array" ref="H810">IFERROR(XLOOKUP(D810,'MASTER ITEM LIST'!A:A,'MASTER ITEM LIST'!D:D), "")</f>
        <v>LITER</v>
      </c>
      <c r="I810" s="40">
        <v>590.0</v>
      </c>
      <c r="J810" s="41">
        <f t="shared" si="2"/>
        <v>1180</v>
      </c>
    </row>
    <row r="811" ht="22.5" customHeight="1">
      <c r="A811" s="29">
        <v>46220.0</v>
      </c>
      <c r="B811" s="31"/>
      <c r="C811" s="32" t="s">
        <v>38</v>
      </c>
      <c r="D811" s="190" t="str">
        <f t="array" ref="D811">IF(E811="", "", XLOOKUP(E811, 'MASTER ITEM LIST'!B:B, 'MASTER ITEM LIST'!A:A, "Code Not Found"))</f>
        <v>PRI1680</v>
      </c>
      <c r="E811" s="191" t="s">
        <v>1152</v>
      </c>
      <c r="F811" s="37" t="s">
        <v>41</v>
      </c>
      <c r="G811" s="31">
        <v>12.0</v>
      </c>
      <c r="H811" s="39" t="str">
        <f t="array" ref="H811">IFERROR(XLOOKUP(D811,'MASTER ITEM LIST'!A:A,'MASTER ITEM LIST'!D:D), "")</f>
        <v>LITER</v>
      </c>
      <c r="I811" s="40">
        <v>450.0</v>
      </c>
      <c r="J811" s="41">
        <f t="shared" si="2"/>
        <v>5400</v>
      </c>
    </row>
    <row r="812" ht="22.5" customHeight="1">
      <c r="A812" s="29">
        <v>46220.0</v>
      </c>
      <c r="B812" s="31"/>
      <c r="C812" s="32" t="s">
        <v>38</v>
      </c>
      <c r="D812" s="190" t="str">
        <f t="array" ref="D812">IF(E812="", "", XLOOKUP(E812, 'MASTER ITEM LIST'!B:B, 'MASTER ITEM LIST'!A:A, "Code Not Found"))</f>
        <v>NAT100-1L</v>
      </c>
      <c r="E812" s="191" t="s">
        <v>896</v>
      </c>
      <c r="F812" s="37" t="s">
        <v>41</v>
      </c>
      <c r="G812" s="31">
        <v>1.0</v>
      </c>
      <c r="H812" s="39" t="str">
        <f t="array" ref="H812">IFERROR(XLOOKUP(D812,'MASTER ITEM LIST'!A:A,'MASTER ITEM LIST'!D:D), "")</f>
        <v>LITER</v>
      </c>
      <c r="I812" s="40">
        <v>525.0</v>
      </c>
      <c r="J812" s="41">
        <f t="shared" si="2"/>
        <v>525</v>
      </c>
    </row>
    <row r="813" ht="22.5" customHeight="1">
      <c r="A813" s="29">
        <v>46220.0</v>
      </c>
      <c r="B813" s="31"/>
      <c r="C813" s="32" t="s">
        <v>38</v>
      </c>
      <c r="D813" s="190" t="str">
        <f t="array" ref="D813">IF(E813="", "", XLOOKUP(E813, 'MASTER ITEM LIST'!B:B, 'MASTER ITEM LIST'!A:A, "Code Not Found"))</f>
        <v>ALCROLTC -THALO BLUE-1L</v>
      </c>
      <c r="E813" s="191" t="s">
        <v>1190</v>
      </c>
      <c r="F813" s="37" t="s">
        <v>41</v>
      </c>
      <c r="G813" s="31">
        <v>1.0</v>
      </c>
      <c r="H813" s="39" t="str">
        <f t="array" ref="H813">IFERROR(XLOOKUP(D813,'MASTER ITEM LIST'!A:A,'MASTER ITEM LIST'!D:D), "")</f>
        <v>LITER</v>
      </c>
      <c r="I813" s="40">
        <v>130.0</v>
      </c>
      <c r="J813" s="41">
        <f t="shared" si="2"/>
        <v>130</v>
      </c>
    </row>
    <row r="814" ht="22.5" customHeight="1">
      <c r="A814" s="29">
        <v>46220.0</v>
      </c>
      <c r="B814" s="31"/>
      <c r="C814" s="32" t="s">
        <v>38</v>
      </c>
      <c r="D814" s="190" t="str">
        <f t="array" ref="D814">IF(E814="", "", XLOOKUP(E814, 'MASTER ITEM LIST'!B:B, 'MASTER ITEM LIST'!A:A, "Code Not Found"))</f>
        <v>PGMC-4L</v>
      </c>
      <c r="E814" s="191" t="s">
        <v>59</v>
      </c>
      <c r="F814" s="37" t="s">
        <v>41</v>
      </c>
      <c r="G814" s="31">
        <v>1.0</v>
      </c>
      <c r="H814" s="39" t="str">
        <f t="array" ref="H814">IFERROR(XLOOKUP(D814,'MASTER ITEM LIST'!A:A,'MASTER ITEM LIST'!D:D), "")</f>
        <v>GALON</v>
      </c>
      <c r="I814" s="40">
        <v>1850.0</v>
      </c>
      <c r="J814" s="41">
        <f t="shared" si="2"/>
        <v>1850</v>
      </c>
    </row>
    <row r="815" ht="22.5" customHeight="1">
      <c r="A815" s="29">
        <v>46220.0</v>
      </c>
      <c r="B815" s="31"/>
      <c r="C815" s="32" t="s">
        <v>38</v>
      </c>
      <c r="D815" s="190" t="str">
        <f t="array" ref="D815">IF(E815="", "", XLOOKUP(E815, 'MASTER ITEM LIST'!B:B, 'MASTER ITEM LIST'!A:A, "Code Not Found"))</f>
        <v>PGGO-4L</v>
      </c>
      <c r="E815" s="191" t="s">
        <v>446</v>
      </c>
      <c r="F815" s="37" t="s">
        <v>41</v>
      </c>
      <c r="G815" s="31">
        <v>1.0</v>
      </c>
      <c r="H815" s="39" t="str">
        <f t="array" ref="H815">IFERROR(XLOOKUP(D815,'MASTER ITEM LIST'!A:A,'MASTER ITEM LIST'!D:D), "")</f>
        <v>GALON</v>
      </c>
      <c r="I815" s="40">
        <v>3200.0</v>
      </c>
      <c r="J815" s="41">
        <f t="shared" si="2"/>
        <v>3200</v>
      </c>
    </row>
    <row r="816" ht="22.5" customHeight="1">
      <c r="A816" s="29">
        <v>46220.0</v>
      </c>
      <c r="B816" s="31"/>
      <c r="C816" s="32" t="s">
        <v>38</v>
      </c>
      <c r="D816" s="190" t="str">
        <f t="array" ref="D816">IF(E816="", "", XLOOKUP(E816, 'MASTER ITEM LIST'!B:B, 'MASTER ITEM LIST'!A:A, "Code Not Found"))</f>
        <v>PGGY-4L</v>
      </c>
      <c r="E816" s="191" t="s">
        <v>438</v>
      </c>
      <c r="F816" s="37" t="s">
        <v>41</v>
      </c>
      <c r="G816" s="31">
        <v>1.0</v>
      </c>
      <c r="H816" s="39" t="str">
        <f t="array" ref="H816">IFERROR(XLOOKUP(D816,'MASTER ITEM LIST'!A:A,'MASTER ITEM LIST'!D:D), "")</f>
        <v>GALON</v>
      </c>
      <c r="I816" s="40">
        <v>3200.0</v>
      </c>
      <c r="J816" s="41">
        <f t="shared" si="2"/>
        <v>3200</v>
      </c>
    </row>
    <row r="817" ht="22.5" customHeight="1">
      <c r="A817" s="29">
        <v>46220.0</v>
      </c>
      <c r="B817" s="31"/>
      <c r="C817" s="32" t="s">
        <v>38</v>
      </c>
      <c r="D817" s="190" t="str">
        <f t="array" ref="D817">IF(E817="", "", XLOOKUP(E817, 'MASTER ITEM LIST'!B:B, 'MASTER ITEM LIST'!A:A, "Code Not Found"))</f>
        <v>NXU4075-4L</v>
      </c>
      <c r="E817" s="191" t="s">
        <v>564</v>
      </c>
      <c r="F817" s="37" t="s">
        <v>41</v>
      </c>
      <c r="G817" s="31">
        <v>1.0</v>
      </c>
      <c r="H817" s="39" t="str">
        <f t="array" ref="H817">IFERROR(XLOOKUP(D817,'MASTER ITEM LIST'!A:A,'MASTER ITEM LIST'!D:D), "")</f>
        <v>GAL</v>
      </c>
      <c r="I817" s="40">
        <v>1640.0</v>
      </c>
      <c r="J817" s="41">
        <f t="shared" si="2"/>
        <v>1640</v>
      </c>
    </row>
    <row r="818" ht="22.5" customHeight="1">
      <c r="A818" s="29">
        <v>46219.0</v>
      </c>
      <c r="B818" s="31"/>
      <c r="C818" s="32" t="s">
        <v>1203</v>
      </c>
      <c r="D818" s="190" t="str">
        <f t="array" ref="D818">IF(E818="", "", XLOOKUP(E818, 'MASTER ITEM LIST'!B:B, 'MASTER ITEM LIST'!A:A, "Code Not Found"))</f>
        <v>PNB100</v>
      </c>
      <c r="E818" s="191" t="s">
        <v>719</v>
      </c>
      <c r="F818" s="37" t="s">
        <v>1204</v>
      </c>
      <c r="G818" s="31">
        <v>1.0</v>
      </c>
      <c r="H818" s="39" t="str">
        <f t="array" ref="H818">IFERROR(XLOOKUP(D818,'MASTER ITEM LIST'!A:A,'MASTER ITEM LIST'!D:D), "")</f>
        <v>GAL</v>
      </c>
      <c r="I818" s="40"/>
      <c r="J818" s="41">
        <f t="shared" si="2"/>
        <v>0</v>
      </c>
    </row>
    <row r="819" ht="22.5" customHeight="1">
      <c r="A819" s="29">
        <v>46219.0</v>
      </c>
      <c r="B819" s="31"/>
      <c r="C819" s="32" t="s">
        <v>1203</v>
      </c>
      <c r="D819" s="190" t="str">
        <f t="array" ref="D819">IF(E819="", "", XLOOKUP(E819, 'MASTER ITEM LIST'!B:B, 'MASTER ITEM LIST'!A:A, "Code Not Found"))</f>
        <v>NXU1338-4L</v>
      </c>
      <c r="E819" s="191" t="s">
        <v>561</v>
      </c>
      <c r="F819" s="37" t="s">
        <v>1204</v>
      </c>
      <c r="G819" s="31">
        <v>1.0</v>
      </c>
      <c r="H819" s="39" t="str">
        <f t="array" ref="H819">IFERROR(XLOOKUP(D819,'MASTER ITEM LIST'!A:A,'MASTER ITEM LIST'!D:D), "")</f>
        <v>GAL</v>
      </c>
      <c r="I819" s="40"/>
      <c r="J819" s="41">
        <f t="shared" si="2"/>
        <v>0</v>
      </c>
    </row>
    <row r="820" ht="22.5" customHeight="1">
      <c r="A820" s="29">
        <v>46219.0</v>
      </c>
      <c r="B820" s="31"/>
      <c r="C820" s="32" t="s">
        <v>1203</v>
      </c>
      <c r="D820" s="190" t="str">
        <f t="array" ref="D820">IF(E820="", "", XLOOKUP(E820, 'MASTER ITEM LIST'!B:B, 'MASTER ITEM LIST'!A:A, "Code Not Found"))</f>
        <v>NAT530</v>
      </c>
      <c r="E820" s="191" t="s">
        <v>882</v>
      </c>
      <c r="F820" s="37" t="s">
        <v>1204</v>
      </c>
      <c r="G820" s="31">
        <v>1.0</v>
      </c>
      <c r="H820" s="39" t="str">
        <f t="array" ref="H820">IFERROR(XLOOKUP(D820,'MASTER ITEM LIST'!A:A,'MASTER ITEM LIST'!D:D), "")</f>
        <v>LITER</v>
      </c>
      <c r="I820" s="40"/>
      <c r="J820" s="41">
        <f t="shared" si="2"/>
        <v>0</v>
      </c>
    </row>
    <row r="821" ht="22.5" customHeight="1">
      <c r="A821" s="29">
        <v>46220.0</v>
      </c>
      <c r="B821" s="31"/>
      <c r="C821" s="32" t="s">
        <v>1203</v>
      </c>
      <c r="D821" s="190" t="str">
        <f t="array" ref="D821">IF(E821="", "", XLOOKUP(E821, 'MASTER ITEM LIST'!B:B, 'MASTER ITEM LIST'!A:A, "Code Not Found"))</f>
        <v>SOB757</v>
      </c>
      <c r="E821" s="191" t="s">
        <v>91</v>
      </c>
      <c r="F821" s="37" t="s">
        <v>1204</v>
      </c>
      <c r="G821" s="31">
        <v>0.25</v>
      </c>
      <c r="H821" s="39" t="str">
        <f t="array" ref="H821">IFERROR(XLOOKUP(D821,'MASTER ITEM LIST'!A:A,'MASTER ITEM LIST'!D:D), "")</f>
        <v>GAL</v>
      </c>
      <c r="I821" s="40"/>
      <c r="J821" s="41">
        <f t="shared" si="2"/>
        <v>0</v>
      </c>
    </row>
    <row r="822" ht="22.5" customHeight="1">
      <c r="A822" s="29">
        <v>46221.0</v>
      </c>
      <c r="B822" s="31"/>
      <c r="C822" s="32" t="s">
        <v>1203</v>
      </c>
      <c r="D822" s="190" t="str">
        <f t="array" ref="D822">IF(E822="", "", XLOOKUP(E822, 'MASTER ITEM LIST'!B:B, 'MASTER ITEM LIST'!A:A, "Code Not Found"))</f>
        <v>DOITBLACK-4L</v>
      </c>
      <c r="E822" s="191" t="s">
        <v>1071</v>
      </c>
      <c r="F822" s="37" t="s">
        <v>1204</v>
      </c>
      <c r="G822" s="31">
        <v>1.0</v>
      </c>
      <c r="H822" s="39" t="str">
        <f t="array" ref="H822">IFERROR(XLOOKUP(D822,'MASTER ITEM LIST'!A:A,'MASTER ITEM LIST'!D:D), "")</f>
        <v>GAL/S</v>
      </c>
      <c r="I822" s="40"/>
      <c r="J822" s="41">
        <f t="shared" si="2"/>
        <v>0</v>
      </c>
    </row>
    <row r="823" ht="22.5" customHeight="1">
      <c r="A823" s="29">
        <v>46223.0</v>
      </c>
      <c r="B823" s="31"/>
      <c r="C823" s="32" t="s">
        <v>1203</v>
      </c>
      <c r="D823" s="190" t="str">
        <f t="array" ref="D823">IF(E823="", "", XLOOKUP(E823, 'MASTER ITEM LIST'!B:B, 'MASTER ITEM LIST'!A:A, "Code Not Found"))</f>
        <v>PLQDEY-4L</v>
      </c>
      <c r="E823" s="191" t="s">
        <v>459</v>
      </c>
      <c r="F823" s="37" t="s">
        <v>1204</v>
      </c>
      <c r="G823" s="31">
        <v>1.0</v>
      </c>
      <c r="H823" s="39" t="str">
        <f t="array" ref="H823">IFERROR(XLOOKUP(D823,'MASTER ITEM LIST'!A:A,'MASTER ITEM LIST'!D:D), "")</f>
        <v>GAL</v>
      </c>
      <c r="I823" s="40"/>
      <c r="J823" s="41">
        <f t="shared" si="2"/>
        <v>0</v>
      </c>
    </row>
    <row r="824" ht="22.5" customHeight="1">
      <c r="A824" s="29">
        <v>46223.0</v>
      </c>
      <c r="B824" s="31"/>
      <c r="C824" s="32" t="s">
        <v>1203</v>
      </c>
      <c r="D824" s="190" t="str">
        <f t="array" ref="D824">IF(E824="", "", XLOOKUP(E824, 'MASTER ITEM LIST'!B:B, 'MASTER ITEM LIST'!A:A, "Code Not Found"))</f>
        <v>DOITWHITE-4L</v>
      </c>
      <c r="E824" s="191" t="s">
        <v>1066</v>
      </c>
      <c r="F824" s="37" t="s">
        <v>1204</v>
      </c>
      <c r="G824" s="31">
        <v>1.0</v>
      </c>
      <c r="H824" s="39" t="str">
        <f t="array" ref="H824">IFERROR(XLOOKUP(D824,'MASTER ITEM LIST'!A:A,'MASTER ITEM LIST'!D:D), "")</f>
        <v>GAL/S</v>
      </c>
      <c r="I824" s="40"/>
      <c r="J824" s="41">
        <f t="shared" si="2"/>
        <v>0</v>
      </c>
    </row>
    <row r="825" ht="22.5" customHeight="1">
      <c r="A825" s="29">
        <v>46225.0</v>
      </c>
      <c r="B825" s="31"/>
      <c r="C825" s="32" t="s">
        <v>1203</v>
      </c>
      <c r="D825" s="190" t="str">
        <f t="array" ref="D825">IF(E825="", "", XLOOKUP(E825, 'MASTER ITEM LIST'!B:B, 'MASTER ITEM LIST'!A:A, "Code Not Found"))</f>
        <v>QDEMIX-1L</v>
      </c>
      <c r="E825" s="191" t="s">
        <v>135</v>
      </c>
      <c r="F825" s="37" t="s">
        <v>1347</v>
      </c>
      <c r="G825" s="31">
        <v>1.0</v>
      </c>
      <c r="H825" s="39" t="str">
        <f t="array" ref="H825">IFERROR(XLOOKUP(D825,'MASTER ITEM LIST'!A:A,'MASTER ITEM LIST'!D:D), "")</f>
        <v>LITER</v>
      </c>
      <c r="I825" s="40"/>
      <c r="J825" s="41">
        <f t="shared" si="2"/>
        <v>0</v>
      </c>
    </row>
    <row r="826" ht="22.5" customHeight="1">
      <c r="A826" s="29">
        <v>46225.0</v>
      </c>
      <c r="B826" s="31"/>
      <c r="C826" s="32" t="s">
        <v>1203</v>
      </c>
      <c r="D826" s="190" t="str">
        <f t="array" ref="D826">IF(E826="", "", XLOOKUP(E826, 'MASTER ITEM LIST'!B:B, 'MASTER ITEM LIST'!A:A, "Code Not Found"))</f>
        <v>UTMIX-1L</v>
      </c>
      <c r="E826" s="191" t="s">
        <v>109</v>
      </c>
      <c r="F826" s="37" t="s">
        <v>1347</v>
      </c>
      <c r="G826" s="31">
        <v>2.5</v>
      </c>
      <c r="H826" s="39" t="str">
        <f t="array" ref="H826">IFERROR(XLOOKUP(D826,'MASTER ITEM LIST'!A:A,'MASTER ITEM LIST'!D:D), "")</f>
        <v>LITER</v>
      </c>
      <c r="I826" s="40"/>
      <c r="J826" s="41">
        <f t="shared" si="2"/>
        <v>0</v>
      </c>
    </row>
    <row r="827" ht="22.5" customHeight="1">
      <c r="A827" s="29">
        <v>46225.0</v>
      </c>
      <c r="B827" s="31"/>
      <c r="C827" s="32" t="s">
        <v>1203</v>
      </c>
      <c r="D827" s="190" t="str">
        <f t="array" ref="D827">IF(E827="", "", XLOOKUP(E827, 'MASTER ITEM LIST'!B:B, 'MASTER ITEM LIST'!A:A, "Code Not Found"))</f>
        <v>PREMILAMIX-1L</v>
      </c>
      <c r="E827" s="191" t="s">
        <v>1151</v>
      </c>
      <c r="F827" s="37" t="s">
        <v>1347</v>
      </c>
      <c r="G827" s="31">
        <v>5.825</v>
      </c>
      <c r="H827" s="39" t="str">
        <f t="array" ref="H827">IFERROR(XLOOKUP(D827,'MASTER ITEM LIST'!A:A,'MASTER ITEM LIST'!D:D), "")</f>
        <v>LITER</v>
      </c>
      <c r="I827" s="40"/>
      <c r="J827" s="41">
        <f t="shared" si="2"/>
        <v>0</v>
      </c>
    </row>
    <row r="828" ht="22.5" customHeight="1">
      <c r="A828" s="29">
        <v>46225.0</v>
      </c>
      <c r="B828" s="31"/>
      <c r="C828" s="32" t="s">
        <v>1203</v>
      </c>
      <c r="D828" s="190" t="str">
        <f t="array" ref="D828">IF(E828="", "", XLOOKUP(E828, 'MASTER ITEM LIST'!B:B, 'MASTER ITEM LIST'!A:A, "Code Not Found"))</f>
        <v>NAXQDUMIX-1L</v>
      </c>
      <c r="E828" s="191" t="s">
        <v>1161</v>
      </c>
      <c r="F828" s="37" t="s">
        <v>1347</v>
      </c>
      <c r="G828" s="31">
        <v>2.375</v>
      </c>
      <c r="H828" s="39" t="str">
        <f t="array" ref="H828">IFERROR(XLOOKUP(D828,'MASTER ITEM LIST'!A:A,'MASTER ITEM LIST'!D:D), "")</f>
        <v>LITER</v>
      </c>
      <c r="I828" s="40"/>
      <c r="J828" s="41">
        <f t="shared" si="2"/>
        <v>0</v>
      </c>
    </row>
    <row r="829" ht="22.5" customHeight="1">
      <c r="A829" s="29">
        <v>46225.0</v>
      </c>
      <c r="B829" s="31"/>
      <c r="C829" s="32" t="s">
        <v>1203</v>
      </c>
      <c r="D829" s="190" t="str">
        <f t="array" ref="D829">IF(E829="", "", XLOOKUP(E829, 'MASTER ITEM LIST'!B:B, 'MASTER ITEM LIST'!A:A, "Code Not Found"))</f>
        <v>EXTREMEMIX-1L</v>
      </c>
      <c r="E829" s="20" t="s">
        <v>1164</v>
      </c>
      <c r="F829" s="37" t="s">
        <v>1347</v>
      </c>
      <c r="G829" s="31">
        <v>9.0</v>
      </c>
      <c r="H829" s="39" t="str">
        <f t="array" ref="H829">IFERROR(XLOOKUP(D829,'MASTER ITEM LIST'!A:A,'MASTER ITEM LIST'!D:D), "")</f>
        <v>LITER</v>
      </c>
      <c r="I829" s="40"/>
      <c r="J829" s="41">
        <f t="shared" si="2"/>
        <v>0</v>
      </c>
    </row>
    <row r="830" ht="22.5" customHeight="1">
      <c r="A830" s="29">
        <v>46225.0</v>
      </c>
      <c r="B830" s="31"/>
      <c r="C830" s="192" t="s">
        <v>1203</v>
      </c>
      <c r="D830" s="190" t="str">
        <f t="array" ref="D830">IF(E830="", "", XLOOKUP(E830, 'MASTER ITEM LIST'!B:B, 'MASTER ITEM LIST'!A:A, "Code Not Found"))</f>
        <v>UTMIX-4L</v>
      </c>
      <c r="E830" s="191" t="s">
        <v>1169</v>
      </c>
      <c r="F830" s="37" t="s">
        <v>1347</v>
      </c>
      <c r="G830" s="31">
        <v>2.0</v>
      </c>
      <c r="H830" s="39" t="str">
        <f t="array" ref="H830">IFERROR(XLOOKUP(D830,'MASTER ITEM LIST'!A:A,'MASTER ITEM LIST'!D:D), "")</f>
        <v>GALON</v>
      </c>
      <c r="I830" s="40"/>
      <c r="J830" s="41">
        <f t="shared" si="2"/>
        <v>0</v>
      </c>
    </row>
    <row r="831" ht="22.5" customHeight="1">
      <c r="A831" s="29">
        <v>46223.0</v>
      </c>
      <c r="B831" s="31"/>
      <c r="C831" s="32" t="s">
        <v>1203</v>
      </c>
      <c r="D831" s="190" t="str">
        <f t="array" ref="D831">IF(E831="", "", XLOOKUP(E831, 'MASTER ITEM LIST'!B:B, 'MASTER ITEM LIST'!A:A, "Code Not Found"))</f>
        <v>LATEXMIX-15L</v>
      </c>
      <c r="E831" s="191" t="s">
        <v>1188</v>
      </c>
      <c r="F831" s="37" t="s">
        <v>1347</v>
      </c>
      <c r="G831" s="31">
        <v>3.0</v>
      </c>
      <c r="H831" s="39" t="str">
        <f t="array" ref="H831">IFERROR(XLOOKUP(D831,'MASTER ITEM LIST'!A:A,'MASTER ITEM LIST'!D:D), "")</f>
        <v>PAIL</v>
      </c>
      <c r="I831" s="40"/>
      <c r="J831" s="41">
        <f t="shared" si="2"/>
        <v>0</v>
      </c>
    </row>
    <row r="832" ht="22.5" customHeight="1">
      <c r="A832" s="29">
        <v>46223.0</v>
      </c>
      <c r="B832" s="31"/>
      <c r="C832" s="32" t="s">
        <v>1205</v>
      </c>
      <c r="D832" s="190" t="str">
        <f t="array" ref="D832">IF(E832="", "", XLOOKUP(E832, 'MASTER ITEM LIST'!B:B, 'MASTER ITEM LIST'!A:A, "Code Not Found"))</f>
        <v>CRO-MT3/4</v>
      </c>
      <c r="E832" s="191" t="s">
        <v>1103</v>
      </c>
      <c r="F832" s="37" t="s">
        <v>1204</v>
      </c>
      <c r="G832" s="31">
        <v>1.0</v>
      </c>
      <c r="H832" s="39" t="str">
        <f t="array" ref="H832">IFERROR(XLOOKUP(D832,'MASTER ITEM LIST'!A:A,'MASTER ITEM LIST'!D:D), "")</f>
        <v>PC/S</v>
      </c>
      <c r="I832" s="40">
        <v>35.0</v>
      </c>
      <c r="J832" s="41">
        <f t="shared" si="2"/>
        <v>35</v>
      </c>
    </row>
    <row r="833" ht="22.5" customHeight="1">
      <c r="A833" s="29">
        <v>46224.0</v>
      </c>
      <c r="B833" s="31"/>
      <c r="C833" s="32" t="s">
        <v>1205</v>
      </c>
      <c r="D833" s="190" t="str">
        <f t="array" ref="D833">IF(E833="", "", XLOOKUP(E833, 'MASTER ITEM LIST'!B:B, 'MASTER ITEM LIST'!A:A, "Code Not Found"))</f>
        <v>WCPOD</v>
      </c>
      <c r="E833" s="191" t="s">
        <v>157</v>
      </c>
      <c r="F833" s="37" t="s">
        <v>1204</v>
      </c>
      <c r="G833" s="31">
        <v>1.0</v>
      </c>
      <c r="H833" s="39" t="str">
        <f t="array" ref="H833">IFERROR(XLOOKUP(D833,'MASTER ITEM LIST'!A:A,'MASTER ITEM LIST'!D:D), "")</f>
        <v>KL</v>
      </c>
      <c r="I833" s="40">
        <v>100.0</v>
      </c>
      <c r="J833" s="41">
        <f t="shared" si="2"/>
        <v>100</v>
      </c>
    </row>
    <row r="834" ht="22.5" customHeight="1">
      <c r="A834" s="29">
        <v>46224.0</v>
      </c>
      <c r="B834" s="31"/>
      <c r="C834" s="32" t="s">
        <v>1203</v>
      </c>
      <c r="D834" s="190" t="str">
        <f t="array" ref="D834">IF(E834="", "", XLOOKUP(E834, 'MASTER ITEM LIST'!B:B, 'MASTER ITEM LIST'!A:A, "Code Not Found"))</f>
        <v>NXU1965-4L</v>
      </c>
      <c r="E834" s="191" t="s">
        <v>589</v>
      </c>
      <c r="F834" s="37" t="s">
        <v>1204</v>
      </c>
      <c r="G834" s="31">
        <v>1.0</v>
      </c>
      <c r="H834" s="39" t="str">
        <f t="array" ref="H834">IFERROR(XLOOKUP(D834,'MASTER ITEM LIST'!A:A,'MASTER ITEM LIST'!D:D), "")</f>
        <v>GAL</v>
      </c>
      <c r="I834" s="40"/>
      <c r="J834" s="41">
        <f t="shared" si="2"/>
        <v>0</v>
      </c>
    </row>
    <row r="835" ht="22.5" customHeight="1">
      <c r="A835" s="29">
        <v>46224.0</v>
      </c>
      <c r="B835" s="31"/>
      <c r="C835" s="32" t="s">
        <v>1203</v>
      </c>
      <c r="D835" s="190" t="str">
        <f t="array" ref="D835">IF(E835="", "", XLOOKUP(E835, 'MASTER ITEM LIST'!B:B, 'MASTER ITEM LIST'!A:A, "Code Not Found"))</f>
        <v>MT136</v>
      </c>
      <c r="E835" s="191" t="s">
        <v>791</v>
      </c>
      <c r="F835" s="37" t="s">
        <v>1204</v>
      </c>
      <c r="G835" s="31">
        <v>1.0</v>
      </c>
      <c r="H835" s="39" t="str">
        <f t="array" ref="H835">IFERROR(XLOOKUP(D835,'MASTER ITEM LIST'!A:A,'MASTER ITEM LIST'!D:D), "")</f>
        <v>LTR/S</v>
      </c>
      <c r="I835" s="40"/>
      <c r="J835" s="41">
        <f t="shared" si="2"/>
        <v>0</v>
      </c>
    </row>
    <row r="836" ht="22.5" customHeight="1">
      <c r="A836" s="29">
        <v>46224.0</v>
      </c>
      <c r="B836" s="31"/>
      <c r="C836" s="32" t="s">
        <v>1203</v>
      </c>
      <c r="D836" s="190" t="str">
        <f t="array" ref="D836">IF(E836="", "", XLOOKUP(E836, 'MASTER ITEM LIST'!B:B, 'MASTER ITEM LIST'!A:A, "Code Not Found"))</f>
        <v>MT083</v>
      </c>
      <c r="E836" s="191" t="s">
        <v>802</v>
      </c>
      <c r="F836" s="37" t="s">
        <v>1204</v>
      </c>
      <c r="G836" s="31">
        <v>1.0</v>
      </c>
      <c r="H836" s="39" t="str">
        <f t="array" ref="H836">IFERROR(XLOOKUP(D836,'MASTER ITEM LIST'!A:A,'MASTER ITEM LIST'!D:D), "")</f>
        <v>LTR/S</v>
      </c>
      <c r="I836" s="40"/>
      <c r="J836" s="41">
        <f t="shared" si="2"/>
        <v>0</v>
      </c>
    </row>
    <row r="837" ht="22.5" customHeight="1">
      <c r="A837" s="29">
        <v>46224.0</v>
      </c>
      <c r="B837" s="31"/>
      <c r="C837" s="32" t="s">
        <v>1203</v>
      </c>
      <c r="D837" s="190" t="str">
        <f t="array" ref="D837">IF(E837="", "", XLOOKUP(E837, 'MASTER ITEM LIST'!B:B, 'MASTER ITEM LIST'!A:A, "Code Not Found"))</f>
        <v>PNB100</v>
      </c>
      <c r="E837" s="191" t="s">
        <v>719</v>
      </c>
      <c r="F837" s="37" t="s">
        <v>1204</v>
      </c>
      <c r="G837" s="31">
        <v>1.0</v>
      </c>
      <c r="H837" s="39" t="str">
        <f t="array" ref="H837">IFERROR(XLOOKUP(D837,'MASTER ITEM LIST'!A:A,'MASTER ITEM LIST'!D:D), "")</f>
        <v>GAL</v>
      </c>
      <c r="I837" s="40"/>
      <c r="J837" s="41">
        <f t="shared" si="2"/>
        <v>0</v>
      </c>
    </row>
    <row r="838" ht="22.5" customHeight="1">
      <c r="A838" s="29">
        <v>46227.0</v>
      </c>
      <c r="B838" s="31"/>
      <c r="C838" s="32" t="s">
        <v>1203</v>
      </c>
      <c r="D838" s="190" t="str">
        <f t="array" ref="D838">IF(E838="", "", XLOOKUP(E838, 'MASTER ITEM LIST'!B:B, 'MASTER ITEM LIST'!A:A, "Code Not Found"))</f>
        <v>PNB100</v>
      </c>
      <c r="E838" s="191" t="s">
        <v>719</v>
      </c>
      <c r="F838" s="37" t="s">
        <v>1204</v>
      </c>
      <c r="G838" s="31">
        <v>1.0</v>
      </c>
      <c r="H838" s="39" t="str">
        <f t="array" ref="H838">IFERROR(XLOOKUP(D838,'MASTER ITEM LIST'!A:A,'MASTER ITEM LIST'!D:D), "")</f>
        <v>GAL</v>
      </c>
      <c r="I838" s="40"/>
      <c r="J838" s="41">
        <f t="shared" si="2"/>
        <v>0</v>
      </c>
    </row>
    <row r="839" ht="22.5" customHeight="1">
      <c r="A839" s="29">
        <v>46227.0</v>
      </c>
      <c r="B839" s="31"/>
      <c r="C839" s="32" t="s">
        <v>1203</v>
      </c>
      <c r="D839" s="190" t="str">
        <f t="array" ref="D839">IF(E839="", "", XLOOKUP(E839, 'MASTER ITEM LIST'!B:B, 'MASTER ITEM LIST'!A:A, "Code Not Found"))</f>
        <v>PREMILAMIX-1L</v>
      </c>
      <c r="E839" s="20" t="s">
        <v>1151</v>
      </c>
      <c r="F839" s="37" t="s">
        <v>1347</v>
      </c>
      <c r="G839" s="31">
        <v>3.825</v>
      </c>
      <c r="H839" s="39" t="str">
        <f t="array" ref="H839">IFERROR(XLOOKUP(D839,'MASTER ITEM LIST'!A:A,'MASTER ITEM LIST'!D:D), "")</f>
        <v>LITER</v>
      </c>
      <c r="I839" s="40"/>
      <c r="J839" s="41">
        <f t="shared" si="2"/>
        <v>0</v>
      </c>
    </row>
    <row r="840" ht="22.5" customHeight="1">
      <c r="A840" s="29">
        <v>46227.0</v>
      </c>
      <c r="B840" s="31"/>
      <c r="C840" s="32" t="s">
        <v>1203</v>
      </c>
      <c r="D840" s="190" t="str">
        <f t="array" ref="D840">IF(E840="", "", XLOOKUP(E840, 'MASTER ITEM LIST'!B:B, 'MASTER ITEM LIST'!A:A, "Code Not Found"))</f>
        <v>NAXQDUMIX-1L</v>
      </c>
      <c r="E840" s="191" t="s">
        <v>1161</v>
      </c>
      <c r="F840" s="37" t="s">
        <v>1347</v>
      </c>
      <c r="G840" s="31">
        <v>1.0</v>
      </c>
      <c r="H840" s="39" t="str">
        <f t="array" ref="H840">IFERROR(XLOOKUP(D840,'MASTER ITEM LIST'!A:A,'MASTER ITEM LIST'!D:D), "")</f>
        <v>LITER</v>
      </c>
      <c r="I840" s="40"/>
      <c r="J840" s="41">
        <f t="shared" si="2"/>
        <v>0</v>
      </c>
    </row>
    <row r="841" ht="22.5" customHeight="1">
      <c r="A841" s="29">
        <v>46227.0</v>
      </c>
      <c r="B841" s="31"/>
      <c r="C841" s="32" t="s">
        <v>1203</v>
      </c>
      <c r="D841" s="190" t="str">
        <f t="array" ref="D841">IF(E841="", "", XLOOKUP(E841, 'MASTER ITEM LIST'!B:B, 'MASTER ITEM LIST'!A:A, "Code Not Found"))</f>
        <v>EXTREMEMIX-1L</v>
      </c>
      <c r="E841" s="191" t="s">
        <v>1164</v>
      </c>
      <c r="F841" s="37" t="s">
        <v>1347</v>
      </c>
      <c r="G841" s="31">
        <v>2.25</v>
      </c>
      <c r="H841" s="39" t="str">
        <f t="array" ref="H841">IFERROR(XLOOKUP(D841,'MASTER ITEM LIST'!A:A,'MASTER ITEM LIST'!D:D), "")</f>
        <v>LITER</v>
      </c>
      <c r="I841" s="40"/>
      <c r="J841" s="41">
        <f t="shared" si="2"/>
        <v>0</v>
      </c>
    </row>
    <row r="842" ht="22.5" customHeight="1">
      <c r="A842" s="29">
        <v>46228.0</v>
      </c>
      <c r="B842" s="31"/>
      <c r="C842" s="32" t="s">
        <v>1203</v>
      </c>
      <c r="D842" s="190" t="str">
        <f t="array" ref="D842">IF(E842="", "", XLOOKUP(E842, 'MASTER ITEM LIST'!B:B, 'MASTER ITEM LIST'!A:A, "Code Not Found"))</f>
        <v>PGAR-4L</v>
      </c>
      <c r="E842" s="191" t="s">
        <v>449</v>
      </c>
      <c r="F842" s="37" t="s">
        <v>1204</v>
      </c>
      <c r="G842" s="31">
        <v>1.0</v>
      </c>
      <c r="H842" s="39" t="str">
        <f t="array" ref="H842">IFERROR(XLOOKUP(D842,'MASTER ITEM LIST'!A:A,'MASTER ITEM LIST'!D:D), "")</f>
        <v>GALON</v>
      </c>
      <c r="I842" s="40"/>
      <c r="J842" s="41">
        <f t="shared" si="2"/>
        <v>0</v>
      </c>
    </row>
    <row r="843" ht="22.5" customHeight="1">
      <c r="A843" s="29">
        <v>46228.0</v>
      </c>
      <c r="B843" s="31" t="s">
        <v>1629</v>
      </c>
      <c r="C843" s="32" t="s">
        <v>38</v>
      </c>
      <c r="D843" s="190" t="str">
        <f t="array" ref="D843">IF(E843="", "", XLOOKUP(E843, 'MASTER ITEM LIST'!B:B, 'MASTER ITEM LIST'!A:A, "Code Not Found"))</f>
        <v>ALCROLTC -THALO BLUE-1L</v>
      </c>
      <c r="E843" s="191" t="s">
        <v>1190</v>
      </c>
      <c r="F843" s="37" t="s">
        <v>1347</v>
      </c>
      <c r="G843" s="31">
        <v>3.0</v>
      </c>
      <c r="H843" s="39" t="str">
        <f t="array" ref="H843">IFERROR(XLOOKUP(D843,'MASTER ITEM LIST'!A:A,'MASTER ITEM LIST'!D:D), "")</f>
        <v>LITER</v>
      </c>
      <c r="I843" s="40">
        <v>150.0</v>
      </c>
      <c r="J843" s="41">
        <f t="shared" si="2"/>
        <v>450</v>
      </c>
    </row>
    <row r="844" ht="22.5" customHeight="1">
      <c r="A844" s="29">
        <v>46228.0</v>
      </c>
      <c r="B844" s="31" t="s">
        <v>1629</v>
      </c>
      <c r="C844" s="32" t="s">
        <v>38</v>
      </c>
      <c r="D844" s="190" t="str">
        <f t="array" ref="D844">IF(E844="", "", XLOOKUP(E844, 'MASTER ITEM LIST'!B:B, 'MASTER ITEM LIST'!A:A, "Code Not Found"))</f>
        <v>ACRYPRIMER-4L</v>
      </c>
      <c r="E844" s="191" t="s">
        <v>1194</v>
      </c>
      <c r="F844" s="37" t="s">
        <v>1347</v>
      </c>
      <c r="G844" s="31">
        <v>1.0</v>
      </c>
      <c r="H844" s="39" t="str">
        <f t="array" ref="H844">IFERROR(XLOOKUP(D844,'MASTER ITEM LIST'!A:A,'MASTER ITEM LIST'!D:D), "")</f>
        <v>GALON</v>
      </c>
      <c r="I844" s="40">
        <v>950.0</v>
      </c>
      <c r="J844" s="41">
        <f t="shared" si="2"/>
        <v>950</v>
      </c>
    </row>
    <row r="845" ht="22.5" customHeight="1">
      <c r="A845" s="29">
        <v>46228.0</v>
      </c>
      <c r="B845" s="31" t="s">
        <v>1629</v>
      </c>
      <c r="C845" s="32" t="s">
        <v>38</v>
      </c>
      <c r="D845" s="190" t="str">
        <f t="array" ref="D845">IF(E845="", "", XLOOKUP(E845, 'MASTER ITEM LIST'!B:B, 'MASTER ITEM LIST'!A:A, "Code Not Found"))</f>
        <v>NAX301</v>
      </c>
      <c r="E845" s="191" t="s">
        <v>958</v>
      </c>
      <c r="F845" s="37" t="s">
        <v>1347</v>
      </c>
      <c r="G845" s="31">
        <v>1.0</v>
      </c>
      <c r="H845" s="39" t="str">
        <f t="array" ref="H845">IFERROR(XLOOKUP(D845,'MASTER ITEM LIST'!A:A,'MASTER ITEM LIST'!D:D), "")</f>
        <v>LITER</v>
      </c>
      <c r="I845" s="40">
        <v>850.0</v>
      </c>
      <c r="J845" s="41">
        <f t="shared" si="2"/>
        <v>850</v>
      </c>
    </row>
    <row r="846" ht="22.5" customHeight="1">
      <c r="A846" s="29">
        <v>46228.0</v>
      </c>
      <c r="B846" s="31" t="s">
        <v>1629</v>
      </c>
      <c r="C846" s="32" t="s">
        <v>38</v>
      </c>
      <c r="D846" s="190" t="str">
        <f t="array" ref="D846">IF(E846="", "", XLOOKUP(E846, 'MASTER ITEM LIST'!B:B, 'MASTER ITEM LIST'!A:A, "Code Not Found"))</f>
        <v>FF151</v>
      </c>
      <c r="E846" s="191" t="s">
        <v>558</v>
      </c>
      <c r="F846" s="37" t="s">
        <v>1347</v>
      </c>
      <c r="G846" s="31">
        <v>1.0</v>
      </c>
      <c r="H846" s="39" t="str">
        <f t="array" ref="H846">IFERROR(XLOOKUP(D846,'MASTER ITEM LIST'!A:A,'MASTER ITEM LIST'!D:D), "")</f>
        <v>LTR</v>
      </c>
      <c r="I846" s="40">
        <v>1000.0</v>
      </c>
      <c r="J846" s="41">
        <f t="shared" si="2"/>
        <v>1000</v>
      </c>
    </row>
    <row r="847" ht="22.5" customHeight="1">
      <c r="A847" s="29">
        <v>46228.0</v>
      </c>
      <c r="B847" s="31" t="s">
        <v>1629</v>
      </c>
      <c r="C847" s="32" t="s">
        <v>38</v>
      </c>
      <c r="D847" s="190" t="str">
        <f t="array" ref="D847">IF(E847="", "", XLOOKUP(E847, 'MASTER ITEM LIST'!B:B, 'MASTER ITEM LIST'!A:A, "Code Not Found"))</f>
        <v>SOB757</v>
      </c>
      <c r="E847" s="191" t="s">
        <v>91</v>
      </c>
      <c r="F847" s="37" t="s">
        <v>1347</v>
      </c>
      <c r="G847" s="31">
        <v>12.0</v>
      </c>
      <c r="H847" s="39" t="str">
        <f t="array" ref="H847">IFERROR(XLOOKUP(D847,'MASTER ITEM LIST'!A:A,'MASTER ITEM LIST'!D:D), "")</f>
        <v>GAL</v>
      </c>
      <c r="I847" s="40">
        <v>650.0</v>
      </c>
      <c r="J847" s="41">
        <f t="shared" si="2"/>
        <v>7800</v>
      </c>
    </row>
    <row r="848" ht="22.5" customHeight="1">
      <c r="A848" s="29">
        <v>46228.0</v>
      </c>
      <c r="B848" s="31" t="s">
        <v>1629</v>
      </c>
      <c r="C848" s="32" t="s">
        <v>38</v>
      </c>
      <c r="D848" s="190" t="str">
        <f t="array" ref="D848">IF(E848="", "", XLOOKUP(E848, 'MASTER ITEM LIST'!B:B, 'MASTER ITEM LIST'!A:A, "Code Not Found"))</f>
        <v>EA400</v>
      </c>
      <c r="E848" s="191" t="s">
        <v>1043</v>
      </c>
      <c r="F848" s="37" t="s">
        <v>1347</v>
      </c>
      <c r="G848" s="31">
        <v>100.0</v>
      </c>
      <c r="H848" s="39" t="str">
        <f t="array" ref="H848">IFERROR(XLOOKUP(D848,'MASTER ITEM LIST'!A:A,'MASTER ITEM LIST'!D:D), "")</f>
        <v>PC/S</v>
      </c>
      <c r="I848" s="40">
        <v>28.5</v>
      </c>
      <c r="J848" s="41">
        <f t="shared" si="2"/>
        <v>2850</v>
      </c>
    </row>
    <row r="849" ht="22.5" customHeight="1">
      <c r="A849" s="29">
        <v>46228.0</v>
      </c>
      <c r="B849" s="31" t="s">
        <v>1629</v>
      </c>
      <c r="C849" s="32" t="s">
        <v>38</v>
      </c>
      <c r="D849" s="190" t="str">
        <f t="array" ref="D849">IF(E849="", "", XLOOKUP(E849, 'MASTER ITEM LIST'!B:B, 'MASTER ITEM LIST'!A:A, "Code Not Found"))</f>
        <v>DOITUH</v>
      </c>
      <c r="E849" s="191" t="s">
        <v>1186</v>
      </c>
      <c r="F849" s="37" t="s">
        <v>1347</v>
      </c>
      <c r="G849" s="31">
        <v>2.0</v>
      </c>
      <c r="H849" s="39" t="str">
        <f t="array" ref="H849">IFERROR(XLOOKUP(D849,'MASTER ITEM LIST'!A:A,'MASTER ITEM LIST'!D:D), "")</f>
        <v>CAN</v>
      </c>
      <c r="I849" s="40">
        <v>230.0</v>
      </c>
      <c r="J849" s="41">
        <f t="shared" si="2"/>
        <v>460</v>
      </c>
    </row>
    <row r="850" ht="22.5" customHeight="1">
      <c r="A850" s="29">
        <v>46228.0</v>
      </c>
      <c r="B850" s="31" t="s">
        <v>1629</v>
      </c>
      <c r="C850" s="32" t="s">
        <v>38</v>
      </c>
      <c r="D850" s="190" t="str">
        <f t="array" ref="D850">IF(E850="", "", XLOOKUP(E850, 'MASTER ITEM LIST'!B:B, 'MASTER ITEM LIST'!A:A, "Code Not Found"))</f>
        <v>TOBF-1L</v>
      </c>
      <c r="E850" s="191" t="s">
        <v>196</v>
      </c>
      <c r="F850" s="37" t="s">
        <v>1347</v>
      </c>
      <c r="G850" s="31">
        <v>12.0</v>
      </c>
      <c r="H850" s="39" t="str">
        <f t="array" ref="H850">IFERROR(XLOOKUP(D850,'MASTER ITEM LIST'!A:A,'MASTER ITEM LIST'!D:D), "")</f>
        <v>LTR</v>
      </c>
      <c r="I850" s="40">
        <v>175.0</v>
      </c>
      <c r="J850" s="41">
        <f t="shared" si="2"/>
        <v>2100</v>
      </c>
    </row>
    <row r="851" ht="22.5" customHeight="1">
      <c r="A851" s="29">
        <v>46228.0</v>
      </c>
      <c r="B851" s="31" t="s">
        <v>1629</v>
      </c>
      <c r="C851" s="32" t="s">
        <v>38</v>
      </c>
      <c r="D851" s="190" t="str">
        <f t="array" ref="D851">IF(E851="", "", XLOOKUP(E851, 'MASTER ITEM LIST'!B:B, 'MASTER ITEM LIST'!A:A, "Code Not Found"))</f>
        <v>PLYZMTB-47</v>
      </c>
      <c r="E851" s="191" t="s">
        <v>1198</v>
      </c>
      <c r="F851" s="37" t="s">
        <v>1347</v>
      </c>
      <c r="G851" s="31">
        <v>7.0</v>
      </c>
      <c r="H851" s="39" t="str">
        <f t="array" ref="H851">IFERROR(XLOOKUP(D851,'MASTER ITEM LIST'!A:A,'MASTER ITEM LIST'!D:D), "")</f>
        <v>CAN</v>
      </c>
      <c r="I851" s="40">
        <v>90.0</v>
      </c>
      <c r="J851" s="41">
        <f t="shared" si="2"/>
        <v>630</v>
      </c>
    </row>
    <row r="852" ht="22.5" customHeight="1">
      <c r="A852" s="29">
        <v>46228.0</v>
      </c>
      <c r="B852" s="31" t="s">
        <v>1629</v>
      </c>
      <c r="C852" s="32" t="s">
        <v>38</v>
      </c>
      <c r="D852" s="190" t="str">
        <f t="array" ref="D852">IF(E852="", "", XLOOKUP(E852, 'MASTER ITEM LIST'!B:B, 'MASTER ITEM LIST'!A:A, "Code Not Found"))</f>
        <v>PGAR-4L</v>
      </c>
      <c r="E852" s="191" t="s">
        <v>449</v>
      </c>
      <c r="F852" s="37" t="s">
        <v>1347</v>
      </c>
      <c r="G852" s="31">
        <v>1.0</v>
      </c>
      <c r="H852" s="39" t="str">
        <f t="array" ref="H852">IFERROR(XLOOKUP(D852,'MASTER ITEM LIST'!A:A,'MASTER ITEM LIST'!D:D), "")</f>
        <v>GALON</v>
      </c>
      <c r="I852" s="40">
        <v>2450.0</v>
      </c>
      <c r="J852" s="41">
        <f t="shared" si="2"/>
        <v>2450</v>
      </c>
    </row>
    <row r="853" ht="22.5" customHeight="1">
      <c r="A853" s="29">
        <v>46228.0</v>
      </c>
      <c r="B853" s="31"/>
      <c r="C853" s="32" t="s">
        <v>1203</v>
      </c>
      <c r="D853" s="190" t="str">
        <f t="array" ref="D853">IF(E853="", "", XLOOKUP(E853, 'MASTER ITEM LIST'!B:B, 'MASTER ITEM LIST'!A:A, "Code Not Found"))</f>
        <v>UTMIX-4L</v>
      </c>
      <c r="E853" s="88" t="s">
        <v>1169</v>
      </c>
      <c r="F853" s="37" t="s">
        <v>1347</v>
      </c>
      <c r="G853" s="31">
        <v>0.125</v>
      </c>
      <c r="H853" s="39" t="str">
        <f t="array" ref="H853">IFERROR(XLOOKUP(D853,'MASTER ITEM LIST'!A:A,'MASTER ITEM LIST'!D:D), "")</f>
        <v>GALON</v>
      </c>
      <c r="I853" s="40"/>
      <c r="J853" s="41">
        <f t="shared" si="2"/>
        <v>0</v>
      </c>
    </row>
    <row r="854" ht="22.5" customHeight="1">
      <c r="A854" s="29">
        <v>46197.0</v>
      </c>
      <c r="B854" s="31" t="s">
        <v>1345</v>
      </c>
      <c r="C854" s="32" t="s">
        <v>1346</v>
      </c>
      <c r="D854" s="190" t="str">
        <f t="array" ref="D854">IF(E854="", "", XLOOKUP(E854, 'MASTER ITEM LIST'!B:B, 'MASTER ITEM LIST'!A:A, "Code Not Found"))</f>
        <v>PG888-4L</v>
      </c>
      <c r="E854" s="191" t="s">
        <v>455</v>
      </c>
      <c r="F854" s="37" t="s">
        <v>1347</v>
      </c>
      <c r="G854" s="13">
        <v>1.875</v>
      </c>
      <c r="H854" s="39" t="str">
        <f t="array" ref="H854">IFERROR(XLOOKUP(D854,'MASTER ITEM LIST'!A:A,'MASTER ITEM LIST'!D:D), "")</f>
        <v>GALON</v>
      </c>
      <c r="I854" s="40"/>
      <c r="J854" s="41">
        <f t="shared" si="2"/>
        <v>0</v>
      </c>
    </row>
    <row r="855" ht="22.5" customHeight="1">
      <c r="A855" s="29">
        <v>46197.0</v>
      </c>
      <c r="B855" s="31" t="s">
        <v>1345</v>
      </c>
      <c r="C855" s="32" t="s">
        <v>1346</v>
      </c>
      <c r="D855" s="190" t="str">
        <f t="array" ref="D855">IF(E855="", "", XLOOKUP(E855, 'MASTER ITEM LIST'!B:B, 'MASTER ITEM LIST'!A:A, "Code Not Found"))</f>
        <v>NXU1587-4L</v>
      </c>
      <c r="E855" s="191" t="s">
        <v>586</v>
      </c>
      <c r="F855" s="37" t="s">
        <v>1347</v>
      </c>
      <c r="G855" s="31">
        <v>1.0</v>
      </c>
      <c r="H855" s="39" t="str">
        <f t="array" ref="H855">IFERROR(XLOOKUP(D855,'MASTER ITEM LIST'!A:A,'MASTER ITEM LIST'!D:D), "")</f>
        <v>GAL</v>
      </c>
      <c r="I855" s="40"/>
      <c r="J855" s="41">
        <f t="shared" si="2"/>
        <v>0</v>
      </c>
    </row>
    <row r="856" ht="22.5" customHeight="1">
      <c r="A856" s="29">
        <v>46197.0</v>
      </c>
      <c r="B856" s="31" t="s">
        <v>1345</v>
      </c>
      <c r="C856" s="32" t="s">
        <v>1346</v>
      </c>
      <c r="D856" s="190" t="str">
        <f t="array" ref="D856">IF(E856="", "", XLOOKUP(E856, 'MASTER ITEM LIST'!B:B, 'MASTER ITEM LIST'!A:A, "Code Not Found"))</f>
        <v>B-1750</v>
      </c>
      <c r="E856" s="191" t="s">
        <v>261</v>
      </c>
      <c r="F856" s="37" t="s">
        <v>1204</v>
      </c>
      <c r="G856" s="31">
        <v>3.0</v>
      </c>
      <c r="H856" s="39" t="str">
        <f t="array" ref="H856">IFERROR(XLOOKUP(D856,'MASTER ITEM LIST'!A:A,'MASTER ITEM LIST'!D:D), "")</f>
        <v>4L</v>
      </c>
      <c r="I856" s="40"/>
      <c r="J856" s="41">
        <f t="shared" si="2"/>
        <v>0</v>
      </c>
    </row>
    <row r="857" ht="22.5" customHeight="1">
      <c r="A857" s="29">
        <v>46197.0</v>
      </c>
      <c r="B857" s="31" t="s">
        <v>1345</v>
      </c>
      <c r="C857" s="32" t="s">
        <v>1346</v>
      </c>
      <c r="D857" s="190" t="str">
        <f t="array" ref="D857">IF(E857="", "", XLOOKUP(E857, 'MASTER ITEM LIST'!B:B, 'MASTER ITEM LIST'!A:A, "Code Not Found"))</f>
        <v>ROS-629-4L</v>
      </c>
      <c r="E857" s="191" t="s">
        <v>293</v>
      </c>
      <c r="F857" s="37" t="s">
        <v>1204</v>
      </c>
      <c r="G857" s="31">
        <v>1.25</v>
      </c>
      <c r="H857" s="39" t="str">
        <f t="array" ref="H857">IFERROR(XLOOKUP(D857,'MASTER ITEM LIST'!A:A,'MASTER ITEM LIST'!D:D), "")</f>
        <v>GALON</v>
      </c>
      <c r="I857" s="40"/>
      <c r="J857" s="41">
        <f t="shared" si="2"/>
        <v>0</v>
      </c>
    </row>
    <row r="858" ht="22.5" customHeight="1">
      <c r="A858" s="29">
        <v>46197.0</v>
      </c>
      <c r="B858" s="31" t="s">
        <v>1345</v>
      </c>
      <c r="C858" s="32" t="s">
        <v>1346</v>
      </c>
      <c r="D858" s="190" t="str">
        <f t="array" ref="D858">IF(E858="", "", XLOOKUP(E858, 'MASTER ITEM LIST'!B:B, 'MASTER ITEM LIST'!A:A, "Code Not Found"))</f>
        <v>PGFB-4L</v>
      </c>
      <c r="E858" s="191" t="s">
        <v>66</v>
      </c>
      <c r="F858" s="37" t="s">
        <v>1204</v>
      </c>
      <c r="G858" s="31">
        <v>1.0</v>
      </c>
      <c r="H858" s="39" t="str">
        <f t="array" ref="H858">IFERROR(XLOOKUP(D858,'MASTER ITEM LIST'!A:A,'MASTER ITEM LIST'!D:D), "")</f>
        <v>GALON</v>
      </c>
      <c r="I858" s="40"/>
      <c r="J858" s="41">
        <f t="shared" si="2"/>
        <v>0</v>
      </c>
    </row>
    <row r="859" ht="22.5" customHeight="1">
      <c r="A859" s="29">
        <v>46197.0</v>
      </c>
      <c r="B859" s="31" t="s">
        <v>1345</v>
      </c>
      <c r="C859" s="32" t="s">
        <v>1346</v>
      </c>
      <c r="D859" s="190" t="str">
        <f t="array" ref="D859">IF(E859="", "", XLOOKUP(E859, 'MASTER ITEM LIST'!B:B, 'MASTER ITEM LIST'!A:A, "Code Not Found"))</f>
        <v>PYLZANTPR-12</v>
      </c>
      <c r="E859" s="191" t="s">
        <v>411</v>
      </c>
      <c r="F859" s="37" t="s">
        <v>1204</v>
      </c>
      <c r="G859" s="31">
        <v>3.0</v>
      </c>
      <c r="H859" s="39" t="str">
        <f t="array" ref="H859">IFERROR(XLOOKUP(D859,'MASTER ITEM LIST'!A:A,'MASTER ITEM LIST'!D:D), "")</f>
        <v>CAN</v>
      </c>
      <c r="I859" s="40"/>
      <c r="J859" s="41">
        <f t="shared" si="2"/>
        <v>0</v>
      </c>
    </row>
    <row r="860" ht="22.5" customHeight="1">
      <c r="A860" s="29">
        <v>46197.0</v>
      </c>
      <c r="B860" s="31" t="s">
        <v>1345</v>
      </c>
      <c r="C860" s="32" t="s">
        <v>1346</v>
      </c>
      <c r="D860" s="190" t="str">
        <f t="array" ref="D860">IF(E860="", "", XLOOKUP(E860, 'MASTER ITEM LIST'!B:B, 'MASTER ITEM LIST'!A:A, "Code Not Found"))</f>
        <v>EPOXYTHNR-4L</v>
      </c>
      <c r="E860" s="191" t="s">
        <v>603</v>
      </c>
      <c r="F860" s="37" t="s">
        <v>1204</v>
      </c>
      <c r="G860" s="31">
        <v>2.075</v>
      </c>
      <c r="H860" s="39" t="str">
        <f t="array" ref="H860">IFERROR(XLOOKUP(D860,'MASTER ITEM LIST'!A:A,'MASTER ITEM LIST'!D:D), "")</f>
        <v>GAL/S</v>
      </c>
      <c r="I860" s="40"/>
      <c r="J860" s="41">
        <f t="shared" si="2"/>
        <v>0</v>
      </c>
    </row>
    <row r="861" ht="22.5" customHeight="1">
      <c r="A861" s="29">
        <v>46197.0</v>
      </c>
      <c r="B861" s="31" t="s">
        <v>1345</v>
      </c>
      <c r="C861" s="32" t="s">
        <v>1346</v>
      </c>
      <c r="D861" s="190" t="str">
        <f t="array" ref="D861">IF(E861="", "", XLOOKUP(E861, 'MASTER ITEM LIST'!B:B, 'MASTER ITEM LIST'!A:A, "Code Not Found"))</f>
        <v>MT003</v>
      </c>
      <c r="E861" s="191" t="s">
        <v>839</v>
      </c>
      <c r="F861" s="37" t="s">
        <v>1204</v>
      </c>
      <c r="G861" s="31">
        <v>1.0</v>
      </c>
      <c r="H861" s="39" t="str">
        <f t="array" ref="H861">IFERROR(XLOOKUP(D861,'MASTER ITEM LIST'!A:A,'MASTER ITEM LIST'!D:D), "")</f>
        <v>LTR/S</v>
      </c>
      <c r="I861" s="40"/>
      <c r="J861" s="41">
        <f t="shared" si="2"/>
        <v>0</v>
      </c>
    </row>
    <row r="862" ht="22.5" customHeight="1">
      <c r="A862" s="29">
        <v>46197.0</v>
      </c>
      <c r="B862" s="31" t="s">
        <v>1345</v>
      </c>
      <c r="C862" s="32" t="s">
        <v>1346</v>
      </c>
      <c r="D862" s="190" t="str">
        <f t="array" ref="D862">IF(E862="", "", XLOOKUP(E862, 'MASTER ITEM LIST'!B:B, 'MASTER ITEM LIST'!A:A, "Code Not Found"))</f>
        <v>NAT3974</v>
      </c>
      <c r="E862" s="191" t="s">
        <v>885</v>
      </c>
      <c r="F862" s="37" t="s">
        <v>1204</v>
      </c>
      <c r="G862" s="31">
        <v>0.5</v>
      </c>
      <c r="H862" s="39" t="str">
        <f t="array" ref="H862">IFERROR(XLOOKUP(D862,'MASTER ITEM LIST'!A:A,'MASTER ITEM LIST'!D:D), "")</f>
        <v>LITER</v>
      </c>
      <c r="I862" s="40"/>
      <c r="J862" s="41">
        <f t="shared" si="2"/>
        <v>0</v>
      </c>
    </row>
    <row r="863" ht="22.5" customHeight="1">
      <c r="A863" s="29">
        <v>46197.0</v>
      </c>
      <c r="B863" s="31"/>
      <c r="C863" s="32" t="s">
        <v>1203</v>
      </c>
      <c r="D863" s="190" t="str">
        <f t="array" ref="D863">IF(E863="", "", XLOOKUP(E863, 'MASTER ITEM LIST'!B:B, 'MASTER ITEM LIST'!A:A, "Code Not Found"))</f>
        <v>ROS-629-4L</v>
      </c>
      <c r="E863" s="191" t="s">
        <v>293</v>
      </c>
      <c r="F863" s="37" t="s">
        <v>1204</v>
      </c>
      <c r="G863" s="31">
        <v>1.0</v>
      </c>
      <c r="H863" s="39" t="str">
        <f t="array" ref="H863">IFERROR(XLOOKUP(D863,'MASTER ITEM LIST'!A:A,'MASTER ITEM LIST'!D:D), "")</f>
        <v>GALON</v>
      </c>
      <c r="I863" s="40"/>
      <c r="J863" s="41">
        <f t="shared" si="2"/>
        <v>0</v>
      </c>
    </row>
    <row r="864" ht="22.5" customHeight="1">
      <c r="A864" s="29">
        <v>46197.0</v>
      </c>
      <c r="B864" s="31"/>
      <c r="C864" s="32" t="s">
        <v>1203</v>
      </c>
      <c r="D864" s="190" t="str">
        <f t="array" ref="D864">IF(E864="", "", XLOOKUP(E864, 'MASTER ITEM LIST'!B:B, 'MASTER ITEM LIST'!A:A, "Code Not Found"))</f>
        <v>UTMIX-4L</v>
      </c>
      <c r="E864" s="191" t="s">
        <v>1169</v>
      </c>
      <c r="F864" s="37" t="s">
        <v>1204</v>
      </c>
      <c r="G864" s="31">
        <v>0.84375</v>
      </c>
      <c r="H864" s="39" t="str">
        <f t="array" ref="H864">IFERROR(XLOOKUP(D864,'MASTER ITEM LIST'!A:A,'MASTER ITEM LIST'!D:D), "")</f>
        <v>GALON</v>
      </c>
      <c r="I864" s="40"/>
      <c r="J864" s="41">
        <f t="shared" si="2"/>
        <v>0</v>
      </c>
    </row>
    <row r="865" ht="22.5" customHeight="1">
      <c r="A865" s="29">
        <v>46197.0</v>
      </c>
      <c r="B865" s="31"/>
      <c r="C865" s="32" t="s">
        <v>1203</v>
      </c>
      <c r="D865" s="190" t="str">
        <f t="array" ref="D865">IF(E865="", "", XLOOKUP(E865, 'MASTER ITEM LIST'!B:B, 'MASTER ITEM LIST'!A:A, "Code Not Found"))</f>
        <v>PGGW-4L</v>
      </c>
      <c r="E865" s="191" t="s">
        <v>443</v>
      </c>
      <c r="F865" s="37" t="s">
        <v>1204</v>
      </c>
      <c r="G865" s="31">
        <v>1.0</v>
      </c>
      <c r="H865" s="39" t="str">
        <f t="array" ref="H865">IFERROR(XLOOKUP(D865,'MASTER ITEM LIST'!A:A,'MASTER ITEM LIST'!D:D), "")</f>
        <v>GALON</v>
      </c>
      <c r="I865" s="40"/>
      <c r="J865" s="41">
        <f t="shared" si="2"/>
        <v>0</v>
      </c>
    </row>
    <row r="866" ht="22.5" customHeight="1">
      <c r="A866" s="29">
        <v>46197.0</v>
      </c>
      <c r="B866" s="31"/>
      <c r="C866" s="32" t="s">
        <v>1203</v>
      </c>
      <c r="D866" s="190" t="str">
        <f t="array" ref="D866">IF(E866="", "", XLOOKUP(E866, 'MASTER ITEM LIST'!B:B, 'MASTER ITEM LIST'!A:A, "Code Not Found"))</f>
        <v>PGGO-4L</v>
      </c>
      <c r="E866" s="191" t="s">
        <v>446</v>
      </c>
      <c r="F866" s="37" t="s">
        <v>1204</v>
      </c>
      <c r="G866" s="31">
        <v>1.0</v>
      </c>
      <c r="H866" s="39" t="str">
        <f t="array" ref="H866">IFERROR(XLOOKUP(D866,'MASTER ITEM LIST'!A:A,'MASTER ITEM LIST'!D:D), "")</f>
        <v>GALON</v>
      </c>
      <c r="I866" s="40"/>
      <c r="J866" s="41">
        <f t="shared" si="2"/>
        <v>0</v>
      </c>
    </row>
    <row r="867" ht="22.5" customHeight="1">
      <c r="A867" s="29">
        <v>46197.0</v>
      </c>
      <c r="B867" s="31"/>
      <c r="C867" s="32" t="s">
        <v>1203</v>
      </c>
      <c r="D867" s="190" t="str">
        <f t="array" ref="D867">IF(E867="", "", XLOOKUP(E867, 'MASTER ITEM LIST'!B:B, 'MASTER ITEM LIST'!A:A, "Code Not Found"))</f>
        <v>PGW-4L</v>
      </c>
      <c r="E867" s="191" t="s">
        <v>422</v>
      </c>
      <c r="F867" s="37" t="s">
        <v>1204</v>
      </c>
      <c r="G867" s="31">
        <v>0.84375</v>
      </c>
      <c r="H867" s="39" t="str">
        <f t="array" ref="H867">IFERROR(XLOOKUP(D867,'MASTER ITEM LIST'!A:A,'MASTER ITEM LIST'!D:D), "")</f>
        <v>GALON</v>
      </c>
      <c r="I867" s="40"/>
      <c r="J867" s="41">
        <f t="shared" si="2"/>
        <v>0</v>
      </c>
    </row>
    <row r="868" ht="22.5" customHeight="1">
      <c r="A868" s="29">
        <v>46197.0</v>
      </c>
      <c r="B868" s="31"/>
      <c r="C868" s="32" t="s">
        <v>1203</v>
      </c>
      <c r="D868" s="190" t="str">
        <f t="array" ref="D868">IF(E868="", "", XLOOKUP(E868, 'MASTER ITEM LIST'!B:B, 'MASTER ITEM LIST'!A:A, "Code Not Found"))</f>
        <v>NAXQDUMIX-4L</v>
      </c>
      <c r="E868" s="191" t="s">
        <v>1159</v>
      </c>
      <c r="F868" s="37" t="s">
        <v>1204</v>
      </c>
      <c r="G868" s="31">
        <v>1.0</v>
      </c>
      <c r="H868" s="39" t="str">
        <f t="array" ref="H868">IFERROR(XLOOKUP(D868,'MASTER ITEM LIST'!A:A,'MASTER ITEM LIST'!D:D), "")</f>
        <v>GALON</v>
      </c>
      <c r="I868" s="40"/>
      <c r="J868" s="41">
        <f t="shared" si="2"/>
        <v>0</v>
      </c>
    </row>
    <row r="869" ht="22.5" customHeight="1">
      <c r="A869" s="29">
        <v>46197.0</v>
      </c>
      <c r="B869" s="31"/>
      <c r="C869" s="32" t="s">
        <v>1203</v>
      </c>
      <c r="D869" s="190" t="str">
        <f t="array" ref="D869">IF(E869="", "", XLOOKUP(E869, 'MASTER ITEM LIST'!B:B, 'MASTER ITEM LIST'!A:A, "Code Not Found"))</f>
        <v>EXTREMEMIX-4L</v>
      </c>
      <c r="E869" s="191" t="s">
        <v>1163</v>
      </c>
      <c r="F869" s="37" t="s">
        <v>1204</v>
      </c>
      <c r="G869" s="31">
        <v>2.375</v>
      </c>
      <c r="H869" s="39" t="str">
        <f t="array" ref="H869">IFERROR(XLOOKUP(D869,'MASTER ITEM LIST'!A:A,'MASTER ITEM LIST'!D:D), "")</f>
        <v>GALON</v>
      </c>
      <c r="I869" s="40"/>
      <c r="J869" s="41">
        <f t="shared" si="2"/>
        <v>0</v>
      </c>
    </row>
    <row r="870" ht="22.5" customHeight="1">
      <c r="A870" s="29">
        <v>46197.0</v>
      </c>
      <c r="B870" s="31"/>
      <c r="C870" s="32" t="s">
        <v>1203</v>
      </c>
      <c r="D870" s="190" t="str">
        <f t="array" ref="D870">IF(E870="", "", XLOOKUP(E870, 'MASTER ITEM LIST'!B:B, 'MASTER ITEM LIST'!A:A, "Code Not Found"))</f>
        <v>ROS-TEMP-4L</v>
      </c>
      <c r="E870" s="191" t="s">
        <v>1171</v>
      </c>
      <c r="F870" s="37" t="s">
        <v>1204</v>
      </c>
      <c r="G870" s="31">
        <v>1.0</v>
      </c>
      <c r="H870" s="39" t="str">
        <f t="array" ref="H870">IFERROR(XLOOKUP(D870,'MASTER ITEM LIST'!A:A,'MASTER ITEM LIST'!D:D), "")</f>
        <v>GALON</v>
      </c>
      <c r="I870" s="40"/>
      <c r="J870" s="41">
        <f t="shared" si="2"/>
        <v>0</v>
      </c>
    </row>
    <row r="871" ht="22.5" customHeight="1">
      <c r="A871" s="29">
        <v>46227.0</v>
      </c>
      <c r="B871" s="31"/>
      <c r="C871" s="32" t="s">
        <v>1203</v>
      </c>
      <c r="D871" s="190" t="str">
        <f t="array" ref="D871">IF(E871="", "", XLOOKUP(E871, 'MASTER ITEM LIST'!B:B, 'MASTER ITEM LIST'!A:A, "Code Not Found"))</f>
        <v>ROS-629-4L</v>
      </c>
      <c r="E871" s="191" t="s">
        <v>293</v>
      </c>
      <c r="F871" s="37" t="s">
        <v>1347</v>
      </c>
      <c r="G871" s="31">
        <v>1.0</v>
      </c>
      <c r="H871" s="39" t="str">
        <f t="array" ref="H871">IFERROR(XLOOKUP(D871,'MASTER ITEM LIST'!A:A,'MASTER ITEM LIST'!D:D), "")</f>
        <v>GALON</v>
      </c>
      <c r="I871" s="40"/>
      <c r="J871" s="41">
        <f t="shared" si="2"/>
        <v>0</v>
      </c>
    </row>
    <row r="872" ht="22.5" customHeight="1">
      <c r="A872" s="29">
        <v>46197.0</v>
      </c>
      <c r="B872" s="31" t="s">
        <v>1345</v>
      </c>
      <c r="C872" s="32" t="s">
        <v>1346</v>
      </c>
      <c r="D872" s="190" t="str">
        <f t="array" ref="D872">IF(E872="", "", XLOOKUP(E872, 'MASTER ITEM LIST'!B:B, 'MASTER ITEM LIST'!A:A, "Code Not Found"))</f>
        <v>NFI46G-5KG</v>
      </c>
      <c r="E872" s="191" t="s">
        <v>549</v>
      </c>
      <c r="F872" s="37" t="s">
        <v>1204</v>
      </c>
      <c r="G872" s="31">
        <v>1.0</v>
      </c>
      <c r="H872" s="39" t="str">
        <f t="array" ref="H872">IFERROR(XLOOKUP(D872,'MASTER ITEM LIST'!A:A,'MASTER ITEM LIST'!D:D), "")</f>
        <v>5KG</v>
      </c>
      <c r="I872" s="40"/>
      <c r="J872" s="41">
        <f t="shared" si="2"/>
        <v>0</v>
      </c>
    </row>
    <row r="873" ht="22.5" customHeight="1">
      <c r="A873" s="29">
        <v>46227.0</v>
      </c>
      <c r="B873" s="31"/>
      <c r="C873" s="32" t="s">
        <v>1203</v>
      </c>
      <c r="D873" s="190" t="str">
        <f t="array" ref="D873">IF(E873="", "", XLOOKUP(E873, 'MASTER ITEM LIST'!B:B, 'MASTER ITEM LIST'!A:A, "Code Not Found"))</f>
        <v>UNOLT-4L</v>
      </c>
      <c r="E873" s="191" t="s">
        <v>183</v>
      </c>
      <c r="F873" s="37" t="s">
        <v>1204</v>
      </c>
      <c r="G873" s="31">
        <v>0.875</v>
      </c>
      <c r="H873" s="39" t="str">
        <f t="array" ref="H873">IFERROR(XLOOKUP(D873,'MASTER ITEM LIST'!A:A,'MASTER ITEM LIST'!D:D), "")</f>
        <v>GAL/S</v>
      </c>
      <c r="I873" s="40"/>
      <c r="J873" s="41">
        <f t="shared" si="2"/>
        <v>0</v>
      </c>
    </row>
    <row r="874" ht="22.5" customHeight="1">
      <c r="A874" s="29">
        <v>46197.0</v>
      </c>
      <c r="B874" s="31" t="s">
        <v>1345</v>
      </c>
      <c r="C874" s="32" t="s">
        <v>1346</v>
      </c>
      <c r="D874" s="190" t="str">
        <f t="array" ref="D874">IF(E874="", "", XLOOKUP(E874, 'MASTER ITEM LIST'!B:B, 'MASTER ITEM LIST'!A:A, "Code Not Found"))</f>
        <v>ROBPNTSTRNR</v>
      </c>
      <c r="E874" s="191" t="s">
        <v>248</v>
      </c>
      <c r="F874" s="37" t="s">
        <v>1204</v>
      </c>
      <c r="G874" s="31">
        <v>5.0</v>
      </c>
      <c r="H874" s="39" t="str">
        <f t="array" ref="H874">IFERROR(XLOOKUP(D874,'MASTER ITEM LIST'!A:A,'MASTER ITEM LIST'!D:D), "")</f>
        <v>PC/S</v>
      </c>
      <c r="I874" s="40"/>
      <c r="J874" s="41">
        <f t="shared" si="2"/>
        <v>0</v>
      </c>
    </row>
    <row r="875" ht="22.5" customHeight="1">
      <c r="A875" s="29">
        <v>46227.0</v>
      </c>
      <c r="B875" s="31"/>
      <c r="C875" s="32" t="s">
        <v>1203</v>
      </c>
      <c r="D875" s="190" t="str">
        <f t="array" ref="D875">IF(E875="", "", XLOOKUP(E875, 'MASTER ITEM LIST'!B:B, 'MASTER ITEM LIST'!A:A, "Code Not Found"))</f>
        <v>AEMIX-4L</v>
      </c>
      <c r="E875" s="191" t="s">
        <v>1067</v>
      </c>
      <c r="F875" s="37" t="s">
        <v>1204</v>
      </c>
      <c r="G875" s="31">
        <v>0.75</v>
      </c>
      <c r="H875" s="39" t="str">
        <f t="array" ref="H875">IFERROR(XLOOKUP(D875,'MASTER ITEM LIST'!A:A,'MASTER ITEM LIST'!D:D), "")</f>
        <v>GAL</v>
      </c>
      <c r="I875" s="40"/>
      <c r="J875" s="41">
        <f t="shared" si="2"/>
        <v>0</v>
      </c>
    </row>
    <row r="876" ht="22.5" customHeight="1">
      <c r="A876" s="29">
        <v>46227.0</v>
      </c>
      <c r="B876" s="31"/>
      <c r="C876" s="32" t="s">
        <v>1203</v>
      </c>
      <c r="D876" s="190" t="str">
        <f t="array" ref="D876">IF(E876="", "", XLOOKUP(E876, 'MASTER ITEM LIST'!B:B, 'MASTER ITEM LIST'!A:A, "Code Not Found"))</f>
        <v>BSQDEW-GAL</v>
      </c>
      <c r="E876" s="88" t="s">
        <v>1123</v>
      </c>
      <c r="F876" s="37" t="s">
        <v>1204</v>
      </c>
      <c r="G876" s="31">
        <v>0.625</v>
      </c>
      <c r="H876" s="39" t="str">
        <f t="array" ref="H876">IFERROR(XLOOKUP(D876,'MASTER ITEM LIST'!A:A,'MASTER ITEM LIST'!D:D), "")</f>
        <v>GAL</v>
      </c>
      <c r="I876" s="40"/>
      <c r="J876" s="41">
        <f t="shared" si="2"/>
        <v>0</v>
      </c>
    </row>
    <row r="877" ht="22.5" customHeight="1">
      <c r="A877" s="29">
        <v>46197.0</v>
      </c>
      <c r="B877" s="31" t="s">
        <v>1345</v>
      </c>
      <c r="C877" s="32" t="s">
        <v>1346</v>
      </c>
      <c r="D877" s="190" t="str">
        <f t="array" ref="D877">IF(E877="", "", XLOOKUP(E877, 'MASTER ITEM LIST'!B:B, 'MASTER ITEM LIST'!A:A, "Code Not Found"))</f>
        <v>MT134</v>
      </c>
      <c r="E877" s="191" t="s">
        <v>792</v>
      </c>
      <c r="F877" s="37" t="s">
        <v>1347</v>
      </c>
      <c r="G877" s="31">
        <v>1.0</v>
      </c>
      <c r="H877" s="39" t="str">
        <f t="array" ref="H877">IFERROR(XLOOKUP(D877,'MASTER ITEM LIST'!A:A,'MASTER ITEM LIST'!D:D), "")</f>
        <v>LTR/S</v>
      </c>
      <c r="I877" s="40"/>
      <c r="J877" s="41">
        <f t="shared" si="2"/>
        <v>0</v>
      </c>
    </row>
    <row r="878" ht="22.5" customHeight="1">
      <c r="A878" s="29">
        <v>46227.0</v>
      </c>
      <c r="B878" s="31"/>
      <c r="C878" s="32" t="s">
        <v>1203</v>
      </c>
      <c r="D878" s="190" t="str">
        <f t="array" ref="D878">IF(E878="", "", XLOOKUP(E878, 'MASTER ITEM LIST'!B:B, 'MASTER ITEM LIST'!A:A, "Code Not Found"))</f>
        <v>MT081</v>
      </c>
      <c r="E878" s="191" t="s">
        <v>803</v>
      </c>
      <c r="F878" s="37" t="s">
        <v>1204</v>
      </c>
      <c r="G878" s="31">
        <v>1.0</v>
      </c>
      <c r="H878" s="39" t="str">
        <f t="array" ref="H878">IFERROR(XLOOKUP(D878,'MASTER ITEM LIST'!A:A,'MASTER ITEM LIST'!D:D), "")</f>
        <v>LTR/S</v>
      </c>
      <c r="I878" s="40"/>
      <c r="J878" s="41">
        <f t="shared" si="2"/>
        <v>0</v>
      </c>
    </row>
    <row r="879" ht="22.5" customHeight="1">
      <c r="A879" s="29">
        <v>46227.0</v>
      </c>
      <c r="B879" s="31"/>
      <c r="C879" s="32" t="s">
        <v>1203</v>
      </c>
      <c r="D879" s="190" t="str">
        <f t="array" ref="D879">IF(E879="", "", XLOOKUP(E879, 'MASTER ITEM LIST'!B:B, 'MASTER ITEM LIST'!A:A, "Code Not Found"))</f>
        <v>MT075</v>
      </c>
      <c r="E879" s="191" t="s">
        <v>809</v>
      </c>
      <c r="F879" s="37" t="s">
        <v>1204</v>
      </c>
      <c r="G879" s="31">
        <v>1.0</v>
      </c>
      <c r="H879" s="39" t="str">
        <f t="array" ref="H879">IFERROR(XLOOKUP(D879,'MASTER ITEM LIST'!A:A,'MASTER ITEM LIST'!D:D), "")</f>
        <v>LTR/S</v>
      </c>
      <c r="I879" s="40"/>
      <c r="J879" s="41">
        <f t="shared" si="2"/>
        <v>0</v>
      </c>
    </row>
    <row r="880" ht="22.5" customHeight="1">
      <c r="A880" s="29">
        <v>46227.0</v>
      </c>
      <c r="B880" s="31"/>
      <c r="C880" s="32" t="s">
        <v>1203</v>
      </c>
      <c r="D880" s="190" t="str">
        <f t="array" ref="D880">IF(E880="", "", XLOOKUP(E880, 'MASTER ITEM LIST'!B:B, 'MASTER ITEM LIST'!A:A, "Code Not Found"))</f>
        <v>MT068</v>
      </c>
      <c r="E880" s="191" t="s">
        <v>814</v>
      </c>
      <c r="F880" s="37" t="s">
        <v>1204</v>
      </c>
      <c r="G880" s="31">
        <v>1.0</v>
      </c>
      <c r="H880" s="39" t="str">
        <f t="array" ref="H880">IFERROR(XLOOKUP(D880,'MASTER ITEM LIST'!A:A,'MASTER ITEM LIST'!D:D), "")</f>
        <v>LTR/S</v>
      </c>
      <c r="I880" s="40"/>
      <c r="J880" s="41">
        <f t="shared" si="2"/>
        <v>0</v>
      </c>
    </row>
    <row r="881" ht="22.5" customHeight="1">
      <c r="A881" s="29">
        <v>46197.0</v>
      </c>
      <c r="B881" s="31" t="s">
        <v>1345</v>
      </c>
      <c r="C881" s="32" t="s">
        <v>1346</v>
      </c>
      <c r="D881" s="190" t="str">
        <f t="array" ref="D881">IF(E881="", "", XLOOKUP(E881, 'MASTER ITEM LIST'!B:B, 'MASTER ITEM LIST'!A:A, "Code Not Found"))</f>
        <v>ROS-109</v>
      </c>
      <c r="E881" s="88" t="s">
        <v>279</v>
      </c>
      <c r="F881" s="37" t="s">
        <v>1204</v>
      </c>
      <c r="G881" s="31">
        <v>1.0</v>
      </c>
      <c r="H881" s="39" t="str">
        <f t="array" ref="H881">IFERROR(XLOOKUP(D881,'MASTER ITEM LIST'!A:A,'MASTER ITEM LIST'!D:D), "")</f>
        <v>GALON</v>
      </c>
      <c r="I881" s="40"/>
      <c r="J881" s="41">
        <f t="shared" si="2"/>
        <v>0</v>
      </c>
    </row>
    <row r="882" ht="22.5" customHeight="1">
      <c r="A882" s="29">
        <v>46197.0</v>
      </c>
      <c r="B882" s="31" t="s">
        <v>1345</v>
      </c>
      <c r="C882" s="32" t="s">
        <v>1346</v>
      </c>
      <c r="D882" s="190" t="str">
        <f t="array" ref="D882">IF(E882="", "", XLOOKUP(E882, 'MASTER ITEM LIST'!B:B, 'MASTER ITEM LIST'!A:A, "Code Not Found"))</f>
        <v>NPA1372</v>
      </c>
      <c r="E882" s="191" t="s">
        <v>691</v>
      </c>
      <c r="F882" s="37" t="s">
        <v>1204</v>
      </c>
      <c r="G882" s="31">
        <v>1.0</v>
      </c>
      <c r="H882" s="39" t="str">
        <f t="array" ref="H882">IFERROR(XLOOKUP(D882,'MASTER ITEM LIST'!A:A,'MASTER ITEM LIST'!D:D), "")</f>
        <v>GAL</v>
      </c>
      <c r="I882" s="40"/>
      <c r="J882" s="41">
        <f t="shared" si="2"/>
        <v>0</v>
      </c>
    </row>
    <row r="883" ht="22.5" customHeight="1">
      <c r="A883" s="29">
        <v>46197.0</v>
      </c>
      <c r="B883" s="31" t="s">
        <v>1345</v>
      </c>
      <c r="C883" s="32" t="s">
        <v>1346</v>
      </c>
      <c r="D883" s="190" t="str">
        <f t="array" ref="D883">IF(E883="", "", XLOOKUP(E883, 'MASTER ITEM LIST'!B:B, 'MASTER ITEM LIST'!A:A, "Code Not Found"))</f>
        <v>NPA1983</v>
      </c>
      <c r="E883" s="191" t="s">
        <v>696</v>
      </c>
      <c r="F883" s="37" t="s">
        <v>1204</v>
      </c>
      <c r="G883" s="31">
        <v>6.75</v>
      </c>
      <c r="H883" s="39" t="str">
        <f t="array" ref="H883">IFERROR(XLOOKUP(D883,'MASTER ITEM LIST'!A:A,'MASTER ITEM LIST'!D:D), "")</f>
        <v>GAL</v>
      </c>
      <c r="I883" s="40"/>
      <c r="J883" s="41">
        <f t="shared" si="2"/>
        <v>0</v>
      </c>
    </row>
    <row r="884" ht="22.5" customHeight="1">
      <c r="A884" s="29">
        <v>46197.0</v>
      </c>
      <c r="B884" s="31" t="s">
        <v>1345</v>
      </c>
      <c r="C884" s="32" t="s">
        <v>1346</v>
      </c>
      <c r="D884" s="190" t="str">
        <f t="array" ref="D884">IF(E884="", "", XLOOKUP(E884, 'MASTER ITEM LIST'!B:B, 'MASTER ITEM LIST'!A:A, "Code Not Found"))</f>
        <v>MT904</v>
      </c>
      <c r="E884" s="191" t="s">
        <v>721</v>
      </c>
      <c r="F884" s="37" t="s">
        <v>1204</v>
      </c>
      <c r="G884" s="31">
        <v>1.0</v>
      </c>
      <c r="H884" s="39" t="str">
        <f t="array" ref="H884">IFERROR(XLOOKUP(D884,'MASTER ITEM LIST'!A:A,'MASTER ITEM LIST'!D:D), "")</f>
        <v>LTR/S</v>
      </c>
      <c r="I884" s="40"/>
      <c r="J884" s="41">
        <f t="shared" si="2"/>
        <v>0</v>
      </c>
    </row>
    <row r="885" ht="22.5" customHeight="1">
      <c r="A885" s="29">
        <v>46197.0</v>
      </c>
      <c r="B885" s="31" t="s">
        <v>1345</v>
      </c>
      <c r="C885" s="32" t="s">
        <v>1346</v>
      </c>
      <c r="D885" s="190" t="str">
        <f t="array" ref="D885">IF(E885="", "", XLOOKUP(E885, 'MASTER ITEM LIST'!B:B, 'MASTER ITEM LIST'!A:A, "Code Not Found"))</f>
        <v>MT704</v>
      </c>
      <c r="E885" s="191" t="s">
        <v>743</v>
      </c>
      <c r="F885" s="37" t="s">
        <v>1347</v>
      </c>
      <c r="G885" s="31">
        <v>1.0</v>
      </c>
      <c r="H885" s="39" t="str">
        <f t="array" ref="H885">IFERROR(XLOOKUP(D885,'MASTER ITEM LIST'!A:A,'MASTER ITEM LIST'!D:D), "")</f>
        <v>LTR/S</v>
      </c>
      <c r="I885" s="40"/>
      <c r="J885" s="41">
        <f t="shared" si="2"/>
        <v>0</v>
      </c>
    </row>
    <row r="886" ht="22.5" customHeight="1">
      <c r="A886" s="29">
        <v>46197.0</v>
      </c>
      <c r="B886" s="31" t="s">
        <v>1345</v>
      </c>
      <c r="C886" s="32" t="s">
        <v>1346</v>
      </c>
      <c r="D886" s="190" t="str">
        <f t="array" ref="D886">IF(E886="", "", XLOOKUP(E886, 'MASTER ITEM LIST'!B:B, 'MASTER ITEM LIST'!A:A, "Code Not Found"))</f>
        <v>MT604</v>
      </c>
      <c r="E886" s="191" t="s">
        <v>753</v>
      </c>
      <c r="F886" s="37" t="s">
        <v>1204</v>
      </c>
      <c r="G886" s="31">
        <v>2.0</v>
      </c>
      <c r="H886" s="39" t="str">
        <f t="array" ref="H886">IFERROR(XLOOKUP(D886,'MASTER ITEM LIST'!A:A,'MASTER ITEM LIST'!D:D), "")</f>
        <v>LTR/S</v>
      </c>
      <c r="I886" s="40"/>
      <c r="J886" s="41">
        <f t="shared" si="2"/>
        <v>0</v>
      </c>
    </row>
    <row r="887" ht="22.5" customHeight="1">
      <c r="A887" s="29">
        <v>46197.0</v>
      </c>
      <c r="B887" s="31" t="s">
        <v>1345</v>
      </c>
      <c r="C887" s="32" t="s">
        <v>1346</v>
      </c>
      <c r="D887" s="190" t="str">
        <f t="array" ref="D887">IF(E887="", "", XLOOKUP(E887, 'MASTER ITEM LIST'!B:B, 'MASTER ITEM LIST'!A:A, "Code Not Found"))</f>
        <v>MT602</v>
      </c>
      <c r="E887" s="191" t="s">
        <v>757</v>
      </c>
      <c r="F887" s="37" t="s">
        <v>1347</v>
      </c>
      <c r="G887" s="31">
        <v>2.0</v>
      </c>
      <c r="H887" s="39" t="str">
        <f t="array" ref="H887">IFERROR(XLOOKUP(D887,'MASTER ITEM LIST'!A:A,'MASTER ITEM LIST'!D:D), "")</f>
        <v>LTR/S</v>
      </c>
      <c r="I887" s="40"/>
      <c r="J887" s="41">
        <f t="shared" si="2"/>
        <v>0</v>
      </c>
    </row>
    <row r="888" ht="22.5" customHeight="1">
      <c r="A888" s="29">
        <v>46197.0</v>
      </c>
      <c r="B888" s="31" t="s">
        <v>1345</v>
      </c>
      <c r="C888" s="32" t="s">
        <v>1346</v>
      </c>
      <c r="D888" s="190" t="str">
        <f t="array" ref="D888">IF(E888="", "", XLOOKUP(E888, 'MASTER ITEM LIST'!B:B, 'MASTER ITEM LIST'!A:A, "Code Not Found"))</f>
        <v>MT501</v>
      </c>
      <c r="E888" s="191" t="s">
        <v>772</v>
      </c>
      <c r="F888" s="37" t="s">
        <v>1347</v>
      </c>
      <c r="G888" s="31">
        <v>1.0</v>
      </c>
      <c r="H888" s="39" t="str">
        <f t="array" ref="H888">IFERROR(XLOOKUP(D888,'MASTER ITEM LIST'!A:A,'MASTER ITEM LIST'!D:D), "")</f>
        <v>LTR/S</v>
      </c>
      <c r="I888" s="40"/>
      <c r="J888" s="41">
        <f t="shared" si="2"/>
        <v>0</v>
      </c>
    </row>
    <row r="889" ht="22.5" customHeight="1">
      <c r="A889" s="29">
        <v>46227.0</v>
      </c>
      <c r="B889" s="31"/>
      <c r="C889" s="32" t="s">
        <v>1203</v>
      </c>
      <c r="D889" s="190" t="str">
        <f t="array" ref="D889">IF(E889="", "", XLOOKUP(E889, 'MASTER ITEM LIST'!B:B, 'MASTER ITEM LIST'!A:A, "Code Not Found"))</f>
        <v>ACRYLICMIX-1L</v>
      </c>
      <c r="E889" s="191" t="s">
        <v>1154</v>
      </c>
      <c r="F889" s="37" t="s">
        <v>1204</v>
      </c>
      <c r="G889" s="31">
        <v>0.0</v>
      </c>
      <c r="H889" s="39" t="str">
        <f t="array" ref="H889">IFERROR(XLOOKUP(D889,'MASTER ITEM LIST'!A:A,'MASTER ITEM LIST'!D:D), "")</f>
        <v>LITER</v>
      </c>
      <c r="I889" s="40"/>
      <c r="J889" s="41">
        <f t="shared" si="2"/>
        <v>0</v>
      </c>
    </row>
    <row r="890" ht="22.5" customHeight="1">
      <c r="A890" s="29">
        <v>46227.0</v>
      </c>
      <c r="B890" s="31"/>
      <c r="C890" s="32" t="s">
        <v>1203</v>
      </c>
      <c r="D890" s="190" t="str">
        <f t="array" ref="D890">IF(E890="", "", XLOOKUP(E890, 'MASTER ITEM LIST'!B:B, 'MASTER ITEM LIST'!A:A, "Code Not Found"))</f>
        <v>PREMILAMIX-1L</v>
      </c>
      <c r="E890" s="191" t="s">
        <v>1151</v>
      </c>
      <c r="F890" s="37" t="s">
        <v>1347</v>
      </c>
      <c r="G890" s="31">
        <v>29.25</v>
      </c>
      <c r="H890" s="39" t="str">
        <f t="array" ref="H890">IFERROR(XLOOKUP(D890,'MASTER ITEM LIST'!A:A,'MASTER ITEM LIST'!D:D), "")</f>
        <v>LITER</v>
      </c>
      <c r="I890" s="40"/>
      <c r="J890" s="41">
        <f t="shared" si="2"/>
        <v>0</v>
      </c>
    </row>
    <row r="891" ht="22.5" customHeight="1">
      <c r="A891" s="29">
        <v>46227.0</v>
      </c>
      <c r="B891" s="31"/>
      <c r="C891" s="32" t="s">
        <v>1203</v>
      </c>
      <c r="D891" s="190" t="str">
        <f t="array" ref="D891">IF(E891="", "", XLOOKUP(E891, 'MASTER ITEM LIST'!B:B, 'MASTER ITEM LIST'!A:A, "Code Not Found"))</f>
        <v>PLQDB-4L</v>
      </c>
      <c r="E891" s="191" t="s">
        <v>485</v>
      </c>
      <c r="F891" s="37" t="s">
        <v>1204</v>
      </c>
      <c r="G891" s="31">
        <v>0.25</v>
      </c>
      <c r="H891" s="39" t="str">
        <f t="array" ref="H891">IFERROR(XLOOKUP(D891,'MASTER ITEM LIST'!A:A,'MASTER ITEM LIST'!D:D), "")</f>
        <v>GAL</v>
      </c>
      <c r="I891" s="40"/>
      <c r="J891" s="41">
        <f t="shared" si="2"/>
        <v>0</v>
      </c>
    </row>
    <row r="892" ht="22.5" customHeight="1">
      <c r="A892" s="29">
        <v>46197.0</v>
      </c>
      <c r="B892" s="31" t="s">
        <v>1345</v>
      </c>
      <c r="C892" s="32" t="s">
        <v>1346</v>
      </c>
      <c r="D892" s="190" t="str">
        <f t="array" ref="D892">IF(E892="", "", XLOOKUP(E892, 'MASTER ITEM LIST'!B:B, 'MASTER ITEM LIST'!A:A, "Code Not Found"))</f>
        <v>PUT3050-4KG</v>
      </c>
      <c r="E892" s="191" t="s">
        <v>529</v>
      </c>
      <c r="F892" s="37" t="s">
        <v>1204</v>
      </c>
      <c r="G892" s="31">
        <v>1.0</v>
      </c>
      <c r="H892" s="39" t="str">
        <f t="array" ref="H892">IFERROR(XLOOKUP(D892,'MASTER ITEM LIST'!A:A,'MASTER ITEM LIST'!D:D), "")</f>
        <v>GAL</v>
      </c>
      <c r="I892" s="40"/>
      <c r="J892" s="41">
        <f t="shared" si="2"/>
        <v>0</v>
      </c>
    </row>
    <row r="893" ht="22.5" customHeight="1">
      <c r="A893" s="29">
        <v>46197.0</v>
      </c>
      <c r="B893" s="31" t="s">
        <v>1345</v>
      </c>
      <c r="C893" s="32" t="s">
        <v>1346</v>
      </c>
      <c r="D893" s="190" t="str">
        <f t="array" ref="D893">IF(E893="", "", XLOOKUP(E893, 'MASTER ITEM LIST'!B:B, 'MASTER ITEM LIST'!A:A, "Code Not Found"))</f>
        <v>NMPREDOX-LTR</v>
      </c>
      <c r="E893" s="191" t="s">
        <v>534</v>
      </c>
      <c r="F893" s="37" t="s">
        <v>1204</v>
      </c>
      <c r="G893" s="31">
        <v>2.0</v>
      </c>
      <c r="H893" s="39" t="str">
        <f t="array" ref="H893">IFERROR(XLOOKUP(D893,'MASTER ITEM LIST'!A:A,'MASTER ITEM LIST'!D:D), "")</f>
        <v>LTR</v>
      </c>
      <c r="I893" s="40"/>
      <c r="J893" s="41">
        <f t="shared" si="2"/>
        <v>0</v>
      </c>
    </row>
    <row r="894" ht="22.5" customHeight="1">
      <c r="A894" s="29">
        <v>46227.0</v>
      </c>
      <c r="B894" s="31"/>
      <c r="C894" s="32" t="s">
        <v>1203</v>
      </c>
      <c r="D894" s="190" t="str">
        <f t="array" ref="D894">IF(E894="", "", XLOOKUP(E894, 'MASTER ITEM LIST'!B:B, 'MASTER ITEM LIST'!A:A, "Code Not Found"))</f>
        <v>NXU1338-4L</v>
      </c>
      <c r="E894" s="191" t="s">
        <v>561</v>
      </c>
      <c r="F894" s="37" t="s">
        <v>1204</v>
      </c>
      <c r="G894" s="31">
        <v>3.9375</v>
      </c>
      <c r="H894" s="39" t="str">
        <f t="array" ref="H894">IFERROR(XLOOKUP(D894,'MASTER ITEM LIST'!A:A,'MASTER ITEM LIST'!D:D), "")</f>
        <v>GAL</v>
      </c>
      <c r="I894" s="40"/>
      <c r="J894" s="41">
        <f t="shared" si="2"/>
        <v>0</v>
      </c>
    </row>
    <row r="895" ht="22.5" customHeight="1">
      <c r="A895" s="29">
        <v>46227.0</v>
      </c>
      <c r="B895" s="31"/>
      <c r="C895" s="32" t="s">
        <v>1203</v>
      </c>
      <c r="D895" s="190" t="str">
        <f t="array" ref="D895">IF(E895="", "", XLOOKUP(E895, 'MASTER ITEM LIST'!B:B, 'MASTER ITEM LIST'!A:A, "Code Not Found"))</f>
        <v>NXU1224-4L</v>
      </c>
      <c r="E895" s="191" t="s">
        <v>575</v>
      </c>
      <c r="F895" s="37" t="s">
        <v>1204</v>
      </c>
      <c r="G895" s="31">
        <v>1.0</v>
      </c>
      <c r="H895" s="39" t="str">
        <f t="array" ref="H895">IFERROR(XLOOKUP(D895,'MASTER ITEM LIST'!A:A,'MASTER ITEM LIST'!D:D), "")</f>
        <v>GAL</v>
      </c>
      <c r="I895" s="40"/>
      <c r="J895" s="41">
        <f t="shared" si="2"/>
        <v>0</v>
      </c>
    </row>
    <row r="896" ht="22.5" customHeight="1">
      <c r="A896" s="29">
        <v>46197.0</v>
      </c>
      <c r="B896" s="31" t="s">
        <v>1345</v>
      </c>
      <c r="C896" s="32" t="s">
        <v>1346</v>
      </c>
      <c r="D896" s="190" t="str">
        <f t="array" ref="D896">IF(E896="", "", XLOOKUP(E896, 'MASTER ITEM LIST'!B:B, 'MASTER ITEM LIST'!A:A, "Code Not Found"))</f>
        <v>NXUMAGENTA-4L</v>
      </c>
      <c r="E896" s="191" t="s">
        <v>595</v>
      </c>
      <c r="F896" s="37" t="s">
        <v>1347</v>
      </c>
      <c r="G896" s="31">
        <v>1.0</v>
      </c>
      <c r="H896" s="39" t="str">
        <f t="array" ref="H896">IFERROR(XLOOKUP(D896,'MASTER ITEM LIST'!A:A,'MASTER ITEM LIST'!D:D), "")</f>
        <v>GAL</v>
      </c>
      <c r="I896" s="40"/>
      <c r="J896" s="41">
        <f t="shared" si="2"/>
        <v>0</v>
      </c>
    </row>
    <row r="897" ht="22.5" customHeight="1">
      <c r="A897" s="29">
        <v>46197.0</v>
      </c>
      <c r="B897" s="31" t="s">
        <v>1345</v>
      </c>
      <c r="C897" s="32" t="s">
        <v>1346</v>
      </c>
      <c r="D897" s="190" t="str">
        <f t="array" ref="D897">IF(E897="", "", XLOOKUP(E897, 'MASTER ITEM LIST'!B:B, 'MASTER ITEM LIST'!A:A, "Code Not Found"))</f>
        <v>DCSG715-5L</v>
      </c>
      <c r="E897" s="191" t="s">
        <v>635</v>
      </c>
      <c r="F897" s="37" t="s">
        <v>1204</v>
      </c>
      <c r="G897" s="31">
        <v>2.0</v>
      </c>
      <c r="H897" s="39" t="str">
        <f t="array" ref="H897">IFERROR(XLOOKUP(D897,'MASTER ITEM LIST'!A:A,'MASTER ITEM LIST'!D:D), "")</f>
        <v>GAL</v>
      </c>
      <c r="I897" s="40"/>
      <c r="J897" s="41">
        <f t="shared" si="2"/>
        <v>0</v>
      </c>
    </row>
    <row r="898" ht="22.5" customHeight="1">
      <c r="A898" s="29">
        <v>46227.0</v>
      </c>
      <c r="B898" s="31"/>
      <c r="C898" s="32" t="s">
        <v>1203</v>
      </c>
      <c r="D898" s="190" t="str">
        <f t="array" ref="D898">IF(E898="", "", XLOOKUP(E898, 'MASTER ITEM LIST'!B:B, 'MASTER ITEM LIST'!A:A, "Code Not Found"))</f>
        <v>NAT3974</v>
      </c>
      <c r="E898" s="191" t="s">
        <v>885</v>
      </c>
      <c r="F898" s="37" t="s">
        <v>1347</v>
      </c>
      <c r="G898" s="31">
        <v>0.5</v>
      </c>
      <c r="H898" s="39" t="str">
        <f t="array" ref="H898">IFERROR(XLOOKUP(D898,'MASTER ITEM LIST'!A:A,'MASTER ITEM LIST'!D:D), "")</f>
        <v>LITER</v>
      </c>
      <c r="I898" s="40"/>
      <c r="J898" s="41">
        <f t="shared" si="2"/>
        <v>0</v>
      </c>
    </row>
    <row r="899" ht="22.5" customHeight="1">
      <c r="A899" s="29">
        <v>46227.0</v>
      </c>
      <c r="B899" s="31"/>
      <c r="C899" s="32" t="s">
        <v>1203</v>
      </c>
      <c r="D899" s="190" t="str">
        <f t="array" ref="D899">IF(E899="", "", XLOOKUP(E899, 'MASTER ITEM LIST'!B:B, 'MASTER ITEM LIST'!A:A, "Code Not Found"))</f>
        <v>NAT1164</v>
      </c>
      <c r="E899" s="191" t="s">
        <v>924</v>
      </c>
      <c r="F899" s="37" t="s">
        <v>1204</v>
      </c>
      <c r="G899" s="31">
        <v>1.625</v>
      </c>
      <c r="H899" s="39" t="str">
        <f t="array" ref="H899">IFERROR(XLOOKUP(D899,'MASTER ITEM LIST'!A:A,'MASTER ITEM LIST'!D:D), "")</f>
        <v>LITER</v>
      </c>
      <c r="I899" s="40"/>
      <c r="J899" s="41">
        <f t="shared" si="2"/>
        <v>0</v>
      </c>
    </row>
    <row r="900" ht="22.5" customHeight="1">
      <c r="A900" s="29">
        <v>46227.0</v>
      </c>
      <c r="B900" s="31"/>
      <c r="C900" s="32" t="s">
        <v>1203</v>
      </c>
      <c r="D900" s="190" t="str">
        <f t="array" ref="D900">IF(E900="", "", XLOOKUP(E900, 'MASTER ITEM LIST'!B:B, 'MASTER ITEM LIST'!A:A, "Code Not Found"))</f>
        <v>NAT1161</v>
      </c>
      <c r="E900" s="191" t="s">
        <v>927</v>
      </c>
      <c r="F900" s="37" t="s">
        <v>1204</v>
      </c>
      <c r="G900" s="31">
        <v>0.75</v>
      </c>
      <c r="H900" s="39" t="str">
        <f t="array" ref="H900">IFERROR(XLOOKUP(D900,'MASTER ITEM LIST'!A:A,'MASTER ITEM LIST'!D:D), "")</f>
        <v>LITER</v>
      </c>
      <c r="I900" s="40"/>
      <c r="J900" s="41">
        <f t="shared" si="2"/>
        <v>0</v>
      </c>
    </row>
    <row r="901" ht="22.5" customHeight="1">
      <c r="A901" s="29">
        <v>46227.0</v>
      </c>
      <c r="B901" s="31"/>
      <c r="C901" s="32" t="s">
        <v>1307</v>
      </c>
      <c r="D901" s="190" t="str">
        <f t="array" ref="D901">IF(E901="", "", XLOOKUP(E901, 'MASTER ITEM LIST'!B:B, 'MASTER ITEM LIST'!A:A, "Code Not Found"))</f>
        <v>ACRYLICMIX-1L</v>
      </c>
      <c r="E901" s="191" t="s">
        <v>1154</v>
      </c>
      <c r="F901" s="37" t="s">
        <v>41</v>
      </c>
      <c r="G901" s="31">
        <v>9.5</v>
      </c>
      <c r="H901" s="39" t="str">
        <f t="array" ref="H901">IFERROR(XLOOKUP(D901,'MASTER ITEM LIST'!A:A,'MASTER ITEM LIST'!D:D), "")</f>
        <v>LITER</v>
      </c>
      <c r="I901" s="40"/>
      <c r="J901" s="41">
        <f t="shared" si="2"/>
        <v>0</v>
      </c>
    </row>
    <row r="902" ht="22.5" customHeight="1">
      <c r="A902" s="29">
        <v>46227.0</v>
      </c>
      <c r="B902" s="31"/>
      <c r="C902" s="32" t="s">
        <v>1307</v>
      </c>
      <c r="D902" s="190" t="str">
        <f t="array" ref="D902">IF(E902="", "", XLOOKUP(E902, 'MASTER ITEM LIST'!B:B, 'MASTER ITEM LIST'!A:A, "Code Not Found"))</f>
        <v>QDEMIX-1L</v>
      </c>
      <c r="E902" s="191" t="s">
        <v>135</v>
      </c>
      <c r="F902" s="37" t="s">
        <v>41</v>
      </c>
      <c r="G902" s="31">
        <v>16.75</v>
      </c>
      <c r="H902" s="39" t="str">
        <f t="array" ref="H902">IFERROR(XLOOKUP(D902,'MASTER ITEM LIST'!A:A,'MASTER ITEM LIST'!D:D), "")</f>
        <v>LITER</v>
      </c>
      <c r="I902" s="40"/>
      <c r="J902" s="41">
        <f t="shared" si="2"/>
        <v>0</v>
      </c>
    </row>
    <row r="903" ht="22.5" customHeight="1">
      <c r="A903" s="29">
        <v>46227.0</v>
      </c>
      <c r="B903" s="31"/>
      <c r="C903" s="32" t="s">
        <v>1307</v>
      </c>
      <c r="D903" s="190" t="str">
        <f t="array" ref="D903">IF(E903="", "", XLOOKUP(E903, 'MASTER ITEM LIST'!B:B, 'MASTER ITEM LIST'!A:A, "Code Not Found"))</f>
        <v>PREMILAMIX-1L</v>
      </c>
      <c r="E903" s="191" t="s">
        <v>1151</v>
      </c>
      <c r="F903" s="37" t="s">
        <v>41</v>
      </c>
      <c r="G903" s="31">
        <v>29.25</v>
      </c>
      <c r="H903" s="39" t="str">
        <f t="array" ref="H903">IFERROR(XLOOKUP(D903,'MASTER ITEM LIST'!A:A,'MASTER ITEM LIST'!D:D), "")</f>
        <v>LITER</v>
      </c>
      <c r="I903" s="40"/>
      <c r="J903" s="41">
        <f t="shared" si="2"/>
        <v>0</v>
      </c>
    </row>
    <row r="904" ht="22.5" customHeight="1">
      <c r="A904" s="29">
        <v>46227.0</v>
      </c>
      <c r="B904" s="31"/>
      <c r="C904" s="32" t="s">
        <v>1307</v>
      </c>
      <c r="D904" s="190" t="str">
        <f t="array" ref="D904">IF(E904="", "", XLOOKUP(E904, 'MASTER ITEM LIST'!B:B, 'MASTER ITEM LIST'!A:A, "Code Not Found"))</f>
        <v>EXTREMEMIX-1L</v>
      </c>
      <c r="E904" s="191" t="s">
        <v>1164</v>
      </c>
      <c r="F904" s="37" t="s">
        <v>41</v>
      </c>
      <c r="G904" s="31">
        <v>28.5</v>
      </c>
      <c r="H904" s="39" t="str">
        <f t="array" ref="H904">IFERROR(XLOOKUP(D904,'MASTER ITEM LIST'!A:A,'MASTER ITEM LIST'!D:D), "")</f>
        <v>LITER</v>
      </c>
      <c r="I904" s="40"/>
      <c r="J904" s="41">
        <f t="shared" si="2"/>
        <v>0</v>
      </c>
    </row>
    <row r="905" ht="22.5" customHeight="1">
      <c r="A905" s="29">
        <v>46227.0</v>
      </c>
      <c r="B905" s="31"/>
      <c r="C905" s="32" t="s">
        <v>1307</v>
      </c>
      <c r="D905" s="190" t="str">
        <f t="array" ref="D905">IF(E905="", "", XLOOKUP(E905, 'MASTER ITEM LIST'!B:B, 'MASTER ITEM LIST'!A:A, "Code Not Found"))</f>
        <v>LATEXMIX-1L</v>
      </c>
      <c r="E905" s="191" t="s">
        <v>1157</v>
      </c>
      <c r="F905" s="37" t="s">
        <v>41</v>
      </c>
      <c r="G905" s="31">
        <v>18.0</v>
      </c>
      <c r="H905" s="39" t="str">
        <f t="array" ref="H905">IFERROR(XLOOKUP(D905,'MASTER ITEM LIST'!A:A,'MASTER ITEM LIST'!D:D), "")</f>
        <v>LITER</v>
      </c>
      <c r="I905" s="40"/>
      <c r="J905" s="41">
        <f t="shared" si="2"/>
        <v>0</v>
      </c>
    </row>
    <row r="906" ht="22.5" customHeight="1">
      <c r="A906" s="29">
        <v>46227.0</v>
      </c>
      <c r="B906" s="31"/>
      <c r="C906" s="32" t="s">
        <v>1307</v>
      </c>
      <c r="D906" s="190" t="str">
        <f t="array" ref="D906">IF(E906="", "", XLOOKUP(E906, 'MASTER ITEM LIST'!B:B, 'MASTER ITEM LIST'!A:A, "Code Not Found"))</f>
        <v>UTMIX-1L</v>
      </c>
      <c r="E906" s="88" t="s">
        <v>109</v>
      </c>
      <c r="F906" s="37" t="s">
        <v>41</v>
      </c>
      <c r="G906" s="31">
        <v>32.5</v>
      </c>
      <c r="H906" s="39" t="str">
        <f t="array" ref="H906">IFERROR(XLOOKUP(D906,'MASTER ITEM LIST'!A:A,'MASTER ITEM LIST'!D:D), "")</f>
        <v>LITER</v>
      </c>
      <c r="I906" s="40"/>
      <c r="J906" s="41">
        <f t="shared" si="2"/>
        <v>0</v>
      </c>
    </row>
    <row r="907" ht="22.5" customHeight="1">
      <c r="A907" s="29">
        <v>46227.0</v>
      </c>
      <c r="B907" s="31"/>
      <c r="C907" s="32" t="s">
        <v>1307</v>
      </c>
      <c r="D907" s="190" t="str">
        <f t="array" ref="D907">IF(E907="", "", XLOOKUP(E907, 'MASTER ITEM LIST'!B:B, 'MASTER ITEM LIST'!A:A, "Code Not Found"))</f>
        <v>AEMIX-1L</v>
      </c>
      <c r="E907" s="88" t="s">
        <v>1196</v>
      </c>
      <c r="F907" s="37" t="s">
        <v>41</v>
      </c>
      <c r="G907" s="31">
        <v>4.0</v>
      </c>
      <c r="H907" s="39" t="str">
        <f t="array" ref="H907">IFERROR(XLOOKUP(D907,'MASTER ITEM LIST'!A:A,'MASTER ITEM LIST'!D:D), "")</f>
        <v>LITER</v>
      </c>
      <c r="I907" s="40"/>
      <c r="J907" s="41">
        <f t="shared" si="2"/>
        <v>0</v>
      </c>
    </row>
    <row r="908" ht="22.5" customHeight="1">
      <c r="A908" s="29">
        <v>46197.0</v>
      </c>
      <c r="B908" s="31" t="s">
        <v>1345</v>
      </c>
      <c r="C908" s="32" t="s">
        <v>1346</v>
      </c>
      <c r="D908" s="190" t="str">
        <f t="array" ref="D908">IF(E908="", "", XLOOKUP(E908, 'MASTER ITEM LIST'!B:B, 'MASTER ITEM LIST'!A:A, "Code Not Found"))</f>
        <v>TOBF-1L</v>
      </c>
      <c r="E908" s="191" t="s">
        <v>196</v>
      </c>
      <c r="F908" s="37" t="s">
        <v>1204</v>
      </c>
      <c r="G908" s="31">
        <v>10.0</v>
      </c>
      <c r="H908" s="39" t="str">
        <f t="array" ref="H908">IFERROR(XLOOKUP(D908,'MASTER ITEM LIST'!A:A,'MASTER ITEM LIST'!D:D), "")</f>
        <v>LTR</v>
      </c>
      <c r="I908" s="40"/>
      <c r="J908" s="41">
        <f t="shared" si="2"/>
        <v>0</v>
      </c>
    </row>
    <row r="909" ht="22.5" customHeight="1">
      <c r="A909" s="29">
        <v>46234.0</v>
      </c>
      <c r="B909" s="31" t="s">
        <v>1658</v>
      </c>
      <c r="C909" s="32" t="s">
        <v>1414</v>
      </c>
      <c r="D909" s="190" t="str">
        <f t="array" ref="D909">IF(E909="", "", XLOOKUP(E909, 'MASTER ITEM LIST'!B:B, 'MASTER ITEM LIST'!A:A, "Code Not Found"))</f>
        <v>EA1500</v>
      </c>
      <c r="E909" s="191" t="s">
        <v>1039</v>
      </c>
      <c r="F909" s="37" t="s">
        <v>1204</v>
      </c>
      <c r="G909" s="31">
        <v>2.0</v>
      </c>
      <c r="H909" s="39" t="str">
        <f t="array" ref="H909">IFERROR(XLOOKUP(D909,'MASTER ITEM LIST'!A:A,'MASTER ITEM LIST'!D:D), "")</f>
        <v>PC/S</v>
      </c>
      <c r="I909" s="40"/>
      <c r="J909" s="41">
        <f t="shared" si="2"/>
        <v>0</v>
      </c>
    </row>
    <row r="910" ht="22.5" customHeight="1">
      <c r="A910" s="29">
        <v>46234.0</v>
      </c>
      <c r="B910" s="31" t="s">
        <v>1658</v>
      </c>
      <c r="C910" s="32" t="s">
        <v>1414</v>
      </c>
      <c r="D910" s="190" t="str">
        <f t="array" ref="D910">IF(E910="", "", XLOOKUP(E910, 'MASTER ITEM LIST'!B:B, 'MASTER ITEM LIST'!A:A, "Code Not Found"))</f>
        <v>EA120</v>
      </c>
      <c r="E910" s="191" t="s">
        <v>1048</v>
      </c>
      <c r="F910" s="37" t="s">
        <v>1204</v>
      </c>
      <c r="G910" s="31">
        <v>4.0</v>
      </c>
      <c r="H910" s="39" t="str">
        <f t="array" ref="H910">IFERROR(XLOOKUP(D910,'MASTER ITEM LIST'!A:A,'MASTER ITEM LIST'!D:D), "")</f>
        <v>PC/S</v>
      </c>
      <c r="I910" s="40"/>
      <c r="J910" s="41">
        <f t="shared" si="2"/>
        <v>0</v>
      </c>
    </row>
    <row r="911" ht="22.5" customHeight="1">
      <c r="A911" s="29">
        <v>46234.0</v>
      </c>
      <c r="B911" s="31" t="s">
        <v>1658</v>
      </c>
      <c r="C911" s="32" t="s">
        <v>1414</v>
      </c>
      <c r="D911" s="190" t="str">
        <f t="array" ref="D911">IF(E911="", "", XLOOKUP(E911, 'MASTER ITEM LIST'!B:B, 'MASTER ITEM LIST'!A:A, "Code Not Found"))</f>
        <v>EA1200</v>
      </c>
      <c r="E911" s="191" t="s">
        <v>1047</v>
      </c>
      <c r="F911" s="37" t="s">
        <v>1204</v>
      </c>
      <c r="G911" s="31">
        <v>3.0</v>
      </c>
      <c r="H911" s="39" t="str">
        <f t="array" ref="H911">IFERROR(XLOOKUP(D911,'MASTER ITEM LIST'!A:A,'MASTER ITEM LIST'!D:D), "")</f>
        <v>PC/S</v>
      </c>
      <c r="I911" s="40"/>
      <c r="J911" s="41">
        <f t="shared" si="2"/>
        <v>0</v>
      </c>
    </row>
    <row r="912" ht="22.5" customHeight="1">
      <c r="A912" s="29">
        <v>46234.0</v>
      </c>
      <c r="B912" s="31" t="s">
        <v>1658</v>
      </c>
      <c r="C912" s="32" t="s">
        <v>1414</v>
      </c>
      <c r="D912" s="190" t="str">
        <f t="array" ref="D912">IF(E912="", "", XLOOKUP(E912, 'MASTER ITEM LIST'!B:B, 'MASTER ITEM LIST'!A:A, "Code Not Found"))</f>
        <v>EA400</v>
      </c>
      <c r="E912" s="191" t="s">
        <v>1043</v>
      </c>
      <c r="F912" s="37" t="s">
        <v>1204</v>
      </c>
      <c r="G912" s="31">
        <v>2.0</v>
      </c>
      <c r="H912" s="39" t="str">
        <f t="array" ref="H912">IFERROR(XLOOKUP(D912,'MASTER ITEM LIST'!A:A,'MASTER ITEM LIST'!D:D), "")</f>
        <v>PC/S</v>
      </c>
      <c r="I912" s="40"/>
      <c r="J912" s="41">
        <f t="shared" si="2"/>
        <v>0</v>
      </c>
    </row>
    <row r="913" ht="22.5" customHeight="1">
      <c r="A913" s="29">
        <v>46234.0</v>
      </c>
      <c r="B913" s="31" t="s">
        <v>1658</v>
      </c>
      <c r="C913" s="32" t="s">
        <v>1414</v>
      </c>
      <c r="D913" s="190" t="str">
        <f t="array" ref="D913">IF(E913="", "", XLOOKUP(E913, 'MASTER ITEM LIST'!B:B, 'MASTER ITEM LIST'!A:A, "Code Not Found"))</f>
        <v>EA600</v>
      </c>
      <c r="E913" s="191" t="s">
        <v>1041</v>
      </c>
      <c r="F913" s="37" t="s">
        <v>1204</v>
      </c>
      <c r="G913" s="31">
        <v>2.0</v>
      </c>
      <c r="H913" s="39" t="str">
        <f t="array" ref="H913">IFERROR(XLOOKUP(D913,'MASTER ITEM LIST'!A:A,'MASTER ITEM LIST'!D:D), "")</f>
        <v>PCS</v>
      </c>
      <c r="I913" s="40"/>
      <c r="J913" s="41">
        <f t="shared" si="2"/>
        <v>0</v>
      </c>
    </row>
    <row r="914" ht="22.5" customHeight="1">
      <c r="A914" s="29">
        <v>46234.0</v>
      </c>
      <c r="B914" s="31" t="s">
        <v>1658</v>
      </c>
      <c r="C914" s="32" t="s">
        <v>1414</v>
      </c>
      <c r="D914" s="190" t="str">
        <f t="array" ref="D914">IF(E914="", "", XLOOKUP(E914, 'MASTER ITEM LIST'!B:B, 'MASTER ITEM LIST'!A:A, "Code Not Found"))</f>
        <v>EA800</v>
      </c>
      <c r="E914" s="191" t="s">
        <v>1040</v>
      </c>
      <c r="F914" s="37" t="s">
        <v>1204</v>
      </c>
      <c r="G914" s="31">
        <v>16.0</v>
      </c>
      <c r="H914" s="39" t="str">
        <f t="array" ref="H914">IFERROR(XLOOKUP(D914,'MASTER ITEM LIST'!A:A,'MASTER ITEM LIST'!D:D), "")</f>
        <v>PC/S</v>
      </c>
      <c r="I914" s="40"/>
      <c r="J914" s="41">
        <f t="shared" si="2"/>
        <v>0</v>
      </c>
    </row>
    <row r="915" ht="22.5" customHeight="1">
      <c r="A915" s="29">
        <v>46234.0</v>
      </c>
      <c r="B915" s="31" t="s">
        <v>1658</v>
      </c>
      <c r="C915" s="32" t="s">
        <v>1414</v>
      </c>
      <c r="D915" s="190" t="str">
        <f t="array" ref="D915">IF(E915="", "", XLOOKUP(E915, 'MASTER ITEM LIST'!B:B, 'MASTER ITEM LIST'!A:A, "Code Not Found"))</f>
        <v>EA80</v>
      </c>
      <c r="E915" s="191" t="s">
        <v>237</v>
      </c>
      <c r="F915" s="37" t="s">
        <v>1204</v>
      </c>
      <c r="G915" s="31">
        <v>1.0</v>
      </c>
      <c r="H915" s="39" t="str">
        <f t="array" ref="H915">IFERROR(XLOOKUP(D915,'MASTER ITEM LIST'!A:A,'MASTER ITEM LIST'!D:D), "")</f>
        <v>PC/S</v>
      </c>
      <c r="I915" s="40"/>
      <c r="J915" s="41">
        <f t="shared" si="2"/>
        <v>0</v>
      </c>
    </row>
    <row r="916" ht="22.5" customHeight="1">
      <c r="A916" s="29">
        <v>46234.0</v>
      </c>
      <c r="B916" s="31" t="s">
        <v>1658</v>
      </c>
      <c r="C916" s="32" t="s">
        <v>1414</v>
      </c>
      <c r="D916" s="190" t="str">
        <f t="array" ref="D916">IF(E916="", "", XLOOKUP(E916, 'MASTER ITEM LIST'!B:B, 'MASTER ITEM LIST'!A:A, "Code Not Found"))</f>
        <v>EA1000</v>
      </c>
      <c r="E916" s="191" t="s">
        <v>1049</v>
      </c>
      <c r="F916" s="37" t="s">
        <v>1347</v>
      </c>
      <c r="G916" s="31">
        <v>1.0</v>
      </c>
      <c r="H916" s="39" t="str">
        <f t="array" ref="H916">IFERROR(XLOOKUP(D916,'MASTER ITEM LIST'!A:A,'MASTER ITEM LIST'!D:D), "")</f>
        <v>PC/S</v>
      </c>
      <c r="I916" s="40"/>
      <c r="J916" s="41">
        <f t="shared" si="2"/>
        <v>0</v>
      </c>
    </row>
    <row r="917" ht="22.5" customHeight="1">
      <c r="A917" s="29">
        <v>46234.0</v>
      </c>
      <c r="B917" s="31" t="s">
        <v>1658</v>
      </c>
      <c r="C917" s="32" t="s">
        <v>1414</v>
      </c>
      <c r="D917" s="190" t="str">
        <f t="array" ref="D917">IF(E917="", "", XLOOKUP(E917, 'MASTER ITEM LIST'!B:B, 'MASTER ITEM LIST'!A:A, "Code Not Found"))</f>
        <v>EA240</v>
      </c>
      <c r="E917" s="191" t="s">
        <v>1044</v>
      </c>
      <c r="F917" s="37" t="s">
        <v>1347</v>
      </c>
      <c r="G917" s="31">
        <v>1.0</v>
      </c>
      <c r="H917" s="39" t="str">
        <f t="array" ref="H917">IFERROR(XLOOKUP(D917,'MASTER ITEM LIST'!A:A,'MASTER ITEM LIST'!D:D), "")</f>
        <v>PC/S</v>
      </c>
      <c r="I917" s="40"/>
      <c r="J917" s="41">
        <f t="shared" si="2"/>
        <v>0</v>
      </c>
    </row>
    <row r="918" ht="22.5" customHeight="1">
      <c r="A918" s="29">
        <v>46235.0</v>
      </c>
      <c r="B918" s="31" t="s">
        <v>1661</v>
      </c>
      <c r="C918" s="32" t="s">
        <v>38</v>
      </c>
      <c r="D918" s="190" t="str">
        <f t="array" ref="D918">IF(E918="", "", XLOOKUP(E918, 'MASTER ITEM LIST'!B:B, 'MASTER ITEM LIST'!A:A, "Code Not Found"))</f>
        <v>NAT100-1L</v>
      </c>
      <c r="E918" s="191" t="s">
        <v>896</v>
      </c>
      <c r="F918" s="37" t="s">
        <v>41</v>
      </c>
      <c r="G918" s="31">
        <v>2.0</v>
      </c>
      <c r="H918" s="39" t="str">
        <f t="array" ref="H918">IFERROR(XLOOKUP(D918,'MASTER ITEM LIST'!A:A,'MASTER ITEM LIST'!D:D), "")</f>
        <v>LITER</v>
      </c>
      <c r="I918" s="40">
        <v>525.0</v>
      </c>
      <c r="J918" s="41">
        <f t="shared" si="2"/>
        <v>1050</v>
      </c>
    </row>
    <row r="919" ht="22.5" customHeight="1">
      <c r="A919" s="29">
        <v>46235.0</v>
      </c>
      <c r="B919" s="31" t="s">
        <v>1661</v>
      </c>
      <c r="C919" s="32" t="s">
        <v>38</v>
      </c>
      <c r="D919" s="190" t="str">
        <f t="array" ref="D919">IF(E919="", "", XLOOKUP(E919, 'MASTER ITEM LIST'!B:B, 'MASTER ITEM LIST'!A:A, "Code Not Found"))</f>
        <v>GLAZERB-4L</v>
      </c>
      <c r="E919" s="191" t="s">
        <v>1018</v>
      </c>
      <c r="F919" s="37" t="s">
        <v>41</v>
      </c>
      <c r="G919" s="31">
        <v>1.0</v>
      </c>
      <c r="H919" s="39" t="str">
        <f t="array" ref="H919">IFERROR(XLOOKUP(D919,'MASTER ITEM LIST'!A:A,'MASTER ITEM LIST'!D:D), "")</f>
        <v>GALON</v>
      </c>
      <c r="I919" s="40">
        <v>850.0</v>
      </c>
      <c r="J919" s="41">
        <f t="shared" si="2"/>
        <v>850</v>
      </c>
    </row>
    <row r="920" ht="22.5" customHeight="1">
      <c r="A920" s="29">
        <v>46235.0</v>
      </c>
      <c r="B920" s="31" t="s">
        <v>1661</v>
      </c>
      <c r="C920" s="32" t="s">
        <v>38</v>
      </c>
      <c r="D920" s="190" t="str">
        <f t="array" ref="D920">IF(E920="", "", XLOOKUP(E920, 'MASTER ITEM LIST'!B:B, 'MASTER ITEM LIST'!A:A, "Code Not Found"))</f>
        <v>MT096</v>
      </c>
      <c r="E920" s="191" t="s">
        <v>796</v>
      </c>
      <c r="F920" s="37" t="s">
        <v>41</v>
      </c>
      <c r="G920" s="31">
        <v>1.0</v>
      </c>
      <c r="H920" s="39" t="str">
        <f t="array" ref="H920">IFERROR(XLOOKUP(D920,'MASTER ITEM LIST'!A:A,'MASTER ITEM LIST'!D:D), "")</f>
        <v>LTR/S</v>
      </c>
      <c r="I920" s="40">
        <v>6150.0</v>
      </c>
      <c r="J920" s="41">
        <f t="shared" si="2"/>
        <v>6150</v>
      </c>
    </row>
    <row r="921" ht="22.5" customHeight="1">
      <c r="A921" s="29">
        <v>46235.0</v>
      </c>
      <c r="B921" s="31" t="s">
        <v>1661</v>
      </c>
      <c r="C921" s="32" t="s">
        <v>38</v>
      </c>
      <c r="D921" s="190" t="str">
        <f t="array" ref="D921">IF(E921="", "", XLOOKUP(E921, 'MASTER ITEM LIST'!B:B, 'MASTER ITEM LIST'!A:A, "Code Not Found"))</f>
        <v>NAT100-4L</v>
      </c>
      <c r="E921" s="191" t="s">
        <v>948</v>
      </c>
      <c r="F921" s="37" t="s">
        <v>41</v>
      </c>
      <c r="G921" s="31">
        <v>1.0</v>
      </c>
      <c r="H921" s="39" t="str">
        <f t="array" ref="H921">IFERROR(XLOOKUP(D921,'MASTER ITEM LIST'!A:A,'MASTER ITEM LIST'!D:D), "")</f>
        <v>GAL</v>
      </c>
      <c r="I921" s="40">
        <v>1905.0</v>
      </c>
      <c r="J921" s="41">
        <f t="shared" si="2"/>
        <v>1905</v>
      </c>
    </row>
    <row r="922" ht="22.5" customHeight="1">
      <c r="A922" s="29">
        <v>46235.0</v>
      </c>
      <c r="B922" s="31" t="s">
        <v>1661</v>
      </c>
      <c r="C922" s="32" t="s">
        <v>38</v>
      </c>
      <c r="D922" s="190" t="str">
        <f t="array" ref="D922">IF(E922="", "", XLOOKUP(E922, 'MASTER ITEM LIST'!B:B, 'MASTER ITEM LIST'!A:A, "Code Not Found"))</f>
        <v>MT203</v>
      </c>
      <c r="E922" s="191" t="s">
        <v>785</v>
      </c>
      <c r="F922" s="37" t="s">
        <v>41</v>
      </c>
      <c r="G922" s="31">
        <v>1.0</v>
      </c>
      <c r="H922" s="39" t="str">
        <f t="array" ref="H922">IFERROR(XLOOKUP(D922,'MASTER ITEM LIST'!A:A,'MASTER ITEM LIST'!D:D), "")</f>
        <v>LTR/S</v>
      </c>
      <c r="I922" s="40">
        <v>2010.0</v>
      </c>
      <c r="J922" s="41">
        <f t="shared" si="2"/>
        <v>2010</v>
      </c>
    </row>
    <row r="923" ht="22.5" customHeight="1">
      <c r="A923" s="29">
        <v>46235.0</v>
      </c>
      <c r="B923" s="31" t="s">
        <v>1661</v>
      </c>
      <c r="C923" s="32" t="s">
        <v>38</v>
      </c>
      <c r="D923" s="190" t="str">
        <f t="array" ref="D923">IF(E923="", "", XLOOKUP(E923, 'MASTER ITEM LIST'!B:B, 'MASTER ITEM LIST'!A:A, "Code Not Found"))</f>
        <v>PNB100</v>
      </c>
      <c r="E923" s="191" t="s">
        <v>719</v>
      </c>
      <c r="F923" s="37" t="s">
        <v>41</v>
      </c>
      <c r="G923" s="31">
        <v>4.0</v>
      </c>
      <c r="H923" s="39" t="str">
        <f t="array" ref="H923">IFERROR(XLOOKUP(D923,'MASTER ITEM LIST'!A:A,'MASTER ITEM LIST'!D:D), "")</f>
        <v>GAL</v>
      </c>
      <c r="I923" s="40">
        <v>2280.0</v>
      </c>
      <c r="J923" s="41">
        <f t="shared" si="2"/>
        <v>9120</v>
      </c>
    </row>
    <row r="924" ht="22.5" customHeight="1">
      <c r="A924" s="29">
        <v>46235.0</v>
      </c>
      <c r="B924" s="31" t="s">
        <v>1661</v>
      </c>
      <c r="C924" s="32" t="s">
        <v>38</v>
      </c>
      <c r="D924" s="190" t="str">
        <f t="array" ref="D924">IF(E924="", "", XLOOKUP(E924, 'MASTER ITEM LIST'!B:B, 'MASTER ITEM LIST'!A:A, "Code Not Found"))</f>
        <v>NP9200</v>
      </c>
      <c r="E924" s="191" t="s">
        <v>712</v>
      </c>
      <c r="F924" s="37" t="s">
        <v>41</v>
      </c>
      <c r="G924" s="31">
        <v>12.0</v>
      </c>
      <c r="H924" s="39" t="str">
        <f t="array" ref="H924">IFERROR(XLOOKUP(D924,'MASTER ITEM LIST'!A:A,'MASTER ITEM LIST'!D:D), "")</f>
        <v>LITER</v>
      </c>
      <c r="I924" s="40">
        <v>975.0</v>
      </c>
      <c r="J924" s="41">
        <f t="shared" si="2"/>
        <v>11700</v>
      </c>
    </row>
    <row r="925" ht="22.5" customHeight="1">
      <c r="A925" s="29">
        <v>46235.0</v>
      </c>
      <c r="B925" s="31" t="s">
        <v>1667</v>
      </c>
      <c r="C925" s="32" t="s">
        <v>38</v>
      </c>
      <c r="D925" s="190" t="str">
        <f t="array" ref="D925">IF(E925="", "", XLOOKUP(E925, 'MASTER ITEM LIST'!B:B, 'MASTER ITEM LIST'!A:A, "Code Not Found"))</f>
        <v>NAX108</v>
      </c>
      <c r="E925" s="191" t="s">
        <v>960</v>
      </c>
      <c r="F925" s="37" t="s">
        <v>41</v>
      </c>
      <c r="G925" s="31">
        <v>24.0</v>
      </c>
      <c r="H925" s="39" t="str">
        <f t="array" ref="H925">IFERROR(XLOOKUP(D925,'MASTER ITEM LIST'!A:A,'MASTER ITEM LIST'!D:D), "")</f>
        <v>LITER</v>
      </c>
      <c r="I925" s="40">
        <v>560.0</v>
      </c>
      <c r="J925" s="41">
        <f t="shared" si="2"/>
        <v>13440</v>
      </c>
    </row>
    <row r="926" ht="22.5" customHeight="1">
      <c r="A926" s="29">
        <v>46235.0</v>
      </c>
      <c r="B926" s="31" t="s">
        <v>1668</v>
      </c>
      <c r="C926" s="32" t="s">
        <v>38</v>
      </c>
      <c r="D926" s="190" t="str">
        <f t="array" ref="D926">IF(E926="", "", XLOOKUP(E926, 'MASTER ITEM LIST'!B:B, 'MASTER ITEM LIST'!A:A, "Code Not Found"))</f>
        <v>SOB757</v>
      </c>
      <c r="E926" s="191" t="s">
        <v>91</v>
      </c>
      <c r="F926" s="37" t="s">
        <v>41</v>
      </c>
      <c r="G926" s="31">
        <v>18.0</v>
      </c>
      <c r="H926" s="39" t="str">
        <f t="array" ref="H926">IFERROR(XLOOKUP(D926,'MASTER ITEM LIST'!A:A,'MASTER ITEM LIST'!D:D), "")</f>
        <v>GAL</v>
      </c>
      <c r="I926" s="40">
        <v>660.0</v>
      </c>
      <c r="J926" s="41">
        <f t="shared" si="2"/>
        <v>11880</v>
      </c>
    </row>
    <row r="927" ht="22.5" customHeight="1">
      <c r="A927" s="29">
        <v>46235.0</v>
      </c>
      <c r="B927" s="31" t="s">
        <v>1668</v>
      </c>
      <c r="C927" s="32" t="s">
        <v>38</v>
      </c>
      <c r="D927" s="190" t="str">
        <f t="array" ref="D927">IF(E927="", "", XLOOKUP(E927, 'MASTER ITEM LIST'!B:B, 'MASTER ITEM LIST'!A:A, "Code Not Found"))</f>
        <v>MT202-1L</v>
      </c>
      <c r="E927" s="191" t="s">
        <v>786</v>
      </c>
      <c r="F927" s="37" t="s">
        <v>41</v>
      </c>
      <c r="G927" s="31">
        <v>1.0</v>
      </c>
      <c r="H927" s="39" t="str">
        <f t="array" ref="H927">IFERROR(XLOOKUP(D927,'MASTER ITEM LIST'!A:A,'MASTER ITEM LIST'!D:D), "")</f>
        <v>LTR/S</v>
      </c>
      <c r="I927" s="40">
        <v>1280.0</v>
      </c>
      <c r="J927" s="41">
        <f t="shared" si="2"/>
        <v>1280</v>
      </c>
    </row>
    <row r="928" ht="22.5" customHeight="1">
      <c r="A928" s="29">
        <v>46235.0</v>
      </c>
      <c r="B928" s="31" t="s">
        <v>1668</v>
      </c>
      <c r="C928" s="32" t="s">
        <v>38</v>
      </c>
      <c r="D928" s="190" t="str">
        <f t="array" ref="D928">IF(E928="", "", XLOOKUP(E928, 'MASTER ITEM LIST'!B:B, 'MASTER ITEM LIST'!A:A, "Code Not Found"))</f>
        <v>ROS-223</v>
      </c>
      <c r="E928" s="191" t="s">
        <v>303</v>
      </c>
      <c r="F928" s="37" t="s">
        <v>41</v>
      </c>
      <c r="G928" s="31">
        <v>1.0</v>
      </c>
      <c r="H928" s="39" t="str">
        <f t="array" ref="H928">IFERROR(XLOOKUP(D928,'MASTER ITEM LIST'!A:A,'MASTER ITEM LIST'!D:D), "")</f>
        <v>GALON</v>
      </c>
      <c r="I928" s="40">
        <v>750.0</v>
      </c>
      <c r="J928" s="41">
        <f t="shared" si="2"/>
        <v>750</v>
      </c>
    </row>
    <row r="929" ht="22.5" customHeight="1">
      <c r="A929" s="29">
        <v>46235.0</v>
      </c>
      <c r="B929" s="31" t="s">
        <v>1668</v>
      </c>
      <c r="C929" s="32" t="s">
        <v>38</v>
      </c>
      <c r="D929" s="190" t="str">
        <f t="array" ref="D929">IF(E929="", "", XLOOKUP(E929, 'MASTER ITEM LIST'!B:B, 'MASTER ITEM LIST'!A:A, "Code Not Found"))</f>
        <v>NXU7391-4L</v>
      </c>
      <c r="E929" s="191" t="s">
        <v>570</v>
      </c>
      <c r="F929" s="37" t="s">
        <v>41</v>
      </c>
      <c r="G929" s="31">
        <v>2.0</v>
      </c>
      <c r="H929" s="39" t="str">
        <f t="array" ref="H929">IFERROR(XLOOKUP(D929,'MASTER ITEM LIST'!A:A,'MASTER ITEM LIST'!D:D), "")</f>
        <v>GAL</v>
      </c>
      <c r="I929" s="40">
        <v>1800.0</v>
      </c>
      <c r="J929" s="41">
        <f t="shared" si="2"/>
        <v>3600</v>
      </c>
    </row>
    <row r="930" ht="22.5" customHeight="1">
      <c r="A930" s="29">
        <v>46235.0</v>
      </c>
      <c r="B930" s="31" t="s">
        <v>1668</v>
      </c>
      <c r="C930" s="32" t="s">
        <v>38</v>
      </c>
      <c r="D930" s="190" t="str">
        <f t="array" ref="D930">IF(E930="", "", XLOOKUP(E930, 'MASTER ITEM LIST'!B:B, 'MASTER ITEM LIST'!A:A, "Code Not Found"))</f>
        <v>MEG3602-4L</v>
      </c>
      <c r="E930" s="191" t="s">
        <v>971</v>
      </c>
      <c r="F930" s="37" t="s">
        <v>41</v>
      </c>
      <c r="G930" s="31">
        <v>1.0</v>
      </c>
      <c r="H930" s="39" t="str">
        <f t="array" ref="H930">IFERROR(XLOOKUP(D930,'MASTER ITEM LIST'!A:A,'MASTER ITEM LIST'!D:D), "")</f>
        <v>GAL</v>
      </c>
      <c r="I930" s="40">
        <v>955.0</v>
      </c>
      <c r="J930" s="41">
        <f t="shared" si="2"/>
        <v>955</v>
      </c>
    </row>
    <row r="931" ht="22.5" customHeight="1">
      <c r="A931" s="29">
        <v>46235.0</v>
      </c>
      <c r="B931" s="31" t="s">
        <v>1668</v>
      </c>
      <c r="C931" s="32" t="s">
        <v>38</v>
      </c>
      <c r="D931" s="190" t="str">
        <f t="array" ref="D931">IF(E931="", "", XLOOKUP(E931, 'MASTER ITEM LIST'!B:B, 'MASTER ITEM LIST'!A:A, "Code Not Found"))</f>
        <v>HDOIT</v>
      </c>
      <c r="E931" s="191" t="s">
        <v>1075</v>
      </c>
      <c r="F931" s="37" t="s">
        <v>41</v>
      </c>
      <c r="G931" s="31">
        <v>2.0</v>
      </c>
      <c r="H931" s="39" t="str">
        <f t="array" ref="H931">IFERROR(XLOOKUP(D931,'MASTER ITEM LIST'!A:A,'MASTER ITEM LIST'!D:D), "")</f>
        <v>CAN</v>
      </c>
      <c r="I931" s="40">
        <v>250.0</v>
      </c>
      <c r="J931" s="41">
        <f t="shared" si="2"/>
        <v>500</v>
      </c>
    </row>
    <row r="932" ht="22.5" customHeight="1">
      <c r="A932" s="29">
        <v>46235.0</v>
      </c>
      <c r="B932" s="31" t="s">
        <v>1668</v>
      </c>
      <c r="C932" s="32" t="s">
        <v>38</v>
      </c>
      <c r="D932" s="190" t="str">
        <f t="array" ref="D932">IF(E932="", "", XLOOKUP(E932, 'MASTER ITEM LIST'!B:B, 'MASTER ITEM LIST'!A:A, "Code Not Found"))</f>
        <v>ACRYPRIMER-4L</v>
      </c>
      <c r="E932" s="191" t="s">
        <v>1194</v>
      </c>
      <c r="F932" s="37" t="s">
        <v>41</v>
      </c>
      <c r="G932" s="31">
        <v>1.0</v>
      </c>
      <c r="H932" s="39" t="str">
        <f t="array" ref="H932">IFERROR(XLOOKUP(D932,'MASTER ITEM LIST'!A:A,'MASTER ITEM LIST'!D:D), "")</f>
        <v>GALON</v>
      </c>
      <c r="I932" s="40">
        <v>950.0</v>
      </c>
      <c r="J932" s="41">
        <f t="shared" si="2"/>
        <v>950</v>
      </c>
    </row>
    <row r="933" ht="22.5" customHeight="1">
      <c r="A933" s="29">
        <v>46235.0</v>
      </c>
      <c r="B933" s="31" t="s">
        <v>1668</v>
      </c>
      <c r="C933" s="32" t="s">
        <v>38</v>
      </c>
      <c r="D933" s="190" t="str">
        <f t="array" ref="D933">IF(E933="", "", XLOOKUP(E933, 'MASTER ITEM LIST'!B:B, 'MASTER ITEM LIST'!A:A, "Code Not Found"))</f>
        <v>ALPHAC-RS-CAN</v>
      </c>
      <c r="E933" s="191" t="s">
        <v>1200</v>
      </c>
      <c r="F933" s="37" t="s">
        <v>41</v>
      </c>
      <c r="G933" s="31">
        <v>1.0</v>
      </c>
      <c r="H933" s="39" t="str">
        <f t="array" ref="H933">IFERROR(XLOOKUP(D933,'MASTER ITEM LIST'!A:A,'MASTER ITEM LIST'!D:D), "")</f>
        <v>CAN</v>
      </c>
      <c r="I933" s="40">
        <v>80.0</v>
      </c>
      <c r="J933" s="41">
        <f t="shared" si="2"/>
        <v>80</v>
      </c>
    </row>
    <row r="934" ht="22.5" customHeight="1">
      <c r="A934" s="29">
        <v>46230.0</v>
      </c>
      <c r="B934" s="31"/>
      <c r="C934" s="32" t="s">
        <v>1203</v>
      </c>
      <c r="D934" s="190" t="str">
        <f t="array" ref="D934">IF(E934="", "", XLOOKUP(E934, 'MASTER ITEM LIST'!B:B, 'MASTER ITEM LIST'!A:A, "Code Not Found"))</f>
        <v>QSHG710-5L</v>
      </c>
      <c r="E934" s="191" t="s">
        <v>332</v>
      </c>
      <c r="F934" s="37" t="s">
        <v>1204</v>
      </c>
      <c r="G934" s="31">
        <v>1.0</v>
      </c>
      <c r="H934" s="39" t="str">
        <f t="array" ref="H934">IFERROR(XLOOKUP(D934,'MASTER ITEM LIST'!A:A,'MASTER ITEM LIST'!D:D), "")</f>
        <v>GAL</v>
      </c>
      <c r="I934" s="40"/>
      <c r="J934" s="41">
        <f t="shared" si="2"/>
        <v>0</v>
      </c>
    </row>
    <row r="935" ht="22.5" customHeight="1">
      <c r="A935" s="29">
        <v>46230.0</v>
      </c>
      <c r="B935" s="31"/>
      <c r="C935" s="32" t="s">
        <v>1203</v>
      </c>
      <c r="D935" s="190" t="str">
        <f t="array" ref="D935">IF(E935="", "", XLOOKUP(E935, 'MASTER ITEM LIST'!B:B, 'MASTER ITEM LIST'!A:A, "Code Not Found"))</f>
        <v>NXU7391-4L</v>
      </c>
      <c r="E935" s="191" t="s">
        <v>570</v>
      </c>
      <c r="F935" s="37" t="s">
        <v>1204</v>
      </c>
      <c r="G935" s="31">
        <v>1.0</v>
      </c>
      <c r="H935" s="39" t="str">
        <f t="array" ref="H935">IFERROR(XLOOKUP(D935,'MASTER ITEM LIST'!A:A,'MASTER ITEM LIST'!D:D), "")</f>
        <v>GAL</v>
      </c>
      <c r="I935" s="40"/>
      <c r="J935" s="41">
        <f t="shared" si="2"/>
        <v>0</v>
      </c>
    </row>
    <row r="936" ht="22.5" customHeight="1">
      <c r="A936" s="29">
        <v>46231.0</v>
      </c>
      <c r="B936" s="31"/>
      <c r="C936" s="32" t="s">
        <v>1203</v>
      </c>
      <c r="D936" s="190" t="str">
        <f t="array" ref="D936">IF(E936="", "", XLOOKUP(E936, 'MASTER ITEM LIST'!B:B, 'MASTER ITEM LIST'!A:A, "Code Not Found"))</f>
        <v>NXE1988</v>
      </c>
      <c r="E936" s="191" t="s">
        <v>955</v>
      </c>
      <c r="F936" s="37" t="s">
        <v>1204</v>
      </c>
      <c r="G936" s="31">
        <v>1.0</v>
      </c>
      <c r="H936" s="39" t="str">
        <f t="array" ref="H936">IFERROR(XLOOKUP(D936,'MASTER ITEM LIST'!A:A,'MASTER ITEM LIST'!D:D), "")</f>
        <v>GAL</v>
      </c>
      <c r="I936" s="40"/>
      <c r="J936" s="41">
        <f t="shared" si="2"/>
        <v>0</v>
      </c>
    </row>
    <row r="937" ht="22.5" customHeight="1">
      <c r="A937" s="29">
        <v>46234.0</v>
      </c>
      <c r="B937" s="31"/>
      <c r="C937" s="32" t="s">
        <v>1203</v>
      </c>
      <c r="D937" s="190" t="str">
        <f t="array" ref="D937">IF(E937="", "", XLOOKUP(E937, 'MASTER ITEM LIST'!B:B, 'MASTER ITEM LIST'!A:A, "Code Not Found"))</f>
        <v>ACRYPRIMER-4L</v>
      </c>
      <c r="E937" s="191" t="s">
        <v>1194</v>
      </c>
      <c r="F937" s="37" t="s">
        <v>1204</v>
      </c>
      <c r="G937" s="31">
        <v>1.0</v>
      </c>
      <c r="H937" s="39" t="str">
        <f t="array" ref="H937">IFERROR(XLOOKUP(D937,'MASTER ITEM LIST'!A:A,'MASTER ITEM LIST'!D:D), "")</f>
        <v>GALON</v>
      </c>
      <c r="I937" s="40"/>
      <c r="J937" s="41">
        <f t="shared" si="2"/>
        <v>0</v>
      </c>
    </row>
    <row r="938" ht="22.5" customHeight="1">
      <c r="A938" s="29">
        <v>46234.0</v>
      </c>
      <c r="B938" s="31"/>
      <c r="C938" s="32" t="s">
        <v>1203</v>
      </c>
      <c r="D938" s="190" t="str">
        <f t="array" ref="D938">IF(E938="", "", XLOOKUP(E938, 'MASTER ITEM LIST'!B:B, 'MASTER ITEM LIST'!A:A, "Code Not Found"))</f>
        <v>ALPHAC-RS-CAN</v>
      </c>
      <c r="E938" s="191" t="s">
        <v>1200</v>
      </c>
      <c r="F938" s="37" t="s">
        <v>1204</v>
      </c>
      <c r="G938" s="31">
        <v>1.0</v>
      </c>
      <c r="H938" s="39" t="str">
        <f t="array" ref="H938">IFERROR(XLOOKUP(D938,'MASTER ITEM LIST'!A:A,'MASTER ITEM LIST'!D:D), "")</f>
        <v>CAN</v>
      </c>
      <c r="I938" s="40"/>
      <c r="J938" s="41">
        <f t="shared" si="2"/>
        <v>0</v>
      </c>
    </row>
    <row r="939" ht="22.5" customHeight="1">
      <c r="A939" s="29">
        <v>46234.0</v>
      </c>
      <c r="B939" s="31"/>
      <c r="C939" s="32" t="s">
        <v>1203</v>
      </c>
      <c r="D939" s="190" t="str">
        <f t="array" ref="D939">IF(E939="", "", XLOOKUP(E939, 'MASTER ITEM LIST'!B:B, 'MASTER ITEM LIST'!A:A, "Code Not Found"))</f>
        <v>MT096</v>
      </c>
      <c r="E939" s="191" t="s">
        <v>796</v>
      </c>
      <c r="F939" s="37" t="s">
        <v>1204</v>
      </c>
      <c r="G939" s="31">
        <v>1.0</v>
      </c>
      <c r="H939" s="39" t="str">
        <f t="array" ref="H939">IFERROR(XLOOKUP(D939,'MASTER ITEM LIST'!A:A,'MASTER ITEM LIST'!D:D), "")</f>
        <v>LTR/S</v>
      </c>
      <c r="I939" s="40"/>
      <c r="J939" s="41">
        <f t="shared" si="2"/>
        <v>0</v>
      </c>
    </row>
    <row r="940" ht="22.5" customHeight="1">
      <c r="A940" s="29">
        <v>46234.0</v>
      </c>
      <c r="B940" s="31"/>
      <c r="C940" s="32" t="s">
        <v>1203</v>
      </c>
      <c r="D940" s="190" t="str">
        <f t="array" ref="D940">IF(E940="", "", XLOOKUP(E940, 'MASTER ITEM LIST'!B:B, 'MASTER ITEM LIST'!A:A, "Code Not Found"))</f>
        <v>XTRMEQDWARMYLW-4L</v>
      </c>
      <c r="E940" s="191" t="s">
        <v>566</v>
      </c>
      <c r="F940" s="37" t="s">
        <v>1204</v>
      </c>
      <c r="G940" s="31">
        <v>1.0</v>
      </c>
      <c r="H940" s="39" t="str">
        <f t="array" ref="H940">IFERROR(XLOOKUP(D940,'MASTER ITEM LIST'!A:A,'MASTER ITEM LIST'!D:D), "")</f>
        <v>GAL/S</v>
      </c>
      <c r="I940" s="40"/>
      <c r="J940" s="41">
        <f t="shared" si="2"/>
        <v>0</v>
      </c>
    </row>
    <row r="941" ht="22.5" customHeight="1">
      <c r="A941" s="29">
        <v>46234.0</v>
      </c>
      <c r="B941" s="31"/>
      <c r="C941" s="32" t="s">
        <v>1203</v>
      </c>
      <c r="D941" s="190" t="str">
        <f t="array" ref="D941">IF(E941="", "", XLOOKUP(E941, 'MASTER ITEM LIST'!B:B, 'MASTER ITEM LIST'!A:A, "Code Not Found"))</f>
        <v>PLQDCB-4L</v>
      </c>
      <c r="E941" s="191" t="s">
        <v>484</v>
      </c>
      <c r="F941" s="37" t="s">
        <v>1204</v>
      </c>
      <c r="G941" s="31">
        <v>1.0</v>
      </c>
      <c r="H941" s="39" t="str">
        <f t="array" ref="H941">IFERROR(XLOOKUP(D941,'MASTER ITEM LIST'!A:A,'MASTER ITEM LIST'!D:D), "")</f>
        <v>GAL</v>
      </c>
      <c r="I941" s="40"/>
      <c r="J941" s="41">
        <f t="shared" si="2"/>
        <v>0</v>
      </c>
    </row>
    <row r="942" ht="22.5" customHeight="1">
      <c r="A942" s="29">
        <v>46234.0</v>
      </c>
      <c r="B942" s="31"/>
      <c r="C942" s="32" t="s">
        <v>1203</v>
      </c>
      <c r="D942" s="190" t="str">
        <f t="array" ref="D942">IF(E942="", "", XLOOKUP(E942, 'MASTER ITEM LIST'!B:B, 'MASTER ITEM LIST'!A:A, "Code Not Found"))</f>
        <v>NXU1965-4L</v>
      </c>
      <c r="E942" s="191" t="s">
        <v>589</v>
      </c>
      <c r="F942" s="37" t="s">
        <v>1204</v>
      </c>
      <c r="G942" s="31">
        <v>1.0</v>
      </c>
      <c r="H942" s="39" t="str">
        <f t="array" ref="H942">IFERROR(XLOOKUP(D942,'MASTER ITEM LIST'!A:A,'MASTER ITEM LIST'!D:D), "")</f>
        <v>GAL</v>
      </c>
      <c r="I942" s="40"/>
      <c r="J942" s="41">
        <f t="shared" si="2"/>
        <v>0</v>
      </c>
    </row>
    <row r="943" ht="22.5" customHeight="1">
      <c r="A943" s="29">
        <v>46234.0</v>
      </c>
      <c r="B943" s="31"/>
      <c r="C943" s="32" t="s">
        <v>1203</v>
      </c>
      <c r="D943" s="190" t="str">
        <f t="array" ref="D943">IF(E943="", "", XLOOKUP(E943, 'MASTER ITEM LIST'!B:B, 'MASTER ITEM LIST'!A:A, "Code Not Found"))</f>
        <v>NAT100-4L</v>
      </c>
      <c r="E943" s="191" t="s">
        <v>948</v>
      </c>
      <c r="F943" s="37" t="s">
        <v>1204</v>
      </c>
      <c r="G943" s="31">
        <v>1.0</v>
      </c>
      <c r="H943" s="39" t="str">
        <f t="array" ref="H943">IFERROR(XLOOKUP(D943,'MASTER ITEM LIST'!A:A,'MASTER ITEM LIST'!D:D), "")</f>
        <v>GAL</v>
      </c>
      <c r="I943" s="40"/>
      <c r="J943" s="41">
        <f t="shared" si="2"/>
        <v>0</v>
      </c>
    </row>
    <row r="944" ht="22.5" customHeight="1">
      <c r="A944" s="29">
        <v>46234.0</v>
      </c>
      <c r="B944" s="31"/>
      <c r="C944" s="32" t="s">
        <v>1203</v>
      </c>
      <c r="D944" s="190" t="str">
        <f t="array" ref="D944">IF(E944="", "", XLOOKUP(E944, 'MASTER ITEM LIST'!B:B, 'MASTER ITEM LIST'!A:A, "Code Not Found"))</f>
        <v>NXU7391-4L</v>
      </c>
      <c r="E944" s="191" t="s">
        <v>570</v>
      </c>
      <c r="F944" s="37" t="s">
        <v>1204</v>
      </c>
      <c r="G944" s="31">
        <v>1.0</v>
      </c>
      <c r="H944" s="39" t="str">
        <f t="array" ref="H944">IFERROR(XLOOKUP(D944,'MASTER ITEM LIST'!A:A,'MASTER ITEM LIST'!D:D), "")</f>
        <v>GAL</v>
      </c>
      <c r="I944" s="40"/>
      <c r="J944" s="41">
        <f t="shared" si="2"/>
        <v>0</v>
      </c>
    </row>
    <row r="945" ht="22.5" customHeight="1">
      <c r="A945" s="29">
        <v>46235.0</v>
      </c>
      <c r="B945" s="31"/>
      <c r="C945" s="32" t="s">
        <v>1203</v>
      </c>
      <c r="D945" s="190" t="str">
        <f t="array" ref="D945">IF(E945="", "", XLOOKUP(E945, 'MASTER ITEM LIST'!B:B, 'MASTER ITEM LIST'!A:A, "Code Not Found"))</f>
        <v>PNB100</v>
      </c>
      <c r="E945" s="191" t="s">
        <v>719</v>
      </c>
      <c r="F945" s="37" t="s">
        <v>1204</v>
      </c>
      <c r="G945" s="31">
        <v>1.0</v>
      </c>
      <c r="H945" s="39" t="str">
        <f t="array" ref="H945">IFERROR(XLOOKUP(D945,'MASTER ITEM LIST'!A:A,'MASTER ITEM LIST'!D:D), "")</f>
        <v>GAL</v>
      </c>
      <c r="I945" s="40"/>
      <c r="J945" s="41">
        <f t="shared" si="2"/>
        <v>0</v>
      </c>
    </row>
    <row r="946" ht="22.5" customHeight="1">
      <c r="A946" s="29">
        <v>46235.0</v>
      </c>
      <c r="B946" s="31"/>
      <c r="C946" s="32" t="s">
        <v>1203</v>
      </c>
      <c r="D946" s="190" t="str">
        <f t="array" ref="D946">IF(E946="", "", XLOOKUP(E946, 'MASTER ITEM LIST'!B:B, 'MASTER ITEM LIST'!A:A, "Code Not Found"))</f>
        <v>MT203</v>
      </c>
      <c r="E946" s="191" t="s">
        <v>785</v>
      </c>
      <c r="F946" s="37" t="s">
        <v>1204</v>
      </c>
      <c r="G946" s="31">
        <v>1.0</v>
      </c>
      <c r="H946" s="39" t="str">
        <f t="array" ref="H946">IFERROR(XLOOKUP(D946,'MASTER ITEM LIST'!A:A,'MASTER ITEM LIST'!D:D), "")</f>
        <v>LTR/S</v>
      </c>
      <c r="I946" s="40"/>
      <c r="J946" s="41">
        <f t="shared" si="2"/>
        <v>0</v>
      </c>
    </row>
    <row r="947" ht="22.5" customHeight="1">
      <c r="A947" s="29">
        <v>46235.0</v>
      </c>
      <c r="B947" s="31"/>
      <c r="C947" s="32" t="s">
        <v>1205</v>
      </c>
      <c r="D947" s="190" t="str">
        <f t="array" ref="D947">IF(E947="", "", XLOOKUP(E947, 'MASTER ITEM LIST'!B:B, 'MASTER ITEM LIST'!A:A, "Code Not Found"))</f>
        <v>SOB757</v>
      </c>
      <c r="E947" s="191" t="s">
        <v>91</v>
      </c>
      <c r="F947" s="37" t="s">
        <v>1204</v>
      </c>
      <c r="G947" s="31">
        <v>0.5</v>
      </c>
      <c r="H947" s="39" t="str">
        <f t="array" ref="H947">IFERROR(XLOOKUP(D947,'MASTER ITEM LIST'!A:A,'MASTER ITEM LIST'!D:D), "")</f>
        <v>GAL</v>
      </c>
      <c r="I947" s="40"/>
      <c r="J947" s="41">
        <f t="shared" si="2"/>
        <v>0</v>
      </c>
    </row>
    <row r="948" ht="22.5" customHeight="1">
      <c r="A948" s="29">
        <v>46235.0</v>
      </c>
      <c r="B948" s="31"/>
      <c r="C948" s="32" t="s">
        <v>1205</v>
      </c>
      <c r="D948" s="190" t="str">
        <f t="array" ref="D948">IF(E948="", "", XLOOKUP(E948, 'MASTER ITEM LIST'!B:B, 'MASTER ITEM LIST'!A:A, "Code Not Found"))</f>
        <v>CRO-MT1</v>
      </c>
      <c r="E948" s="191" t="s">
        <v>1107</v>
      </c>
      <c r="F948" s="37" t="s">
        <v>1204</v>
      </c>
      <c r="G948" s="31">
        <v>1.0</v>
      </c>
      <c r="H948" s="39" t="str">
        <f t="array" ref="H948">IFERROR(XLOOKUP(D948,'MASTER ITEM LIST'!A:A,'MASTER ITEM LIST'!D:D), "")</f>
        <v>PCS</v>
      </c>
      <c r="I948" s="40"/>
      <c r="J948" s="41">
        <f t="shared" si="2"/>
        <v>0</v>
      </c>
    </row>
    <row r="949" ht="22.5" customHeight="1">
      <c r="A949" s="29">
        <v>46235.0</v>
      </c>
      <c r="B949" s="31"/>
      <c r="C949" s="32" t="s">
        <v>1205</v>
      </c>
      <c r="D949" s="190" t="str">
        <f t="array" ref="D949">IF(E949="", "", XLOOKUP(E949, 'MASTER ITEM LIST'!B:B, 'MASTER ITEM LIST'!A:A, "Code Not Found"))</f>
        <v>WCPOD</v>
      </c>
      <c r="E949" s="191" t="s">
        <v>157</v>
      </c>
      <c r="F949" s="37" t="s">
        <v>1204</v>
      </c>
      <c r="G949" s="31">
        <v>1.0</v>
      </c>
      <c r="H949" s="39" t="str">
        <f t="array" ref="H949">IFERROR(XLOOKUP(D949,'MASTER ITEM LIST'!A:A,'MASTER ITEM LIST'!D:D), "")</f>
        <v>KL</v>
      </c>
      <c r="I949" s="40"/>
      <c r="J949" s="41">
        <f t="shared" si="2"/>
        <v>0</v>
      </c>
    </row>
    <row r="950" ht="22.5" customHeight="1">
      <c r="A950" s="29">
        <v>46237.0</v>
      </c>
      <c r="B950" s="31"/>
      <c r="C950" s="32" t="s">
        <v>1203</v>
      </c>
      <c r="D950" s="190" t="str">
        <f t="array" ref="D950">IF(E950="", "", XLOOKUP(E950, 'MASTER ITEM LIST'!B:B, 'MASTER ITEM LIST'!A:A, "Code Not Found"))</f>
        <v>AC-40-1L</v>
      </c>
      <c r="E950" s="191" t="s">
        <v>999</v>
      </c>
      <c r="F950" s="37" t="s">
        <v>1204</v>
      </c>
      <c r="G950" s="31">
        <v>1.0</v>
      </c>
      <c r="H950" s="39" t="str">
        <f t="array" ref="H950">IFERROR(XLOOKUP(D950,'MASTER ITEM LIST'!A:A,'MASTER ITEM LIST'!D:D), "")</f>
        <v>1L</v>
      </c>
      <c r="I950" s="40"/>
      <c r="J950" s="41">
        <f t="shared" si="2"/>
        <v>0</v>
      </c>
    </row>
    <row r="951" ht="22.5" customHeight="1">
      <c r="A951" s="29">
        <v>46237.0</v>
      </c>
      <c r="B951" s="31"/>
      <c r="C951" s="32" t="s">
        <v>1203</v>
      </c>
      <c r="D951" s="190" t="str">
        <f t="array" ref="D951">IF(E951="", "", XLOOKUP(E951, 'MASTER ITEM LIST'!B:B, 'MASTER ITEM LIST'!A:A, "Code Not Found"))</f>
        <v>ROS-TEMP-4L</v>
      </c>
      <c r="E951" s="191" t="s">
        <v>1171</v>
      </c>
      <c r="F951" s="37" t="s">
        <v>1204</v>
      </c>
      <c r="G951" s="31">
        <v>1.0</v>
      </c>
      <c r="H951" s="39" t="str">
        <f t="array" ref="H951">IFERROR(XLOOKUP(D951,'MASTER ITEM LIST'!A:A,'MASTER ITEM LIST'!D:D), "")</f>
        <v>GALON</v>
      </c>
      <c r="I951" s="40"/>
      <c r="J951" s="41">
        <f t="shared" si="2"/>
        <v>0</v>
      </c>
    </row>
    <row r="952" ht="22.5" customHeight="1">
      <c r="A952" s="29">
        <v>46237.0</v>
      </c>
      <c r="B952" s="31"/>
      <c r="C952" s="32" t="s">
        <v>1203</v>
      </c>
      <c r="D952" s="190" t="str">
        <f t="array" ref="D952">IF(E952="", "", XLOOKUP(E952, 'MASTER ITEM LIST'!B:B, 'MASTER ITEM LIST'!A:A, "Code Not Found"))</f>
        <v>MT602</v>
      </c>
      <c r="E952" s="191" t="s">
        <v>757</v>
      </c>
      <c r="F952" s="37" t="s">
        <v>1204</v>
      </c>
      <c r="G952" s="31">
        <v>1.0</v>
      </c>
      <c r="H952" s="39" t="str">
        <f t="array" ref="H952">IFERROR(XLOOKUP(D952,'MASTER ITEM LIST'!A:A,'MASTER ITEM LIST'!D:D), "")</f>
        <v>LTR/S</v>
      </c>
      <c r="I952" s="40"/>
      <c r="J952" s="41">
        <f t="shared" si="2"/>
        <v>0</v>
      </c>
    </row>
    <row r="953" ht="22.5" customHeight="1">
      <c r="A953" s="29">
        <v>46238.0</v>
      </c>
      <c r="B953" s="31"/>
      <c r="C953" s="32" t="s">
        <v>1203</v>
      </c>
      <c r="D953" s="190" t="str">
        <f t="array" ref="D953">IF(E953="", "", XLOOKUP(E953, 'MASTER ITEM LIST'!B:B, 'MASTER ITEM LIST'!A:A, "Code Not Found"))</f>
        <v>NXUMAGENTA-4L</v>
      </c>
      <c r="E953" s="191" t="s">
        <v>595</v>
      </c>
      <c r="F953" s="37" t="s">
        <v>1204</v>
      </c>
      <c r="G953" s="31">
        <v>1.0</v>
      </c>
      <c r="H953" s="39" t="str">
        <f t="array" ref="H953">IFERROR(XLOOKUP(D953,'MASTER ITEM LIST'!A:A,'MASTER ITEM LIST'!D:D), "")</f>
        <v>GAL</v>
      </c>
      <c r="I953" s="40"/>
      <c r="J953" s="41">
        <f t="shared" si="2"/>
        <v>0</v>
      </c>
    </row>
    <row r="954" ht="22.5" customHeight="1">
      <c r="A954" s="29">
        <v>46237.0</v>
      </c>
      <c r="B954" s="31" t="s">
        <v>1674</v>
      </c>
      <c r="C954" s="32" t="s">
        <v>38</v>
      </c>
      <c r="D954" s="190" t="str">
        <f t="array" ref="D954">IF(E954="", "", XLOOKUP(E954, 'MASTER ITEM LIST'!B:B, 'MASTER ITEM LIST'!A:A, "Code Not Found"))</f>
        <v>SOB757</v>
      </c>
      <c r="E954" s="191" t="s">
        <v>91</v>
      </c>
      <c r="F954" s="37" t="s">
        <v>41</v>
      </c>
      <c r="G954" s="31">
        <v>6.0</v>
      </c>
      <c r="H954" s="39" t="str">
        <f t="array" ref="H954">IFERROR(XLOOKUP(D954,'MASTER ITEM LIST'!A:A,'MASTER ITEM LIST'!D:D), "")</f>
        <v>GAL</v>
      </c>
      <c r="I954" s="40">
        <v>660.0</v>
      </c>
      <c r="J954" s="41">
        <f t="shared" si="2"/>
        <v>3960</v>
      </c>
    </row>
    <row r="955" ht="22.5" customHeight="1">
      <c r="A955" s="29">
        <v>46237.0</v>
      </c>
      <c r="B955" s="31" t="s">
        <v>1674</v>
      </c>
      <c r="C955" s="32" t="s">
        <v>38</v>
      </c>
      <c r="D955" s="190" t="str">
        <f t="array" ref="D955">IF(E955="", "", XLOOKUP(E955, 'MASTER ITEM LIST'!B:B, 'MASTER ITEM LIST'!A:A, "Code Not Found"))</f>
        <v>ROS-TEMP-4L</v>
      </c>
      <c r="E955" s="191" t="s">
        <v>1171</v>
      </c>
      <c r="F955" s="37" t="s">
        <v>41</v>
      </c>
      <c r="G955" s="31">
        <v>1.0</v>
      </c>
      <c r="H955" s="39" t="str">
        <f t="array" ref="H955">IFERROR(XLOOKUP(D955,'MASTER ITEM LIST'!A:A,'MASTER ITEM LIST'!D:D), "")</f>
        <v>GALON</v>
      </c>
      <c r="I955" s="40">
        <v>750.0</v>
      </c>
      <c r="J955" s="41">
        <f t="shared" si="2"/>
        <v>750</v>
      </c>
    </row>
    <row r="956" ht="22.5" customHeight="1">
      <c r="A956" s="29">
        <v>46240.0</v>
      </c>
      <c r="B956" s="31" t="s">
        <v>1675</v>
      </c>
      <c r="C956" s="32" t="s">
        <v>38</v>
      </c>
      <c r="D956" s="190" t="str">
        <f t="array" ref="D956">IF(E956="", "", XLOOKUP(E956, 'MASTER ITEM LIST'!B:B, 'MASTER ITEM LIST'!A:A, "Code Not Found"))</f>
        <v>PGW-4L</v>
      </c>
      <c r="E956" s="191" t="s">
        <v>422</v>
      </c>
      <c r="F956" s="37" t="s">
        <v>41</v>
      </c>
      <c r="G956" s="31">
        <v>1.0</v>
      </c>
      <c r="H956" s="39" t="str">
        <f t="array" ref="H956">IFERROR(XLOOKUP(D956,'MASTER ITEM LIST'!A:A,'MASTER ITEM LIST'!D:D), "")</f>
        <v>GALON</v>
      </c>
      <c r="I956" s="40">
        <v>1970.0</v>
      </c>
      <c r="J956" s="41">
        <f t="shared" si="2"/>
        <v>1970</v>
      </c>
    </row>
    <row r="957" ht="22.5" customHeight="1">
      <c r="A957" s="29">
        <v>46240.0</v>
      </c>
      <c r="B957" s="31" t="s">
        <v>1675</v>
      </c>
      <c r="C957" s="32" t="s">
        <v>38</v>
      </c>
      <c r="D957" s="190" t="str">
        <f t="array" ref="D957">IF(E957="", "", XLOOKUP(E957, 'MASTER ITEM LIST'!B:B, 'MASTER ITEM LIST'!A:A, "Code Not Found"))</f>
        <v>SOB757</v>
      </c>
      <c r="E957" s="191" t="s">
        <v>91</v>
      </c>
      <c r="F957" s="37" t="s">
        <v>41</v>
      </c>
      <c r="G957" s="31">
        <v>6.0</v>
      </c>
      <c r="H957" s="39" t="str">
        <f t="array" ref="H957">IFERROR(XLOOKUP(D957,'MASTER ITEM LIST'!A:A,'MASTER ITEM LIST'!D:D), "")</f>
        <v>GAL</v>
      </c>
      <c r="I957" s="40">
        <v>660.0</v>
      </c>
      <c r="J957" s="41">
        <f t="shared" si="2"/>
        <v>3960</v>
      </c>
    </row>
    <row r="958" ht="22.5" customHeight="1">
      <c r="A958" s="29">
        <v>46240.0</v>
      </c>
      <c r="B958" s="31" t="s">
        <v>1675</v>
      </c>
      <c r="C958" s="32" t="s">
        <v>38</v>
      </c>
      <c r="D958" s="190" t="str">
        <f t="array" ref="D958">IF(E958="", "", XLOOKUP(E958, 'MASTER ITEM LIST'!B:B, 'MASTER ITEM LIST'!A:A, "Code Not Found"))</f>
        <v>MT203</v>
      </c>
      <c r="E958" s="191" t="s">
        <v>785</v>
      </c>
      <c r="F958" s="37" t="s">
        <v>41</v>
      </c>
      <c r="G958" s="31">
        <v>1.0</v>
      </c>
      <c r="H958" s="39" t="str">
        <f t="array" ref="H958">IFERROR(XLOOKUP(D958,'MASTER ITEM LIST'!A:A,'MASTER ITEM LIST'!D:D), "")</f>
        <v>LTR/S</v>
      </c>
      <c r="I958" s="40">
        <v>2010.0</v>
      </c>
      <c r="J958" s="41">
        <f t="shared" si="2"/>
        <v>2010</v>
      </c>
    </row>
    <row r="959" ht="22.5" customHeight="1">
      <c r="A959" s="29">
        <v>46240.0</v>
      </c>
      <c r="B959" s="31" t="s">
        <v>1675</v>
      </c>
      <c r="C959" s="32" t="s">
        <v>38</v>
      </c>
      <c r="D959" s="190" t="str">
        <f t="array" ref="D959">IF(E959="", "", XLOOKUP(E959, 'MASTER ITEM LIST'!B:B, 'MASTER ITEM LIST'!A:A, "Code Not Found"))</f>
        <v>FF151</v>
      </c>
      <c r="E959" s="191" t="s">
        <v>558</v>
      </c>
      <c r="F959" s="37" t="s">
        <v>41</v>
      </c>
      <c r="G959" s="31">
        <v>1.0</v>
      </c>
      <c r="H959" s="39" t="str">
        <f t="array" ref="H959">IFERROR(XLOOKUP(D959,'MASTER ITEM LIST'!A:A,'MASTER ITEM LIST'!D:D), "")</f>
        <v>LTR</v>
      </c>
      <c r="I959" s="40">
        <v>1000.0</v>
      </c>
      <c r="J959" s="41">
        <f t="shared" si="2"/>
        <v>1000</v>
      </c>
    </row>
    <row r="960" ht="22.5" customHeight="1">
      <c r="A960" s="29">
        <v>46240.0</v>
      </c>
      <c r="B960" s="31" t="s">
        <v>1675</v>
      </c>
      <c r="C960" s="32" t="s">
        <v>38</v>
      </c>
      <c r="D960" s="190" t="str">
        <f t="array" ref="D960">IF(E960="", "", XLOOKUP(E960, 'MASTER ITEM LIST'!B:B, 'MASTER ITEM LIST'!A:A, "Code Not Found"))</f>
        <v>MT701</v>
      </c>
      <c r="E960" s="191" t="s">
        <v>749</v>
      </c>
      <c r="F960" s="37" t="s">
        <v>41</v>
      </c>
      <c r="G960" s="31">
        <v>1.0</v>
      </c>
      <c r="H960" s="39" t="str">
        <f t="array" ref="H960">IFERROR(XLOOKUP(D960,'MASTER ITEM LIST'!A:A,'MASTER ITEM LIST'!D:D), "")</f>
        <v>LTR/S</v>
      </c>
      <c r="I960" s="40">
        <v>2100.0</v>
      </c>
      <c r="J960" s="41">
        <f t="shared" si="2"/>
        <v>2100</v>
      </c>
    </row>
    <row r="961" ht="22.5" customHeight="1">
      <c r="A961" s="29">
        <v>46240.0</v>
      </c>
      <c r="B961" s="31" t="s">
        <v>1675</v>
      </c>
      <c r="C961" s="32" t="s">
        <v>38</v>
      </c>
      <c r="D961" s="190" t="str">
        <f t="array" ref="D961">IF(E961="", "", XLOOKUP(E961, 'MASTER ITEM LIST'!B:B, 'MASTER ITEM LIST'!A:A, "Code Not Found"))</f>
        <v>NAX108</v>
      </c>
      <c r="E961" s="191" t="s">
        <v>960</v>
      </c>
      <c r="F961" s="37" t="s">
        <v>41</v>
      </c>
      <c r="G961" s="31">
        <v>12.0</v>
      </c>
      <c r="H961" s="39" t="str">
        <f t="array" ref="H961">IFERROR(XLOOKUP(D961,'MASTER ITEM LIST'!A:A,'MASTER ITEM LIST'!D:D), "")</f>
        <v>LITER</v>
      </c>
      <c r="I961" s="40">
        <v>560.0</v>
      </c>
      <c r="J961" s="41">
        <f t="shared" si="2"/>
        <v>6720</v>
      </c>
    </row>
    <row r="962" ht="22.5" customHeight="1">
      <c r="A962" s="29">
        <v>46240.0</v>
      </c>
      <c r="B962" s="31" t="s">
        <v>1675</v>
      </c>
      <c r="C962" s="32" t="s">
        <v>38</v>
      </c>
      <c r="D962" s="190" t="str">
        <f t="array" ref="D962">IF(E962="", "", XLOOKUP(E962, 'MASTER ITEM LIST'!B:B, 'MASTER ITEM LIST'!A:A, "Code Not Found"))</f>
        <v>PLQDW-4L</v>
      </c>
      <c r="E962" s="191" t="s">
        <v>74</v>
      </c>
      <c r="F962" s="37" t="s">
        <v>41</v>
      </c>
      <c r="G962" s="31">
        <v>1.0</v>
      </c>
      <c r="H962" s="39" t="str">
        <f t="array" ref="H962">IFERROR(XLOOKUP(D962,'MASTER ITEM LIST'!A:A,'MASTER ITEM LIST'!D:D), "")</f>
        <v>GAL</v>
      </c>
      <c r="I962" s="40">
        <v>700.0</v>
      </c>
      <c r="J962" s="41">
        <f t="shared" si="2"/>
        <v>700</v>
      </c>
    </row>
    <row r="963" ht="22.5" customHeight="1">
      <c r="A963" s="29">
        <v>46240.0</v>
      </c>
      <c r="B963" s="31" t="s">
        <v>1675</v>
      </c>
      <c r="C963" s="32" t="s">
        <v>38</v>
      </c>
      <c r="D963" s="190" t="str">
        <f t="array" ref="D963">IF(E963="", "", XLOOKUP(E963, 'MASTER ITEM LIST'!B:B, 'MASTER ITEM LIST'!A:A, "Code Not Found"))</f>
        <v>GAETB-4L</v>
      </c>
      <c r="E963" s="191" t="s">
        <v>1184</v>
      </c>
      <c r="F963" s="37" t="s">
        <v>41</v>
      </c>
      <c r="G963" s="31">
        <v>1.0</v>
      </c>
      <c r="H963" s="39" t="str">
        <f t="array" ref="H963">IFERROR(XLOOKUP(D963,'MASTER ITEM LIST'!A:A,'MASTER ITEM LIST'!D:D), "")</f>
        <v>GALON</v>
      </c>
      <c r="I963" s="40">
        <v>864.0</v>
      </c>
      <c r="J963" s="41">
        <f t="shared" si="2"/>
        <v>864</v>
      </c>
    </row>
    <row r="964" ht="22.5" customHeight="1">
      <c r="A964" s="29">
        <v>46242.0</v>
      </c>
      <c r="B964" s="31" t="s">
        <v>1677</v>
      </c>
      <c r="C964" s="32" t="s">
        <v>38</v>
      </c>
      <c r="D964" s="190" t="str">
        <f t="array" ref="D964">IF(E964="", "", XLOOKUP(E964, 'MASTER ITEM LIST'!B:B, 'MASTER ITEM LIST'!A:A, "Code Not Found"))</f>
        <v>ROS-BLUE -OC-4L</v>
      </c>
      <c r="E964" s="191" t="s">
        <v>1180</v>
      </c>
      <c r="F964" s="37" t="s">
        <v>41</v>
      </c>
      <c r="G964" s="31">
        <v>1.0</v>
      </c>
      <c r="H964" s="39" t="str">
        <f t="array" ref="H964">IFERROR(XLOOKUP(D964,'MASTER ITEM LIST'!A:A,'MASTER ITEM LIST'!D:D), "")</f>
        <v>GALON</v>
      </c>
      <c r="I964" s="40">
        <v>750.0</v>
      </c>
      <c r="J964" s="41">
        <f t="shared" si="2"/>
        <v>750</v>
      </c>
    </row>
    <row r="965" ht="22.5" customHeight="1">
      <c r="A965" s="29">
        <v>46242.0</v>
      </c>
      <c r="B965" s="31" t="s">
        <v>1677</v>
      </c>
      <c r="C965" s="32" t="s">
        <v>38</v>
      </c>
      <c r="D965" s="190" t="str">
        <f t="array" ref="D965">IF(E965="", "", XLOOKUP(E965, 'MASTER ITEM LIST'!B:B, 'MASTER ITEM LIST'!A:A, "Code Not Found"))</f>
        <v>SOB757</v>
      </c>
      <c r="E965" s="191" t="s">
        <v>91</v>
      </c>
      <c r="F965" s="37" t="s">
        <v>41</v>
      </c>
      <c r="G965" s="31">
        <v>6.0</v>
      </c>
      <c r="H965" s="39" t="str">
        <f t="array" ref="H965">IFERROR(XLOOKUP(D965,'MASTER ITEM LIST'!A:A,'MASTER ITEM LIST'!D:D), "")</f>
        <v>GAL</v>
      </c>
      <c r="I965" s="40">
        <v>660.0</v>
      </c>
      <c r="J965" s="41">
        <f t="shared" si="2"/>
        <v>3960</v>
      </c>
    </row>
    <row r="966" ht="22.5" customHeight="1">
      <c r="A966" s="29">
        <v>46242.0</v>
      </c>
      <c r="B966" s="31" t="s">
        <v>1677</v>
      </c>
      <c r="C966" s="32" t="s">
        <v>38</v>
      </c>
      <c r="D966" s="190" t="str">
        <f t="array" ref="D966">IF(E966="", "", XLOOKUP(E966, 'MASTER ITEM LIST'!B:B, 'MASTER ITEM LIST'!A:A, "Code Not Found"))</f>
        <v>PRI3634</v>
      </c>
      <c r="E966" s="191" t="s">
        <v>956</v>
      </c>
      <c r="F966" s="37" t="s">
        <v>41</v>
      </c>
      <c r="G966" s="31">
        <v>12.0</v>
      </c>
      <c r="H966" s="39" t="str">
        <f t="array" ref="H966">IFERROR(XLOOKUP(D966,'MASTER ITEM LIST'!A:A,'MASTER ITEM LIST'!D:D), "")</f>
        <v>LITER</v>
      </c>
      <c r="I966" s="40">
        <v>460.0</v>
      </c>
      <c r="J966" s="41">
        <f t="shared" si="2"/>
        <v>5520</v>
      </c>
    </row>
    <row r="967" ht="22.5" customHeight="1">
      <c r="A967" s="29">
        <v>46238.0</v>
      </c>
      <c r="B967" s="31"/>
      <c r="C967" s="32" t="s">
        <v>1203</v>
      </c>
      <c r="D967" s="190" t="str">
        <f t="array" ref="D967">IF(E967="", "", XLOOKUP(E967, 'MASTER ITEM LIST'!B:B, 'MASTER ITEM LIST'!A:A, "Code Not Found"))</f>
        <v>MT023</v>
      </c>
      <c r="E967" s="191" t="s">
        <v>831</v>
      </c>
      <c r="F967" s="37" t="s">
        <v>1204</v>
      </c>
      <c r="G967" s="31">
        <v>1.0</v>
      </c>
      <c r="H967" s="39" t="str">
        <f t="array" ref="H967">IFERROR(XLOOKUP(D967,'MASTER ITEM LIST'!A:A,'MASTER ITEM LIST'!D:D), "")</f>
        <v>LTR/S</v>
      </c>
      <c r="I967" s="40"/>
      <c r="J967" s="41">
        <f t="shared" si="2"/>
        <v>0</v>
      </c>
    </row>
    <row r="968" ht="22.5" customHeight="1">
      <c r="A968" s="29">
        <v>46239.0</v>
      </c>
      <c r="B968" s="31"/>
      <c r="C968" s="32" t="s">
        <v>1203</v>
      </c>
      <c r="D968" s="190" t="str">
        <f t="array" ref="D968">IF(E968="", "", XLOOKUP(E968, 'MASTER ITEM LIST'!B:B, 'MASTER ITEM LIST'!A:A, "Code Not Found"))</f>
        <v>MT203</v>
      </c>
      <c r="E968" s="191" t="s">
        <v>785</v>
      </c>
      <c r="F968" s="37" t="s">
        <v>1204</v>
      </c>
      <c r="G968" s="31">
        <v>1.0</v>
      </c>
      <c r="H968" s="39" t="str">
        <f t="array" ref="H968">IFERROR(XLOOKUP(D968,'MASTER ITEM LIST'!A:A,'MASTER ITEM LIST'!D:D), "")</f>
        <v>LTR/S</v>
      </c>
      <c r="I968" s="40"/>
      <c r="J968" s="41">
        <f t="shared" si="2"/>
        <v>0</v>
      </c>
    </row>
    <row r="969" ht="22.5" customHeight="1">
      <c r="A969" s="29">
        <v>46239.0</v>
      </c>
      <c r="B969" s="31"/>
      <c r="C969" s="32" t="s">
        <v>1203</v>
      </c>
      <c r="D969" s="190" t="str">
        <f t="array" ref="D969">IF(E969="", "", XLOOKUP(E969, 'MASTER ITEM LIST'!B:B, 'MASTER ITEM LIST'!A:A, "Code Not Found"))</f>
        <v>NXUCINQVIO-4L</v>
      </c>
      <c r="E969" s="191" t="s">
        <v>601</v>
      </c>
      <c r="F969" s="37" t="s">
        <v>1204</v>
      </c>
      <c r="G969" s="31">
        <v>1.0</v>
      </c>
      <c r="H969" s="39" t="str">
        <f t="array" ref="H969">IFERROR(XLOOKUP(D969,'MASTER ITEM LIST'!A:A,'MASTER ITEM LIST'!D:D), "")</f>
        <v>GAL</v>
      </c>
      <c r="I969" s="40"/>
      <c r="J969" s="41">
        <f t="shared" si="2"/>
        <v>0</v>
      </c>
    </row>
    <row r="970" ht="22.5" customHeight="1">
      <c r="A970" s="29">
        <v>46239.0</v>
      </c>
      <c r="B970" s="31"/>
      <c r="C970" s="32" t="s">
        <v>1203</v>
      </c>
      <c r="D970" s="190" t="str">
        <f t="array" ref="D970">IF(E970="", "", XLOOKUP(E970, 'MASTER ITEM LIST'!B:B, 'MASTER ITEM LIST'!A:A, "Code Not Found"))</f>
        <v>PGW-4L</v>
      </c>
      <c r="E970" s="191" t="s">
        <v>422</v>
      </c>
      <c r="F970" s="37" t="s">
        <v>1204</v>
      </c>
      <c r="G970" s="31">
        <v>1.0</v>
      </c>
      <c r="H970" s="39" t="str">
        <f t="array" ref="H970">IFERROR(XLOOKUP(D970,'MASTER ITEM LIST'!A:A,'MASTER ITEM LIST'!D:D), "")</f>
        <v>GALON</v>
      </c>
      <c r="I970" s="40"/>
      <c r="J970" s="41">
        <f t="shared" si="2"/>
        <v>0</v>
      </c>
    </row>
    <row r="971" ht="22.5" customHeight="1">
      <c r="A971" s="29">
        <v>46239.0</v>
      </c>
      <c r="B971" s="31"/>
      <c r="C971" s="32" t="s">
        <v>1203</v>
      </c>
      <c r="D971" s="190" t="str">
        <f t="array" ref="D971">IF(E971="", "", XLOOKUP(E971, 'MASTER ITEM LIST'!B:B, 'MASTER ITEM LIST'!A:A, "Code Not Found"))</f>
        <v>PNB100</v>
      </c>
      <c r="E971" s="191" t="s">
        <v>719</v>
      </c>
      <c r="F971" s="37" t="s">
        <v>1204</v>
      </c>
      <c r="G971" s="31">
        <v>1.0</v>
      </c>
      <c r="H971" s="39" t="str">
        <f t="array" ref="H971">IFERROR(XLOOKUP(D971,'MASTER ITEM LIST'!A:A,'MASTER ITEM LIST'!D:D), "")</f>
        <v>GAL</v>
      </c>
      <c r="I971" s="40"/>
      <c r="J971" s="41">
        <f t="shared" si="2"/>
        <v>0</v>
      </c>
    </row>
    <row r="972" ht="22.5" customHeight="1">
      <c r="A972" s="29">
        <v>46239.0</v>
      </c>
      <c r="B972" s="31"/>
      <c r="C972" s="32" t="s">
        <v>1203</v>
      </c>
      <c r="D972" s="190" t="str">
        <f t="array" ref="D972">IF(E972="", "", XLOOKUP(E972, 'MASTER ITEM LIST'!B:B, 'MASTER ITEM LIST'!A:A, "Code Not Found"))</f>
        <v>MT701</v>
      </c>
      <c r="E972" s="191" t="s">
        <v>749</v>
      </c>
      <c r="F972" s="37" t="s">
        <v>1204</v>
      </c>
      <c r="G972" s="31">
        <v>1.0</v>
      </c>
      <c r="H972" s="39" t="str">
        <f t="array" ref="H972">IFERROR(XLOOKUP(D972,'MASTER ITEM LIST'!A:A,'MASTER ITEM LIST'!D:D), "")</f>
        <v>LTR/S</v>
      </c>
      <c r="I972" s="40"/>
      <c r="J972" s="41">
        <f t="shared" si="2"/>
        <v>0</v>
      </c>
    </row>
    <row r="973" ht="22.5" customHeight="1">
      <c r="A973" s="29">
        <v>46239.0</v>
      </c>
      <c r="B973" s="31"/>
      <c r="C973" s="32" t="s">
        <v>1205</v>
      </c>
      <c r="D973" s="190" t="str">
        <f t="array" ref="D973">IF(E973="", "", XLOOKUP(E973, 'MASTER ITEM LIST'!B:B, 'MASTER ITEM LIST'!A:A, "Code Not Found"))</f>
        <v>CRO-MT1</v>
      </c>
      <c r="E973" s="191" t="s">
        <v>1107</v>
      </c>
      <c r="F973" s="37" t="s">
        <v>1204</v>
      </c>
      <c r="G973" s="31">
        <v>1.0</v>
      </c>
      <c r="H973" s="39" t="str">
        <f t="array" ref="H973">IFERROR(XLOOKUP(D973,'MASTER ITEM LIST'!A:A,'MASTER ITEM LIST'!D:D), "")</f>
        <v>PCS</v>
      </c>
      <c r="I973" s="40"/>
      <c r="J973" s="41">
        <f t="shared" si="2"/>
        <v>0</v>
      </c>
    </row>
    <row r="974" ht="22.5" customHeight="1">
      <c r="A974" s="29">
        <v>46240.0</v>
      </c>
      <c r="B974" s="31"/>
      <c r="C974" s="32" t="s">
        <v>1203</v>
      </c>
      <c r="D974" s="190" t="str">
        <f t="array" ref="D974">IF(E974="", "", XLOOKUP(E974, 'MASTER ITEM LIST'!B:B, 'MASTER ITEM LIST'!A:A, "Code Not Found"))</f>
        <v>PLQDW-4L</v>
      </c>
      <c r="E974" s="191" t="s">
        <v>74</v>
      </c>
      <c r="F974" s="37" t="s">
        <v>1204</v>
      </c>
      <c r="G974" s="31">
        <v>1.0</v>
      </c>
      <c r="H974" s="39" t="str">
        <f t="array" ref="H974">IFERROR(XLOOKUP(D974,'MASTER ITEM LIST'!A:A,'MASTER ITEM LIST'!D:D), "")</f>
        <v>GAL</v>
      </c>
      <c r="I974" s="40"/>
      <c r="J974" s="41">
        <f t="shared" si="2"/>
        <v>0</v>
      </c>
    </row>
    <row r="975" ht="22.5" customHeight="1">
      <c r="A975" s="29">
        <v>46240.0</v>
      </c>
      <c r="B975" s="31"/>
      <c r="C975" s="32" t="s">
        <v>1203</v>
      </c>
      <c r="D975" s="190" t="str">
        <f t="array" ref="D975">IF(E975="", "", XLOOKUP(E975, 'MASTER ITEM LIST'!B:B, 'MASTER ITEM LIST'!A:A, "Code Not Found"))</f>
        <v>GAETB-4L</v>
      </c>
      <c r="E975" s="191" t="s">
        <v>1184</v>
      </c>
      <c r="F975" s="37" t="s">
        <v>1204</v>
      </c>
      <c r="G975" s="31">
        <v>1.0</v>
      </c>
      <c r="H975" s="39" t="str">
        <f t="array" ref="H975">IFERROR(XLOOKUP(D975,'MASTER ITEM LIST'!A:A,'MASTER ITEM LIST'!D:D), "")</f>
        <v>GALON</v>
      </c>
      <c r="I975" s="40"/>
      <c r="J975" s="41">
        <f t="shared" si="2"/>
        <v>0</v>
      </c>
    </row>
    <row r="976" ht="22.5" customHeight="1">
      <c r="A976" s="29">
        <v>46241.0</v>
      </c>
      <c r="B976" s="31"/>
      <c r="C976" s="32" t="s">
        <v>1203</v>
      </c>
      <c r="D976" s="190" t="str">
        <f t="array" ref="D976">IF(E976="", "", XLOOKUP(E976, 'MASTER ITEM LIST'!B:B, 'MASTER ITEM LIST'!A:A, "Code Not Found"))</f>
        <v>MT100-4L</v>
      </c>
      <c r="E976" s="191" t="s">
        <v>794</v>
      </c>
      <c r="F976" s="37" t="s">
        <v>1204</v>
      </c>
      <c r="G976" s="31">
        <v>1.0</v>
      </c>
      <c r="H976" s="39" t="str">
        <f t="array" ref="H976">IFERROR(XLOOKUP(D976,'MASTER ITEM LIST'!A:A,'MASTER ITEM LIST'!D:D), "")</f>
        <v>GAL/S</v>
      </c>
      <c r="I976" s="40"/>
      <c r="J976" s="41">
        <f t="shared" si="2"/>
        <v>0</v>
      </c>
    </row>
    <row r="977" ht="22.5" customHeight="1">
      <c r="A977" s="29">
        <v>46241.0</v>
      </c>
      <c r="B977" s="31"/>
      <c r="C977" s="32" t="s">
        <v>1203</v>
      </c>
      <c r="D977" s="190" t="str">
        <f t="array" ref="D977">IF(E977="", "", XLOOKUP(E977, 'MASTER ITEM LIST'!B:B, 'MASTER ITEM LIST'!A:A, "Code Not Found"))</f>
        <v>MT100-1L</v>
      </c>
      <c r="E977" s="191" t="s">
        <v>795</v>
      </c>
      <c r="F977" s="37" t="s">
        <v>1204</v>
      </c>
      <c r="G977" s="31">
        <v>1.0</v>
      </c>
      <c r="H977" s="39" t="str">
        <f t="array" ref="H977">IFERROR(XLOOKUP(D977,'MASTER ITEM LIST'!A:A,'MASTER ITEM LIST'!D:D), "")</f>
        <v>LTR/S</v>
      </c>
      <c r="I977" s="40"/>
      <c r="J977" s="41">
        <f t="shared" si="2"/>
        <v>0</v>
      </c>
    </row>
    <row r="978" ht="22.5" customHeight="1">
      <c r="A978" s="29">
        <v>46242.0</v>
      </c>
      <c r="B978" s="31"/>
      <c r="C978" s="32" t="s">
        <v>1203</v>
      </c>
      <c r="D978" s="190" t="str">
        <f t="array" ref="D978">IF(E978="", "", XLOOKUP(E978, 'MASTER ITEM LIST'!B:B, 'MASTER ITEM LIST'!A:A, "Code Not Found"))</f>
        <v>NAT321</v>
      </c>
      <c r="E978" s="191" t="s">
        <v>889</v>
      </c>
      <c r="F978" s="37" t="s">
        <v>1204</v>
      </c>
      <c r="G978" s="31">
        <v>1.0</v>
      </c>
      <c r="H978" s="39" t="str">
        <f t="array" ref="H978">IFERROR(XLOOKUP(D978,'MASTER ITEM LIST'!A:A,'MASTER ITEM LIST'!D:D), "")</f>
        <v>LITER</v>
      </c>
      <c r="I978" s="40"/>
      <c r="J978" s="41">
        <f t="shared" si="2"/>
        <v>0</v>
      </c>
    </row>
    <row r="979" ht="22.5" customHeight="1">
      <c r="A979" s="29">
        <v>46242.0</v>
      </c>
      <c r="B979" s="31"/>
      <c r="C979" s="32" t="s">
        <v>1203</v>
      </c>
      <c r="D979" s="190" t="str">
        <f t="array" ref="D979">IF(E979="", "", XLOOKUP(E979, 'MASTER ITEM LIST'!B:B, 'MASTER ITEM LIST'!A:A, "Code Not Found"))</f>
        <v>NAT990-4L</v>
      </c>
      <c r="E979" s="191" t="s">
        <v>851</v>
      </c>
      <c r="F979" s="37" t="s">
        <v>1204</v>
      </c>
      <c r="G979" s="31">
        <v>1.0</v>
      </c>
      <c r="H979" s="39" t="str">
        <f t="array" ref="H979">IFERROR(XLOOKUP(D979,'MASTER ITEM LIST'!A:A,'MASTER ITEM LIST'!D:D), "")</f>
        <v>GAL</v>
      </c>
      <c r="I979" s="40"/>
      <c r="J979" s="41">
        <f t="shared" si="2"/>
        <v>0</v>
      </c>
    </row>
    <row r="980" ht="22.5" customHeight="1">
      <c r="A980" s="29">
        <v>46245.0</v>
      </c>
      <c r="B980" s="31"/>
      <c r="C980" s="32" t="s">
        <v>1205</v>
      </c>
      <c r="D980" s="190" t="str">
        <f t="array" ref="D980">IF(E980="", "", XLOOKUP(E980, 'MASTER ITEM LIST'!B:B, 'MASTER ITEM LIST'!A:A, "Code Not Found"))</f>
        <v>CRO-MT1</v>
      </c>
      <c r="E980" s="191" t="s">
        <v>1107</v>
      </c>
      <c r="F980" s="37" t="s">
        <v>1204</v>
      </c>
      <c r="G980" s="31">
        <v>1.0</v>
      </c>
      <c r="H980" s="39" t="str">
        <f t="array" ref="H980">IFERROR(XLOOKUP(D980,'MASTER ITEM LIST'!A:A,'MASTER ITEM LIST'!D:D), "")</f>
        <v>PCS</v>
      </c>
      <c r="I980" s="40"/>
      <c r="J980" s="41">
        <f t="shared" si="2"/>
        <v>0</v>
      </c>
    </row>
    <row r="981" ht="22.5" customHeight="1">
      <c r="A981" s="29">
        <v>46245.0</v>
      </c>
      <c r="B981" s="31"/>
      <c r="C981" s="32" t="s">
        <v>1205</v>
      </c>
      <c r="D981" s="190" t="str">
        <f t="array" ref="D981">IF(E981="", "", XLOOKUP(E981, 'MASTER ITEM LIST'!B:B, 'MASTER ITEM LIST'!A:A, "Code Not Found"))</f>
        <v>SOB757</v>
      </c>
      <c r="E981" s="191" t="s">
        <v>91</v>
      </c>
      <c r="F981" s="37" t="s">
        <v>1204</v>
      </c>
      <c r="G981" s="31">
        <v>0.25</v>
      </c>
      <c r="H981" s="39" t="str">
        <f t="array" ref="H981">IFERROR(XLOOKUP(D981,'MASTER ITEM LIST'!A:A,'MASTER ITEM LIST'!D:D), "")</f>
        <v>GAL</v>
      </c>
      <c r="I981" s="40"/>
      <c r="J981" s="41">
        <f t="shared" si="2"/>
        <v>0</v>
      </c>
    </row>
    <row r="982" ht="22.5" customHeight="1">
      <c r="A982" s="29">
        <v>46245.0</v>
      </c>
      <c r="B982" s="31"/>
      <c r="C982" s="32" t="s">
        <v>1203</v>
      </c>
      <c r="D982" s="190" t="str">
        <f t="array" ref="D982">IF(E982="", "", XLOOKUP(E982, 'MASTER ITEM LIST'!B:B, 'MASTER ITEM LIST'!A:A, "Code Not Found"))</f>
        <v>PNB100</v>
      </c>
      <c r="E982" s="191" t="s">
        <v>719</v>
      </c>
      <c r="F982" s="37" t="s">
        <v>1204</v>
      </c>
      <c r="G982" s="31">
        <v>1.0</v>
      </c>
      <c r="H982" s="39" t="str">
        <f t="array" ref="H982">IFERROR(XLOOKUP(D982,'MASTER ITEM LIST'!A:A,'MASTER ITEM LIST'!D:D), "")</f>
        <v>GAL</v>
      </c>
      <c r="I982" s="40"/>
      <c r="J982" s="41">
        <f t="shared" si="2"/>
        <v>0</v>
      </c>
    </row>
    <row r="983" ht="22.5" customHeight="1">
      <c r="A983" s="29">
        <v>46246.0</v>
      </c>
      <c r="B983" s="31"/>
      <c r="C983" s="32" t="s">
        <v>1203</v>
      </c>
      <c r="D983" s="190" t="str">
        <f t="array" ref="D983">IF(E983="", "", XLOOKUP(E983, 'MASTER ITEM LIST'!B:B, 'MASTER ITEM LIST'!A:A, "Code Not Found"))</f>
        <v>NAT715-1L</v>
      </c>
      <c r="E983" s="191" t="s">
        <v>866</v>
      </c>
      <c r="F983" s="37" t="s">
        <v>1204</v>
      </c>
      <c r="G983" s="31">
        <v>1.0</v>
      </c>
      <c r="H983" s="39" t="str">
        <f t="array" ref="H983">IFERROR(XLOOKUP(D983,'MASTER ITEM LIST'!A:A,'MASTER ITEM LIST'!D:D), "")</f>
        <v>LITER</v>
      </c>
      <c r="I983" s="40"/>
      <c r="J983" s="41">
        <f t="shared" si="2"/>
        <v>0</v>
      </c>
    </row>
    <row r="984" ht="22.5" customHeight="1">
      <c r="A984" s="29">
        <v>46247.0</v>
      </c>
      <c r="B984" s="31"/>
      <c r="C984" s="32" t="s">
        <v>1203</v>
      </c>
      <c r="D984" s="190" t="str">
        <f t="array" ref="D984">IF(E984="", "", XLOOKUP(E984, 'MASTER ITEM LIST'!B:B, 'MASTER ITEM LIST'!A:A, "Code Not Found"))</f>
        <v>NAT100-4L</v>
      </c>
      <c r="E984" s="191" t="s">
        <v>948</v>
      </c>
      <c r="F984" s="37" t="s">
        <v>1204</v>
      </c>
      <c r="G984" s="31">
        <v>1.0</v>
      </c>
      <c r="H984" s="39" t="str">
        <f t="array" ref="H984">IFERROR(XLOOKUP(D984,'MASTER ITEM LIST'!A:A,'MASTER ITEM LIST'!D:D), "")</f>
        <v>GAL</v>
      </c>
      <c r="I984" s="40"/>
      <c r="J984" s="41">
        <f t="shared" si="2"/>
        <v>0</v>
      </c>
    </row>
    <row r="985" ht="22.5" customHeight="1">
      <c r="A985" s="29">
        <v>46247.0</v>
      </c>
      <c r="B985" s="31"/>
      <c r="C985" s="32" t="s">
        <v>1203</v>
      </c>
      <c r="D985" s="190" t="str">
        <f t="array" ref="D985">IF(E985="", "", XLOOKUP(E985, 'MASTER ITEM LIST'!B:B, 'MASTER ITEM LIST'!A:A, "Code Not Found"))</f>
        <v>NAT1158</v>
      </c>
      <c r="E985" s="191" t="s">
        <v>932</v>
      </c>
      <c r="F985" s="37" t="s">
        <v>1204</v>
      </c>
      <c r="G985" s="31">
        <v>1.0</v>
      </c>
      <c r="H985" s="39" t="str">
        <f t="array" ref="H985">IFERROR(XLOOKUP(D985,'MASTER ITEM LIST'!A:A,'MASTER ITEM LIST'!D:D), "")</f>
        <v>LITER</v>
      </c>
      <c r="I985" s="40"/>
      <c r="J985" s="41">
        <f t="shared" si="2"/>
        <v>0</v>
      </c>
    </row>
    <row r="986" ht="22.5" customHeight="1">
      <c r="A986" s="29">
        <v>46247.0</v>
      </c>
      <c r="B986" s="31"/>
      <c r="C986" s="32" t="s">
        <v>1203</v>
      </c>
      <c r="D986" s="190" t="str">
        <f t="array" ref="D986">IF(E986="", "", XLOOKUP(E986, 'MASTER ITEM LIST'!B:B, 'MASTER ITEM LIST'!A:A, "Code Not Found"))</f>
        <v>DCSG715-5L</v>
      </c>
      <c r="E986" s="191" t="s">
        <v>635</v>
      </c>
      <c r="F986" s="37" t="s">
        <v>1204</v>
      </c>
      <c r="G986" s="31">
        <v>1.0</v>
      </c>
      <c r="H986" s="39" t="str">
        <f t="array" ref="H986">IFERROR(XLOOKUP(D986,'MASTER ITEM LIST'!A:A,'MASTER ITEM LIST'!D:D), "")</f>
        <v>GAL</v>
      </c>
      <c r="I986" s="40"/>
      <c r="J986" s="41">
        <f t="shared" si="2"/>
        <v>0</v>
      </c>
    </row>
    <row r="987" ht="22.5" customHeight="1">
      <c r="A987" s="29">
        <v>46247.0</v>
      </c>
      <c r="B987" s="31"/>
      <c r="C987" s="32" t="s">
        <v>1203</v>
      </c>
      <c r="D987" s="190" t="str">
        <f t="array" ref="D987">IF(E987="", "", XLOOKUP(E987, 'MASTER ITEM LIST'!B:B, 'MASTER ITEM LIST'!A:A, "Code Not Found"))</f>
        <v>PLYZFLOURANGE-601</v>
      </c>
      <c r="E987" s="191" t="s">
        <v>386</v>
      </c>
      <c r="F987" s="37" t="s">
        <v>1204</v>
      </c>
      <c r="G987" s="31">
        <v>1.0</v>
      </c>
      <c r="H987" s="39" t="str">
        <f t="array" ref="H987">IFERROR(XLOOKUP(D987,'MASTER ITEM LIST'!A:A,'MASTER ITEM LIST'!D:D), "")</f>
        <v>CAN</v>
      </c>
      <c r="I987" s="40"/>
      <c r="J987" s="41">
        <f t="shared" si="2"/>
        <v>0</v>
      </c>
    </row>
    <row r="988" ht="22.5" customHeight="1">
      <c r="A988" s="29">
        <v>46248.0</v>
      </c>
      <c r="B988" s="31"/>
      <c r="C988" s="32" t="s">
        <v>1203</v>
      </c>
      <c r="D988" s="190" t="str">
        <f t="array" ref="D988">IF(E988="", "", XLOOKUP(E988, 'MASTER ITEM LIST'!B:B, 'MASTER ITEM LIST'!A:A, "Code Not Found"))</f>
        <v>MT203</v>
      </c>
      <c r="E988" s="191" t="s">
        <v>785</v>
      </c>
      <c r="F988" s="37" t="s">
        <v>1204</v>
      </c>
      <c r="G988" s="31">
        <v>1.0</v>
      </c>
      <c r="H988" s="39" t="str">
        <f t="array" ref="H988">IFERROR(XLOOKUP(D988,'MASTER ITEM LIST'!A:A,'MASTER ITEM LIST'!D:D), "")</f>
        <v>LTR/S</v>
      </c>
      <c r="I988" s="40"/>
      <c r="J988" s="41">
        <f t="shared" si="2"/>
        <v>0</v>
      </c>
    </row>
    <row r="989" ht="22.5" customHeight="1">
      <c r="A989" s="29">
        <v>46248.0</v>
      </c>
      <c r="B989" s="31"/>
      <c r="C989" s="32" t="s">
        <v>1203</v>
      </c>
      <c r="D989" s="190" t="str">
        <f t="array" ref="D989">IF(E989="", "", XLOOKUP(E989, 'MASTER ITEM LIST'!B:B, 'MASTER ITEM LIST'!A:A, "Code Not Found"))</f>
        <v>MT804</v>
      </c>
      <c r="E989" s="191" t="s">
        <v>736</v>
      </c>
      <c r="F989" s="37" t="s">
        <v>1204</v>
      </c>
      <c r="G989" s="31">
        <v>1.0</v>
      </c>
      <c r="H989" s="39" t="str">
        <f t="array" ref="H989">IFERROR(XLOOKUP(D989,'MASTER ITEM LIST'!A:A,'MASTER ITEM LIST'!D:D), "")</f>
        <v>LTR/S</v>
      </c>
      <c r="I989" s="40"/>
      <c r="J989" s="41">
        <f t="shared" si="2"/>
        <v>0</v>
      </c>
    </row>
    <row r="990" ht="22.5" customHeight="1">
      <c r="A990" s="29">
        <v>46248.0</v>
      </c>
      <c r="B990" s="31"/>
      <c r="C990" s="32" t="s">
        <v>1205</v>
      </c>
      <c r="D990" s="190" t="str">
        <f t="array" ref="D990">IF(E990="", "", XLOOKUP(E990, 'MASTER ITEM LIST'!B:B, 'MASTER ITEM LIST'!A:A, "Code Not Found"))</f>
        <v>CRO-MT1</v>
      </c>
      <c r="E990" s="191" t="s">
        <v>1107</v>
      </c>
      <c r="F990" s="37" t="s">
        <v>1204</v>
      </c>
      <c r="G990" s="31">
        <v>1.0</v>
      </c>
      <c r="H990" s="39" t="str">
        <f t="array" ref="H990">IFERROR(XLOOKUP(D990,'MASTER ITEM LIST'!A:A,'MASTER ITEM LIST'!D:D), "")</f>
        <v>PCS</v>
      </c>
      <c r="I990" s="40"/>
      <c r="J990" s="41">
        <f t="shared" si="2"/>
        <v>0</v>
      </c>
    </row>
    <row r="991" ht="22.5" customHeight="1">
      <c r="A991" s="29"/>
      <c r="B991" s="31"/>
      <c r="C991" s="193"/>
      <c r="D991" s="190" t="str">
        <f t="array" ref="D991">IF(E991="", "", XLOOKUP(E991, 'MASTER ITEM LIST'!B:B, 'MASTER ITEM LIST'!A:A, "Code Not Found"))</f>
        <v/>
      </c>
      <c r="E991" s="35"/>
      <c r="F991" s="194"/>
      <c r="G991" s="31"/>
      <c r="H991" s="39" t="str">
        <f t="array" ref="H991">IFERROR(XLOOKUP(D991,'MASTER ITEM LIST'!A:A,'MASTER ITEM LIST'!D:D), "")</f>
        <v/>
      </c>
      <c r="I991" s="40"/>
      <c r="J991" s="41" t="str">
        <f t="shared" si="2"/>
        <v/>
      </c>
    </row>
    <row r="992" ht="22.5" customHeight="1">
      <c r="A992" s="29"/>
      <c r="B992" s="31"/>
      <c r="C992" s="193"/>
      <c r="D992" s="190" t="str">
        <f t="array" ref="D992">IF(E992="", "", XLOOKUP(E992, 'MASTER ITEM LIST'!B:B, 'MASTER ITEM LIST'!A:A, "Code Not Found"))</f>
        <v/>
      </c>
      <c r="E992" s="35"/>
      <c r="F992" s="194"/>
      <c r="G992" s="31"/>
      <c r="H992" s="39" t="str">
        <f t="array" ref="H992">IFERROR(XLOOKUP(D992,'MASTER ITEM LIST'!A:A,'MASTER ITEM LIST'!D:D), "")</f>
        <v/>
      </c>
      <c r="I992" s="40"/>
      <c r="J992" s="41" t="str">
        <f t="shared" si="2"/>
        <v/>
      </c>
    </row>
    <row r="993" ht="22.5" customHeight="1">
      <c r="A993" s="29"/>
      <c r="B993" s="31"/>
      <c r="C993" s="193"/>
      <c r="D993" s="190" t="str">
        <f t="array" ref="D993">IF(E993="", "", XLOOKUP(E993, 'MASTER ITEM LIST'!B:B, 'MASTER ITEM LIST'!A:A, "Code Not Found"))</f>
        <v/>
      </c>
      <c r="E993" s="35"/>
      <c r="F993" s="194"/>
      <c r="G993" s="31"/>
      <c r="H993" s="39" t="str">
        <f t="array" ref="H993">IFERROR(XLOOKUP(D993,'MASTER ITEM LIST'!A:A,'MASTER ITEM LIST'!D:D), "")</f>
        <v/>
      </c>
      <c r="I993" s="40"/>
      <c r="J993" s="41" t="str">
        <f t="shared" si="2"/>
        <v/>
      </c>
    </row>
    <row r="994" ht="22.5" customHeight="1">
      <c r="A994" s="29"/>
      <c r="B994" s="31"/>
      <c r="C994" s="193"/>
      <c r="D994" s="190" t="str">
        <f t="array" ref="D994">IF(E994="", "", XLOOKUP(E994, 'MASTER ITEM LIST'!B:B, 'MASTER ITEM LIST'!A:A, "Code Not Found"))</f>
        <v/>
      </c>
      <c r="E994" s="35"/>
      <c r="F994" s="194"/>
      <c r="G994" s="31"/>
      <c r="H994" s="39" t="str">
        <f t="array" ref="H994">IFERROR(XLOOKUP(D994,'MASTER ITEM LIST'!A:A,'MASTER ITEM LIST'!D:D), "")</f>
        <v/>
      </c>
      <c r="I994" s="40"/>
      <c r="J994" s="41" t="str">
        <f t="shared" si="2"/>
        <v/>
      </c>
    </row>
    <row r="995" ht="22.5" customHeight="1">
      <c r="A995" s="29"/>
      <c r="B995" s="31"/>
      <c r="C995" s="193"/>
      <c r="D995" s="190" t="str">
        <f t="array" ref="D995">IF(E995="", "", XLOOKUP(E995, 'MASTER ITEM LIST'!B:B, 'MASTER ITEM LIST'!A:A, "Code Not Found"))</f>
        <v/>
      </c>
      <c r="E995" s="35"/>
      <c r="F995" s="194"/>
      <c r="G995" s="31"/>
      <c r="H995" s="39" t="str">
        <f t="array" ref="H995">IFERROR(XLOOKUP(D995,'MASTER ITEM LIST'!A:A,'MASTER ITEM LIST'!D:D), "")</f>
        <v/>
      </c>
      <c r="I995" s="40"/>
      <c r="J995" s="41" t="str">
        <f t="shared" si="2"/>
        <v/>
      </c>
    </row>
    <row r="996" ht="22.5" customHeight="1">
      <c r="A996" s="29"/>
      <c r="B996" s="31"/>
      <c r="C996" s="193"/>
      <c r="D996" s="190" t="str">
        <f t="array" ref="D996">IF(E996="", "", XLOOKUP(E996, 'MASTER ITEM LIST'!B:B, 'MASTER ITEM LIST'!A:A, "Code Not Found"))</f>
        <v/>
      </c>
      <c r="E996" s="35"/>
      <c r="F996" s="194"/>
      <c r="G996" s="31"/>
      <c r="H996" s="39" t="str">
        <f t="array" ref="H996">IFERROR(XLOOKUP(D996,'MASTER ITEM LIST'!A:A,'MASTER ITEM LIST'!D:D), "")</f>
        <v/>
      </c>
      <c r="I996" s="40"/>
      <c r="J996" s="41" t="str">
        <f t="shared" si="2"/>
        <v/>
      </c>
    </row>
    <row r="997" ht="22.5" customHeight="1">
      <c r="A997" s="29"/>
      <c r="B997" s="31"/>
      <c r="C997" s="193"/>
      <c r="D997" s="190" t="str">
        <f t="array" ref="D997">IF(E997="", "", XLOOKUP(E997, 'MASTER ITEM LIST'!B:B, 'MASTER ITEM LIST'!A:A, "Code Not Found"))</f>
        <v/>
      </c>
      <c r="E997" s="35"/>
      <c r="F997" s="194"/>
      <c r="G997" s="31"/>
      <c r="H997" s="39" t="str">
        <f t="array" ref="H997">IFERROR(XLOOKUP(D997,'MASTER ITEM LIST'!A:A,'MASTER ITEM LIST'!D:D), "")</f>
        <v/>
      </c>
      <c r="I997" s="40"/>
      <c r="J997" s="41" t="str">
        <f t="shared" si="2"/>
        <v/>
      </c>
    </row>
    <row r="998" ht="22.5" customHeight="1">
      <c r="A998" s="29"/>
      <c r="B998" s="31"/>
      <c r="C998" s="193"/>
      <c r="D998" s="190" t="str">
        <f t="array" ref="D998">IF(E998="", "", XLOOKUP(E998, 'MASTER ITEM LIST'!B:B, 'MASTER ITEM LIST'!A:A, "Code Not Found"))</f>
        <v/>
      </c>
      <c r="E998" s="35"/>
      <c r="F998" s="194"/>
      <c r="G998" s="31"/>
      <c r="H998" s="39" t="str">
        <f t="array" ref="H998">IFERROR(XLOOKUP(D998,'MASTER ITEM LIST'!A:A,'MASTER ITEM LIST'!D:D), "")</f>
        <v/>
      </c>
      <c r="I998" s="40"/>
      <c r="J998" s="41" t="str">
        <f t="shared" si="2"/>
        <v/>
      </c>
    </row>
    <row r="999" ht="22.5" customHeight="1">
      <c r="A999" s="29"/>
      <c r="B999" s="31"/>
      <c r="C999" s="193"/>
      <c r="D999" s="190" t="str">
        <f t="array" ref="D999">IF(E999="", "", XLOOKUP(E999, 'MASTER ITEM LIST'!B:B, 'MASTER ITEM LIST'!A:A, "Code Not Found"))</f>
        <v/>
      </c>
      <c r="E999" s="35"/>
      <c r="F999" s="194"/>
      <c r="G999" s="31"/>
      <c r="H999" s="39" t="str">
        <f t="array" ref="H999">IFERROR(XLOOKUP(D999,'MASTER ITEM LIST'!A:A,'MASTER ITEM LIST'!D:D), "")</f>
        <v/>
      </c>
      <c r="I999" s="40"/>
      <c r="J999" s="41" t="str">
        <f t="shared" si="2"/>
        <v/>
      </c>
    </row>
    <row r="1000" ht="22.5" customHeight="1">
      <c r="A1000" s="29"/>
      <c r="B1000" s="31"/>
      <c r="C1000" s="193"/>
      <c r="D1000" s="190" t="str">
        <f t="array" ref="D1000">IF(E1000="", "", XLOOKUP(E1000, 'MASTER ITEM LIST'!B:B, 'MASTER ITEM LIST'!A:A, "Code Not Found"))</f>
        <v/>
      </c>
      <c r="E1000" s="35"/>
      <c r="F1000" s="194"/>
      <c r="G1000" s="31"/>
      <c r="H1000" s="39" t="str">
        <f t="array" ref="H1000">IFERROR(XLOOKUP(D1000,'MASTER ITEM LIST'!A:A,'MASTER ITEM LIST'!D:D), "")</f>
        <v/>
      </c>
      <c r="I1000" s="40"/>
      <c r="J1000" s="41" t="str">
        <f t="shared" si="2"/>
        <v/>
      </c>
    </row>
    <row r="1001" ht="22.5" customHeight="1">
      <c r="A1001" s="29"/>
      <c r="B1001" s="31"/>
      <c r="C1001" s="193"/>
      <c r="D1001" s="190" t="str">
        <f t="array" ref="D1001">IF(E1001="", "", XLOOKUP(E1001, 'MASTER ITEM LIST'!B:B, 'MASTER ITEM LIST'!A:A, "Code Not Found"))</f>
        <v/>
      </c>
      <c r="E1001" s="35"/>
      <c r="F1001" s="194"/>
      <c r="G1001" s="31"/>
      <c r="H1001" s="39" t="str">
        <f t="array" ref="H1001">IFERROR(XLOOKUP(D1001,'MASTER ITEM LIST'!A:A,'MASTER ITEM LIST'!D:D), "")</f>
        <v/>
      </c>
      <c r="I1001" s="40"/>
      <c r="J1001" s="41" t="str">
        <f t="shared" si="2"/>
        <v/>
      </c>
    </row>
    <row r="1002" ht="22.5" customHeight="1">
      <c r="A1002" s="29"/>
      <c r="B1002" s="31"/>
      <c r="C1002" s="193"/>
      <c r="D1002" s="190" t="str">
        <f t="array" ref="D1002">IF(E1002="", "", XLOOKUP(E1002, 'MASTER ITEM LIST'!B:B, 'MASTER ITEM LIST'!A:A, "Code Not Found"))</f>
        <v/>
      </c>
      <c r="E1002" s="35"/>
      <c r="F1002" s="194"/>
      <c r="G1002" s="31"/>
      <c r="H1002" s="39" t="str">
        <f t="array" ref="H1002">IFERROR(XLOOKUP(D1002,'MASTER ITEM LIST'!A:A,'MASTER ITEM LIST'!D:D), "")</f>
        <v/>
      </c>
      <c r="I1002" s="40"/>
      <c r="J1002" s="41" t="str">
        <f t="shared" si="2"/>
        <v/>
      </c>
    </row>
    <row r="1003" ht="22.5" customHeight="1">
      <c r="A1003" s="29"/>
      <c r="B1003" s="31"/>
      <c r="C1003" s="193"/>
      <c r="D1003" s="190" t="str">
        <f t="array" ref="D1003">IF(E1003="", "", XLOOKUP(E1003, 'MASTER ITEM LIST'!B:B, 'MASTER ITEM LIST'!A:A, "Code Not Found"))</f>
        <v/>
      </c>
      <c r="E1003" s="35"/>
      <c r="F1003" s="194"/>
      <c r="G1003" s="31"/>
      <c r="H1003" s="39" t="str">
        <f t="array" ref="H1003">IFERROR(XLOOKUP(D1003,'MASTER ITEM LIST'!A:A,'MASTER ITEM LIST'!D:D), "")</f>
        <v/>
      </c>
      <c r="I1003" s="40"/>
      <c r="J1003" s="41" t="str">
        <f t="shared" si="2"/>
        <v/>
      </c>
    </row>
    <row r="1004" ht="22.5" customHeight="1">
      <c r="A1004" s="29"/>
      <c r="B1004" s="31"/>
      <c r="C1004" s="193"/>
      <c r="D1004" s="190" t="str">
        <f t="array" ref="D1004">IF(E1004="", "", XLOOKUP(E1004, 'MASTER ITEM LIST'!B:B, 'MASTER ITEM LIST'!A:A, "Code Not Found"))</f>
        <v/>
      </c>
      <c r="E1004" s="35"/>
      <c r="F1004" s="194"/>
      <c r="G1004" s="31"/>
      <c r="H1004" s="39" t="str">
        <f t="array" ref="H1004">IFERROR(XLOOKUP(D1004,'MASTER ITEM LIST'!A:A,'MASTER ITEM LIST'!D:D), "")</f>
        <v/>
      </c>
      <c r="I1004" s="40"/>
      <c r="J1004" s="41" t="str">
        <f t="shared" si="2"/>
        <v/>
      </c>
    </row>
    <row r="1005" ht="22.5" customHeight="1">
      <c r="A1005" s="29"/>
      <c r="B1005" s="31"/>
      <c r="C1005" s="193"/>
      <c r="D1005" s="190" t="str">
        <f t="array" ref="D1005">IF(E1005="", "", XLOOKUP(E1005, 'MASTER ITEM LIST'!B:B, 'MASTER ITEM LIST'!A:A, "Code Not Found"))</f>
        <v/>
      </c>
      <c r="E1005" s="35"/>
      <c r="F1005" s="194"/>
      <c r="G1005" s="31"/>
      <c r="H1005" s="39" t="str">
        <f t="array" ref="H1005">IFERROR(XLOOKUP(D1005,'MASTER ITEM LIST'!A:A,'MASTER ITEM LIST'!D:D), "")</f>
        <v/>
      </c>
      <c r="I1005" s="40"/>
      <c r="J1005" s="41" t="str">
        <f t="shared" si="2"/>
        <v/>
      </c>
    </row>
    <row r="1006" ht="22.5" customHeight="1">
      <c r="A1006" s="29"/>
      <c r="B1006" s="31"/>
      <c r="C1006" s="193"/>
      <c r="D1006" s="190" t="str">
        <f t="array" ref="D1006">IF(E1006="", "", XLOOKUP(E1006, 'MASTER ITEM LIST'!B:B, 'MASTER ITEM LIST'!A:A, "Code Not Found"))</f>
        <v/>
      </c>
      <c r="E1006" s="35"/>
      <c r="F1006" s="194"/>
      <c r="G1006" s="31"/>
      <c r="H1006" s="39" t="str">
        <f t="array" ref="H1006">IFERROR(XLOOKUP(D1006,'MASTER ITEM LIST'!A:A,'MASTER ITEM LIST'!D:D), "")</f>
        <v/>
      </c>
      <c r="I1006" s="40"/>
      <c r="J1006" s="41" t="str">
        <f t="shared" si="2"/>
        <v/>
      </c>
    </row>
    <row r="1007" ht="22.5" customHeight="1">
      <c r="A1007" s="29"/>
      <c r="B1007" s="31"/>
      <c r="C1007" s="193"/>
      <c r="D1007" s="190" t="str">
        <f t="array" ref="D1007">IF(E1007="", "", XLOOKUP(E1007, 'MASTER ITEM LIST'!B:B, 'MASTER ITEM LIST'!A:A, "Code Not Found"))</f>
        <v/>
      </c>
      <c r="E1007" s="35"/>
      <c r="F1007" s="194"/>
      <c r="G1007" s="31"/>
      <c r="H1007" s="39" t="str">
        <f t="array" ref="H1007">IFERROR(XLOOKUP(D1007,'MASTER ITEM LIST'!A:A,'MASTER ITEM LIST'!D:D), "")</f>
        <v/>
      </c>
      <c r="I1007" s="40"/>
      <c r="J1007" s="41" t="str">
        <f t="shared" si="2"/>
        <v/>
      </c>
    </row>
    <row r="1008" ht="22.5" customHeight="1">
      <c r="A1008" s="29"/>
      <c r="B1008" s="31"/>
      <c r="C1008" s="193"/>
      <c r="D1008" s="190" t="str">
        <f t="array" ref="D1008">IF(E1008="", "", XLOOKUP(E1008, 'MASTER ITEM LIST'!B:B, 'MASTER ITEM LIST'!A:A, "Code Not Found"))</f>
        <v/>
      </c>
      <c r="E1008" s="35"/>
      <c r="F1008" s="194"/>
      <c r="G1008" s="31"/>
      <c r="H1008" s="39" t="str">
        <f t="array" ref="H1008">IFERROR(XLOOKUP(D1008,'MASTER ITEM LIST'!A:A,'MASTER ITEM LIST'!D:D), "")</f>
        <v/>
      </c>
      <c r="I1008" s="40"/>
      <c r="J1008" s="41" t="str">
        <f t="shared" si="2"/>
        <v/>
      </c>
    </row>
    <row r="1009" ht="22.5" customHeight="1">
      <c r="A1009" s="29"/>
      <c r="B1009" s="31"/>
      <c r="C1009" s="193"/>
      <c r="D1009" s="190" t="str">
        <f t="array" ref="D1009">IF(E1009="", "", XLOOKUP(E1009, 'MASTER ITEM LIST'!B:B, 'MASTER ITEM LIST'!A:A, "Code Not Found"))</f>
        <v/>
      </c>
      <c r="E1009" s="35"/>
      <c r="F1009" s="194"/>
      <c r="G1009" s="31"/>
      <c r="H1009" s="39" t="str">
        <f t="array" ref="H1009">IFERROR(XLOOKUP(D1009,'MASTER ITEM LIST'!A:A,'MASTER ITEM LIST'!D:D), "")</f>
        <v/>
      </c>
      <c r="I1009" s="40"/>
      <c r="J1009" s="41" t="str">
        <f t="shared" si="2"/>
        <v/>
      </c>
    </row>
    <row r="1010" ht="22.5" customHeight="1">
      <c r="A1010" s="29"/>
      <c r="B1010" s="31"/>
      <c r="C1010" s="193"/>
      <c r="D1010" s="190" t="str">
        <f t="array" ref="D1010">IF(E1010="", "", XLOOKUP(E1010, 'MASTER ITEM LIST'!B:B, 'MASTER ITEM LIST'!A:A, "Code Not Found"))</f>
        <v/>
      </c>
      <c r="E1010" s="35"/>
      <c r="F1010" s="194"/>
      <c r="G1010" s="31"/>
      <c r="H1010" s="39" t="str">
        <f t="array" ref="H1010">IFERROR(XLOOKUP(D1010,'MASTER ITEM LIST'!A:A,'MASTER ITEM LIST'!D:D), "")</f>
        <v/>
      </c>
      <c r="I1010" s="40"/>
      <c r="J1010" s="41" t="str">
        <f t="shared" si="2"/>
        <v/>
      </c>
    </row>
    <row r="1011" ht="22.5" customHeight="1">
      <c r="A1011" s="29"/>
      <c r="B1011" s="31"/>
      <c r="C1011" s="193"/>
      <c r="D1011" s="190" t="str">
        <f t="array" ref="D1011">IF(E1011="", "", XLOOKUP(E1011, 'MASTER ITEM LIST'!B:B, 'MASTER ITEM LIST'!A:A, "Code Not Found"))</f>
        <v/>
      </c>
      <c r="E1011" s="35"/>
      <c r="F1011" s="194"/>
      <c r="G1011" s="31"/>
      <c r="H1011" s="39" t="str">
        <f t="array" ref="H1011">IFERROR(XLOOKUP(D1011,'MASTER ITEM LIST'!A:A,'MASTER ITEM LIST'!D:D), "")</f>
        <v/>
      </c>
      <c r="I1011" s="40"/>
      <c r="J1011" s="41" t="str">
        <f t="shared" si="2"/>
        <v/>
      </c>
    </row>
    <row r="1012" ht="22.5" customHeight="1">
      <c r="A1012" s="29"/>
      <c r="B1012" s="31"/>
      <c r="C1012" s="193"/>
      <c r="D1012" s="190" t="str">
        <f t="array" ref="D1012">IF(E1012="", "", XLOOKUP(E1012, 'MASTER ITEM LIST'!B:B, 'MASTER ITEM LIST'!A:A, "Code Not Found"))</f>
        <v/>
      </c>
      <c r="E1012" s="35"/>
      <c r="F1012" s="194"/>
      <c r="G1012" s="31"/>
      <c r="H1012" s="39" t="str">
        <f t="array" ref="H1012">IFERROR(XLOOKUP(D1012,'MASTER ITEM LIST'!A:A,'MASTER ITEM LIST'!D:D), "")</f>
        <v/>
      </c>
      <c r="I1012" s="40"/>
      <c r="J1012" s="41" t="str">
        <f t="shared" si="2"/>
        <v/>
      </c>
    </row>
    <row r="1013" ht="22.5" customHeight="1">
      <c r="A1013" s="29"/>
      <c r="B1013" s="31"/>
      <c r="C1013" s="193"/>
      <c r="D1013" s="190" t="str">
        <f t="array" ref="D1013">IF(E1013="", "", XLOOKUP(E1013, 'MASTER ITEM LIST'!B:B, 'MASTER ITEM LIST'!A:A, "Code Not Found"))</f>
        <v/>
      </c>
      <c r="E1013" s="35"/>
      <c r="F1013" s="194"/>
      <c r="G1013" s="31"/>
      <c r="H1013" s="39" t="str">
        <f t="array" ref="H1013">IFERROR(XLOOKUP(D1013,'MASTER ITEM LIST'!A:A,'MASTER ITEM LIST'!D:D), "")</f>
        <v/>
      </c>
      <c r="I1013" s="40"/>
      <c r="J1013" s="41" t="str">
        <f t="shared" si="2"/>
        <v/>
      </c>
    </row>
    <row r="1014" ht="22.5" customHeight="1">
      <c r="A1014" s="29"/>
      <c r="B1014" s="31"/>
      <c r="C1014" s="193"/>
      <c r="D1014" s="190" t="str">
        <f t="array" ref="D1014">IF(E1014="", "", XLOOKUP(E1014, 'MASTER ITEM LIST'!B:B, 'MASTER ITEM LIST'!A:A, "Code Not Found"))</f>
        <v/>
      </c>
      <c r="E1014" s="35"/>
      <c r="F1014" s="194"/>
      <c r="G1014" s="31"/>
      <c r="H1014" s="39" t="str">
        <f t="array" ref="H1014">IFERROR(XLOOKUP(D1014,'MASTER ITEM LIST'!A:A,'MASTER ITEM LIST'!D:D), "")</f>
        <v/>
      </c>
      <c r="I1014" s="40"/>
      <c r="J1014" s="41" t="str">
        <f t="shared" si="2"/>
        <v/>
      </c>
    </row>
    <row r="1015" ht="22.5" customHeight="1">
      <c r="A1015" s="29"/>
      <c r="B1015" s="31"/>
      <c r="C1015" s="193"/>
      <c r="D1015" s="190" t="str">
        <f t="array" ref="D1015">IF(E1015="", "", XLOOKUP(E1015, 'MASTER ITEM LIST'!B:B, 'MASTER ITEM LIST'!A:A, "Code Not Found"))</f>
        <v/>
      </c>
      <c r="E1015" s="35"/>
      <c r="F1015" s="194"/>
      <c r="G1015" s="31"/>
      <c r="H1015" s="39" t="str">
        <f t="array" ref="H1015">IFERROR(XLOOKUP(D1015,'MASTER ITEM LIST'!A:A,'MASTER ITEM LIST'!D:D), "")</f>
        <v/>
      </c>
      <c r="I1015" s="40"/>
      <c r="J1015" s="41" t="str">
        <f t="shared" si="2"/>
        <v/>
      </c>
    </row>
    <row r="1016" ht="22.5" customHeight="1">
      <c r="A1016" s="29"/>
      <c r="B1016" s="31"/>
      <c r="C1016" s="193"/>
      <c r="D1016" s="190" t="str">
        <f t="array" ref="D1016">IF(E1016="", "", XLOOKUP(E1016, 'MASTER ITEM LIST'!B:B, 'MASTER ITEM LIST'!A:A, "Code Not Found"))</f>
        <v/>
      </c>
      <c r="E1016" s="35"/>
      <c r="F1016" s="194"/>
      <c r="G1016" s="31"/>
      <c r="H1016" s="39" t="str">
        <f t="array" ref="H1016">IFERROR(XLOOKUP(D1016,'MASTER ITEM LIST'!A:A,'MASTER ITEM LIST'!D:D), "")</f>
        <v/>
      </c>
      <c r="I1016" s="40"/>
      <c r="J1016" s="41" t="str">
        <f t="shared" si="2"/>
        <v/>
      </c>
    </row>
    <row r="1017" ht="22.5" customHeight="1">
      <c r="A1017" s="29"/>
      <c r="B1017" s="31"/>
      <c r="C1017" s="193"/>
      <c r="D1017" s="190" t="str">
        <f t="array" ref="D1017">IF(E1017="", "", XLOOKUP(E1017, 'MASTER ITEM LIST'!B:B, 'MASTER ITEM LIST'!A:A, "Code Not Found"))</f>
        <v/>
      </c>
      <c r="E1017" s="35"/>
      <c r="F1017" s="194"/>
      <c r="G1017" s="31"/>
      <c r="H1017" s="39" t="str">
        <f t="array" ref="H1017">IFERROR(XLOOKUP(D1017,'MASTER ITEM LIST'!A:A,'MASTER ITEM LIST'!D:D), "")</f>
        <v/>
      </c>
      <c r="I1017" s="40"/>
      <c r="J1017" s="41" t="str">
        <f t="shared" si="2"/>
        <v/>
      </c>
    </row>
    <row r="1018" ht="22.5" customHeight="1">
      <c r="A1018" s="29"/>
      <c r="B1018" s="31"/>
      <c r="C1018" s="193"/>
      <c r="D1018" s="190" t="str">
        <f t="array" ref="D1018">IF(E1018="", "", XLOOKUP(E1018, 'MASTER ITEM LIST'!B:B, 'MASTER ITEM LIST'!A:A, "Code Not Found"))</f>
        <v/>
      </c>
      <c r="E1018" s="35"/>
      <c r="F1018" s="194"/>
      <c r="G1018" s="31"/>
      <c r="H1018" s="39" t="str">
        <f t="array" ref="H1018">IFERROR(XLOOKUP(D1018,'MASTER ITEM LIST'!A:A,'MASTER ITEM LIST'!D:D), "")</f>
        <v/>
      </c>
      <c r="I1018" s="40"/>
      <c r="J1018" s="41" t="str">
        <f t="shared" si="2"/>
        <v/>
      </c>
    </row>
    <row r="1019" ht="22.5" customHeight="1">
      <c r="A1019" s="29"/>
      <c r="B1019" s="31"/>
      <c r="C1019" s="193"/>
      <c r="D1019" s="190" t="str">
        <f t="array" ref="D1019">IF(E1019="", "", XLOOKUP(E1019, 'MASTER ITEM LIST'!B:B, 'MASTER ITEM LIST'!A:A, "Code Not Found"))</f>
        <v/>
      </c>
      <c r="E1019" s="35"/>
      <c r="F1019" s="194"/>
      <c r="G1019" s="31"/>
      <c r="H1019" s="39" t="str">
        <f t="array" ref="H1019">IFERROR(XLOOKUP(D1019,'MASTER ITEM LIST'!A:A,'MASTER ITEM LIST'!D:D), "")</f>
        <v/>
      </c>
      <c r="I1019" s="40"/>
      <c r="J1019" s="41" t="str">
        <f t="shared" si="2"/>
        <v/>
      </c>
    </row>
    <row r="1020" ht="22.5" customHeight="1">
      <c r="A1020" s="29"/>
      <c r="B1020" s="31"/>
      <c r="C1020" s="193"/>
      <c r="D1020" s="190" t="str">
        <f t="array" ref="D1020">IF(E1020="", "", XLOOKUP(E1020, 'MASTER ITEM LIST'!B:B, 'MASTER ITEM LIST'!A:A, "Code Not Found"))</f>
        <v/>
      </c>
      <c r="E1020" s="35"/>
      <c r="F1020" s="194"/>
      <c r="G1020" s="31"/>
      <c r="H1020" s="39" t="str">
        <f t="array" ref="H1020">IFERROR(XLOOKUP(D1020,'MASTER ITEM LIST'!A:A,'MASTER ITEM LIST'!D:D), "")</f>
        <v/>
      </c>
      <c r="I1020" s="40"/>
      <c r="J1020" s="41" t="str">
        <f t="shared" si="2"/>
        <v/>
      </c>
    </row>
    <row r="1021" ht="22.5" customHeight="1">
      <c r="A1021" s="29"/>
      <c r="B1021" s="31"/>
      <c r="C1021" s="193"/>
      <c r="D1021" s="190" t="str">
        <f t="array" ref="D1021">IF(E1021="", "", XLOOKUP(E1021, 'MASTER ITEM LIST'!B:B, 'MASTER ITEM LIST'!A:A, "Code Not Found"))</f>
        <v/>
      </c>
      <c r="E1021" s="35"/>
      <c r="F1021" s="194"/>
      <c r="G1021" s="31"/>
      <c r="H1021" s="39" t="str">
        <f t="array" ref="H1021">IFERROR(XLOOKUP(D1021,'MASTER ITEM LIST'!A:A,'MASTER ITEM LIST'!D:D), "")</f>
        <v/>
      </c>
      <c r="I1021" s="40"/>
      <c r="J1021" s="41" t="str">
        <f t="shared" si="2"/>
        <v/>
      </c>
    </row>
    <row r="1022" ht="22.5" customHeight="1">
      <c r="A1022" s="29"/>
      <c r="B1022" s="31"/>
      <c r="C1022" s="193"/>
      <c r="D1022" s="190" t="str">
        <f t="array" ref="D1022">IF(E1022="", "", XLOOKUP(E1022, 'MASTER ITEM LIST'!B:B, 'MASTER ITEM LIST'!A:A, "Code Not Found"))</f>
        <v/>
      </c>
      <c r="E1022" s="35"/>
      <c r="F1022" s="194"/>
      <c r="G1022" s="31"/>
      <c r="H1022" s="39" t="str">
        <f t="array" ref="H1022">IFERROR(XLOOKUP(D1022,'MASTER ITEM LIST'!A:A,'MASTER ITEM LIST'!D:D), "")</f>
        <v/>
      </c>
      <c r="I1022" s="40"/>
      <c r="J1022" s="41" t="str">
        <f t="shared" si="2"/>
        <v/>
      </c>
    </row>
    <row r="1023" ht="22.5" customHeight="1">
      <c r="A1023" s="29"/>
      <c r="B1023" s="31"/>
      <c r="C1023" s="193"/>
      <c r="D1023" s="190" t="str">
        <f t="array" ref="D1023">IF(E1023="", "", XLOOKUP(E1023, 'MASTER ITEM LIST'!B:B, 'MASTER ITEM LIST'!A:A, "Code Not Found"))</f>
        <v/>
      </c>
      <c r="E1023" s="35"/>
      <c r="F1023" s="194"/>
      <c r="G1023" s="31"/>
      <c r="H1023" s="39" t="str">
        <f t="array" ref="H1023">IFERROR(XLOOKUP(D1023,'MASTER ITEM LIST'!A:A,'MASTER ITEM LIST'!D:D), "")</f>
        <v/>
      </c>
      <c r="I1023" s="40"/>
      <c r="J1023" s="41" t="str">
        <f t="shared" si="2"/>
        <v/>
      </c>
    </row>
    <row r="1024" ht="22.5" customHeight="1">
      <c r="A1024" s="29"/>
      <c r="B1024" s="31"/>
      <c r="C1024" s="193"/>
      <c r="D1024" s="190" t="str">
        <f t="array" ref="D1024">IF(E1024="", "", XLOOKUP(E1024, 'MASTER ITEM LIST'!B:B, 'MASTER ITEM LIST'!A:A, "Code Not Found"))</f>
        <v/>
      </c>
      <c r="E1024" s="35"/>
      <c r="F1024" s="194"/>
      <c r="G1024" s="31"/>
      <c r="H1024" s="39" t="str">
        <f t="array" ref="H1024">IFERROR(XLOOKUP(D1024,'MASTER ITEM LIST'!A:A,'MASTER ITEM LIST'!D:D), "")</f>
        <v/>
      </c>
      <c r="I1024" s="40"/>
      <c r="J1024" s="41" t="str">
        <f t="shared" si="2"/>
        <v/>
      </c>
    </row>
    <row r="1025" ht="22.5" customHeight="1">
      <c r="A1025" s="29"/>
      <c r="B1025" s="31"/>
      <c r="C1025" s="193"/>
      <c r="D1025" s="190" t="str">
        <f t="array" ref="D1025">IF(E1025="", "", XLOOKUP(E1025, 'MASTER ITEM LIST'!B:B, 'MASTER ITEM LIST'!A:A, "Code Not Found"))</f>
        <v/>
      </c>
      <c r="E1025" s="35"/>
      <c r="F1025" s="194"/>
      <c r="G1025" s="31"/>
      <c r="H1025" s="39" t="str">
        <f t="array" ref="H1025">IFERROR(XLOOKUP(D1025,'MASTER ITEM LIST'!A:A,'MASTER ITEM LIST'!D:D), "")</f>
        <v/>
      </c>
      <c r="I1025" s="40"/>
      <c r="J1025" s="41" t="str">
        <f t="shared" si="2"/>
        <v/>
      </c>
    </row>
    <row r="1026" ht="22.5" customHeight="1">
      <c r="A1026" s="29"/>
      <c r="B1026" s="31"/>
      <c r="C1026" s="193"/>
      <c r="D1026" s="190" t="str">
        <f t="array" ref="D1026">IF(E1026="", "", XLOOKUP(E1026, 'MASTER ITEM LIST'!B:B, 'MASTER ITEM LIST'!A:A, "Code Not Found"))</f>
        <v/>
      </c>
      <c r="E1026" s="35"/>
      <c r="F1026" s="194"/>
      <c r="G1026" s="31"/>
      <c r="H1026" s="39" t="str">
        <f t="array" ref="H1026">IFERROR(XLOOKUP(D1026,'MASTER ITEM LIST'!A:A,'MASTER ITEM LIST'!D:D), "")</f>
        <v/>
      </c>
      <c r="I1026" s="40"/>
      <c r="J1026" s="41" t="str">
        <f t="shared" si="2"/>
        <v/>
      </c>
    </row>
    <row r="1027" ht="22.5" customHeight="1">
      <c r="A1027" s="29"/>
      <c r="B1027" s="31"/>
      <c r="C1027" s="193"/>
      <c r="D1027" s="190" t="str">
        <f t="array" ref="D1027">IF(E1027="", "", XLOOKUP(E1027, 'MASTER ITEM LIST'!B:B, 'MASTER ITEM LIST'!A:A, "Code Not Found"))</f>
        <v/>
      </c>
      <c r="E1027" s="35"/>
      <c r="F1027" s="194"/>
      <c r="G1027" s="31"/>
      <c r="H1027" s="39" t="str">
        <f t="array" ref="H1027">IFERROR(XLOOKUP(D1027,'MASTER ITEM LIST'!A:A,'MASTER ITEM LIST'!D:D), "")</f>
        <v/>
      </c>
      <c r="I1027" s="40"/>
      <c r="J1027" s="41" t="str">
        <f t="shared" si="2"/>
        <v/>
      </c>
    </row>
    <row r="1028" ht="22.5" customHeight="1">
      <c r="A1028" s="29"/>
      <c r="B1028" s="31"/>
      <c r="C1028" s="193"/>
      <c r="D1028" s="190" t="str">
        <f t="array" ref="D1028">IF(E1028="", "", XLOOKUP(E1028, 'MASTER ITEM LIST'!B:B, 'MASTER ITEM LIST'!A:A, "Code Not Found"))</f>
        <v/>
      </c>
      <c r="E1028" s="35"/>
      <c r="F1028" s="194"/>
      <c r="G1028" s="31"/>
      <c r="H1028" s="39" t="str">
        <f t="array" ref="H1028">IFERROR(XLOOKUP(D1028,'MASTER ITEM LIST'!A:A,'MASTER ITEM LIST'!D:D), "")</f>
        <v/>
      </c>
      <c r="I1028" s="40"/>
      <c r="J1028" s="41" t="str">
        <f t="shared" si="2"/>
        <v/>
      </c>
    </row>
    <row r="1029" ht="22.5" customHeight="1">
      <c r="A1029" s="29"/>
      <c r="B1029" s="31"/>
      <c r="C1029" s="193"/>
      <c r="D1029" s="190" t="str">
        <f t="array" ref="D1029">IF(E1029="", "", XLOOKUP(E1029, 'MASTER ITEM LIST'!B:B, 'MASTER ITEM LIST'!A:A, "Code Not Found"))</f>
        <v/>
      </c>
      <c r="E1029" s="35"/>
      <c r="F1029" s="194"/>
      <c r="G1029" s="31"/>
      <c r="H1029" s="39" t="str">
        <f t="array" ref="H1029">IFERROR(XLOOKUP(D1029,'MASTER ITEM LIST'!A:A,'MASTER ITEM LIST'!D:D), "")</f>
        <v/>
      </c>
      <c r="I1029" s="40"/>
      <c r="J1029" s="41" t="str">
        <f t="shared" si="2"/>
        <v/>
      </c>
    </row>
    <row r="1030" ht="22.5" customHeight="1">
      <c r="A1030" s="29"/>
      <c r="B1030" s="31"/>
      <c r="C1030" s="193"/>
      <c r="D1030" s="190" t="str">
        <f t="array" ref="D1030">IF(E1030="", "", XLOOKUP(E1030, 'MASTER ITEM LIST'!B:B, 'MASTER ITEM LIST'!A:A, "Code Not Found"))</f>
        <v/>
      </c>
      <c r="E1030" s="35"/>
      <c r="F1030" s="194"/>
      <c r="G1030" s="31"/>
      <c r="H1030" s="39" t="str">
        <f t="array" ref="H1030">IFERROR(XLOOKUP(D1030,'MASTER ITEM LIST'!A:A,'MASTER ITEM LIST'!D:D), "")</f>
        <v/>
      </c>
      <c r="I1030" s="40"/>
      <c r="J1030" s="41" t="str">
        <f t="shared" si="2"/>
        <v/>
      </c>
    </row>
    <row r="1031" ht="22.5" customHeight="1">
      <c r="A1031" s="29"/>
      <c r="B1031" s="31"/>
      <c r="C1031" s="193"/>
      <c r="D1031" s="190" t="str">
        <f t="array" ref="D1031">IF(E1031="", "", XLOOKUP(E1031, 'MASTER ITEM LIST'!B:B, 'MASTER ITEM LIST'!A:A, "Code Not Found"))</f>
        <v/>
      </c>
      <c r="E1031" s="35"/>
      <c r="F1031" s="194"/>
      <c r="G1031" s="31"/>
      <c r="H1031" s="39" t="str">
        <f t="array" ref="H1031">IFERROR(XLOOKUP(D1031,'MASTER ITEM LIST'!A:A,'MASTER ITEM LIST'!D:D), "")</f>
        <v/>
      </c>
      <c r="I1031" s="40"/>
      <c r="J1031" s="41" t="str">
        <f t="shared" si="2"/>
        <v/>
      </c>
    </row>
    <row r="1032" ht="22.5" customHeight="1">
      <c r="A1032" s="29"/>
      <c r="B1032" s="31"/>
      <c r="C1032" s="193"/>
      <c r="D1032" s="190" t="str">
        <f t="array" ref="D1032">IF(E1032="", "", XLOOKUP(E1032, 'MASTER ITEM LIST'!B:B, 'MASTER ITEM LIST'!A:A, "Code Not Found"))</f>
        <v/>
      </c>
      <c r="E1032" s="35"/>
      <c r="F1032" s="194"/>
      <c r="G1032" s="31"/>
      <c r="H1032" s="39" t="str">
        <f t="array" ref="H1032">IFERROR(XLOOKUP(D1032,'MASTER ITEM LIST'!A:A,'MASTER ITEM LIST'!D:D), "")</f>
        <v/>
      </c>
      <c r="I1032" s="40"/>
      <c r="J1032" s="41" t="str">
        <f t="shared" si="2"/>
        <v/>
      </c>
    </row>
    <row r="1033" ht="22.5" customHeight="1">
      <c r="A1033" s="29"/>
      <c r="B1033" s="31"/>
      <c r="C1033" s="193"/>
      <c r="D1033" s="190" t="str">
        <f t="array" ref="D1033">IF(E1033="", "", XLOOKUP(E1033, 'MASTER ITEM LIST'!B:B, 'MASTER ITEM LIST'!A:A, "Code Not Found"))</f>
        <v/>
      </c>
      <c r="E1033" s="35"/>
      <c r="F1033" s="194"/>
      <c r="G1033" s="31"/>
      <c r="H1033" s="39" t="str">
        <f t="array" ref="H1033">IFERROR(XLOOKUP(D1033,'MASTER ITEM LIST'!A:A,'MASTER ITEM LIST'!D:D), "")</f>
        <v/>
      </c>
      <c r="I1033" s="40"/>
      <c r="J1033" s="41" t="str">
        <f t="shared" si="2"/>
        <v/>
      </c>
    </row>
    <row r="1034" ht="22.5" customHeight="1">
      <c r="A1034" s="29"/>
      <c r="B1034" s="31"/>
      <c r="C1034" s="193"/>
      <c r="D1034" s="190" t="str">
        <f t="array" ref="D1034">IF(E1034="", "", XLOOKUP(E1034, 'MASTER ITEM LIST'!B:B, 'MASTER ITEM LIST'!A:A, "Code Not Found"))</f>
        <v/>
      </c>
      <c r="E1034" s="35"/>
      <c r="F1034" s="194"/>
      <c r="G1034" s="31"/>
      <c r="H1034" s="39" t="str">
        <f t="array" ref="H1034">IFERROR(XLOOKUP(D1034,'MASTER ITEM LIST'!A:A,'MASTER ITEM LIST'!D:D), "")</f>
        <v/>
      </c>
      <c r="I1034" s="40"/>
      <c r="J1034" s="41" t="str">
        <f t="shared" si="2"/>
        <v/>
      </c>
    </row>
    <row r="1035" ht="22.5" customHeight="1">
      <c r="A1035" s="29"/>
      <c r="B1035" s="31"/>
      <c r="C1035" s="193"/>
      <c r="D1035" s="190" t="str">
        <f t="array" ref="D1035">IF(E1035="", "", XLOOKUP(E1035, 'MASTER ITEM LIST'!B:B, 'MASTER ITEM LIST'!A:A, "Code Not Found"))</f>
        <v/>
      </c>
      <c r="E1035" s="35"/>
      <c r="F1035" s="194"/>
      <c r="G1035" s="31"/>
      <c r="H1035" s="39" t="str">
        <f t="array" ref="H1035">IFERROR(XLOOKUP(D1035,'MASTER ITEM LIST'!A:A,'MASTER ITEM LIST'!D:D), "")</f>
        <v/>
      </c>
      <c r="I1035" s="40"/>
      <c r="J1035" s="41" t="str">
        <f t="shared" si="2"/>
        <v/>
      </c>
    </row>
    <row r="1036" ht="22.5" customHeight="1">
      <c r="A1036" s="29"/>
      <c r="B1036" s="31"/>
      <c r="C1036" s="193"/>
      <c r="D1036" s="190" t="str">
        <f t="array" ref="D1036">IF(E1036="", "", XLOOKUP(E1036, 'MASTER ITEM LIST'!B:B, 'MASTER ITEM LIST'!A:A, "Code Not Found"))</f>
        <v/>
      </c>
      <c r="E1036" s="35"/>
      <c r="F1036" s="194"/>
      <c r="G1036" s="31"/>
      <c r="H1036" s="39" t="str">
        <f t="array" ref="H1036">IFERROR(XLOOKUP(D1036,'MASTER ITEM LIST'!A:A,'MASTER ITEM LIST'!D:D), "")</f>
        <v/>
      </c>
      <c r="I1036" s="40"/>
      <c r="J1036" s="41" t="str">
        <f t="shared" si="2"/>
        <v/>
      </c>
    </row>
    <row r="1037" ht="22.5" customHeight="1">
      <c r="A1037" s="29"/>
      <c r="B1037" s="31"/>
      <c r="C1037" s="193"/>
      <c r="D1037" s="190" t="str">
        <f t="array" ref="D1037">IF(E1037="", "", XLOOKUP(E1037, 'MASTER ITEM LIST'!B:B, 'MASTER ITEM LIST'!A:A, "Code Not Found"))</f>
        <v/>
      </c>
      <c r="E1037" s="35"/>
      <c r="F1037" s="194"/>
      <c r="G1037" s="31"/>
      <c r="H1037" s="39" t="str">
        <f t="array" ref="H1037">IFERROR(XLOOKUP(D1037,'MASTER ITEM LIST'!A:A,'MASTER ITEM LIST'!D:D), "")</f>
        <v/>
      </c>
      <c r="I1037" s="40"/>
      <c r="J1037" s="41" t="str">
        <f t="shared" si="2"/>
        <v/>
      </c>
    </row>
    <row r="1038" ht="22.5" customHeight="1">
      <c r="A1038" s="29"/>
      <c r="B1038" s="31"/>
      <c r="C1038" s="193"/>
      <c r="D1038" s="190" t="str">
        <f t="array" ref="D1038">IF(E1038="", "", XLOOKUP(E1038, 'MASTER ITEM LIST'!B:B, 'MASTER ITEM LIST'!A:A, "Code Not Found"))</f>
        <v/>
      </c>
      <c r="E1038" s="35"/>
      <c r="F1038" s="194"/>
      <c r="G1038" s="31"/>
      <c r="H1038" s="39" t="str">
        <f t="array" ref="H1038">IFERROR(XLOOKUP(D1038,'MASTER ITEM LIST'!A:A,'MASTER ITEM LIST'!D:D), "")</f>
        <v/>
      </c>
      <c r="I1038" s="40"/>
      <c r="J1038" s="41" t="str">
        <f t="shared" si="2"/>
        <v/>
      </c>
    </row>
    <row r="1039" ht="22.5" customHeight="1">
      <c r="A1039" s="29"/>
      <c r="B1039" s="31"/>
      <c r="C1039" s="193"/>
      <c r="D1039" s="190" t="str">
        <f t="array" ref="D1039">IF(E1039="", "", XLOOKUP(E1039, 'MASTER ITEM LIST'!B:B, 'MASTER ITEM LIST'!A:A, "Code Not Found"))</f>
        <v/>
      </c>
      <c r="E1039" s="35"/>
      <c r="F1039" s="194"/>
      <c r="G1039" s="31"/>
      <c r="H1039" s="39" t="str">
        <f t="array" ref="H1039">IFERROR(XLOOKUP(D1039,'MASTER ITEM LIST'!A:A,'MASTER ITEM LIST'!D:D), "")</f>
        <v/>
      </c>
      <c r="I1039" s="40"/>
      <c r="J1039" s="41" t="str">
        <f t="shared" si="2"/>
        <v/>
      </c>
    </row>
    <row r="1040" ht="22.5" customHeight="1">
      <c r="A1040" s="29"/>
      <c r="B1040" s="31"/>
      <c r="C1040" s="193"/>
      <c r="D1040" s="190" t="str">
        <f t="array" ref="D1040">IF(E1040="", "", XLOOKUP(E1040, 'MASTER ITEM LIST'!B:B, 'MASTER ITEM LIST'!A:A, "Code Not Found"))</f>
        <v/>
      </c>
      <c r="E1040" s="35"/>
      <c r="F1040" s="194"/>
      <c r="G1040" s="31"/>
      <c r="H1040" s="39" t="str">
        <f t="array" ref="H1040">IFERROR(XLOOKUP(D1040,'MASTER ITEM LIST'!A:A,'MASTER ITEM LIST'!D:D), "")</f>
        <v/>
      </c>
      <c r="I1040" s="40"/>
      <c r="J1040" s="41" t="str">
        <f t="shared" si="2"/>
        <v/>
      </c>
    </row>
    <row r="1041" ht="22.5" customHeight="1">
      <c r="A1041" s="29"/>
      <c r="B1041" s="31"/>
      <c r="C1041" s="193"/>
      <c r="D1041" s="190" t="str">
        <f t="array" ref="D1041">IF(E1041="", "", XLOOKUP(E1041, 'MASTER ITEM LIST'!B:B, 'MASTER ITEM LIST'!A:A, "Code Not Found"))</f>
        <v/>
      </c>
      <c r="E1041" s="35"/>
      <c r="F1041" s="194"/>
      <c r="G1041" s="31"/>
      <c r="H1041" s="39" t="str">
        <f t="array" ref="H1041">IFERROR(XLOOKUP(D1041,'MASTER ITEM LIST'!A:A,'MASTER ITEM LIST'!D:D), "")</f>
        <v/>
      </c>
      <c r="I1041" s="40"/>
      <c r="J1041" s="41" t="str">
        <f t="shared" si="2"/>
        <v/>
      </c>
    </row>
    <row r="1042" ht="22.5" customHeight="1">
      <c r="A1042" s="29"/>
      <c r="B1042" s="31"/>
      <c r="C1042" s="193"/>
      <c r="D1042" s="190" t="str">
        <f t="array" ref="D1042">IF(E1042="", "", XLOOKUP(E1042, 'MASTER ITEM LIST'!B:B, 'MASTER ITEM LIST'!A:A, "Code Not Found"))</f>
        <v/>
      </c>
      <c r="E1042" s="35"/>
      <c r="F1042" s="194"/>
      <c r="G1042" s="31"/>
      <c r="H1042" s="39" t="str">
        <f t="array" ref="H1042">IFERROR(XLOOKUP(D1042,'MASTER ITEM LIST'!A:A,'MASTER ITEM LIST'!D:D), "")</f>
        <v/>
      </c>
      <c r="I1042" s="40"/>
      <c r="J1042" s="41" t="str">
        <f t="shared" si="2"/>
        <v/>
      </c>
    </row>
    <row r="1043" ht="22.5" customHeight="1">
      <c r="A1043" s="29"/>
      <c r="B1043" s="31"/>
      <c r="C1043" s="193"/>
      <c r="D1043" s="190" t="str">
        <f t="array" ref="D1043">IF(E1043="", "", XLOOKUP(E1043, 'MASTER ITEM LIST'!B:B, 'MASTER ITEM LIST'!A:A, "Code Not Found"))</f>
        <v/>
      </c>
      <c r="E1043" s="35"/>
      <c r="F1043" s="194"/>
      <c r="G1043" s="31"/>
      <c r="H1043" s="39" t="str">
        <f t="array" ref="H1043">IFERROR(XLOOKUP(D1043,'MASTER ITEM LIST'!A:A,'MASTER ITEM LIST'!D:D), "")</f>
        <v/>
      </c>
      <c r="I1043" s="40"/>
      <c r="J1043" s="41" t="str">
        <f t="shared" si="2"/>
        <v/>
      </c>
    </row>
    <row r="1044" ht="22.5" customHeight="1">
      <c r="A1044" s="29"/>
      <c r="B1044" s="31"/>
      <c r="C1044" s="193"/>
      <c r="D1044" s="190" t="str">
        <f t="array" ref="D1044">IF(E1044="", "", XLOOKUP(E1044, 'MASTER ITEM LIST'!B:B, 'MASTER ITEM LIST'!A:A, "Code Not Found"))</f>
        <v/>
      </c>
      <c r="E1044" s="35"/>
      <c r="F1044" s="194"/>
      <c r="G1044" s="31"/>
      <c r="H1044" s="39" t="str">
        <f t="array" ref="H1044">IFERROR(XLOOKUP(D1044,'MASTER ITEM LIST'!A:A,'MASTER ITEM LIST'!D:D), "")</f>
        <v/>
      </c>
      <c r="I1044" s="40"/>
      <c r="J1044" s="41" t="str">
        <f t="shared" si="2"/>
        <v/>
      </c>
    </row>
    <row r="1045" ht="22.5" customHeight="1">
      <c r="A1045" s="29"/>
      <c r="B1045" s="31"/>
      <c r="C1045" s="193"/>
      <c r="D1045" s="190" t="str">
        <f t="array" ref="D1045">IF(E1045="", "", XLOOKUP(E1045, 'MASTER ITEM LIST'!B:B, 'MASTER ITEM LIST'!A:A, "Code Not Found"))</f>
        <v/>
      </c>
      <c r="E1045" s="35"/>
      <c r="F1045" s="194"/>
      <c r="G1045" s="31"/>
      <c r="H1045" s="39" t="str">
        <f t="array" ref="H1045">IFERROR(XLOOKUP(D1045,'MASTER ITEM LIST'!A:A,'MASTER ITEM LIST'!D:D), "")</f>
        <v/>
      </c>
      <c r="I1045" s="40"/>
      <c r="J1045" s="41" t="str">
        <f t="shared" si="2"/>
        <v/>
      </c>
    </row>
    <row r="1046" ht="22.5" customHeight="1">
      <c r="A1046" s="29"/>
      <c r="B1046" s="31"/>
      <c r="C1046" s="193"/>
      <c r="D1046" s="190" t="str">
        <f t="array" ref="D1046">IF(E1046="", "", XLOOKUP(E1046, 'MASTER ITEM LIST'!B:B, 'MASTER ITEM LIST'!A:A, "Code Not Found"))</f>
        <v/>
      </c>
      <c r="E1046" s="35"/>
      <c r="F1046" s="194"/>
      <c r="G1046" s="31"/>
      <c r="H1046" s="39" t="str">
        <f t="array" ref="H1046">IFERROR(XLOOKUP(D1046,'MASTER ITEM LIST'!A:A,'MASTER ITEM LIST'!D:D), "")</f>
        <v/>
      </c>
      <c r="I1046" s="40"/>
      <c r="J1046" s="41" t="str">
        <f t="shared" si="2"/>
        <v/>
      </c>
    </row>
    <row r="1047" ht="22.5" customHeight="1">
      <c r="A1047" s="29"/>
      <c r="B1047" s="31"/>
      <c r="C1047" s="193"/>
      <c r="D1047" s="190" t="str">
        <f t="array" ref="D1047">IF(E1047="", "", XLOOKUP(E1047, 'MASTER ITEM LIST'!B:B, 'MASTER ITEM LIST'!A:A, "Code Not Found"))</f>
        <v/>
      </c>
      <c r="E1047" s="35"/>
      <c r="F1047" s="194"/>
      <c r="G1047" s="31"/>
      <c r="H1047" s="39" t="str">
        <f t="array" ref="H1047">IFERROR(XLOOKUP(D1047,'MASTER ITEM LIST'!A:A,'MASTER ITEM LIST'!D:D), "")</f>
        <v/>
      </c>
      <c r="I1047" s="40"/>
      <c r="J1047" s="41" t="str">
        <f t="shared" si="2"/>
        <v/>
      </c>
    </row>
    <row r="1048" ht="22.5" customHeight="1">
      <c r="A1048" s="29"/>
      <c r="B1048" s="31"/>
      <c r="C1048" s="193"/>
      <c r="D1048" s="190" t="str">
        <f t="array" ref="D1048">IF(E1048="", "", XLOOKUP(E1048, 'MASTER ITEM LIST'!B:B, 'MASTER ITEM LIST'!A:A, "Code Not Found"))</f>
        <v/>
      </c>
      <c r="E1048" s="35"/>
      <c r="F1048" s="194"/>
      <c r="G1048" s="31"/>
      <c r="H1048" s="39" t="str">
        <f t="array" ref="H1048">IFERROR(XLOOKUP(D1048,'MASTER ITEM LIST'!A:A,'MASTER ITEM LIST'!D:D), "")</f>
        <v/>
      </c>
      <c r="I1048" s="40"/>
      <c r="J1048" s="41" t="str">
        <f t="shared" si="2"/>
        <v/>
      </c>
    </row>
    <row r="1049" ht="22.5" customHeight="1">
      <c r="A1049" s="29"/>
      <c r="B1049" s="31"/>
      <c r="C1049" s="193"/>
      <c r="D1049" s="190" t="str">
        <f t="array" ref="D1049">IF(E1049="", "", XLOOKUP(E1049, 'MASTER ITEM LIST'!B:B, 'MASTER ITEM LIST'!A:A, "Code Not Found"))</f>
        <v/>
      </c>
      <c r="E1049" s="35"/>
      <c r="F1049" s="194"/>
      <c r="G1049" s="31"/>
      <c r="H1049" s="39" t="str">
        <f t="array" ref="H1049">IFERROR(XLOOKUP(D1049,'MASTER ITEM LIST'!A:A,'MASTER ITEM LIST'!D:D), "")</f>
        <v/>
      </c>
      <c r="I1049" s="40"/>
      <c r="J1049" s="41" t="str">
        <f t="shared" si="2"/>
        <v/>
      </c>
    </row>
    <row r="1050" ht="22.5" customHeight="1">
      <c r="A1050" s="29"/>
      <c r="B1050" s="31"/>
      <c r="C1050" s="193"/>
      <c r="D1050" s="190" t="str">
        <f t="array" ref="D1050">IF(E1050="", "", XLOOKUP(E1050, 'MASTER ITEM LIST'!B:B, 'MASTER ITEM LIST'!A:A, "Code Not Found"))</f>
        <v/>
      </c>
      <c r="E1050" s="35"/>
      <c r="F1050" s="194"/>
      <c r="G1050" s="31"/>
      <c r="H1050" s="39" t="str">
        <f t="array" ref="H1050">IFERROR(XLOOKUP(D1050,'MASTER ITEM LIST'!A:A,'MASTER ITEM LIST'!D:D), "")</f>
        <v/>
      </c>
      <c r="I1050" s="40"/>
      <c r="J1050" s="41" t="str">
        <f t="shared" si="2"/>
        <v/>
      </c>
    </row>
    <row r="1051" ht="22.5" customHeight="1">
      <c r="A1051" s="29"/>
      <c r="B1051" s="31"/>
      <c r="C1051" s="193"/>
      <c r="D1051" s="190" t="str">
        <f t="array" ref="D1051">IF(E1051="", "", XLOOKUP(E1051, 'MASTER ITEM LIST'!B:B, 'MASTER ITEM LIST'!A:A, "Code Not Found"))</f>
        <v/>
      </c>
      <c r="E1051" s="35"/>
      <c r="F1051" s="194"/>
      <c r="G1051" s="31"/>
      <c r="H1051" s="39" t="str">
        <f t="array" ref="H1051">IFERROR(XLOOKUP(D1051,'MASTER ITEM LIST'!A:A,'MASTER ITEM LIST'!D:D), "")</f>
        <v/>
      </c>
      <c r="I1051" s="40"/>
      <c r="J1051" s="41" t="str">
        <f t="shared" si="2"/>
        <v/>
      </c>
    </row>
    <row r="1052" ht="22.5" customHeight="1">
      <c r="A1052" s="29"/>
      <c r="B1052" s="31"/>
      <c r="C1052" s="193"/>
      <c r="D1052" s="190" t="str">
        <f t="array" ref="D1052">IF(E1052="", "", XLOOKUP(E1052, 'MASTER ITEM LIST'!B:B, 'MASTER ITEM LIST'!A:A, "Code Not Found"))</f>
        <v/>
      </c>
      <c r="E1052" s="35"/>
      <c r="F1052" s="194"/>
      <c r="G1052" s="31"/>
      <c r="H1052" s="39" t="str">
        <f t="array" ref="H1052">IFERROR(XLOOKUP(D1052,'MASTER ITEM LIST'!A:A,'MASTER ITEM LIST'!D:D), "")</f>
        <v/>
      </c>
      <c r="I1052" s="40"/>
      <c r="J1052" s="41" t="str">
        <f t="shared" si="2"/>
        <v/>
      </c>
    </row>
    <row r="1053" ht="22.5" customHeight="1">
      <c r="A1053" s="29"/>
      <c r="B1053" s="31"/>
      <c r="C1053" s="193"/>
      <c r="D1053" s="190" t="str">
        <f t="array" ref="D1053">IF(E1053="", "", XLOOKUP(E1053, 'MASTER ITEM LIST'!B:B, 'MASTER ITEM LIST'!A:A, "Code Not Found"))</f>
        <v/>
      </c>
      <c r="E1053" s="35"/>
      <c r="F1053" s="194"/>
      <c r="G1053" s="31"/>
      <c r="H1053" s="39" t="str">
        <f t="array" ref="H1053">IFERROR(XLOOKUP(D1053,'MASTER ITEM LIST'!A:A,'MASTER ITEM LIST'!D:D), "")</f>
        <v/>
      </c>
      <c r="I1053" s="40"/>
      <c r="J1053" s="41" t="str">
        <f t="shared" si="2"/>
        <v/>
      </c>
    </row>
    <row r="1054" ht="22.5" customHeight="1">
      <c r="A1054" s="29"/>
      <c r="B1054" s="31"/>
      <c r="C1054" s="193"/>
      <c r="D1054" s="190" t="str">
        <f t="array" ref="D1054">IF(E1054="", "", XLOOKUP(E1054, 'MASTER ITEM LIST'!B:B, 'MASTER ITEM LIST'!A:A, "Code Not Found"))</f>
        <v/>
      </c>
      <c r="E1054" s="35"/>
      <c r="F1054" s="194"/>
      <c r="G1054" s="31"/>
      <c r="H1054" s="39" t="str">
        <f t="array" ref="H1054">IFERROR(XLOOKUP(D1054,'MASTER ITEM LIST'!A:A,'MASTER ITEM LIST'!D:D), "")</f>
        <v/>
      </c>
      <c r="I1054" s="40"/>
      <c r="J1054" s="41" t="str">
        <f t="shared" si="2"/>
        <v/>
      </c>
    </row>
    <row r="1055" ht="22.5" customHeight="1">
      <c r="A1055" s="29"/>
      <c r="B1055" s="31"/>
      <c r="C1055" s="193"/>
      <c r="D1055" s="190" t="str">
        <f t="array" ref="D1055">IF(E1055="", "", XLOOKUP(E1055, 'MASTER ITEM LIST'!B:B, 'MASTER ITEM LIST'!A:A, "Code Not Found"))</f>
        <v/>
      </c>
      <c r="E1055" s="35"/>
      <c r="F1055" s="194"/>
      <c r="G1055" s="31"/>
      <c r="H1055" s="39" t="str">
        <f t="array" ref="H1055">IFERROR(XLOOKUP(D1055,'MASTER ITEM LIST'!A:A,'MASTER ITEM LIST'!D:D), "")</f>
        <v/>
      </c>
      <c r="I1055" s="40"/>
      <c r="J1055" s="41" t="str">
        <f t="shared" si="2"/>
        <v/>
      </c>
    </row>
    <row r="1056" ht="22.5" customHeight="1">
      <c r="A1056" s="29"/>
      <c r="B1056" s="31"/>
      <c r="C1056" s="193"/>
      <c r="D1056" s="190" t="str">
        <f t="array" ref="D1056">IF(E1056="", "", XLOOKUP(E1056, 'MASTER ITEM LIST'!B:B, 'MASTER ITEM LIST'!A:A, "Code Not Found"))</f>
        <v/>
      </c>
      <c r="E1056" s="35"/>
      <c r="F1056" s="194"/>
      <c r="G1056" s="31"/>
      <c r="H1056" s="39" t="str">
        <f t="array" ref="H1056">IFERROR(XLOOKUP(D1056,'MASTER ITEM LIST'!A:A,'MASTER ITEM LIST'!D:D), "")</f>
        <v/>
      </c>
      <c r="I1056" s="40"/>
      <c r="J1056" s="41" t="str">
        <f t="shared" si="2"/>
        <v/>
      </c>
    </row>
    <row r="1057" ht="22.5" customHeight="1">
      <c r="A1057" s="29"/>
      <c r="B1057" s="31"/>
      <c r="C1057" s="193"/>
      <c r="D1057" s="190" t="str">
        <f t="array" ref="D1057">IF(E1057="", "", XLOOKUP(E1057, 'MASTER ITEM LIST'!B:B, 'MASTER ITEM LIST'!A:A, "Code Not Found"))</f>
        <v/>
      </c>
      <c r="E1057" s="35"/>
      <c r="F1057" s="194"/>
      <c r="G1057" s="31"/>
      <c r="H1057" s="39" t="str">
        <f t="array" ref="H1057">IFERROR(XLOOKUP(D1057,'MASTER ITEM LIST'!A:A,'MASTER ITEM LIST'!D:D), "")</f>
        <v/>
      </c>
      <c r="I1057" s="40"/>
      <c r="J1057" s="41" t="str">
        <f t="shared" si="2"/>
        <v/>
      </c>
    </row>
    <row r="1058" ht="22.5" customHeight="1">
      <c r="A1058" s="29"/>
      <c r="B1058" s="31"/>
      <c r="C1058" s="193"/>
      <c r="D1058" s="190" t="str">
        <f t="array" ref="D1058">IF(E1058="", "", XLOOKUP(E1058, 'MASTER ITEM LIST'!B:B, 'MASTER ITEM LIST'!A:A, "Code Not Found"))</f>
        <v/>
      </c>
      <c r="E1058" s="35"/>
      <c r="F1058" s="194"/>
      <c r="G1058" s="31"/>
      <c r="H1058" s="39" t="str">
        <f t="array" ref="H1058">IFERROR(XLOOKUP(D1058,'MASTER ITEM LIST'!A:A,'MASTER ITEM LIST'!D:D), "")</f>
        <v/>
      </c>
      <c r="I1058" s="40"/>
      <c r="J1058" s="41" t="str">
        <f t="shared" si="2"/>
        <v/>
      </c>
    </row>
    <row r="1059" ht="22.5" customHeight="1">
      <c r="A1059" s="29"/>
      <c r="B1059" s="31"/>
      <c r="C1059" s="193"/>
      <c r="D1059" s="190" t="str">
        <f t="array" ref="D1059">IF(E1059="", "", XLOOKUP(E1059, 'MASTER ITEM LIST'!B:B, 'MASTER ITEM LIST'!A:A, "Code Not Found"))</f>
        <v/>
      </c>
      <c r="E1059" s="35"/>
      <c r="F1059" s="194"/>
      <c r="G1059" s="31"/>
      <c r="H1059" s="39" t="str">
        <f t="array" ref="H1059">IFERROR(XLOOKUP(D1059,'MASTER ITEM LIST'!A:A,'MASTER ITEM LIST'!D:D), "")</f>
        <v/>
      </c>
      <c r="I1059" s="40"/>
      <c r="J1059" s="41" t="str">
        <f t="shared" si="2"/>
        <v/>
      </c>
    </row>
    <row r="1060" ht="22.5" customHeight="1">
      <c r="A1060" s="29"/>
      <c r="B1060" s="31"/>
      <c r="C1060" s="193"/>
      <c r="D1060" s="190" t="str">
        <f t="array" ref="D1060">IF(E1060="", "", XLOOKUP(E1060, 'MASTER ITEM LIST'!B:B, 'MASTER ITEM LIST'!A:A, "Code Not Found"))</f>
        <v/>
      </c>
      <c r="E1060" s="35"/>
      <c r="F1060" s="194"/>
      <c r="G1060" s="31"/>
      <c r="H1060" s="39" t="str">
        <f t="array" ref="H1060">IFERROR(XLOOKUP(D1060,'MASTER ITEM LIST'!A:A,'MASTER ITEM LIST'!D:D), "")</f>
        <v/>
      </c>
      <c r="I1060" s="40"/>
      <c r="J1060" s="41" t="str">
        <f t="shared" si="2"/>
        <v/>
      </c>
    </row>
    <row r="1061" ht="22.5" customHeight="1">
      <c r="A1061" s="29"/>
      <c r="B1061" s="31"/>
      <c r="C1061" s="193"/>
      <c r="D1061" s="190" t="str">
        <f t="array" ref="D1061">IF(E1061="", "", XLOOKUP(E1061, 'MASTER ITEM LIST'!B:B, 'MASTER ITEM LIST'!A:A, "Code Not Found"))</f>
        <v/>
      </c>
      <c r="E1061" s="35"/>
      <c r="F1061" s="194"/>
      <c r="G1061" s="31"/>
      <c r="H1061" s="39" t="str">
        <f t="array" ref="H1061">IFERROR(XLOOKUP(D1061,'MASTER ITEM LIST'!A:A,'MASTER ITEM LIST'!D:D), "")</f>
        <v/>
      </c>
      <c r="I1061" s="40"/>
      <c r="J1061" s="41" t="str">
        <f t="shared" si="2"/>
        <v/>
      </c>
    </row>
    <row r="1062" ht="22.5" customHeight="1">
      <c r="A1062" s="29"/>
      <c r="B1062" s="31"/>
      <c r="C1062" s="193"/>
      <c r="D1062" s="190" t="str">
        <f t="array" ref="D1062">IF(E1062="", "", XLOOKUP(E1062, 'MASTER ITEM LIST'!B:B, 'MASTER ITEM LIST'!A:A, "Code Not Found"))</f>
        <v/>
      </c>
      <c r="E1062" s="35"/>
      <c r="F1062" s="194"/>
      <c r="G1062" s="31"/>
      <c r="H1062" s="39" t="str">
        <f t="array" ref="H1062">IFERROR(XLOOKUP(D1062,'MASTER ITEM LIST'!A:A,'MASTER ITEM LIST'!D:D), "")</f>
        <v/>
      </c>
      <c r="I1062" s="40"/>
      <c r="J1062" s="41" t="str">
        <f t="shared" si="2"/>
        <v/>
      </c>
    </row>
    <row r="1063" ht="22.5" customHeight="1">
      <c r="A1063" s="29"/>
      <c r="B1063" s="31"/>
      <c r="C1063" s="193"/>
      <c r="D1063" s="190" t="str">
        <f t="array" ref="D1063">IF(E1063="", "", XLOOKUP(E1063, 'MASTER ITEM LIST'!B:B, 'MASTER ITEM LIST'!A:A, "Code Not Found"))</f>
        <v/>
      </c>
      <c r="E1063" s="35"/>
      <c r="F1063" s="194"/>
      <c r="G1063" s="31"/>
      <c r="H1063" s="39" t="str">
        <f t="array" ref="H1063">IFERROR(XLOOKUP(D1063,'MASTER ITEM LIST'!A:A,'MASTER ITEM LIST'!D:D), "")</f>
        <v/>
      </c>
      <c r="I1063" s="40"/>
      <c r="J1063" s="41" t="str">
        <f t="shared" si="2"/>
        <v/>
      </c>
    </row>
    <row r="1064" ht="22.5" customHeight="1">
      <c r="A1064" s="29"/>
      <c r="B1064" s="31"/>
      <c r="C1064" s="193"/>
      <c r="D1064" s="190" t="str">
        <f t="array" ref="D1064">IF(E1064="", "", XLOOKUP(E1064, 'MASTER ITEM LIST'!B:B, 'MASTER ITEM LIST'!A:A, "Code Not Found"))</f>
        <v/>
      </c>
      <c r="E1064" s="35"/>
      <c r="F1064" s="194"/>
      <c r="G1064" s="31"/>
      <c r="H1064" s="39" t="str">
        <f t="array" ref="H1064">IFERROR(XLOOKUP(D1064,'MASTER ITEM LIST'!A:A,'MASTER ITEM LIST'!D:D), "")</f>
        <v/>
      </c>
      <c r="I1064" s="40"/>
      <c r="J1064" s="41" t="str">
        <f t="shared" si="2"/>
        <v/>
      </c>
    </row>
    <row r="1065" ht="22.5" customHeight="1">
      <c r="A1065" s="29"/>
      <c r="B1065" s="31"/>
      <c r="C1065" s="193"/>
      <c r="D1065" s="190" t="str">
        <f t="array" ref="D1065">IF(E1065="", "", XLOOKUP(E1065, 'MASTER ITEM LIST'!B:B, 'MASTER ITEM LIST'!A:A, "Code Not Found"))</f>
        <v/>
      </c>
      <c r="E1065" s="35"/>
      <c r="F1065" s="194"/>
      <c r="G1065" s="31"/>
      <c r="H1065" s="39" t="str">
        <f t="array" ref="H1065">IFERROR(XLOOKUP(D1065,'MASTER ITEM LIST'!A:A,'MASTER ITEM LIST'!D:D), "")</f>
        <v/>
      </c>
      <c r="I1065" s="40"/>
      <c r="J1065" s="41" t="str">
        <f t="shared" si="2"/>
        <v/>
      </c>
    </row>
    <row r="1066" ht="22.5" customHeight="1">
      <c r="A1066" s="29"/>
      <c r="B1066" s="31"/>
      <c r="C1066" s="193"/>
      <c r="D1066" s="190" t="str">
        <f t="array" ref="D1066">IF(E1066="", "", XLOOKUP(E1066, 'MASTER ITEM LIST'!B:B, 'MASTER ITEM LIST'!A:A, "Code Not Found"))</f>
        <v/>
      </c>
      <c r="E1066" s="35"/>
      <c r="F1066" s="194"/>
      <c r="G1066" s="31"/>
      <c r="H1066" s="39" t="str">
        <f t="array" ref="H1066">IFERROR(XLOOKUP(D1066,'MASTER ITEM LIST'!A:A,'MASTER ITEM LIST'!D:D), "")</f>
        <v/>
      </c>
      <c r="I1066" s="40"/>
      <c r="J1066" s="41" t="str">
        <f t="shared" si="2"/>
        <v/>
      </c>
    </row>
    <row r="1067" ht="22.5" customHeight="1">
      <c r="A1067" s="29"/>
      <c r="B1067" s="31"/>
      <c r="C1067" s="193"/>
      <c r="D1067" s="190" t="str">
        <f t="array" ref="D1067">IF(E1067="", "", XLOOKUP(E1067, 'MASTER ITEM LIST'!B:B, 'MASTER ITEM LIST'!A:A, "Code Not Found"))</f>
        <v/>
      </c>
      <c r="E1067" s="35"/>
      <c r="F1067" s="194"/>
      <c r="G1067" s="31"/>
      <c r="H1067" s="39" t="str">
        <f t="array" ref="H1067">IFERROR(XLOOKUP(D1067,'MASTER ITEM LIST'!A:A,'MASTER ITEM LIST'!D:D), "")</f>
        <v/>
      </c>
      <c r="I1067" s="40"/>
      <c r="J1067" s="41" t="str">
        <f t="shared" si="2"/>
        <v/>
      </c>
    </row>
    <row r="1068" ht="22.5" customHeight="1">
      <c r="A1068" s="29"/>
      <c r="B1068" s="31"/>
      <c r="C1068" s="193"/>
      <c r="D1068" s="190" t="str">
        <f t="array" ref="D1068">IF(E1068="", "", XLOOKUP(E1068, 'MASTER ITEM LIST'!B:B, 'MASTER ITEM LIST'!A:A, "Code Not Found"))</f>
        <v/>
      </c>
      <c r="E1068" s="35"/>
      <c r="F1068" s="194"/>
      <c r="G1068" s="31"/>
      <c r="H1068" s="39" t="str">
        <f t="array" ref="H1068">IFERROR(XLOOKUP(D1068,'MASTER ITEM LIST'!A:A,'MASTER ITEM LIST'!D:D), "")</f>
        <v/>
      </c>
      <c r="I1068" s="40"/>
      <c r="J1068" s="41" t="str">
        <f t="shared" si="2"/>
        <v/>
      </c>
    </row>
    <row r="1069" ht="22.5" customHeight="1">
      <c r="A1069" s="29"/>
      <c r="B1069" s="31"/>
      <c r="C1069" s="193"/>
      <c r="D1069" s="190" t="str">
        <f t="array" ref="D1069">IF(E1069="", "", XLOOKUP(E1069, 'MASTER ITEM LIST'!B:B, 'MASTER ITEM LIST'!A:A, "Code Not Found"))</f>
        <v/>
      </c>
      <c r="E1069" s="35"/>
      <c r="F1069" s="194"/>
      <c r="G1069" s="31"/>
      <c r="H1069" s="39" t="str">
        <f t="array" ref="H1069">IFERROR(XLOOKUP(D1069,'MASTER ITEM LIST'!A:A,'MASTER ITEM LIST'!D:D), "")</f>
        <v/>
      </c>
      <c r="I1069" s="40"/>
      <c r="J1069" s="41" t="str">
        <f t="shared" si="2"/>
        <v/>
      </c>
    </row>
    <row r="1070" ht="22.5" customHeight="1">
      <c r="A1070" s="29"/>
      <c r="B1070" s="31"/>
      <c r="C1070" s="193"/>
      <c r="D1070" s="190" t="str">
        <f t="array" ref="D1070">IF(E1070="", "", XLOOKUP(E1070, 'MASTER ITEM LIST'!B:B, 'MASTER ITEM LIST'!A:A, "Code Not Found"))</f>
        <v/>
      </c>
      <c r="E1070" s="35"/>
      <c r="F1070" s="194"/>
      <c r="G1070" s="31"/>
      <c r="H1070" s="39" t="str">
        <f t="array" ref="H1070">IFERROR(XLOOKUP(D1070,'MASTER ITEM LIST'!A:A,'MASTER ITEM LIST'!D:D), "")</f>
        <v/>
      </c>
      <c r="I1070" s="40"/>
      <c r="J1070" s="41" t="str">
        <f t="shared" si="2"/>
        <v/>
      </c>
    </row>
    <row r="1071" ht="22.5" customHeight="1">
      <c r="A1071" s="29"/>
      <c r="B1071" s="31"/>
      <c r="C1071" s="193"/>
      <c r="D1071" s="190" t="str">
        <f t="array" ref="D1071">IF(E1071="", "", XLOOKUP(E1071, 'MASTER ITEM LIST'!B:B, 'MASTER ITEM LIST'!A:A, "Code Not Found"))</f>
        <v/>
      </c>
      <c r="E1071" s="35"/>
      <c r="F1071" s="194"/>
      <c r="G1071" s="31"/>
      <c r="H1071" s="39" t="str">
        <f t="array" ref="H1071">IFERROR(XLOOKUP(D1071,'MASTER ITEM LIST'!A:A,'MASTER ITEM LIST'!D:D), "")</f>
        <v/>
      </c>
      <c r="I1071" s="40"/>
      <c r="J1071" s="41" t="str">
        <f t="shared" si="2"/>
        <v/>
      </c>
    </row>
    <row r="1072" ht="22.5" customHeight="1">
      <c r="A1072" s="29"/>
      <c r="B1072" s="31"/>
      <c r="C1072" s="193"/>
      <c r="D1072" s="190" t="str">
        <f t="array" ref="D1072">IF(E1072="", "", XLOOKUP(E1072, 'MASTER ITEM LIST'!B:B, 'MASTER ITEM LIST'!A:A, "Code Not Found"))</f>
        <v/>
      </c>
      <c r="E1072" s="35"/>
      <c r="F1072" s="194"/>
      <c r="G1072" s="31"/>
      <c r="H1072" s="39" t="str">
        <f t="array" ref="H1072">IFERROR(XLOOKUP(D1072,'MASTER ITEM LIST'!A:A,'MASTER ITEM LIST'!D:D), "")</f>
        <v/>
      </c>
      <c r="I1072" s="40"/>
      <c r="J1072" s="41" t="str">
        <f t="shared" si="2"/>
        <v/>
      </c>
    </row>
    <row r="1073" ht="22.5" customHeight="1">
      <c r="A1073" s="29"/>
      <c r="B1073" s="31"/>
      <c r="C1073" s="193"/>
      <c r="D1073" s="190" t="str">
        <f t="array" ref="D1073">IF(E1073="", "", XLOOKUP(E1073, 'MASTER ITEM LIST'!B:B, 'MASTER ITEM LIST'!A:A, "Code Not Found"))</f>
        <v/>
      </c>
      <c r="E1073" s="35"/>
      <c r="F1073" s="194"/>
      <c r="G1073" s="31"/>
      <c r="H1073" s="39" t="str">
        <f t="array" ref="H1073">IFERROR(XLOOKUP(D1073,'MASTER ITEM LIST'!A:A,'MASTER ITEM LIST'!D:D), "")</f>
        <v/>
      </c>
      <c r="I1073" s="40"/>
      <c r="J1073" s="41" t="str">
        <f t="shared" si="2"/>
        <v/>
      </c>
    </row>
    <row r="1074" ht="22.5" customHeight="1">
      <c r="A1074" s="29"/>
      <c r="B1074" s="31"/>
      <c r="C1074" s="193"/>
      <c r="D1074" s="190" t="str">
        <f t="array" ref="D1074">IF(E1074="", "", XLOOKUP(E1074, 'MASTER ITEM LIST'!B:B, 'MASTER ITEM LIST'!A:A, "Code Not Found"))</f>
        <v/>
      </c>
      <c r="E1074" s="35"/>
      <c r="F1074" s="194"/>
      <c r="G1074" s="31"/>
      <c r="H1074" s="39" t="str">
        <f t="array" ref="H1074">IFERROR(XLOOKUP(D1074,'MASTER ITEM LIST'!A:A,'MASTER ITEM LIST'!D:D), "")</f>
        <v/>
      </c>
      <c r="I1074" s="40"/>
      <c r="J1074" s="41" t="str">
        <f t="shared" si="2"/>
        <v/>
      </c>
    </row>
    <row r="1075" ht="22.5" customHeight="1">
      <c r="A1075" s="29"/>
      <c r="B1075" s="31"/>
      <c r="C1075" s="193"/>
      <c r="D1075" s="190" t="str">
        <f t="array" ref="D1075">IF(E1075="", "", XLOOKUP(E1075, 'MASTER ITEM LIST'!B:B, 'MASTER ITEM LIST'!A:A, "Code Not Found"))</f>
        <v/>
      </c>
      <c r="E1075" s="35"/>
      <c r="F1075" s="194"/>
      <c r="G1075" s="31"/>
      <c r="H1075" s="39" t="str">
        <f t="array" ref="H1075">IFERROR(XLOOKUP(D1075,'MASTER ITEM LIST'!A:A,'MASTER ITEM LIST'!D:D), "")</f>
        <v/>
      </c>
      <c r="I1075" s="40"/>
      <c r="J1075" s="41" t="str">
        <f t="shared" si="2"/>
        <v/>
      </c>
    </row>
    <row r="1076" ht="22.5" customHeight="1">
      <c r="A1076" s="29"/>
      <c r="B1076" s="31"/>
      <c r="C1076" s="193"/>
      <c r="D1076" s="190" t="str">
        <f t="array" ref="D1076">IF(E1076="", "", XLOOKUP(E1076, 'MASTER ITEM LIST'!B:B, 'MASTER ITEM LIST'!A:A, "Code Not Found"))</f>
        <v/>
      </c>
      <c r="E1076" s="35"/>
      <c r="F1076" s="194"/>
      <c r="G1076" s="31"/>
      <c r="H1076" s="39" t="str">
        <f t="array" ref="H1076">IFERROR(XLOOKUP(D1076,'MASTER ITEM LIST'!A:A,'MASTER ITEM LIST'!D:D), "")</f>
        <v/>
      </c>
      <c r="I1076" s="40"/>
      <c r="J1076" s="41" t="str">
        <f t="shared" si="2"/>
        <v/>
      </c>
    </row>
    <row r="1077" ht="22.5" customHeight="1">
      <c r="A1077" s="29"/>
      <c r="B1077" s="31"/>
      <c r="C1077" s="193"/>
      <c r="D1077" s="190" t="str">
        <f t="array" ref="D1077">IF(E1077="", "", XLOOKUP(E1077, 'MASTER ITEM LIST'!B:B, 'MASTER ITEM LIST'!A:A, "Code Not Found"))</f>
        <v/>
      </c>
      <c r="E1077" s="35"/>
      <c r="F1077" s="194"/>
      <c r="G1077" s="31"/>
      <c r="H1077" s="39" t="str">
        <f t="array" ref="H1077">IFERROR(XLOOKUP(D1077,'MASTER ITEM LIST'!A:A,'MASTER ITEM LIST'!D:D), "")</f>
        <v/>
      </c>
      <c r="I1077" s="40"/>
      <c r="J1077" s="41" t="str">
        <f t="shared" si="2"/>
        <v/>
      </c>
    </row>
    <row r="1078" ht="22.5" customHeight="1">
      <c r="A1078" s="29"/>
      <c r="B1078" s="31"/>
      <c r="C1078" s="193"/>
      <c r="D1078" s="190" t="str">
        <f t="array" ref="D1078">IF(E1078="", "", XLOOKUP(E1078, 'MASTER ITEM LIST'!B:B, 'MASTER ITEM LIST'!A:A, "Code Not Found"))</f>
        <v/>
      </c>
      <c r="E1078" s="35"/>
      <c r="F1078" s="194"/>
      <c r="G1078" s="31"/>
      <c r="H1078" s="39" t="str">
        <f t="array" ref="H1078">IFERROR(XLOOKUP(D1078,'MASTER ITEM LIST'!A:A,'MASTER ITEM LIST'!D:D), "")</f>
        <v/>
      </c>
      <c r="I1078" s="40"/>
      <c r="J1078" s="41" t="str">
        <f t="shared" si="2"/>
        <v/>
      </c>
    </row>
    <row r="1079" ht="22.5" customHeight="1">
      <c r="A1079" s="29"/>
      <c r="B1079" s="31"/>
      <c r="C1079" s="193"/>
      <c r="D1079" s="190" t="str">
        <f t="array" ref="D1079">IF(E1079="", "", XLOOKUP(E1079, 'MASTER ITEM LIST'!B:B, 'MASTER ITEM LIST'!A:A, "Code Not Found"))</f>
        <v/>
      </c>
      <c r="E1079" s="35"/>
      <c r="F1079" s="194"/>
      <c r="G1079" s="31"/>
      <c r="H1079" s="39" t="str">
        <f t="array" ref="H1079">IFERROR(XLOOKUP(D1079,'MASTER ITEM LIST'!A:A,'MASTER ITEM LIST'!D:D), "")</f>
        <v/>
      </c>
      <c r="I1079" s="40"/>
      <c r="J1079" s="41" t="str">
        <f t="shared" si="2"/>
        <v/>
      </c>
    </row>
    <row r="1080" ht="22.5" customHeight="1">
      <c r="A1080" s="29"/>
      <c r="B1080" s="31"/>
      <c r="C1080" s="193"/>
      <c r="D1080" s="190" t="str">
        <f t="array" ref="D1080">IF(E1080="", "", XLOOKUP(E1080, 'MASTER ITEM LIST'!B:B, 'MASTER ITEM LIST'!A:A, "Code Not Found"))</f>
        <v/>
      </c>
      <c r="E1080" s="35"/>
      <c r="F1080" s="194"/>
      <c r="G1080" s="31"/>
      <c r="H1080" s="39" t="str">
        <f t="array" ref="H1080">IFERROR(XLOOKUP(D1080,'MASTER ITEM LIST'!A:A,'MASTER ITEM LIST'!D:D), "")</f>
        <v/>
      </c>
      <c r="I1080" s="40"/>
      <c r="J1080" s="41" t="str">
        <f t="shared" si="2"/>
        <v/>
      </c>
    </row>
    <row r="1081" ht="22.5" customHeight="1">
      <c r="A1081" s="29"/>
      <c r="B1081" s="31"/>
      <c r="C1081" s="193"/>
      <c r="D1081" s="190" t="str">
        <f t="array" ref="D1081">IF(E1081="", "", XLOOKUP(E1081, 'MASTER ITEM LIST'!B:B, 'MASTER ITEM LIST'!A:A, "Code Not Found"))</f>
        <v/>
      </c>
      <c r="E1081" s="35"/>
      <c r="F1081" s="194"/>
      <c r="G1081" s="31"/>
      <c r="H1081" s="39" t="str">
        <f t="array" ref="H1081">IFERROR(XLOOKUP(D1081,'MASTER ITEM LIST'!A:A,'MASTER ITEM LIST'!D:D), "")</f>
        <v/>
      </c>
      <c r="I1081" s="40"/>
      <c r="J1081" s="41" t="str">
        <f t="shared" si="2"/>
        <v/>
      </c>
    </row>
    <row r="1082" ht="22.5" customHeight="1">
      <c r="A1082" s="29"/>
      <c r="B1082" s="31"/>
      <c r="C1082" s="193"/>
      <c r="D1082" s="190" t="str">
        <f t="array" ref="D1082">IF(E1082="", "", XLOOKUP(E1082, 'MASTER ITEM LIST'!B:B, 'MASTER ITEM LIST'!A:A, "Code Not Found"))</f>
        <v/>
      </c>
      <c r="E1082" s="35"/>
      <c r="F1082" s="194"/>
      <c r="G1082" s="31"/>
      <c r="H1082" s="39" t="str">
        <f t="array" ref="H1082">IFERROR(XLOOKUP(D1082,'MASTER ITEM LIST'!A:A,'MASTER ITEM LIST'!D:D), "")</f>
        <v/>
      </c>
      <c r="I1082" s="40"/>
      <c r="J1082" s="41" t="str">
        <f t="shared" si="2"/>
        <v/>
      </c>
    </row>
    <row r="1083" ht="22.5" customHeight="1">
      <c r="A1083" s="29"/>
      <c r="B1083" s="31"/>
      <c r="C1083" s="193"/>
      <c r="D1083" s="190" t="str">
        <f t="array" ref="D1083">IF(E1083="", "", XLOOKUP(E1083, 'MASTER ITEM LIST'!B:B, 'MASTER ITEM LIST'!A:A, "Code Not Found"))</f>
        <v/>
      </c>
      <c r="E1083" s="35"/>
      <c r="F1083" s="194"/>
      <c r="G1083" s="31"/>
      <c r="H1083" s="39" t="str">
        <f t="array" ref="H1083">IFERROR(XLOOKUP(D1083,'MASTER ITEM LIST'!A:A,'MASTER ITEM LIST'!D:D), "")</f>
        <v/>
      </c>
      <c r="I1083" s="40"/>
      <c r="J1083" s="41" t="str">
        <f t="shared" si="2"/>
        <v/>
      </c>
    </row>
    <row r="1084" ht="22.5" customHeight="1">
      <c r="A1084" s="29"/>
      <c r="B1084" s="31"/>
      <c r="C1084" s="193"/>
      <c r="D1084" s="190" t="str">
        <f t="array" ref="D1084">IF(E1084="", "", XLOOKUP(E1084, 'MASTER ITEM LIST'!B:B, 'MASTER ITEM LIST'!A:A, "Code Not Found"))</f>
        <v/>
      </c>
      <c r="E1084" s="35"/>
      <c r="F1084" s="194"/>
      <c r="G1084" s="31"/>
      <c r="H1084" s="39" t="str">
        <f t="array" ref="H1084">IFERROR(XLOOKUP(D1084,'MASTER ITEM LIST'!A:A,'MASTER ITEM LIST'!D:D), "")</f>
        <v/>
      </c>
      <c r="I1084" s="40"/>
      <c r="J1084" s="41" t="str">
        <f t="shared" si="2"/>
        <v/>
      </c>
    </row>
    <row r="1085" ht="22.5" customHeight="1">
      <c r="A1085" s="29"/>
      <c r="B1085" s="31"/>
      <c r="C1085" s="193"/>
      <c r="D1085" s="190" t="str">
        <f t="array" ref="D1085">IF(E1085="", "", XLOOKUP(E1085, 'MASTER ITEM LIST'!B:B, 'MASTER ITEM LIST'!A:A, "Code Not Found"))</f>
        <v/>
      </c>
      <c r="E1085" s="35"/>
      <c r="F1085" s="194"/>
      <c r="G1085" s="31"/>
      <c r="H1085" s="39" t="str">
        <f t="array" ref="H1085">IFERROR(XLOOKUP(D1085,'MASTER ITEM LIST'!A:A,'MASTER ITEM LIST'!D:D), "")</f>
        <v/>
      </c>
      <c r="I1085" s="40"/>
      <c r="J1085" s="41" t="str">
        <f t="shared" si="2"/>
        <v/>
      </c>
    </row>
    <row r="1086" ht="22.5" customHeight="1">
      <c r="A1086" s="29"/>
      <c r="B1086" s="31"/>
      <c r="C1086" s="193"/>
      <c r="D1086" s="190" t="str">
        <f t="array" ref="D1086">IF(E1086="", "", XLOOKUP(E1086, 'MASTER ITEM LIST'!B:B, 'MASTER ITEM LIST'!A:A, "Code Not Found"))</f>
        <v/>
      </c>
      <c r="E1086" s="35"/>
      <c r="F1086" s="194"/>
      <c r="G1086" s="31"/>
      <c r="H1086" s="39" t="str">
        <f t="array" ref="H1086">IFERROR(XLOOKUP(D1086,'MASTER ITEM LIST'!A:A,'MASTER ITEM LIST'!D:D), "")</f>
        <v/>
      </c>
      <c r="I1086" s="40"/>
      <c r="J1086" s="41" t="str">
        <f t="shared" si="2"/>
        <v/>
      </c>
    </row>
    <row r="1087" ht="22.5" customHeight="1">
      <c r="A1087" s="29"/>
      <c r="B1087" s="31"/>
      <c r="C1087" s="193"/>
      <c r="D1087" s="190" t="str">
        <f t="array" ref="D1087">IF(E1087="", "", XLOOKUP(E1087, 'MASTER ITEM LIST'!B:B, 'MASTER ITEM LIST'!A:A, "Code Not Found"))</f>
        <v/>
      </c>
      <c r="E1087" s="35"/>
      <c r="F1087" s="194"/>
      <c r="G1087" s="31"/>
      <c r="H1087" s="39" t="str">
        <f t="array" ref="H1087">IFERROR(XLOOKUP(D1087,'MASTER ITEM LIST'!A:A,'MASTER ITEM LIST'!D:D), "")</f>
        <v/>
      </c>
      <c r="I1087" s="40"/>
      <c r="J1087" s="41" t="str">
        <f t="shared" si="2"/>
        <v/>
      </c>
    </row>
    <row r="1088" ht="22.5" customHeight="1">
      <c r="A1088" s="29"/>
      <c r="B1088" s="31"/>
      <c r="C1088" s="193"/>
      <c r="D1088" s="190" t="str">
        <f t="array" ref="D1088">IF(E1088="", "", XLOOKUP(E1088, 'MASTER ITEM LIST'!B:B, 'MASTER ITEM LIST'!A:A, "Code Not Found"))</f>
        <v/>
      </c>
      <c r="E1088" s="35"/>
      <c r="F1088" s="194"/>
      <c r="G1088" s="31"/>
      <c r="H1088" s="39" t="str">
        <f t="array" ref="H1088">IFERROR(XLOOKUP(D1088,'MASTER ITEM LIST'!A:A,'MASTER ITEM LIST'!D:D), "")</f>
        <v/>
      </c>
      <c r="I1088" s="40"/>
      <c r="J1088" s="41" t="str">
        <f t="shared" si="2"/>
        <v/>
      </c>
    </row>
    <row r="1089" ht="22.5" customHeight="1">
      <c r="A1089" s="29"/>
      <c r="B1089" s="31"/>
      <c r="C1089" s="193"/>
      <c r="D1089" s="190" t="str">
        <f t="array" ref="D1089">IF(E1089="", "", XLOOKUP(E1089, 'MASTER ITEM LIST'!B:B, 'MASTER ITEM LIST'!A:A, "Code Not Found"))</f>
        <v/>
      </c>
      <c r="E1089" s="35"/>
      <c r="F1089" s="194"/>
      <c r="G1089" s="31"/>
      <c r="H1089" s="39" t="str">
        <f t="array" ref="H1089">IFERROR(XLOOKUP(D1089,'MASTER ITEM LIST'!A:A,'MASTER ITEM LIST'!D:D), "")</f>
        <v/>
      </c>
      <c r="I1089" s="40"/>
      <c r="J1089" s="41" t="str">
        <f t="shared" si="2"/>
        <v/>
      </c>
    </row>
    <row r="1090" ht="22.5" customHeight="1">
      <c r="A1090" s="29"/>
      <c r="B1090" s="31"/>
      <c r="C1090" s="193"/>
      <c r="D1090" s="190" t="str">
        <f t="array" ref="D1090">IF(E1090="", "", XLOOKUP(E1090, 'MASTER ITEM LIST'!B:B, 'MASTER ITEM LIST'!A:A, "Code Not Found"))</f>
        <v/>
      </c>
      <c r="E1090" s="35"/>
      <c r="F1090" s="194"/>
      <c r="G1090" s="31"/>
      <c r="H1090" s="39" t="str">
        <f t="array" ref="H1090">IFERROR(XLOOKUP(D1090,'MASTER ITEM LIST'!A:A,'MASTER ITEM LIST'!D:D), "")</f>
        <v/>
      </c>
      <c r="I1090" s="40"/>
      <c r="J1090" s="41" t="str">
        <f t="shared" si="2"/>
        <v/>
      </c>
    </row>
    <row r="1091" ht="22.5" customHeight="1">
      <c r="A1091" s="29"/>
      <c r="B1091" s="31"/>
      <c r="C1091" s="193"/>
      <c r="D1091" s="190" t="str">
        <f t="array" ref="D1091">IF(E1091="", "", XLOOKUP(E1091, 'MASTER ITEM LIST'!B:B, 'MASTER ITEM LIST'!A:A, "Code Not Found"))</f>
        <v/>
      </c>
      <c r="E1091" s="35"/>
      <c r="F1091" s="194"/>
      <c r="G1091" s="31"/>
      <c r="H1091" s="39" t="str">
        <f t="array" ref="H1091">IFERROR(XLOOKUP(D1091,'MASTER ITEM LIST'!A:A,'MASTER ITEM LIST'!D:D), "")</f>
        <v/>
      </c>
      <c r="I1091" s="40"/>
      <c r="J1091" s="41" t="str">
        <f t="shared" si="2"/>
        <v/>
      </c>
    </row>
    <row r="1092" ht="22.5" customHeight="1">
      <c r="A1092" s="29"/>
      <c r="B1092" s="31"/>
      <c r="C1092" s="193"/>
      <c r="D1092" s="190" t="str">
        <f t="array" ref="D1092">IF(E1092="", "", XLOOKUP(E1092, 'MASTER ITEM LIST'!B:B, 'MASTER ITEM LIST'!A:A, "Code Not Found"))</f>
        <v/>
      </c>
      <c r="E1092" s="35"/>
      <c r="F1092" s="194"/>
      <c r="G1092" s="31"/>
      <c r="H1092" s="39" t="str">
        <f t="array" ref="H1092">IFERROR(XLOOKUP(D1092,'MASTER ITEM LIST'!A:A,'MASTER ITEM LIST'!D:D), "")</f>
        <v/>
      </c>
      <c r="I1092" s="40"/>
      <c r="J1092" s="41" t="str">
        <f t="shared" si="2"/>
        <v/>
      </c>
    </row>
    <row r="1093" ht="22.5" customHeight="1">
      <c r="A1093" s="29"/>
      <c r="B1093" s="31"/>
      <c r="C1093" s="193"/>
      <c r="D1093" s="190" t="str">
        <f t="array" ref="D1093">IF(E1093="", "", XLOOKUP(E1093, 'MASTER ITEM LIST'!B:B, 'MASTER ITEM LIST'!A:A, "Code Not Found"))</f>
        <v/>
      </c>
      <c r="E1093" s="35"/>
      <c r="F1093" s="194"/>
      <c r="G1093" s="31"/>
      <c r="H1093" s="39" t="str">
        <f t="array" ref="H1093">IFERROR(XLOOKUP(D1093,'MASTER ITEM LIST'!A:A,'MASTER ITEM LIST'!D:D), "")</f>
        <v/>
      </c>
      <c r="I1093" s="40"/>
      <c r="J1093" s="41" t="str">
        <f t="shared" si="2"/>
        <v/>
      </c>
    </row>
    <row r="1094" ht="22.5" customHeight="1">
      <c r="A1094" s="29"/>
      <c r="B1094" s="31"/>
      <c r="C1094" s="193"/>
      <c r="D1094" s="190" t="str">
        <f t="array" ref="D1094">IF(E1094="", "", XLOOKUP(E1094, 'MASTER ITEM LIST'!B:B, 'MASTER ITEM LIST'!A:A, "Code Not Found"))</f>
        <v/>
      </c>
      <c r="E1094" s="35"/>
      <c r="F1094" s="194"/>
      <c r="G1094" s="31"/>
      <c r="H1094" s="39" t="str">
        <f t="array" ref="H1094">IFERROR(XLOOKUP(D1094,'MASTER ITEM LIST'!A:A,'MASTER ITEM LIST'!D:D), "")</f>
        <v/>
      </c>
      <c r="I1094" s="40"/>
      <c r="J1094" s="41" t="str">
        <f t="shared" si="2"/>
        <v/>
      </c>
    </row>
    <row r="1095" ht="22.5" customHeight="1">
      <c r="A1095" s="29"/>
      <c r="B1095" s="31"/>
      <c r="C1095" s="193"/>
      <c r="D1095" s="190" t="str">
        <f t="array" ref="D1095">IF(E1095="", "", XLOOKUP(E1095, 'MASTER ITEM LIST'!B:B, 'MASTER ITEM LIST'!A:A, "Code Not Found"))</f>
        <v/>
      </c>
      <c r="E1095" s="35"/>
      <c r="F1095" s="194"/>
      <c r="G1095" s="31"/>
      <c r="H1095" s="39" t="str">
        <f t="array" ref="H1095">IFERROR(XLOOKUP(D1095,'MASTER ITEM LIST'!A:A,'MASTER ITEM LIST'!D:D), "")</f>
        <v/>
      </c>
      <c r="I1095" s="40"/>
      <c r="J1095" s="41" t="str">
        <f t="shared" si="2"/>
        <v/>
      </c>
    </row>
    <row r="1096" ht="22.5" customHeight="1">
      <c r="A1096" s="29"/>
      <c r="B1096" s="31"/>
      <c r="C1096" s="193"/>
      <c r="D1096" s="190" t="str">
        <f t="array" ref="D1096">IF(E1096="", "", XLOOKUP(E1096, 'MASTER ITEM LIST'!B:B, 'MASTER ITEM LIST'!A:A, "Code Not Found"))</f>
        <v/>
      </c>
      <c r="E1096" s="35"/>
      <c r="F1096" s="194"/>
      <c r="G1096" s="31"/>
      <c r="H1096" s="39" t="str">
        <f t="array" ref="H1096">IFERROR(XLOOKUP(D1096,'MASTER ITEM LIST'!A:A,'MASTER ITEM LIST'!D:D), "")</f>
        <v/>
      </c>
      <c r="I1096" s="40"/>
      <c r="J1096" s="41" t="str">
        <f t="shared" si="2"/>
        <v/>
      </c>
    </row>
    <row r="1097" ht="22.5" customHeight="1">
      <c r="A1097" s="29"/>
      <c r="B1097" s="31"/>
      <c r="C1097" s="193"/>
      <c r="D1097" s="190" t="str">
        <f t="array" ref="D1097">IF(E1097="", "", XLOOKUP(E1097, 'MASTER ITEM LIST'!B:B, 'MASTER ITEM LIST'!A:A, "Code Not Found"))</f>
        <v/>
      </c>
      <c r="E1097" s="35"/>
      <c r="F1097" s="194"/>
      <c r="G1097" s="31"/>
      <c r="H1097" s="39" t="str">
        <f t="array" ref="H1097">IFERROR(XLOOKUP(D1097,'MASTER ITEM LIST'!A:A,'MASTER ITEM LIST'!D:D), "")</f>
        <v/>
      </c>
      <c r="I1097" s="40"/>
      <c r="J1097" s="41" t="str">
        <f t="shared" si="2"/>
        <v/>
      </c>
    </row>
    <row r="1098" ht="22.5" customHeight="1">
      <c r="A1098" s="29"/>
      <c r="B1098" s="31"/>
      <c r="C1098" s="193"/>
      <c r="D1098" s="190" t="str">
        <f t="array" ref="D1098">IF(E1098="", "", XLOOKUP(E1098, 'MASTER ITEM LIST'!B:B, 'MASTER ITEM LIST'!A:A, "Code Not Found"))</f>
        <v/>
      </c>
      <c r="E1098" s="35"/>
      <c r="F1098" s="194"/>
      <c r="G1098" s="31"/>
      <c r="H1098" s="39" t="str">
        <f t="array" ref="H1098">IFERROR(XLOOKUP(D1098,'MASTER ITEM LIST'!A:A,'MASTER ITEM LIST'!D:D), "")</f>
        <v/>
      </c>
      <c r="I1098" s="40"/>
      <c r="J1098" s="41" t="str">
        <f t="shared" si="2"/>
        <v/>
      </c>
    </row>
    <row r="1099" ht="22.5" customHeight="1">
      <c r="A1099" s="29"/>
      <c r="B1099" s="31"/>
      <c r="C1099" s="193"/>
      <c r="D1099" s="190" t="str">
        <f t="array" ref="D1099">IF(E1099="", "", XLOOKUP(E1099, 'MASTER ITEM LIST'!B:B, 'MASTER ITEM LIST'!A:A, "Code Not Found"))</f>
        <v/>
      </c>
      <c r="E1099" s="35"/>
      <c r="F1099" s="194"/>
      <c r="G1099" s="31"/>
      <c r="H1099" s="39" t="str">
        <f t="array" ref="H1099">IFERROR(XLOOKUP(D1099,'MASTER ITEM LIST'!A:A,'MASTER ITEM LIST'!D:D), "")</f>
        <v/>
      </c>
      <c r="I1099" s="40"/>
      <c r="J1099" s="41" t="str">
        <f t="shared" si="2"/>
        <v/>
      </c>
    </row>
    <row r="1100" ht="22.5" customHeight="1">
      <c r="A1100" s="29"/>
      <c r="B1100" s="31"/>
      <c r="C1100" s="193"/>
      <c r="D1100" s="190" t="str">
        <f t="array" ref="D1100">IF(E1100="", "", XLOOKUP(E1100, 'MASTER ITEM LIST'!B:B, 'MASTER ITEM LIST'!A:A, "Code Not Found"))</f>
        <v/>
      </c>
      <c r="E1100" s="35"/>
      <c r="F1100" s="194"/>
      <c r="G1100" s="31"/>
      <c r="H1100" s="39" t="str">
        <f t="array" ref="H1100">IFERROR(XLOOKUP(D1100,'MASTER ITEM LIST'!A:A,'MASTER ITEM LIST'!D:D), "")</f>
        <v/>
      </c>
      <c r="I1100" s="40"/>
      <c r="J1100" s="41" t="str">
        <f t="shared" si="2"/>
        <v/>
      </c>
    </row>
    <row r="1101" ht="22.5" customHeight="1">
      <c r="A1101" s="29"/>
      <c r="B1101" s="31"/>
      <c r="C1101" s="193"/>
      <c r="D1101" s="190" t="str">
        <f t="array" ref="D1101">IF(E1101="", "", XLOOKUP(E1101, 'MASTER ITEM LIST'!B:B, 'MASTER ITEM LIST'!A:A, "Code Not Found"))</f>
        <v/>
      </c>
      <c r="E1101" s="35"/>
      <c r="F1101" s="194"/>
      <c r="G1101" s="31"/>
      <c r="H1101" s="39" t="str">
        <f t="array" ref="H1101">IFERROR(XLOOKUP(D1101,'MASTER ITEM LIST'!A:A,'MASTER ITEM LIST'!D:D), "")</f>
        <v/>
      </c>
      <c r="I1101" s="40"/>
      <c r="J1101" s="41" t="str">
        <f t="shared" si="2"/>
        <v/>
      </c>
    </row>
    <row r="1102" ht="22.5" customHeight="1">
      <c r="A1102" s="29"/>
      <c r="B1102" s="31"/>
      <c r="C1102" s="193"/>
      <c r="D1102" s="190" t="str">
        <f t="array" ref="D1102">IF(E1102="", "", XLOOKUP(E1102, 'MASTER ITEM LIST'!B:B, 'MASTER ITEM LIST'!A:A, "Code Not Found"))</f>
        <v/>
      </c>
      <c r="E1102" s="35"/>
      <c r="F1102" s="194"/>
      <c r="G1102" s="31"/>
      <c r="H1102" s="39" t="str">
        <f t="array" ref="H1102">IFERROR(XLOOKUP(D1102,'MASTER ITEM LIST'!A:A,'MASTER ITEM LIST'!D:D), "")</f>
        <v/>
      </c>
      <c r="I1102" s="40"/>
      <c r="J1102" s="41" t="str">
        <f t="shared" si="2"/>
        <v/>
      </c>
    </row>
    <row r="1103" ht="22.5" customHeight="1">
      <c r="A1103" s="29"/>
      <c r="B1103" s="31"/>
      <c r="C1103" s="193"/>
      <c r="D1103" s="190" t="str">
        <f t="array" ref="D1103">IF(E1103="", "", XLOOKUP(E1103, 'MASTER ITEM LIST'!B:B, 'MASTER ITEM LIST'!A:A, "Code Not Found"))</f>
        <v/>
      </c>
      <c r="E1103" s="35"/>
      <c r="F1103" s="194"/>
      <c r="G1103" s="31"/>
      <c r="H1103" s="39" t="str">
        <f t="array" ref="H1103">IFERROR(XLOOKUP(D1103,'MASTER ITEM LIST'!A:A,'MASTER ITEM LIST'!D:D), "")</f>
        <v/>
      </c>
      <c r="I1103" s="40"/>
      <c r="J1103" s="41" t="str">
        <f t="shared" si="2"/>
        <v/>
      </c>
    </row>
    <row r="1104" ht="22.5" customHeight="1">
      <c r="A1104" s="29"/>
      <c r="B1104" s="31"/>
      <c r="C1104" s="193"/>
      <c r="D1104" s="190" t="str">
        <f t="array" ref="D1104">IF(E1104="", "", XLOOKUP(E1104, 'MASTER ITEM LIST'!B:B, 'MASTER ITEM LIST'!A:A, "Code Not Found"))</f>
        <v/>
      </c>
      <c r="E1104" s="35"/>
      <c r="F1104" s="194"/>
      <c r="G1104" s="31"/>
      <c r="H1104" s="39" t="str">
        <f t="array" ref="H1104">IFERROR(XLOOKUP(D1104,'MASTER ITEM LIST'!A:A,'MASTER ITEM LIST'!D:D), "")</f>
        <v/>
      </c>
      <c r="I1104" s="40"/>
      <c r="J1104" s="41" t="str">
        <f t="shared" si="2"/>
        <v/>
      </c>
    </row>
    <row r="1105" ht="22.5" customHeight="1">
      <c r="A1105" s="29"/>
      <c r="B1105" s="31"/>
      <c r="C1105" s="193"/>
      <c r="D1105" s="190" t="str">
        <f t="array" ref="D1105">IF(E1105="", "", XLOOKUP(E1105, 'MASTER ITEM LIST'!B:B, 'MASTER ITEM LIST'!A:A, "Code Not Found"))</f>
        <v/>
      </c>
      <c r="E1105" s="35"/>
      <c r="F1105" s="194"/>
      <c r="G1105" s="31"/>
      <c r="H1105" s="39" t="str">
        <f t="array" ref="H1105">IFERROR(XLOOKUP(D1105,'MASTER ITEM LIST'!A:A,'MASTER ITEM LIST'!D:D), "")</f>
        <v/>
      </c>
      <c r="I1105" s="40"/>
      <c r="J1105" s="41" t="str">
        <f t="shared" si="2"/>
        <v/>
      </c>
    </row>
    <row r="1106" ht="22.5" customHeight="1">
      <c r="A1106" s="29"/>
      <c r="B1106" s="31"/>
      <c r="C1106" s="193"/>
      <c r="D1106" s="190" t="str">
        <f t="array" ref="D1106">IF(E1106="", "", XLOOKUP(E1106, 'MASTER ITEM LIST'!B:B, 'MASTER ITEM LIST'!A:A, "Code Not Found"))</f>
        <v/>
      </c>
      <c r="E1106" s="35"/>
      <c r="F1106" s="194"/>
      <c r="G1106" s="31"/>
      <c r="H1106" s="39" t="str">
        <f t="array" ref="H1106">IFERROR(XLOOKUP(D1106,'MASTER ITEM LIST'!A:A,'MASTER ITEM LIST'!D:D), "")</f>
        <v/>
      </c>
      <c r="I1106" s="40"/>
      <c r="J1106" s="41" t="str">
        <f t="shared" si="2"/>
        <v/>
      </c>
    </row>
    <row r="1107" ht="22.5" customHeight="1">
      <c r="A1107" s="29"/>
      <c r="B1107" s="31"/>
      <c r="C1107" s="193"/>
      <c r="D1107" s="190" t="str">
        <f t="array" ref="D1107">IF(E1107="", "", XLOOKUP(E1107, 'MASTER ITEM LIST'!B:B, 'MASTER ITEM LIST'!A:A, "Code Not Found"))</f>
        <v/>
      </c>
      <c r="E1107" s="35"/>
      <c r="F1107" s="194"/>
      <c r="G1107" s="31"/>
      <c r="H1107" s="39" t="str">
        <f t="array" ref="H1107">IFERROR(XLOOKUP(D1107,'MASTER ITEM LIST'!A:A,'MASTER ITEM LIST'!D:D), "")</f>
        <v/>
      </c>
      <c r="I1107" s="40"/>
      <c r="J1107" s="41" t="str">
        <f t="shared" si="2"/>
        <v/>
      </c>
    </row>
    <row r="1108" ht="22.5" customHeight="1">
      <c r="A1108" s="29"/>
      <c r="B1108" s="31"/>
      <c r="C1108" s="193"/>
      <c r="D1108" s="190" t="str">
        <f t="array" ref="D1108">IF(E1108="", "", XLOOKUP(E1108, 'MASTER ITEM LIST'!B:B, 'MASTER ITEM LIST'!A:A, "Code Not Found"))</f>
        <v/>
      </c>
      <c r="E1108" s="35"/>
      <c r="F1108" s="194"/>
      <c r="G1108" s="31"/>
      <c r="H1108" s="39" t="str">
        <f t="array" ref="H1108">IFERROR(XLOOKUP(D1108,'MASTER ITEM LIST'!A:A,'MASTER ITEM LIST'!D:D), "")</f>
        <v/>
      </c>
      <c r="I1108" s="40"/>
      <c r="J1108" s="41" t="str">
        <f t="shared" si="2"/>
        <v/>
      </c>
    </row>
    <row r="1109" ht="22.5" customHeight="1">
      <c r="A1109" s="29"/>
      <c r="B1109" s="31"/>
      <c r="C1109" s="193"/>
      <c r="D1109" s="190" t="str">
        <f t="array" ref="D1109">IF(E1109="", "", XLOOKUP(E1109, 'MASTER ITEM LIST'!B:B, 'MASTER ITEM LIST'!A:A, "Code Not Found"))</f>
        <v/>
      </c>
      <c r="E1109" s="35"/>
      <c r="F1109" s="194"/>
      <c r="G1109" s="31"/>
      <c r="H1109" s="39" t="str">
        <f t="array" ref="H1109">IFERROR(XLOOKUP(D1109,'MASTER ITEM LIST'!A:A,'MASTER ITEM LIST'!D:D), "")</f>
        <v/>
      </c>
      <c r="I1109" s="40"/>
      <c r="J1109" s="41" t="str">
        <f t="shared" si="2"/>
        <v/>
      </c>
    </row>
    <row r="1110" ht="22.5" customHeight="1">
      <c r="A1110" s="29"/>
      <c r="B1110" s="31"/>
      <c r="C1110" s="193"/>
      <c r="D1110" s="190" t="str">
        <f t="array" ref="D1110">IF(E1110="", "", XLOOKUP(E1110, 'MASTER ITEM LIST'!B:B, 'MASTER ITEM LIST'!A:A, "Code Not Found"))</f>
        <v/>
      </c>
      <c r="E1110" s="35"/>
      <c r="F1110" s="194"/>
      <c r="G1110" s="31"/>
      <c r="H1110" s="39" t="str">
        <f t="array" ref="H1110">IFERROR(XLOOKUP(D1110,'MASTER ITEM LIST'!A:A,'MASTER ITEM LIST'!D:D), "")</f>
        <v/>
      </c>
      <c r="I1110" s="40"/>
      <c r="J1110" s="41" t="str">
        <f t="shared" si="2"/>
        <v/>
      </c>
    </row>
    <row r="1111" ht="22.5" customHeight="1">
      <c r="A1111" s="29"/>
      <c r="B1111" s="31"/>
      <c r="C1111" s="193"/>
      <c r="D1111" s="190" t="str">
        <f t="array" ref="D1111">IF(E1111="", "", XLOOKUP(E1111, 'MASTER ITEM LIST'!B:B, 'MASTER ITEM LIST'!A:A, "Code Not Found"))</f>
        <v/>
      </c>
      <c r="E1111" s="35"/>
      <c r="F1111" s="194"/>
      <c r="G1111" s="31"/>
      <c r="H1111" s="39" t="str">
        <f t="array" ref="H1111">IFERROR(XLOOKUP(D1111,'MASTER ITEM LIST'!A:A,'MASTER ITEM LIST'!D:D), "")</f>
        <v/>
      </c>
      <c r="I1111" s="40"/>
      <c r="J1111" s="41" t="str">
        <f t="shared" si="2"/>
        <v/>
      </c>
    </row>
    <row r="1112" ht="22.5" customHeight="1">
      <c r="A1112" s="29"/>
      <c r="B1112" s="31"/>
      <c r="C1112" s="193"/>
      <c r="D1112" s="190" t="str">
        <f t="array" ref="D1112">IF(E1112="", "", XLOOKUP(E1112, 'MASTER ITEM LIST'!B:B, 'MASTER ITEM LIST'!A:A, "Code Not Found"))</f>
        <v/>
      </c>
      <c r="E1112" s="35"/>
      <c r="F1112" s="194"/>
      <c r="G1112" s="31"/>
      <c r="H1112" s="39" t="str">
        <f t="array" ref="H1112">IFERROR(XLOOKUP(D1112,'MASTER ITEM LIST'!A:A,'MASTER ITEM LIST'!D:D), "")</f>
        <v/>
      </c>
      <c r="I1112" s="40"/>
      <c r="J1112" s="41" t="str">
        <f t="shared" si="2"/>
        <v/>
      </c>
    </row>
    <row r="1113" ht="22.5" customHeight="1">
      <c r="A1113" s="29"/>
      <c r="B1113" s="31"/>
      <c r="C1113" s="193"/>
      <c r="D1113" s="190" t="str">
        <f t="array" ref="D1113">IF(E1113="", "", XLOOKUP(E1113, 'MASTER ITEM LIST'!B:B, 'MASTER ITEM LIST'!A:A, "Code Not Found"))</f>
        <v/>
      </c>
      <c r="E1113" s="35"/>
      <c r="F1113" s="194"/>
      <c r="G1113" s="31"/>
      <c r="H1113" s="39" t="str">
        <f t="array" ref="H1113">IFERROR(XLOOKUP(D1113,'MASTER ITEM LIST'!A:A,'MASTER ITEM LIST'!D:D), "")</f>
        <v/>
      </c>
      <c r="I1113" s="40"/>
      <c r="J1113" s="41" t="str">
        <f t="shared" si="2"/>
        <v/>
      </c>
    </row>
    <row r="1114" ht="22.5" customHeight="1">
      <c r="A1114" s="29"/>
      <c r="B1114" s="31"/>
      <c r="C1114" s="193"/>
      <c r="D1114" s="190" t="str">
        <f t="array" ref="D1114">IF(E1114="", "", XLOOKUP(E1114, 'MASTER ITEM LIST'!B:B, 'MASTER ITEM LIST'!A:A, "Code Not Found"))</f>
        <v/>
      </c>
      <c r="E1114" s="35"/>
      <c r="F1114" s="194"/>
      <c r="G1114" s="31"/>
      <c r="H1114" s="39" t="str">
        <f t="array" ref="H1114">IFERROR(XLOOKUP(D1114,'MASTER ITEM LIST'!A:A,'MASTER ITEM LIST'!D:D), "")</f>
        <v/>
      </c>
      <c r="I1114" s="40"/>
      <c r="J1114" s="41" t="str">
        <f t="shared" si="2"/>
        <v/>
      </c>
    </row>
    <row r="1115" ht="22.5" customHeight="1">
      <c r="A1115" s="29"/>
      <c r="B1115" s="31"/>
      <c r="C1115" s="193"/>
      <c r="D1115" s="190" t="str">
        <f t="array" ref="D1115">IF(E1115="", "", XLOOKUP(E1115, 'MASTER ITEM LIST'!B:B, 'MASTER ITEM LIST'!A:A, "Code Not Found"))</f>
        <v/>
      </c>
      <c r="E1115" s="35"/>
      <c r="F1115" s="194"/>
      <c r="G1115" s="31"/>
      <c r="H1115" s="39" t="str">
        <f t="array" ref="H1115">IFERROR(XLOOKUP(D1115,'MASTER ITEM LIST'!A:A,'MASTER ITEM LIST'!D:D), "")</f>
        <v/>
      </c>
      <c r="I1115" s="40"/>
      <c r="J1115" s="41" t="str">
        <f t="shared" si="2"/>
        <v/>
      </c>
    </row>
    <row r="1116" ht="22.5" customHeight="1">
      <c r="A1116" s="29"/>
      <c r="B1116" s="31"/>
      <c r="C1116" s="193"/>
      <c r="D1116" s="190" t="str">
        <f t="array" ref="D1116">IF(E1116="", "", XLOOKUP(E1116, 'MASTER ITEM LIST'!B:B, 'MASTER ITEM LIST'!A:A, "Code Not Found"))</f>
        <v/>
      </c>
      <c r="E1116" s="35"/>
      <c r="F1116" s="194"/>
      <c r="G1116" s="31"/>
      <c r="H1116" s="39" t="str">
        <f t="array" ref="H1116">IFERROR(XLOOKUP(D1116,'MASTER ITEM LIST'!A:A,'MASTER ITEM LIST'!D:D), "")</f>
        <v/>
      </c>
      <c r="I1116" s="40"/>
      <c r="J1116" s="41" t="str">
        <f t="shared" si="2"/>
        <v/>
      </c>
    </row>
    <row r="1117" ht="22.5" customHeight="1">
      <c r="A1117" s="29"/>
      <c r="B1117" s="31"/>
      <c r="C1117" s="193"/>
      <c r="D1117" s="190" t="str">
        <f t="array" ref="D1117">IF(E1117="", "", XLOOKUP(E1117, 'MASTER ITEM LIST'!B:B, 'MASTER ITEM LIST'!A:A, "Code Not Found"))</f>
        <v/>
      </c>
      <c r="E1117" s="35"/>
      <c r="F1117" s="194"/>
      <c r="G1117" s="31"/>
      <c r="H1117" s="39" t="str">
        <f t="array" ref="H1117">IFERROR(XLOOKUP(D1117,'MASTER ITEM LIST'!A:A,'MASTER ITEM LIST'!D:D), "")</f>
        <v/>
      </c>
      <c r="I1117" s="40"/>
      <c r="J1117" s="41" t="str">
        <f t="shared" si="2"/>
        <v/>
      </c>
    </row>
    <row r="1118" ht="22.5" customHeight="1">
      <c r="A1118" s="29"/>
      <c r="B1118" s="31"/>
      <c r="C1118" s="193"/>
      <c r="D1118" s="190" t="str">
        <f t="array" ref="D1118">IF(E1118="", "", XLOOKUP(E1118, 'MASTER ITEM LIST'!B:B, 'MASTER ITEM LIST'!A:A, "Code Not Found"))</f>
        <v/>
      </c>
      <c r="E1118" s="35"/>
      <c r="F1118" s="194"/>
      <c r="G1118" s="31"/>
      <c r="H1118" s="39" t="str">
        <f t="array" ref="H1118">IFERROR(XLOOKUP(D1118,'MASTER ITEM LIST'!A:A,'MASTER ITEM LIST'!D:D), "")</f>
        <v/>
      </c>
      <c r="I1118" s="40"/>
      <c r="J1118" s="41" t="str">
        <f t="shared" si="2"/>
        <v/>
      </c>
    </row>
    <row r="1119" ht="22.5" customHeight="1">
      <c r="A1119" s="29"/>
      <c r="B1119" s="31"/>
      <c r="C1119" s="193"/>
      <c r="D1119" s="190" t="str">
        <f t="array" ref="D1119">IF(E1119="", "", XLOOKUP(E1119, 'MASTER ITEM LIST'!B:B, 'MASTER ITEM LIST'!A:A, "Code Not Found"))</f>
        <v/>
      </c>
      <c r="E1119" s="35"/>
      <c r="F1119" s="194"/>
      <c r="G1119" s="31"/>
      <c r="H1119" s="39" t="str">
        <f t="array" ref="H1119">IFERROR(XLOOKUP(D1119,'MASTER ITEM LIST'!A:A,'MASTER ITEM LIST'!D:D), "")</f>
        <v/>
      </c>
      <c r="I1119" s="40"/>
      <c r="J1119" s="41" t="str">
        <f t="shared" si="2"/>
        <v/>
      </c>
    </row>
    <row r="1120" ht="22.5" customHeight="1">
      <c r="A1120" s="29"/>
      <c r="B1120" s="31"/>
      <c r="C1120" s="193"/>
      <c r="D1120" s="190" t="str">
        <f t="array" ref="D1120">IF(E1120="", "", XLOOKUP(E1120, 'MASTER ITEM LIST'!B:B, 'MASTER ITEM LIST'!A:A, "Code Not Found"))</f>
        <v/>
      </c>
      <c r="E1120" s="35"/>
      <c r="F1120" s="194"/>
      <c r="G1120" s="31"/>
      <c r="H1120" s="39" t="str">
        <f t="array" ref="H1120">IFERROR(XLOOKUP(D1120,'MASTER ITEM LIST'!A:A,'MASTER ITEM LIST'!D:D), "")</f>
        <v/>
      </c>
      <c r="I1120" s="40"/>
      <c r="J1120" s="41" t="str">
        <f t="shared" si="2"/>
        <v/>
      </c>
    </row>
    <row r="1121" ht="22.5" customHeight="1">
      <c r="A1121" s="29"/>
      <c r="B1121" s="31"/>
      <c r="C1121" s="193"/>
      <c r="D1121" s="190" t="str">
        <f t="array" ref="D1121">IF(E1121="", "", XLOOKUP(E1121, 'MASTER ITEM LIST'!B:B, 'MASTER ITEM LIST'!A:A, "Code Not Found"))</f>
        <v/>
      </c>
      <c r="E1121" s="35"/>
      <c r="F1121" s="194"/>
      <c r="G1121" s="31"/>
      <c r="H1121" s="39" t="str">
        <f t="array" ref="H1121">IFERROR(XLOOKUP(D1121,'MASTER ITEM LIST'!A:A,'MASTER ITEM LIST'!D:D), "")</f>
        <v/>
      </c>
      <c r="I1121" s="40"/>
      <c r="J1121" s="41" t="str">
        <f t="shared" si="2"/>
        <v/>
      </c>
    </row>
    <row r="1122" ht="22.5" customHeight="1">
      <c r="A1122" s="29"/>
      <c r="B1122" s="31"/>
      <c r="C1122" s="193"/>
      <c r="D1122" s="190" t="str">
        <f t="array" ref="D1122">IF(E1122="", "", XLOOKUP(E1122, 'MASTER ITEM LIST'!B:B, 'MASTER ITEM LIST'!A:A, "Code Not Found"))</f>
        <v/>
      </c>
      <c r="E1122" s="35"/>
      <c r="F1122" s="194"/>
      <c r="G1122" s="31"/>
      <c r="H1122" s="39" t="str">
        <f t="array" ref="H1122">IFERROR(XLOOKUP(D1122,'MASTER ITEM LIST'!A:A,'MASTER ITEM LIST'!D:D), "")</f>
        <v/>
      </c>
      <c r="I1122" s="40"/>
      <c r="J1122" s="41" t="str">
        <f t="shared" si="2"/>
        <v/>
      </c>
    </row>
    <row r="1123" ht="22.5" customHeight="1">
      <c r="A1123" s="29"/>
      <c r="B1123" s="31"/>
      <c r="C1123" s="193"/>
      <c r="D1123" s="190" t="str">
        <f t="array" ref="D1123">IF(E1123="", "", XLOOKUP(E1123, 'MASTER ITEM LIST'!B:B, 'MASTER ITEM LIST'!A:A, "Code Not Found"))</f>
        <v/>
      </c>
      <c r="E1123" s="35"/>
      <c r="F1123" s="194"/>
      <c r="G1123" s="31"/>
      <c r="H1123" s="39" t="str">
        <f t="array" ref="H1123">IFERROR(XLOOKUP(D1123,'MASTER ITEM LIST'!A:A,'MASTER ITEM LIST'!D:D), "")</f>
        <v/>
      </c>
      <c r="I1123" s="40"/>
      <c r="J1123" s="41" t="str">
        <f t="shared" si="2"/>
        <v/>
      </c>
    </row>
    <row r="1124" ht="22.5" customHeight="1">
      <c r="A1124" s="29"/>
      <c r="B1124" s="31"/>
      <c r="C1124" s="193"/>
      <c r="D1124" s="190" t="str">
        <f t="array" ref="D1124">IF(E1124="", "", XLOOKUP(E1124, 'MASTER ITEM LIST'!B:B, 'MASTER ITEM LIST'!A:A, "Code Not Found"))</f>
        <v/>
      </c>
      <c r="E1124" s="35"/>
      <c r="F1124" s="194"/>
      <c r="G1124" s="31"/>
      <c r="H1124" s="39" t="str">
        <f t="array" ref="H1124">IFERROR(XLOOKUP(D1124,'MASTER ITEM LIST'!A:A,'MASTER ITEM LIST'!D:D), "")</f>
        <v/>
      </c>
      <c r="I1124" s="40"/>
      <c r="J1124" s="41" t="str">
        <f t="shared" si="2"/>
        <v/>
      </c>
    </row>
    <row r="1125" ht="22.5" customHeight="1">
      <c r="A1125" s="29"/>
      <c r="B1125" s="31"/>
      <c r="C1125" s="193"/>
      <c r="D1125" s="190" t="str">
        <f t="array" ref="D1125">IF(E1125="", "", XLOOKUP(E1125, 'MASTER ITEM LIST'!B:B, 'MASTER ITEM LIST'!A:A, "Code Not Found"))</f>
        <v/>
      </c>
      <c r="E1125" s="35"/>
      <c r="F1125" s="194"/>
      <c r="G1125" s="31"/>
      <c r="H1125" s="39" t="str">
        <f t="array" ref="H1125">IFERROR(XLOOKUP(D1125,'MASTER ITEM LIST'!A:A,'MASTER ITEM LIST'!D:D), "")</f>
        <v/>
      </c>
      <c r="I1125" s="40"/>
      <c r="J1125" s="41" t="str">
        <f t="shared" si="2"/>
        <v/>
      </c>
    </row>
    <row r="1126" ht="22.5" customHeight="1">
      <c r="A1126" s="29"/>
      <c r="B1126" s="31"/>
      <c r="C1126" s="193"/>
      <c r="D1126" s="190" t="str">
        <f t="array" ref="D1126">IF(E1126="", "", XLOOKUP(E1126, 'MASTER ITEM LIST'!B:B, 'MASTER ITEM LIST'!A:A, "Code Not Found"))</f>
        <v/>
      </c>
      <c r="E1126" s="35"/>
      <c r="F1126" s="194"/>
      <c r="G1126" s="31"/>
      <c r="H1126" s="39" t="str">
        <f t="array" ref="H1126">IFERROR(XLOOKUP(D1126,'MASTER ITEM LIST'!A:A,'MASTER ITEM LIST'!D:D), "")</f>
        <v/>
      </c>
      <c r="I1126" s="40"/>
      <c r="J1126" s="41" t="str">
        <f t="shared" si="2"/>
        <v/>
      </c>
    </row>
    <row r="1127" ht="22.5" customHeight="1">
      <c r="A1127" s="29"/>
      <c r="B1127" s="31"/>
      <c r="C1127" s="193"/>
      <c r="D1127" s="190" t="str">
        <f t="array" ref="D1127">IF(E1127="", "", XLOOKUP(E1127, 'MASTER ITEM LIST'!B:B, 'MASTER ITEM LIST'!A:A, "Code Not Found"))</f>
        <v/>
      </c>
      <c r="E1127" s="35"/>
      <c r="F1127" s="194"/>
      <c r="G1127" s="31"/>
      <c r="H1127" s="39" t="str">
        <f t="array" ref="H1127">IFERROR(XLOOKUP(D1127,'MASTER ITEM LIST'!A:A,'MASTER ITEM LIST'!D:D), "")</f>
        <v/>
      </c>
      <c r="I1127" s="40"/>
      <c r="J1127" s="41" t="str">
        <f t="shared" si="2"/>
        <v/>
      </c>
    </row>
    <row r="1128" ht="22.5" customHeight="1">
      <c r="A1128" s="29"/>
      <c r="B1128" s="31"/>
      <c r="C1128" s="193"/>
      <c r="D1128" s="190" t="str">
        <f t="array" ref="D1128">IF(E1128="", "", XLOOKUP(E1128, 'MASTER ITEM LIST'!B:B, 'MASTER ITEM LIST'!A:A, "Code Not Found"))</f>
        <v/>
      </c>
      <c r="E1128" s="35"/>
      <c r="F1128" s="194"/>
      <c r="G1128" s="31"/>
      <c r="H1128" s="39" t="str">
        <f t="array" ref="H1128">IFERROR(XLOOKUP(D1128,'MASTER ITEM LIST'!A:A,'MASTER ITEM LIST'!D:D), "")</f>
        <v/>
      </c>
      <c r="I1128" s="40"/>
      <c r="J1128" s="41" t="str">
        <f t="shared" si="2"/>
        <v/>
      </c>
    </row>
    <row r="1129" ht="22.5" customHeight="1">
      <c r="A1129" s="29"/>
      <c r="B1129" s="31"/>
      <c r="C1129" s="193"/>
      <c r="D1129" s="190" t="str">
        <f t="array" ref="D1129">IF(E1129="", "", XLOOKUP(E1129, 'MASTER ITEM LIST'!B:B, 'MASTER ITEM LIST'!A:A, "Code Not Found"))</f>
        <v/>
      </c>
      <c r="E1129" s="35"/>
      <c r="F1129" s="194"/>
      <c r="G1129" s="31"/>
      <c r="H1129" s="39" t="str">
        <f t="array" ref="H1129">IFERROR(XLOOKUP(D1129,'MASTER ITEM LIST'!A:A,'MASTER ITEM LIST'!D:D), "")</f>
        <v/>
      </c>
      <c r="I1129" s="40"/>
      <c r="J1129" s="41" t="str">
        <f t="shared" si="2"/>
        <v/>
      </c>
    </row>
    <row r="1130" ht="22.5" customHeight="1">
      <c r="A1130" s="29"/>
      <c r="B1130" s="31"/>
      <c r="C1130" s="193"/>
      <c r="D1130" s="190" t="str">
        <f t="array" ref="D1130">IF(E1130="", "", XLOOKUP(E1130, 'MASTER ITEM LIST'!B:B, 'MASTER ITEM LIST'!A:A, "Code Not Found"))</f>
        <v/>
      </c>
      <c r="E1130" s="35"/>
      <c r="F1130" s="194"/>
      <c r="G1130" s="31"/>
      <c r="H1130" s="39" t="str">
        <f t="array" ref="H1130">IFERROR(XLOOKUP(D1130,'MASTER ITEM LIST'!A:A,'MASTER ITEM LIST'!D:D), "")</f>
        <v/>
      </c>
      <c r="I1130" s="40"/>
      <c r="J1130" s="41" t="str">
        <f t="shared" si="2"/>
        <v/>
      </c>
    </row>
    <row r="1131" ht="22.5" customHeight="1">
      <c r="A1131" s="29"/>
      <c r="B1131" s="31"/>
      <c r="C1131" s="193"/>
      <c r="D1131" s="190" t="str">
        <f t="array" ref="D1131">IF(E1131="", "", XLOOKUP(E1131, 'MASTER ITEM LIST'!B:B, 'MASTER ITEM LIST'!A:A, "Code Not Found"))</f>
        <v/>
      </c>
      <c r="E1131" s="35"/>
      <c r="F1131" s="194"/>
      <c r="G1131" s="31"/>
      <c r="H1131" s="39" t="str">
        <f t="array" ref="H1131">IFERROR(XLOOKUP(D1131,'MASTER ITEM LIST'!A:A,'MASTER ITEM LIST'!D:D), "")</f>
        <v/>
      </c>
      <c r="I1131" s="40"/>
      <c r="J1131" s="41" t="str">
        <f t="shared" si="2"/>
        <v/>
      </c>
    </row>
    <row r="1132" ht="22.5" customHeight="1">
      <c r="A1132" s="29"/>
      <c r="B1132" s="31"/>
      <c r="C1132" s="193"/>
      <c r="D1132" s="190" t="str">
        <f t="array" ref="D1132">IF(E1132="", "", XLOOKUP(E1132, 'MASTER ITEM LIST'!B:B, 'MASTER ITEM LIST'!A:A, "Code Not Found"))</f>
        <v/>
      </c>
      <c r="E1132" s="35"/>
      <c r="F1132" s="194"/>
      <c r="G1132" s="31"/>
      <c r="H1132" s="39" t="str">
        <f t="array" ref="H1132">IFERROR(XLOOKUP(D1132,'MASTER ITEM LIST'!A:A,'MASTER ITEM LIST'!D:D), "")</f>
        <v/>
      </c>
      <c r="I1132" s="40"/>
      <c r="J1132" s="41" t="str">
        <f t="shared" si="2"/>
        <v/>
      </c>
    </row>
    <row r="1133" ht="22.5" customHeight="1">
      <c r="A1133" s="29"/>
      <c r="B1133" s="31"/>
      <c r="C1133" s="193"/>
      <c r="D1133" s="190" t="str">
        <f t="array" ref="D1133">IF(E1133="", "", XLOOKUP(E1133, 'MASTER ITEM LIST'!B:B, 'MASTER ITEM LIST'!A:A, "Code Not Found"))</f>
        <v/>
      </c>
      <c r="E1133" s="35"/>
      <c r="F1133" s="194"/>
      <c r="G1133" s="31"/>
      <c r="H1133" s="39" t="str">
        <f t="array" ref="H1133">IFERROR(XLOOKUP(D1133,'MASTER ITEM LIST'!A:A,'MASTER ITEM LIST'!D:D), "")</f>
        <v/>
      </c>
      <c r="I1133" s="40"/>
      <c r="J1133" s="41" t="str">
        <f t="shared" si="2"/>
        <v/>
      </c>
    </row>
    <row r="1134" ht="22.5" customHeight="1">
      <c r="A1134" s="29"/>
      <c r="B1134" s="31"/>
      <c r="C1134" s="193"/>
      <c r="D1134" s="190" t="str">
        <f t="array" ref="D1134">IF(E1134="", "", XLOOKUP(E1134, 'MASTER ITEM LIST'!B:B, 'MASTER ITEM LIST'!A:A, "Code Not Found"))</f>
        <v/>
      </c>
      <c r="E1134" s="35"/>
      <c r="F1134" s="194"/>
      <c r="G1134" s="31"/>
      <c r="H1134" s="39" t="str">
        <f t="array" ref="H1134">IFERROR(XLOOKUP(D1134,'MASTER ITEM LIST'!A:A,'MASTER ITEM LIST'!D:D), "")</f>
        <v/>
      </c>
      <c r="I1134" s="40"/>
      <c r="J1134" s="41" t="str">
        <f t="shared" si="2"/>
        <v/>
      </c>
    </row>
    <row r="1135" ht="22.5" customHeight="1">
      <c r="A1135" s="29"/>
      <c r="B1135" s="31"/>
      <c r="C1135" s="193"/>
      <c r="D1135" s="190" t="str">
        <f t="array" ref="D1135">IF(E1135="", "", XLOOKUP(E1135, 'MASTER ITEM LIST'!B:B, 'MASTER ITEM LIST'!A:A, "Code Not Found"))</f>
        <v/>
      </c>
      <c r="E1135" s="35"/>
      <c r="F1135" s="194"/>
      <c r="G1135" s="31"/>
      <c r="H1135" s="39" t="str">
        <f t="array" ref="H1135">IFERROR(XLOOKUP(D1135,'MASTER ITEM LIST'!A:A,'MASTER ITEM LIST'!D:D), "")</f>
        <v/>
      </c>
      <c r="I1135" s="40"/>
      <c r="J1135" s="41" t="str">
        <f t="shared" si="2"/>
        <v/>
      </c>
    </row>
    <row r="1136" ht="22.5" customHeight="1">
      <c r="A1136" s="29"/>
      <c r="B1136" s="31"/>
      <c r="C1136" s="193"/>
      <c r="D1136" s="190" t="str">
        <f t="array" ref="D1136">IF(E1136="", "", XLOOKUP(E1136, 'MASTER ITEM LIST'!B:B, 'MASTER ITEM LIST'!A:A, "Code Not Found"))</f>
        <v/>
      </c>
      <c r="E1136" s="35"/>
      <c r="F1136" s="194"/>
      <c r="G1136" s="31"/>
      <c r="H1136" s="39" t="str">
        <f t="array" ref="H1136">IFERROR(XLOOKUP(D1136,'MASTER ITEM LIST'!A:A,'MASTER ITEM LIST'!D:D), "")</f>
        <v/>
      </c>
      <c r="I1136" s="40"/>
      <c r="J1136" s="41" t="str">
        <f t="shared" si="2"/>
        <v/>
      </c>
    </row>
    <row r="1137" ht="22.5" customHeight="1">
      <c r="A1137" s="29"/>
      <c r="B1137" s="31"/>
      <c r="C1137" s="193"/>
      <c r="D1137" s="190" t="str">
        <f t="array" ref="D1137">IF(E1137="", "", XLOOKUP(E1137, 'MASTER ITEM LIST'!B:B, 'MASTER ITEM LIST'!A:A, "Code Not Found"))</f>
        <v/>
      </c>
      <c r="E1137" s="35"/>
      <c r="F1137" s="194"/>
      <c r="G1137" s="31"/>
      <c r="H1137" s="39" t="str">
        <f t="array" ref="H1137">IFERROR(XLOOKUP(D1137,'MASTER ITEM LIST'!A:A,'MASTER ITEM LIST'!D:D), "")</f>
        <v/>
      </c>
      <c r="I1137" s="40"/>
      <c r="J1137" s="41" t="str">
        <f t="shared" si="2"/>
        <v/>
      </c>
    </row>
    <row r="1138" ht="22.5" customHeight="1">
      <c r="A1138" s="29"/>
      <c r="B1138" s="31"/>
      <c r="C1138" s="193"/>
      <c r="D1138" s="190" t="str">
        <f t="array" ref="D1138">IF(E1138="", "", XLOOKUP(E1138, 'MASTER ITEM LIST'!B:B, 'MASTER ITEM LIST'!A:A, "Code Not Found"))</f>
        <v/>
      </c>
      <c r="E1138" s="35"/>
      <c r="F1138" s="194"/>
      <c r="G1138" s="31"/>
      <c r="H1138" s="39" t="str">
        <f t="array" ref="H1138">IFERROR(XLOOKUP(D1138,'MASTER ITEM LIST'!A:A,'MASTER ITEM LIST'!D:D), "")</f>
        <v/>
      </c>
      <c r="I1138" s="40"/>
      <c r="J1138" s="41" t="str">
        <f t="shared" si="2"/>
        <v/>
      </c>
    </row>
    <row r="1139" ht="22.5" customHeight="1">
      <c r="A1139" s="29"/>
      <c r="B1139" s="31"/>
      <c r="C1139" s="193"/>
      <c r="D1139" s="190" t="str">
        <f t="array" ref="D1139">IF(E1139="", "", XLOOKUP(E1139, 'MASTER ITEM LIST'!B:B, 'MASTER ITEM LIST'!A:A, "Code Not Found"))</f>
        <v/>
      </c>
      <c r="E1139" s="35"/>
      <c r="F1139" s="194"/>
      <c r="G1139" s="31"/>
      <c r="H1139" s="39" t="str">
        <f t="array" ref="H1139">IFERROR(XLOOKUP(D1139,'MASTER ITEM LIST'!A:A,'MASTER ITEM LIST'!D:D), "")</f>
        <v/>
      </c>
      <c r="I1139" s="40"/>
      <c r="J1139" s="41" t="str">
        <f t="shared" si="2"/>
        <v/>
      </c>
    </row>
    <row r="1140" ht="22.5" customHeight="1">
      <c r="A1140" s="29"/>
      <c r="B1140" s="31"/>
      <c r="C1140" s="193"/>
      <c r="D1140" s="190" t="str">
        <f t="array" ref="D1140">IF(E1140="", "", XLOOKUP(E1140, 'MASTER ITEM LIST'!B:B, 'MASTER ITEM LIST'!A:A, "Code Not Found"))</f>
        <v/>
      </c>
      <c r="E1140" s="35"/>
      <c r="F1140" s="194"/>
      <c r="G1140" s="31"/>
      <c r="H1140" s="39" t="str">
        <f t="array" ref="H1140">IFERROR(XLOOKUP(D1140,'MASTER ITEM LIST'!A:A,'MASTER ITEM LIST'!D:D), "")</f>
        <v/>
      </c>
      <c r="I1140" s="40"/>
      <c r="J1140" s="41" t="str">
        <f t="shared" si="2"/>
        <v/>
      </c>
    </row>
    <row r="1141" ht="22.5" customHeight="1">
      <c r="A1141" s="29"/>
      <c r="B1141" s="31"/>
      <c r="C1141" s="193"/>
      <c r="D1141" s="190" t="str">
        <f t="array" ref="D1141">IF(E1141="", "", XLOOKUP(E1141, 'MASTER ITEM LIST'!B:B, 'MASTER ITEM LIST'!A:A, "Code Not Found"))</f>
        <v/>
      </c>
      <c r="E1141" s="35"/>
      <c r="F1141" s="194"/>
      <c r="G1141" s="31"/>
      <c r="H1141" s="39" t="str">
        <f t="array" ref="H1141">IFERROR(XLOOKUP(D1141,'MASTER ITEM LIST'!A:A,'MASTER ITEM LIST'!D:D), "")</f>
        <v/>
      </c>
      <c r="I1141" s="40"/>
      <c r="J1141" s="41" t="str">
        <f t="shared" si="2"/>
        <v/>
      </c>
    </row>
    <row r="1142" ht="22.5" customHeight="1">
      <c r="A1142" s="29"/>
      <c r="B1142" s="31"/>
      <c r="C1142" s="193"/>
      <c r="D1142" s="190" t="str">
        <f t="array" ref="D1142">IF(E1142="", "", XLOOKUP(E1142, 'MASTER ITEM LIST'!B:B, 'MASTER ITEM LIST'!A:A, "Code Not Found"))</f>
        <v/>
      </c>
      <c r="E1142" s="35"/>
      <c r="F1142" s="194"/>
      <c r="G1142" s="31"/>
      <c r="H1142" s="39" t="str">
        <f t="array" ref="H1142">IFERROR(XLOOKUP(D1142,'MASTER ITEM LIST'!A:A,'MASTER ITEM LIST'!D:D), "")</f>
        <v/>
      </c>
      <c r="I1142" s="40"/>
      <c r="J1142" s="41" t="str">
        <f t="shared" si="2"/>
        <v/>
      </c>
    </row>
    <row r="1143" ht="22.5" customHeight="1">
      <c r="A1143" s="29"/>
      <c r="B1143" s="31"/>
      <c r="C1143" s="193"/>
      <c r="D1143" s="190" t="str">
        <f t="array" ref="D1143">IF(E1143="", "", XLOOKUP(E1143, 'MASTER ITEM LIST'!B:B, 'MASTER ITEM LIST'!A:A, "Code Not Found"))</f>
        <v/>
      </c>
      <c r="E1143" s="35"/>
      <c r="F1143" s="194"/>
      <c r="G1143" s="31"/>
      <c r="H1143" s="39" t="str">
        <f t="array" ref="H1143">IFERROR(XLOOKUP(D1143,'MASTER ITEM LIST'!A:A,'MASTER ITEM LIST'!D:D), "")</f>
        <v/>
      </c>
      <c r="I1143" s="40"/>
      <c r="J1143" s="41" t="str">
        <f t="shared" si="2"/>
        <v/>
      </c>
    </row>
    <row r="1144" ht="22.5" customHeight="1">
      <c r="A1144" s="29"/>
      <c r="B1144" s="31"/>
      <c r="C1144" s="193"/>
      <c r="D1144" s="190" t="str">
        <f t="array" ref="D1144">IF(E1144="", "", XLOOKUP(E1144, 'MASTER ITEM LIST'!B:B, 'MASTER ITEM LIST'!A:A, "Code Not Found"))</f>
        <v/>
      </c>
      <c r="E1144" s="35"/>
      <c r="F1144" s="194"/>
      <c r="G1144" s="31"/>
      <c r="H1144" s="39" t="str">
        <f t="array" ref="H1144">IFERROR(XLOOKUP(D1144,'MASTER ITEM LIST'!A:A,'MASTER ITEM LIST'!D:D), "")</f>
        <v/>
      </c>
      <c r="I1144" s="40"/>
      <c r="J1144" s="41" t="str">
        <f t="shared" si="2"/>
        <v/>
      </c>
    </row>
    <row r="1145" ht="22.5" customHeight="1">
      <c r="A1145" s="29"/>
      <c r="B1145" s="31"/>
      <c r="C1145" s="193"/>
      <c r="D1145" s="190" t="str">
        <f t="array" ref="D1145">IF(E1145="", "", XLOOKUP(E1145, 'MASTER ITEM LIST'!B:B, 'MASTER ITEM LIST'!A:A, "Code Not Found"))</f>
        <v/>
      </c>
      <c r="E1145" s="35"/>
      <c r="F1145" s="194"/>
      <c r="G1145" s="31"/>
      <c r="H1145" s="39" t="str">
        <f t="array" ref="H1145">IFERROR(XLOOKUP(D1145,'MASTER ITEM LIST'!A:A,'MASTER ITEM LIST'!D:D), "")</f>
        <v/>
      </c>
      <c r="I1145" s="40"/>
      <c r="J1145" s="41" t="str">
        <f t="shared" si="2"/>
        <v/>
      </c>
    </row>
    <row r="1146" ht="22.5" customHeight="1">
      <c r="A1146" s="29"/>
      <c r="B1146" s="31"/>
      <c r="C1146" s="193"/>
      <c r="D1146" s="190" t="str">
        <f t="array" ref="D1146">IF(E1146="", "", XLOOKUP(E1146, 'MASTER ITEM LIST'!B:B, 'MASTER ITEM LIST'!A:A, "Code Not Found"))</f>
        <v/>
      </c>
      <c r="E1146" s="35"/>
      <c r="F1146" s="194"/>
      <c r="G1146" s="31"/>
      <c r="H1146" s="39" t="str">
        <f t="array" ref="H1146">IFERROR(XLOOKUP(D1146,'MASTER ITEM LIST'!A:A,'MASTER ITEM LIST'!D:D), "")</f>
        <v/>
      </c>
      <c r="I1146" s="40"/>
      <c r="J1146" s="41" t="str">
        <f t="shared" si="2"/>
        <v/>
      </c>
    </row>
    <row r="1147" ht="22.5" customHeight="1">
      <c r="A1147" s="29"/>
      <c r="B1147" s="31"/>
      <c r="C1147" s="193"/>
      <c r="D1147" s="190" t="str">
        <f t="array" ref="D1147">IF(E1147="", "", XLOOKUP(E1147, 'MASTER ITEM LIST'!B:B, 'MASTER ITEM LIST'!A:A, "Code Not Found"))</f>
        <v/>
      </c>
      <c r="E1147" s="35"/>
      <c r="F1147" s="194"/>
      <c r="G1147" s="31"/>
      <c r="H1147" s="39" t="str">
        <f t="array" ref="H1147">IFERROR(XLOOKUP(D1147,'MASTER ITEM LIST'!A:A,'MASTER ITEM LIST'!D:D), "")</f>
        <v/>
      </c>
      <c r="I1147" s="40"/>
      <c r="J1147" s="41" t="str">
        <f t="shared" si="2"/>
        <v/>
      </c>
    </row>
    <row r="1148" ht="22.5" customHeight="1">
      <c r="A1148" s="29"/>
      <c r="B1148" s="31"/>
      <c r="C1148" s="193"/>
      <c r="D1148" s="190" t="str">
        <f t="array" ref="D1148">IF(E1148="", "", XLOOKUP(E1148, 'MASTER ITEM LIST'!B:B, 'MASTER ITEM LIST'!A:A, "Code Not Found"))</f>
        <v/>
      </c>
      <c r="E1148" s="35"/>
      <c r="F1148" s="194"/>
      <c r="G1148" s="31"/>
      <c r="H1148" s="39" t="str">
        <f t="array" ref="H1148">IFERROR(XLOOKUP(D1148,'MASTER ITEM LIST'!A:A,'MASTER ITEM LIST'!D:D), "")</f>
        <v/>
      </c>
      <c r="I1148" s="40"/>
      <c r="J1148" s="41" t="str">
        <f t="shared" si="2"/>
        <v/>
      </c>
    </row>
    <row r="1149" ht="22.5" customHeight="1">
      <c r="A1149" s="29"/>
      <c r="B1149" s="31"/>
      <c r="C1149" s="193"/>
      <c r="D1149" s="190" t="str">
        <f t="array" ref="D1149">IF(E1149="", "", XLOOKUP(E1149, 'MASTER ITEM LIST'!B:B, 'MASTER ITEM LIST'!A:A, "Code Not Found"))</f>
        <v/>
      </c>
      <c r="E1149" s="35"/>
      <c r="F1149" s="194"/>
      <c r="G1149" s="31"/>
      <c r="H1149" s="39" t="str">
        <f t="array" ref="H1149">IFERROR(XLOOKUP(D1149,'MASTER ITEM LIST'!A:A,'MASTER ITEM LIST'!D:D), "")</f>
        <v/>
      </c>
      <c r="I1149" s="40"/>
      <c r="J1149" s="41" t="str">
        <f t="shared" si="2"/>
        <v/>
      </c>
    </row>
    <row r="1150" ht="22.5" customHeight="1">
      <c r="A1150" s="29"/>
      <c r="B1150" s="31"/>
      <c r="C1150" s="193"/>
      <c r="D1150" s="190" t="str">
        <f t="array" ref="D1150">IF(E1150="", "", XLOOKUP(E1150, 'MASTER ITEM LIST'!B:B, 'MASTER ITEM LIST'!A:A, "Code Not Found"))</f>
        <v/>
      </c>
      <c r="E1150" s="35"/>
      <c r="F1150" s="194"/>
      <c r="G1150" s="31"/>
      <c r="H1150" s="39" t="str">
        <f t="array" ref="H1150">IFERROR(XLOOKUP(D1150,'MASTER ITEM LIST'!A:A,'MASTER ITEM LIST'!D:D), "")</f>
        <v/>
      </c>
      <c r="I1150" s="40"/>
      <c r="J1150" s="41" t="str">
        <f t="shared" si="2"/>
        <v/>
      </c>
    </row>
    <row r="1151" ht="22.5" customHeight="1">
      <c r="A1151" s="29"/>
      <c r="B1151" s="31"/>
      <c r="C1151" s="193"/>
      <c r="D1151" s="190" t="str">
        <f t="array" ref="D1151">IF(E1151="", "", XLOOKUP(E1151, 'MASTER ITEM LIST'!B:B, 'MASTER ITEM LIST'!A:A, "Code Not Found"))</f>
        <v/>
      </c>
      <c r="E1151" s="35"/>
      <c r="F1151" s="194"/>
      <c r="G1151" s="31"/>
      <c r="H1151" s="39" t="str">
        <f t="array" ref="H1151">IFERROR(XLOOKUP(D1151,'MASTER ITEM LIST'!A:A,'MASTER ITEM LIST'!D:D), "")</f>
        <v/>
      </c>
      <c r="I1151" s="40"/>
      <c r="J1151" s="41" t="str">
        <f t="shared" si="2"/>
        <v/>
      </c>
    </row>
    <row r="1152" ht="22.5" customHeight="1">
      <c r="A1152" s="29"/>
      <c r="B1152" s="31"/>
      <c r="C1152" s="193"/>
      <c r="D1152" s="190" t="str">
        <f t="array" ref="D1152">IF(E1152="", "", XLOOKUP(E1152, 'MASTER ITEM LIST'!B:B, 'MASTER ITEM LIST'!A:A, "Code Not Found"))</f>
        <v/>
      </c>
      <c r="E1152" s="35"/>
      <c r="F1152" s="194"/>
      <c r="G1152" s="31"/>
      <c r="H1152" s="39" t="str">
        <f t="array" ref="H1152">IFERROR(XLOOKUP(D1152,'MASTER ITEM LIST'!A:A,'MASTER ITEM LIST'!D:D), "")</f>
        <v/>
      </c>
      <c r="I1152" s="40"/>
      <c r="J1152" s="41" t="str">
        <f t="shared" si="2"/>
        <v/>
      </c>
    </row>
    <row r="1153" ht="22.5" customHeight="1">
      <c r="A1153" s="29"/>
      <c r="B1153" s="31"/>
      <c r="C1153" s="193"/>
      <c r="D1153" s="190" t="str">
        <f t="array" ref="D1153">IF(E1153="", "", XLOOKUP(E1153, 'MASTER ITEM LIST'!B:B, 'MASTER ITEM LIST'!A:A, "Code Not Found"))</f>
        <v/>
      </c>
      <c r="E1153" s="35"/>
      <c r="F1153" s="194"/>
      <c r="G1153" s="31"/>
      <c r="H1153" s="39" t="str">
        <f t="array" ref="H1153">IFERROR(XLOOKUP(D1153,'MASTER ITEM LIST'!A:A,'MASTER ITEM LIST'!D:D), "")</f>
        <v/>
      </c>
      <c r="I1153" s="40"/>
      <c r="J1153" s="41" t="str">
        <f t="shared" si="2"/>
        <v/>
      </c>
    </row>
    <row r="1154" ht="22.5" customHeight="1">
      <c r="A1154" s="29"/>
      <c r="B1154" s="31"/>
      <c r="C1154" s="193"/>
      <c r="D1154" s="190" t="str">
        <f t="array" ref="D1154">IF(E1154="", "", XLOOKUP(E1154, 'MASTER ITEM LIST'!B:B, 'MASTER ITEM LIST'!A:A, "Code Not Found"))</f>
        <v/>
      </c>
      <c r="E1154" s="35"/>
      <c r="F1154" s="194"/>
      <c r="G1154" s="31"/>
      <c r="H1154" s="39" t="str">
        <f t="array" ref="H1154">IFERROR(XLOOKUP(D1154,'MASTER ITEM LIST'!A:A,'MASTER ITEM LIST'!D:D), "")</f>
        <v/>
      </c>
      <c r="I1154" s="40"/>
      <c r="J1154" s="41" t="str">
        <f t="shared" si="2"/>
        <v/>
      </c>
    </row>
    <row r="1155" ht="22.5" customHeight="1">
      <c r="A1155" s="29"/>
      <c r="B1155" s="31"/>
      <c r="C1155" s="193"/>
      <c r="D1155" s="190" t="str">
        <f t="array" ref="D1155">IF(E1155="", "", XLOOKUP(E1155, 'MASTER ITEM LIST'!B:B, 'MASTER ITEM LIST'!A:A, "Code Not Found"))</f>
        <v/>
      </c>
      <c r="E1155" s="35"/>
      <c r="F1155" s="194"/>
      <c r="G1155" s="31"/>
      <c r="H1155" s="39" t="str">
        <f t="array" ref="H1155">IFERROR(XLOOKUP(D1155,'MASTER ITEM LIST'!A:A,'MASTER ITEM LIST'!D:D), "")</f>
        <v/>
      </c>
      <c r="I1155" s="40"/>
      <c r="J1155" s="41" t="str">
        <f t="shared" si="2"/>
        <v/>
      </c>
    </row>
    <row r="1156" ht="22.5" customHeight="1">
      <c r="A1156" s="29"/>
      <c r="B1156" s="31"/>
      <c r="C1156" s="193"/>
      <c r="D1156" s="190" t="str">
        <f t="array" ref="D1156">IF(E1156="", "", XLOOKUP(E1156, 'MASTER ITEM LIST'!B:B, 'MASTER ITEM LIST'!A:A, "Code Not Found"))</f>
        <v/>
      </c>
      <c r="E1156" s="35"/>
      <c r="F1156" s="194"/>
      <c r="G1156" s="31"/>
      <c r="H1156" s="39" t="str">
        <f t="array" ref="H1156">IFERROR(XLOOKUP(D1156,'MASTER ITEM LIST'!A:A,'MASTER ITEM LIST'!D:D), "")</f>
        <v/>
      </c>
      <c r="I1156" s="40"/>
      <c r="J1156" s="41" t="str">
        <f t="shared" si="2"/>
        <v/>
      </c>
    </row>
    <row r="1157" ht="22.5" customHeight="1">
      <c r="A1157" s="29"/>
      <c r="B1157" s="31"/>
      <c r="C1157" s="193"/>
      <c r="D1157" s="190" t="str">
        <f t="array" ref="D1157">IF(E1157="", "", XLOOKUP(E1157, 'MASTER ITEM LIST'!B:B, 'MASTER ITEM LIST'!A:A, "Code Not Found"))</f>
        <v/>
      </c>
      <c r="E1157" s="35"/>
      <c r="F1157" s="194"/>
      <c r="G1157" s="31"/>
      <c r="H1157" s="39" t="str">
        <f t="array" ref="H1157">IFERROR(XLOOKUP(D1157,'MASTER ITEM LIST'!A:A,'MASTER ITEM LIST'!D:D), "")</f>
        <v/>
      </c>
      <c r="I1157" s="40"/>
      <c r="J1157" s="41" t="str">
        <f t="shared" si="2"/>
        <v/>
      </c>
    </row>
    <row r="1158" ht="22.5" customHeight="1">
      <c r="A1158" s="29"/>
      <c r="B1158" s="31"/>
      <c r="C1158" s="193"/>
      <c r="D1158" s="190" t="str">
        <f t="array" ref="D1158">IF(E1158="", "", XLOOKUP(E1158, 'MASTER ITEM LIST'!B:B, 'MASTER ITEM LIST'!A:A, "Code Not Found"))</f>
        <v/>
      </c>
      <c r="E1158" s="35"/>
      <c r="F1158" s="194"/>
      <c r="G1158" s="31"/>
      <c r="H1158" s="39" t="str">
        <f t="array" ref="H1158">IFERROR(XLOOKUP(D1158,'MASTER ITEM LIST'!A:A,'MASTER ITEM LIST'!D:D), "")</f>
        <v/>
      </c>
      <c r="I1158" s="40"/>
      <c r="J1158" s="41" t="str">
        <f t="shared" si="2"/>
        <v/>
      </c>
    </row>
    <row r="1159" ht="22.5" customHeight="1">
      <c r="A1159" s="29"/>
      <c r="B1159" s="31"/>
      <c r="C1159" s="193"/>
      <c r="D1159" s="190" t="str">
        <f t="array" ref="D1159">IF(E1159="", "", XLOOKUP(E1159, 'MASTER ITEM LIST'!B:B, 'MASTER ITEM LIST'!A:A, "Code Not Found"))</f>
        <v/>
      </c>
      <c r="E1159" s="35"/>
      <c r="F1159" s="194"/>
      <c r="G1159" s="31"/>
      <c r="H1159" s="39" t="str">
        <f t="array" ref="H1159">IFERROR(XLOOKUP(D1159,'MASTER ITEM LIST'!A:A,'MASTER ITEM LIST'!D:D), "")</f>
        <v/>
      </c>
      <c r="I1159" s="40"/>
      <c r="J1159" s="41" t="str">
        <f t="shared" si="2"/>
        <v/>
      </c>
    </row>
    <row r="1160" ht="22.5" customHeight="1">
      <c r="A1160" s="29"/>
      <c r="B1160" s="31"/>
      <c r="C1160" s="193"/>
      <c r="D1160" s="190" t="str">
        <f t="array" ref="D1160">IF(E1160="", "", XLOOKUP(E1160, 'MASTER ITEM LIST'!B:B, 'MASTER ITEM LIST'!A:A, "Code Not Found"))</f>
        <v/>
      </c>
      <c r="E1160" s="35"/>
      <c r="F1160" s="194"/>
      <c r="G1160" s="31"/>
      <c r="H1160" s="39" t="str">
        <f t="array" ref="H1160">IFERROR(XLOOKUP(D1160,'MASTER ITEM LIST'!A:A,'MASTER ITEM LIST'!D:D), "")</f>
        <v/>
      </c>
      <c r="I1160" s="40"/>
      <c r="J1160" s="41" t="str">
        <f t="shared" si="2"/>
        <v/>
      </c>
    </row>
    <row r="1161" ht="22.5" customHeight="1">
      <c r="A1161" s="29"/>
      <c r="B1161" s="31"/>
      <c r="C1161" s="193"/>
      <c r="D1161" s="190" t="str">
        <f t="array" ref="D1161">IF(E1161="", "", XLOOKUP(E1161, 'MASTER ITEM LIST'!B:B, 'MASTER ITEM LIST'!A:A, "Code Not Found"))</f>
        <v/>
      </c>
      <c r="E1161" s="35"/>
      <c r="F1161" s="194"/>
      <c r="G1161" s="31"/>
      <c r="H1161" s="39" t="str">
        <f t="array" ref="H1161">IFERROR(XLOOKUP(D1161,'MASTER ITEM LIST'!A:A,'MASTER ITEM LIST'!D:D), "")</f>
        <v/>
      </c>
      <c r="I1161" s="40"/>
      <c r="J1161" s="41" t="str">
        <f t="shared" si="2"/>
        <v/>
      </c>
    </row>
    <row r="1162" ht="22.5" customHeight="1">
      <c r="A1162" s="29"/>
      <c r="B1162" s="31"/>
      <c r="C1162" s="193"/>
      <c r="D1162" s="190" t="str">
        <f t="array" ref="D1162">IF(E1162="", "", XLOOKUP(E1162, 'MASTER ITEM LIST'!B:B, 'MASTER ITEM LIST'!A:A, "Code Not Found"))</f>
        <v/>
      </c>
      <c r="E1162" s="35"/>
      <c r="F1162" s="194"/>
      <c r="G1162" s="31"/>
      <c r="H1162" s="39" t="str">
        <f t="array" ref="H1162">IFERROR(XLOOKUP(D1162,'MASTER ITEM LIST'!A:A,'MASTER ITEM LIST'!D:D), "")</f>
        <v/>
      </c>
      <c r="I1162" s="40"/>
      <c r="J1162" s="41" t="str">
        <f t="shared" si="2"/>
        <v/>
      </c>
    </row>
    <row r="1163" ht="22.5" customHeight="1">
      <c r="A1163" s="29"/>
      <c r="B1163" s="31"/>
      <c r="C1163" s="193"/>
      <c r="D1163" s="190" t="str">
        <f t="array" ref="D1163">IF(E1163="", "", XLOOKUP(E1163, 'MASTER ITEM LIST'!B:B, 'MASTER ITEM LIST'!A:A, "Code Not Found"))</f>
        <v/>
      </c>
      <c r="E1163" s="35"/>
      <c r="F1163" s="194"/>
      <c r="G1163" s="31"/>
      <c r="H1163" s="39" t="str">
        <f t="array" ref="H1163">IFERROR(XLOOKUP(D1163,'MASTER ITEM LIST'!A:A,'MASTER ITEM LIST'!D:D), "")</f>
        <v/>
      </c>
      <c r="I1163" s="40"/>
      <c r="J1163" s="41" t="str">
        <f t="shared" si="2"/>
        <v/>
      </c>
    </row>
    <row r="1164" ht="22.5" customHeight="1">
      <c r="A1164" s="29"/>
      <c r="B1164" s="31"/>
      <c r="C1164" s="193"/>
      <c r="D1164" s="190" t="str">
        <f t="array" ref="D1164">IF(E1164="", "", XLOOKUP(E1164, 'MASTER ITEM LIST'!B:B, 'MASTER ITEM LIST'!A:A, "Code Not Found"))</f>
        <v/>
      </c>
      <c r="E1164" s="35"/>
      <c r="F1164" s="194"/>
      <c r="G1164" s="31"/>
      <c r="H1164" s="39" t="str">
        <f t="array" ref="H1164">IFERROR(XLOOKUP(D1164,'MASTER ITEM LIST'!A:A,'MASTER ITEM LIST'!D:D), "")</f>
        <v/>
      </c>
      <c r="I1164" s="40"/>
      <c r="J1164" s="41" t="str">
        <f t="shared" si="2"/>
        <v/>
      </c>
    </row>
    <row r="1165" ht="22.5" customHeight="1">
      <c r="A1165" s="29"/>
      <c r="B1165" s="31"/>
      <c r="C1165" s="193"/>
      <c r="D1165" s="190" t="str">
        <f t="array" ref="D1165">IF(E1165="", "", XLOOKUP(E1165, 'MASTER ITEM LIST'!B:B, 'MASTER ITEM LIST'!A:A, "Code Not Found"))</f>
        <v/>
      </c>
      <c r="E1165" s="35"/>
      <c r="F1165" s="194"/>
      <c r="G1165" s="31"/>
      <c r="H1165" s="39" t="str">
        <f t="array" ref="H1165">IFERROR(XLOOKUP(D1165,'MASTER ITEM LIST'!A:A,'MASTER ITEM LIST'!D:D), "")</f>
        <v/>
      </c>
      <c r="I1165" s="40"/>
      <c r="J1165" s="41" t="str">
        <f t="shared" si="2"/>
        <v/>
      </c>
    </row>
    <row r="1166" ht="22.5" customHeight="1">
      <c r="A1166" s="29"/>
      <c r="B1166" s="31"/>
      <c r="C1166" s="193"/>
      <c r="D1166" s="190" t="str">
        <f t="array" ref="D1166">IF(E1166="", "", XLOOKUP(E1166, 'MASTER ITEM LIST'!B:B, 'MASTER ITEM LIST'!A:A, "Code Not Found"))</f>
        <v/>
      </c>
      <c r="E1166" s="35"/>
      <c r="F1166" s="194"/>
      <c r="G1166" s="31"/>
      <c r="H1166" s="39" t="str">
        <f t="array" ref="H1166">IFERROR(XLOOKUP(D1166,'MASTER ITEM LIST'!A:A,'MASTER ITEM LIST'!D:D), "")</f>
        <v/>
      </c>
      <c r="I1166" s="40"/>
      <c r="J1166" s="41" t="str">
        <f t="shared" si="2"/>
        <v/>
      </c>
    </row>
    <row r="1167" ht="22.5" customHeight="1">
      <c r="A1167" s="29"/>
      <c r="B1167" s="31"/>
      <c r="C1167" s="193"/>
      <c r="D1167" s="190" t="str">
        <f t="array" ref="D1167">IF(E1167="", "", XLOOKUP(E1167, 'MASTER ITEM LIST'!B:B, 'MASTER ITEM LIST'!A:A, "Code Not Found"))</f>
        <v/>
      </c>
      <c r="E1167" s="35"/>
      <c r="F1167" s="194"/>
      <c r="G1167" s="31"/>
      <c r="H1167" s="39" t="str">
        <f t="array" ref="H1167">IFERROR(XLOOKUP(D1167,'MASTER ITEM LIST'!A:A,'MASTER ITEM LIST'!D:D), "")</f>
        <v/>
      </c>
      <c r="I1167" s="40"/>
      <c r="J1167" s="41" t="str">
        <f t="shared" si="2"/>
        <v/>
      </c>
    </row>
    <row r="1168" ht="22.5" customHeight="1">
      <c r="A1168" s="29"/>
      <c r="B1168" s="31"/>
      <c r="C1168" s="193"/>
      <c r="D1168" s="190" t="str">
        <f t="array" ref="D1168">IF(E1168="", "", XLOOKUP(E1168, 'MASTER ITEM LIST'!B:B, 'MASTER ITEM LIST'!A:A, "Code Not Found"))</f>
        <v/>
      </c>
      <c r="E1168" s="35"/>
      <c r="F1168" s="194"/>
      <c r="G1168" s="31"/>
      <c r="H1168" s="39" t="str">
        <f t="array" ref="H1168">IFERROR(XLOOKUP(D1168,'MASTER ITEM LIST'!A:A,'MASTER ITEM LIST'!D:D), "")</f>
        <v/>
      </c>
      <c r="I1168" s="40"/>
      <c r="J1168" s="41" t="str">
        <f t="shared" si="2"/>
        <v/>
      </c>
    </row>
    <row r="1169" ht="22.5" customHeight="1">
      <c r="A1169" s="29"/>
      <c r="B1169" s="31"/>
      <c r="C1169" s="193"/>
      <c r="D1169" s="190" t="str">
        <f t="array" ref="D1169">IF(E1169="", "", XLOOKUP(E1169, 'MASTER ITEM LIST'!B:B, 'MASTER ITEM LIST'!A:A, "Code Not Found"))</f>
        <v/>
      </c>
      <c r="E1169" s="35"/>
      <c r="F1169" s="194"/>
      <c r="G1169" s="31"/>
      <c r="H1169" s="39" t="str">
        <f t="array" ref="H1169">IFERROR(XLOOKUP(D1169,'MASTER ITEM LIST'!A:A,'MASTER ITEM LIST'!D:D), "")</f>
        <v/>
      </c>
      <c r="I1169" s="40"/>
      <c r="J1169" s="41" t="str">
        <f t="shared" si="2"/>
        <v/>
      </c>
    </row>
    <row r="1170" ht="22.5" customHeight="1">
      <c r="A1170" s="29"/>
      <c r="B1170" s="31"/>
      <c r="C1170" s="193"/>
      <c r="D1170" s="190" t="str">
        <f t="array" ref="D1170">IF(E1170="", "", XLOOKUP(E1170, 'MASTER ITEM LIST'!B:B, 'MASTER ITEM LIST'!A:A, "Code Not Found"))</f>
        <v/>
      </c>
      <c r="E1170" s="35"/>
      <c r="F1170" s="194"/>
      <c r="G1170" s="31"/>
      <c r="H1170" s="39" t="str">
        <f t="array" ref="H1170">IFERROR(XLOOKUP(D1170,'MASTER ITEM LIST'!A:A,'MASTER ITEM LIST'!D:D), "")</f>
        <v/>
      </c>
      <c r="I1170" s="40"/>
      <c r="J1170" s="41" t="str">
        <f t="shared" si="2"/>
        <v/>
      </c>
    </row>
    <row r="1171" ht="22.5" customHeight="1">
      <c r="A1171" s="29"/>
      <c r="B1171" s="31"/>
      <c r="C1171" s="193"/>
      <c r="D1171" s="190" t="str">
        <f t="array" ref="D1171">IF(E1171="", "", XLOOKUP(E1171, 'MASTER ITEM LIST'!B:B, 'MASTER ITEM LIST'!A:A, "Code Not Found"))</f>
        <v/>
      </c>
      <c r="E1171" s="35"/>
      <c r="F1171" s="194"/>
      <c r="G1171" s="31"/>
      <c r="H1171" s="39" t="str">
        <f t="array" ref="H1171">IFERROR(XLOOKUP(D1171,'MASTER ITEM LIST'!A:A,'MASTER ITEM LIST'!D:D), "")</f>
        <v/>
      </c>
      <c r="I1171" s="40"/>
      <c r="J1171" s="41" t="str">
        <f t="shared" si="2"/>
        <v/>
      </c>
    </row>
    <row r="1172" ht="22.5" customHeight="1">
      <c r="A1172" s="29"/>
      <c r="B1172" s="31"/>
      <c r="C1172" s="193"/>
      <c r="D1172" s="190" t="str">
        <f t="array" ref="D1172">IF(E1172="", "", XLOOKUP(E1172, 'MASTER ITEM LIST'!B:B, 'MASTER ITEM LIST'!A:A, "Code Not Found"))</f>
        <v/>
      </c>
      <c r="E1172" s="35"/>
      <c r="F1172" s="194"/>
      <c r="G1172" s="31"/>
      <c r="H1172" s="39" t="str">
        <f t="array" ref="H1172">IFERROR(XLOOKUP(D1172,'MASTER ITEM LIST'!A:A,'MASTER ITEM LIST'!D:D), "")</f>
        <v/>
      </c>
      <c r="I1172" s="40"/>
      <c r="J1172" s="41" t="str">
        <f t="shared" si="2"/>
        <v/>
      </c>
    </row>
    <row r="1173" ht="22.5" customHeight="1">
      <c r="A1173" s="29"/>
      <c r="B1173" s="31"/>
      <c r="C1173" s="193"/>
      <c r="D1173" s="190" t="str">
        <f t="array" ref="D1173">IF(E1173="", "", XLOOKUP(E1173, 'MASTER ITEM LIST'!B:B, 'MASTER ITEM LIST'!A:A, "Code Not Found"))</f>
        <v/>
      </c>
      <c r="E1173" s="35"/>
      <c r="F1173" s="194"/>
      <c r="G1173" s="31"/>
      <c r="H1173" s="39" t="str">
        <f t="array" ref="H1173">IFERROR(XLOOKUP(D1173,'MASTER ITEM LIST'!A:A,'MASTER ITEM LIST'!D:D), "")</f>
        <v/>
      </c>
      <c r="I1173" s="40"/>
      <c r="J1173" s="41" t="str">
        <f t="shared" si="2"/>
        <v/>
      </c>
    </row>
    <row r="1174" ht="22.5" customHeight="1">
      <c r="A1174" s="29"/>
      <c r="B1174" s="31"/>
      <c r="C1174" s="193"/>
      <c r="D1174" s="190" t="str">
        <f t="array" ref="D1174">IF(E1174="", "", XLOOKUP(E1174, 'MASTER ITEM LIST'!B:B, 'MASTER ITEM LIST'!A:A, "Code Not Found"))</f>
        <v/>
      </c>
      <c r="E1174" s="35"/>
      <c r="F1174" s="194"/>
      <c r="G1174" s="31"/>
      <c r="H1174" s="39" t="str">
        <f t="array" ref="H1174">IFERROR(XLOOKUP(D1174,'MASTER ITEM LIST'!A:A,'MASTER ITEM LIST'!D:D), "")</f>
        <v/>
      </c>
      <c r="I1174" s="40"/>
      <c r="J1174" s="41" t="str">
        <f t="shared" si="2"/>
        <v/>
      </c>
    </row>
    <row r="1175" ht="22.5" customHeight="1">
      <c r="A1175" s="29"/>
      <c r="B1175" s="31"/>
      <c r="C1175" s="193"/>
      <c r="D1175" s="190" t="str">
        <f t="array" ref="D1175">IF(E1175="", "", XLOOKUP(E1175, 'MASTER ITEM LIST'!B:B, 'MASTER ITEM LIST'!A:A, "Code Not Found"))</f>
        <v/>
      </c>
      <c r="E1175" s="35"/>
      <c r="F1175" s="194"/>
      <c r="G1175" s="31"/>
      <c r="H1175" s="39" t="str">
        <f t="array" ref="H1175">IFERROR(XLOOKUP(D1175,'MASTER ITEM LIST'!A:A,'MASTER ITEM LIST'!D:D), "")</f>
        <v/>
      </c>
      <c r="I1175" s="40"/>
      <c r="J1175" s="41" t="str">
        <f t="shared" si="2"/>
        <v/>
      </c>
    </row>
    <row r="1176" ht="22.5" customHeight="1">
      <c r="A1176" s="29"/>
      <c r="B1176" s="31"/>
      <c r="C1176" s="193"/>
      <c r="D1176" s="190" t="str">
        <f t="array" ref="D1176">IF(E1176="", "", XLOOKUP(E1176, 'MASTER ITEM LIST'!B:B, 'MASTER ITEM LIST'!A:A, "Code Not Found"))</f>
        <v/>
      </c>
      <c r="E1176" s="35"/>
      <c r="F1176" s="194"/>
      <c r="G1176" s="31"/>
      <c r="H1176" s="39" t="str">
        <f t="array" ref="H1176">IFERROR(XLOOKUP(D1176,'MASTER ITEM LIST'!A:A,'MASTER ITEM LIST'!D:D), "")</f>
        <v/>
      </c>
      <c r="I1176" s="40"/>
      <c r="J1176" s="41" t="str">
        <f t="shared" si="2"/>
        <v/>
      </c>
    </row>
    <row r="1177" ht="22.5" customHeight="1">
      <c r="A1177" s="29"/>
      <c r="B1177" s="31"/>
      <c r="C1177" s="193"/>
      <c r="D1177" s="190" t="str">
        <f t="array" ref="D1177">IF(E1177="", "", XLOOKUP(E1177, 'MASTER ITEM LIST'!B:B, 'MASTER ITEM LIST'!A:A, "Code Not Found"))</f>
        <v/>
      </c>
      <c r="E1177" s="35"/>
      <c r="F1177" s="194"/>
      <c r="G1177" s="31"/>
      <c r="H1177" s="39" t="str">
        <f t="array" ref="H1177">IFERROR(XLOOKUP(D1177,'MASTER ITEM LIST'!A:A,'MASTER ITEM LIST'!D:D), "")</f>
        <v/>
      </c>
      <c r="I1177" s="40"/>
      <c r="J1177" s="41" t="str">
        <f t="shared" si="2"/>
        <v/>
      </c>
    </row>
    <row r="1178" ht="22.5" customHeight="1">
      <c r="A1178" s="29"/>
      <c r="B1178" s="31"/>
      <c r="C1178" s="193"/>
      <c r="D1178" s="190" t="str">
        <f t="array" ref="D1178">IF(E1178="", "", XLOOKUP(E1178, 'MASTER ITEM LIST'!B:B, 'MASTER ITEM LIST'!A:A, "Code Not Found"))</f>
        <v/>
      </c>
      <c r="E1178" s="35"/>
      <c r="F1178" s="194"/>
      <c r="G1178" s="31"/>
      <c r="H1178" s="39" t="str">
        <f t="array" ref="H1178">IFERROR(XLOOKUP(D1178,'MASTER ITEM LIST'!A:A,'MASTER ITEM LIST'!D:D), "")</f>
        <v/>
      </c>
      <c r="I1178" s="40"/>
      <c r="J1178" s="41" t="str">
        <f t="shared" si="2"/>
        <v/>
      </c>
    </row>
    <row r="1179" ht="22.5" customHeight="1">
      <c r="A1179" s="29"/>
      <c r="B1179" s="31"/>
      <c r="C1179" s="193"/>
      <c r="D1179" s="190" t="str">
        <f t="array" ref="D1179">IF(E1179="", "", XLOOKUP(E1179, 'MASTER ITEM LIST'!B:B, 'MASTER ITEM LIST'!A:A, "Code Not Found"))</f>
        <v/>
      </c>
      <c r="E1179" s="35"/>
      <c r="F1179" s="194"/>
      <c r="G1179" s="31"/>
      <c r="H1179" s="39" t="str">
        <f t="array" ref="H1179">IFERROR(XLOOKUP(D1179,'MASTER ITEM LIST'!A:A,'MASTER ITEM LIST'!D:D), "")</f>
        <v/>
      </c>
      <c r="I1179" s="40"/>
      <c r="J1179" s="41" t="str">
        <f t="shared" si="2"/>
        <v/>
      </c>
    </row>
    <row r="1180" ht="22.5" customHeight="1">
      <c r="A1180" s="29"/>
      <c r="B1180" s="31"/>
      <c r="C1180" s="193"/>
      <c r="D1180" s="190" t="str">
        <f t="array" ref="D1180">IF(E1180="", "", XLOOKUP(E1180, 'MASTER ITEM LIST'!B:B, 'MASTER ITEM LIST'!A:A, "Code Not Found"))</f>
        <v/>
      </c>
      <c r="E1180" s="35"/>
      <c r="F1180" s="194"/>
      <c r="G1180" s="31"/>
      <c r="H1180" s="39" t="str">
        <f t="array" ref="H1180">IFERROR(XLOOKUP(D1180,'MASTER ITEM LIST'!A:A,'MASTER ITEM LIST'!D:D), "")</f>
        <v/>
      </c>
      <c r="I1180" s="40"/>
      <c r="J1180" s="41" t="str">
        <f t="shared" si="2"/>
        <v/>
      </c>
    </row>
    <row r="1181" ht="22.5" customHeight="1">
      <c r="A1181" s="29"/>
      <c r="B1181" s="31"/>
      <c r="C1181" s="193"/>
      <c r="D1181" s="190" t="str">
        <f t="array" ref="D1181">IF(E1181="", "", XLOOKUP(E1181, 'MASTER ITEM LIST'!B:B, 'MASTER ITEM LIST'!A:A, "Code Not Found"))</f>
        <v/>
      </c>
      <c r="E1181" s="35"/>
      <c r="F1181" s="194"/>
      <c r="G1181" s="31"/>
      <c r="H1181" s="39" t="str">
        <f t="array" ref="H1181">IFERROR(XLOOKUP(D1181,'MASTER ITEM LIST'!A:A,'MASTER ITEM LIST'!D:D), "")</f>
        <v/>
      </c>
      <c r="I1181" s="40"/>
      <c r="J1181" s="41" t="str">
        <f t="shared" si="2"/>
        <v/>
      </c>
    </row>
    <row r="1182" ht="22.5" customHeight="1">
      <c r="A1182" s="29"/>
      <c r="B1182" s="31"/>
      <c r="C1182" s="193"/>
      <c r="D1182" s="190" t="str">
        <f t="array" ref="D1182">IF(E1182="", "", XLOOKUP(E1182, 'MASTER ITEM LIST'!B:B, 'MASTER ITEM LIST'!A:A, "Code Not Found"))</f>
        <v/>
      </c>
      <c r="E1182" s="35"/>
      <c r="F1182" s="194"/>
      <c r="G1182" s="31"/>
      <c r="H1182" s="39" t="str">
        <f t="array" ref="H1182">IFERROR(XLOOKUP(D1182,'MASTER ITEM LIST'!A:A,'MASTER ITEM LIST'!D:D), "")</f>
        <v/>
      </c>
      <c r="I1182" s="40"/>
      <c r="J1182" s="41" t="str">
        <f t="shared" si="2"/>
        <v/>
      </c>
    </row>
    <row r="1183" ht="22.5" customHeight="1">
      <c r="A1183" s="29"/>
      <c r="B1183" s="31"/>
      <c r="C1183" s="193"/>
      <c r="D1183" s="190" t="str">
        <f t="array" ref="D1183">IF(E1183="", "", XLOOKUP(E1183, 'MASTER ITEM LIST'!B:B, 'MASTER ITEM LIST'!A:A, "Code Not Found"))</f>
        <v/>
      </c>
      <c r="E1183" s="35"/>
      <c r="F1183" s="194"/>
      <c r="G1183" s="31"/>
      <c r="H1183" s="39" t="str">
        <f t="array" ref="H1183">IFERROR(XLOOKUP(D1183,'MASTER ITEM LIST'!A:A,'MASTER ITEM LIST'!D:D), "")</f>
        <v/>
      </c>
      <c r="I1183" s="40"/>
      <c r="J1183" s="41" t="str">
        <f t="shared" si="2"/>
        <v/>
      </c>
    </row>
    <row r="1184" ht="22.5" customHeight="1">
      <c r="A1184" s="29"/>
      <c r="B1184" s="31"/>
      <c r="C1184" s="193"/>
      <c r="D1184" s="190" t="str">
        <f t="array" ref="D1184">IF(E1184="", "", XLOOKUP(E1184, 'MASTER ITEM LIST'!B:B, 'MASTER ITEM LIST'!A:A, "Code Not Found"))</f>
        <v/>
      </c>
      <c r="E1184" s="35"/>
      <c r="F1184" s="194"/>
      <c r="G1184" s="31"/>
      <c r="H1184" s="39" t="str">
        <f t="array" ref="H1184">IFERROR(XLOOKUP(D1184,'MASTER ITEM LIST'!A:A,'MASTER ITEM LIST'!D:D), "")</f>
        <v/>
      </c>
      <c r="I1184" s="40"/>
      <c r="J1184" s="41" t="str">
        <f t="shared" si="2"/>
        <v/>
      </c>
    </row>
    <row r="1185" ht="22.5" customHeight="1">
      <c r="A1185" s="29"/>
      <c r="B1185" s="31"/>
      <c r="C1185" s="193"/>
      <c r="D1185" s="190" t="str">
        <f t="array" ref="D1185">IF(E1185="", "", XLOOKUP(E1185, 'MASTER ITEM LIST'!B:B, 'MASTER ITEM LIST'!A:A, "Code Not Found"))</f>
        <v/>
      </c>
      <c r="E1185" s="35"/>
      <c r="F1185" s="194"/>
      <c r="G1185" s="31"/>
      <c r="H1185" s="39" t="str">
        <f t="array" ref="H1185">IFERROR(XLOOKUP(D1185,'MASTER ITEM LIST'!A:A,'MASTER ITEM LIST'!D:D), "")</f>
        <v/>
      </c>
      <c r="I1185" s="40"/>
      <c r="J1185" s="41" t="str">
        <f t="shared" si="2"/>
        <v/>
      </c>
    </row>
    <row r="1186" ht="22.5" customHeight="1">
      <c r="A1186" s="29"/>
      <c r="B1186" s="31"/>
      <c r="C1186" s="193"/>
      <c r="D1186" s="190" t="str">
        <f t="array" ref="D1186">IF(E1186="", "", XLOOKUP(E1186, 'MASTER ITEM LIST'!B:B, 'MASTER ITEM LIST'!A:A, "Code Not Found"))</f>
        <v/>
      </c>
      <c r="E1186" s="35"/>
      <c r="F1186" s="194"/>
      <c r="G1186" s="31"/>
      <c r="H1186" s="39" t="str">
        <f t="array" ref="H1186">IFERROR(XLOOKUP(D1186,'MASTER ITEM LIST'!A:A,'MASTER ITEM LIST'!D:D), "")</f>
        <v/>
      </c>
      <c r="I1186" s="40"/>
      <c r="J1186" s="41" t="str">
        <f t="shared" si="2"/>
        <v/>
      </c>
    </row>
    <row r="1187" ht="22.5" customHeight="1">
      <c r="A1187" s="29"/>
      <c r="B1187" s="31"/>
      <c r="C1187" s="193"/>
      <c r="D1187" s="190" t="str">
        <f t="array" ref="D1187">IF(E1187="", "", XLOOKUP(E1187, 'MASTER ITEM LIST'!B:B, 'MASTER ITEM LIST'!A:A, "Code Not Found"))</f>
        <v/>
      </c>
      <c r="E1187" s="35"/>
      <c r="F1187" s="194"/>
      <c r="G1187" s="31"/>
      <c r="H1187" s="39" t="str">
        <f t="array" ref="H1187">IFERROR(XLOOKUP(D1187,'MASTER ITEM LIST'!A:A,'MASTER ITEM LIST'!D:D), "")</f>
        <v/>
      </c>
      <c r="I1187" s="40"/>
      <c r="J1187" s="41" t="str">
        <f t="shared" si="2"/>
        <v/>
      </c>
    </row>
    <row r="1188" ht="22.5" customHeight="1">
      <c r="A1188" s="29"/>
      <c r="B1188" s="31"/>
      <c r="C1188" s="193"/>
      <c r="D1188" s="190" t="str">
        <f t="array" ref="D1188">IF(E1188="", "", XLOOKUP(E1188, 'MASTER ITEM LIST'!B:B, 'MASTER ITEM LIST'!A:A, "Code Not Found"))</f>
        <v/>
      </c>
      <c r="E1188" s="35"/>
      <c r="F1188" s="194"/>
      <c r="G1188" s="31"/>
      <c r="H1188" s="39" t="str">
        <f t="array" ref="H1188">IFERROR(XLOOKUP(D1188,'MASTER ITEM LIST'!A:A,'MASTER ITEM LIST'!D:D), "")</f>
        <v/>
      </c>
      <c r="I1188" s="40"/>
      <c r="J1188" s="41" t="str">
        <f t="shared" si="2"/>
        <v/>
      </c>
    </row>
    <row r="1189" ht="22.5" customHeight="1">
      <c r="A1189" s="29"/>
      <c r="B1189" s="31"/>
      <c r="C1189" s="193"/>
      <c r="D1189" s="190" t="str">
        <f t="array" ref="D1189">IF(E1189="", "", XLOOKUP(E1189, 'MASTER ITEM LIST'!B:B, 'MASTER ITEM LIST'!A:A, "Code Not Found"))</f>
        <v/>
      </c>
      <c r="E1189" s="35"/>
      <c r="F1189" s="194"/>
      <c r="G1189" s="31"/>
      <c r="H1189" s="39" t="str">
        <f t="array" ref="H1189">IFERROR(XLOOKUP(D1189,'MASTER ITEM LIST'!A:A,'MASTER ITEM LIST'!D:D), "")</f>
        <v/>
      </c>
      <c r="I1189" s="40"/>
      <c r="J1189" s="41" t="str">
        <f t="shared" si="2"/>
        <v/>
      </c>
    </row>
    <row r="1190" ht="22.5" customHeight="1">
      <c r="A1190" s="29"/>
      <c r="B1190" s="31"/>
      <c r="C1190" s="193"/>
      <c r="D1190" s="190" t="str">
        <f t="array" ref="D1190">IF(E1190="", "", XLOOKUP(E1190, 'MASTER ITEM LIST'!B:B, 'MASTER ITEM LIST'!A:A, "Code Not Found"))</f>
        <v/>
      </c>
      <c r="E1190" s="35"/>
      <c r="F1190" s="194"/>
      <c r="G1190" s="31"/>
      <c r="H1190" s="39" t="str">
        <f t="array" ref="H1190">IFERROR(XLOOKUP(D1190,'MASTER ITEM LIST'!A:A,'MASTER ITEM LIST'!D:D), "")</f>
        <v/>
      </c>
      <c r="I1190" s="40"/>
      <c r="J1190" s="41" t="str">
        <f t="shared" si="2"/>
        <v/>
      </c>
    </row>
    <row r="1191" ht="22.5" customHeight="1">
      <c r="A1191" s="29"/>
      <c r="B1191" s="31"/>
      <c r="C1191" s="193"/>
      <c r="D1191" s="190" t="str">
        <f t="array" ref="D1191">IF(E1191="", "", XLOOKUP(E1191, 'MASTER ITEM LIST'!B:B, 'MASTER ITEM LIST'!A:A, "Code Not Found"))</f>
        <v/>
      </c>
      <c r="E1191" s="35"/>
      <c r="F1191" s="194"/>
      <c r="G1191" s="31"/>
      <c r="H1191" s="39" t="str">
        <f t="array" ref="H1191">IFERROR(XLOOKUP(D1191,'MASTER ITEM LIST'!A:A,'MASTER ITEM LIST'!D:D), "")</f>
        <v/>
      </c>
      <c r="I1191" s="40"/>
      <c r="J1191" s="41" t="str">
        <f t="shared" si="2"/>
        <v/>
      </c>
    </row>
    <row r="1192" ht="22.5" customHeight="1">
      <c r="A1192" s="29"/>
      <c r="B1192" s="31"/>
      <c r="C1192" s="193"/>
      <c r="D1192" s="190" t="str">
        <f t="array" ref="D1192">IF(E1192="", "", XLOOKUP(E1192, 'MASTER ITEM LIST'!B:B, 'MASTER ITEM LIST'!A:A, "Code Not Found"))</f>
        <v/>
      </c>
      <c r="E1192" s="35"/>
      <c r="F1192" s="194"/>
      <c r="G1192" s="31"/>
      <c r="H1192" s="39" t="str">
        <f t="array" ref="H1192">IFERROR(XLOOKUP(D1192,'MASTER ITEM LIST'!A:A,'MASTER ITEM LIST'!D:D), "")</f>
        <v/>
      </c>
      <c r="I1192" s="40"/>
      <c r="J1192" s="41" t="str">
        <f t="shared" si="2"/>
        <v/>
      </c>
    </row>
    <row r="1193" ht="22.5" customHeight="1">
      <c r="A1193" s="29"/>
      <c r="B1193" s="31"/>
      <c r="C1193" s="193"/>
      <c r="D1193" s="190" t="str">
        <f t="array" ref="D1193">IF(E1193="", "", XLOOKUP(E1193, 'MASTER ITEM LIST'!B:B, 'MASTER ITEM LIST'!A:A, "Code Not Found"))</f>
        <v/>
      </c>
      <c r="E1193" s="35"/>
      <c r="F1193" s="194"/>
      <c r="G1193" s="31"/>
      <c r="H1193" s="39" t="str">
        <f t="array" ref="H1193">IFERROR(XLOOKUP(D1193,'MASTER ITEM LIST'!A:A,'MASTER ITEM LIST'!D:D), "")</f>
        <v/>
      </c>
      <c r="I1193" s="40"/>
      <c r="J1193" s="41" t="str">
        <f t="shared" si="2"/>
        <v/>
      </c>
    </row>
    <row r="1194" ht="22.5" customHeight="1">
      <c r="A1194" s="29"/>
      <c r="B1194" s="31"/>
      <c r="C1194" s="193"/>
      <c r="D1194" s="190" t="str">
        <f t="array" ref="D1194">IF(E1194="", "", XLOOKUP(E1194, 'MASTER ITEM LIST'!B:B, 'MASTER ITEM LIST'!A:A, "Code Not Found"))</f>
        <v/>
      </c>
      <c r="E1194" s="35"/>
      <c r="F1194" s="194"/>
      <c r="G1194" s="31"/>
      <c r="H1194" s="39" t="str">
        <f t="array" ref="H1194">IFERROR(XLOOKUP(D1194,'MASTER ITEM LIST'!A:A,'MASTER ITEM LIST'!D:D), "")</f>
        <v/>
      </c>
      <c r="I1194" s="40"/>
      <c r="J1194" s="41" t="str">
        <f t="shared" si="2"/>
        <v/>
      </c>
    </row>
    <row r="1195" ht="22.5" customHeight="1">
      <c r="A1195" s="29"/>
      <c r="B1195" s="31"/>
      <c r="C1195" s="193"/>
      <c r="D1195" s="190" t="str">
        <f t="array" ref="D1195">IF(E1195="", "", XLOOKUP(E1195, 'MASTER ITEM LIST'!B:B, 'MASTER ITEM LIST'!A:A, "Code Not Found"))</f>
        <v/>
      </c>
      <c r="E1195" s="35"/>
      <c r="F1195" s="194"/>
      <c r="G1195" s="31"/>
      <c r="H1195" s="39" t="str">
        <f t="array" ref="H1195">IFERROR(XLOOKUP(D1195,'MASTER ITEM LIST'!A:A,'MASTER ITEM LIST'!D:D), "")</f>
        <v/>
      </c>
      <c r="I1195" s="40"/>
      <c r="J1195" s="41" t="str">
        <f t="shared" si="2"/>
        <v/>
      </c>
    </row>
    <row r="1196" ht="22.5" customHeight="1">
      <c r="A1196" s="29"/>
      <c r="B1196" s="31"/>
      <c r="C1196" s="193"/>
      <c r="D1196" s="190" t="str">
        <f t="array" ref="D1196">IF(E1196="", "", XLOOKUP(E1196, 'MASTER ITEM LIST'!B:B, 'MASTER ITEM LIST'!A:A, "Code Not Found"))</f>
        <v/>
      </c>
      <c r="E1196" s="35"/>
      <c r="F1196" s="194"/>
      <c r="G1196" s="31"/>
      <c r="H1196" s="39" t="str">
        <f t="array" ref="H1196">IFERROR(XLOOKUP(D1196,'MASTER ITEM LIST'!A:A,'MASTER ITEM LIST'!D:D), "")</f>
        <v/>
      </c>
      <c r="I1196" s="40"/>
      <c r="J1196" s="41" t="str">
        <f t="shared" si="2"/>
        <v/>
      </c>
    </row>
    <row r="1197" ht="22.5" customHeight="1">
      <c r="A1197" s="29"/>
      <c r="B1197" s="31"/>
      <c r="C1197" s="193"/>
      <c r="D1197" s="190" t="str">
        <f t="array" ref="D1197">IF(E1197="", "", XLOOKUP(E1197, 'MASTER ITEM LIST'!B:B, 'MASTER ITEM LIST'!A:A, "Code Not Found"))</f>
        <v/>
      </c>
      <c r="E1197" s="35"/>
      <c r="F1197" s="194"/>
      <c r="G1197" s="31"/>
      <c r="H1197" s="39" t="str">
        <f t="array" ref="H1197">IFERROR(XLOOKUP(D1197,'MASTER ITEM LIST'!A:A,'MASTER ITEM LIST'!D:D), "")</f>
        <v/>
      </c>
      <c r="I1197" s="40"/>
      <c r="J1197" s="41" t="str">
        <f t="shared" si="2"/>
        <v/>
      </c>
    </row>
    <row r="1198" ht="22.5" customHeight="1">
      <c r="A1198" s="29"/>
      <c r="B1198" s="31"/>
      <c r="C1198" s="193"/>
      <c r="D1198" s="190" t="str">
        <f t="array" ref="D1198">IF(E1198="", "", XLOOKUP(E1198, 'MASTER ITEM LIST'!B:B, 'MASTER ITEM LIST'!A:A, "Code Not Found"))</f>
        <v/>
      </c>
      <c r="E1198" s="35"/>
      <c r="F1198" s="194"/>
      <c r="G1198" s="31"/>
      <c r="H1198" s="39" t="str">
        <f t="array" ref="H1198">IFERROR(XLOOKUP(D1198,'MASTER ITEM LIST'!A:A,'MASTER ITEM LIST'!D:D), "")</f>
        <v/>
      </c>
      <c r="I1198" s="40"/>
      <c r="J1198" s="41" t="str">
        <f t="shared" si="2"/>
        <v/>
      </c>
    </row>
    <row r="1199" ht="22.5" customHeight="1">
      <c r="A1199" s="29"/>
      <c r="B1199" s="31"/>
      <c r="C1199" s="193"/>
      <c r="D1199" s="190" t="str">
        <f t="array" ref="D1199">IF(E1199="", "", XLOOKUP(E1199, 'MASTER ITEM LIST'!B:B, 'MASTER ITEM LIST'!A:A, "Code Not Found"))</f>
        <v/>
      </c>
      <c r="E1199" s="35"/>
      <c r="F1199" s="194"/>
      <c r="G1199" s="31"/>
      <c r="H1199" s="39" t="str">
        <f t="array" ref="H1199">IFERROR(XLOOKUP(D1199,'MASTER ITEM LIST'!A:A,'MASTER ITEM LIST'!D:D), "")</f>
        <v/>
      </c>
      <c r="I1199" s="40"/>
      <c r="J1199" s="41" t="str">
        <f t="shared" si="2"/>
        <v/>
      </c>
    </row>
    <row r="1200" ht="22.5" customHeight="1">
      <c r="A1200" s="29"/>
      <c r="B1200" s="31"/>
      <c r="C1200" s="193"/>
      <c r="D1200" s="190" t="str">
        <f t="array" ref="D1200">IF(E1200="", "", XLOOKUP(E1200, 'MASTER ITEM LIST'!B:B, 'MASTER ITEM LIST'!A:A, "Code Not Found"))</f>
        <v/>
      </c>
      <c r="E1200" s="35"/>
      <c r="F1200" s="194"/>
      <c r="G1200" s="31"/>
      <c r="H1200" s="39" t="str">
        <f t="array" ref="H1200">IFERROR(XLOOKUP(D1200,'MASTER ITEM LIST'!A:A,'MASTER ITEM LIST'!D:D), "")</f>
        <v/>
      </c>
      <c r="I1200" s="40"/>
      <c r="J1200" s="41" t="str">
        <f t="shared" si="2"/>
        <v/>
      </c>
    </row>
    <row r="1201" ht="22.5" customHeight="1">
      <c r="A1201" s="29"/>
      <c r="B1201" s="31"/>
      <c r="C1201" s="193"/>
      <c r="D1201" s="190" t="str">
        <f t="array" ref="D1201">IF(E1201="", "", XLOOKUP(E1201, 'MASTER ITEM LIST'!B:B, 'MASTER ITEM LIST'!A:A, "Code Not Found"))</f>
        <v/>
      </c>
      <c r="E1201" s="35"/>
      <c r="F1201" s="194"/>
      <c r="G1201" s="31"/>
      <c r="H1201" s="39" t="str">
        <f t="array" ref="H1201">IFERROR(XLOOKUP(D1201,'MASTER ITEM LIST'!A:A,'MASTER ITEM LIST'!D:D), "")</f>
        <v/>
      </c>
      <c r="I1201" s="40"/>
      <c r="J1201" s="41" t="str">
        <f t="shared" si="2"/>
        <v/>
      </c>
    </row>
    <row r="1202" ht="22.5" customHeight="1">
      <c r="A1202" s="29"/>
      <c r="B1202" s="31"/>
      <c r="C1202" s="193"/>
      <c r="D1202" s="190" t="str">
        <f t="array" ref="D1202">IF(E1202="", "", XLOOKUP(E1202, 'MASTER ITEM LIST'!B:B, 'MASTER ITEM LIST'!A:A, "Code Not Found"))</f>
        <v/>
      </c>
      <c r="E1202" s="35"/>
      <c r="F1202" s="194"/>
      <c r="G1202" s="31"/>
      <c r="H1202" s="39" t="str">
        <f t="array" ref="H1202">IFERROR(XLOOKUP(D1202,'MASTER ITEM LIST'!A:A,'MASTER ITEM LIST'!D:D), "")</f>
        <v/>
      </c>
      <c r="I1202" s="40"/>
      <c r="J1202" s="41" t="str">
        <f t="shared" si="2"/>
        <v/>
      </c>
    </row>
    <row r="1203" ht="22.5" customHeight="1">
      <c r="A1203" s="29"/>
      <c r="B1203" s="31"/>
      <c r="C1203" s="193"/>
      <c r="D1203" s="190" t="str">
        <f t="array" ref="D1203">IF(E1203="", "", XLOOKUP(E1203, 'MASTER ITEM LIST'!B:B, 'MASTER ITEM LIST'!A:A, "Code Not Found"))</f>
        <v/>
      </c>
      <c r="E1203" s="35"/>
      <c r="F1203" s="194"/>
      <c r="G1203" s="31"/>
      <c r="H1203" s="39" t="str">
        <f t="array" ref="H1203">IFERROR(XLOOKUP(D1203,'MASTER ITEM LIST'!A:A,'MASTER ITEM LIST'!D:D), "")</f>
        <v/>
      </c>
      <c r="I1203" s="40"/>
      <c r="J1203" s="41" t="str">
        <f t="shared" si="2"/>
        <v/>
      </c>
    </row>
    <row r="1204" ht="22.5" customHeight="1">
      <c r="A1204" s="29"/>
      <c r="B1204" s="31"/>
      <c r="C1204" s="193"/>
      <c r="D1204" s="190" t="str">
        <f t="array" ref="D1204">IF(E1204="", "", XLOOKUP(E1204, 'MASTER ITEM LIST'!B:B, 'MASTER ITEM LIST'!A:A, "Code Not Found"))</f>
        <v/>
      </c>
      <c r="E1204" s="35"/>
      <c r="F1204" s="194"/>
      <c r="G1204" s="31"/>
      <c r="H1204" s="39" t="str">
        <f t="array" ref="H1204">IFERROR(XLOOKUP(D1204,'MASTER ITEM LIST'!A:A,'MASTER ITEM LIST'!D:D), "")</f>
        <v/>
      </c>
      <c r="I1204" s="40"/>
      <c r="J1204" s="41" t="str">
        <f t="shared" si="2"/>
        <v/>
      </c>
    </row>
    <row r="1205" ht="22.5" customHeight="1">
      <c r="A1205" s="29"/>
      <c r="B1205" s="31"/>
      <c r="C1205" s="193"/>
      <c r="D1205" s="190" t="str">
        <f t="array" ref="D1205">IF(E1205="", "", XLOOKUP(E1205, 'MASTER ITEM LIST'!B:B, 'MASTER ITEM LIST'!A:A, "Code Not Found"))</f>
        <v/>
      </c>
      <c r="E1205" s="35"/>
      <c r="F1205" s="194"/>
      <c r="G1205" s="31"/>
      <c r="H1205" s="39" t="str">
        <f t="array" ref="H1205">IFERROR(XLOOKUP(D1205,'MASTER ITEM LIST'!A:A,'MASTER ITEM LIST'!D:D), "")</f>
        <v/>
      </c>
      <c r="I1205" s="40"/>
      <c r="J1205" s="41" t="str">
        <f t="shared" si="2"/>
        <v/>
      </c>
    </row>
    <row r="1206" ht="22.5" customHeight="1">
      <c r="A1206" s="29"/>
      <c r="B1206" s="31"/>
      <c r="C1206" s="193"/>
      <c r="D1206" s="190" t="str">
        <f t="array" ref="D1206">IF(E1206="", "", XLOOKUP(E1206, 'MASTER ITEM LIST'!B:B, 'MASTER ITEM LIST'!A:A, "Code Not Found"))</f>
        <v/>
      </c>
      <c r="E1206" s="35"/>
      <c r="F1206" s="194"/>
      <c r="G1206" s="31"/>
      <c r="H1206" s="39" t="str">
        <f t="array" ref="H1206">IFERROR(XLOOKUP(D1206,'MASTER ITEM LIST'!A:A,'MASTER ITEM LIST'!D:D), "")</f>
        <v/>
      </c>
      <c r="I1206" s="40"/>
      <c r="J1206" s="41" t="str">
        <f t="shared" si="2"/>
        <v/>
      </c>
    </row>
    <row r="1207" ht="22.5" customHeight="1">
      <c r="A1207" s="29"/>
      <c r="B1207" s="31"/>
      <c r="C1207" s="193"/>
      <c r="D1207" s="190" t="str">
        <f t="array" ref="D1207">IF(E1207="", "", XLOOKUP(E1207, 'MASTER ITEM LIST'!B:B, 'MASTER ITEM LIST'!A:A, "Code Not Found"))</f>
        <v/>
      </c>
      <c r="E1207" s="35"/>
      <c r="F1207" s="194"/>
      <c r="G1207" s="31"/>
      <c r="H1207" s="39" t="str">
        <f t="array" ref="H1207">IFERROR(XLOOKUP(D1207,'MASTER ITEM LIST'!A:A,'MASTER ITEM LIST'!D:D), "")</f>
        <v/>
      </c>
      <c r="I1207" s="40"/>
      <c r="J1207" s="41" t="str">
        <f t="shared" si="2"/>
        <v/>
      </c>
    </row>
    <row r="1208" ht="22.5" customHeight="1">
      <c r="A1208" s="29"/>
      <c r="B1208" s="31"/>
      <c r="C1208" s="193"/>
      <c r="D1208" s="190" t="str">
        <f t="array" ref="D1208">IF(E1208="", "", XLOOKUP(E1208, 'MASTER ITEM LIST'!B:B, 'MASTER ITEM LIST'!A:A, "Code Not Found"))</f>
        <v/>
      </c>
      <c r="E1208" s="35"/>
      <c r="F1208" s="194"/>
      <c r="G1208" s="31"/>
      <c r="H1208" s="39" t="str">
        <f t="array" ref="H1208">IFERROR(XLOOKUP(D1208,'MASTER ITEM LIST'!A:A,'MASTER ITEM LIST'!D:D), "")</f>
        <v/>
      </c>
      <c r="I1208" s="40"/>
      <c r="J1208" s="41" t="str">
        <f t="shared" si="2"/>
        <v/>
      </c>
    </row>
    <row r="1209" ht="22.5" customHeight="1">
      <c r="A1209" s="29"/>
      <c r="B1209" s="31"/>
      <c r="C1209" s="193"/>
      <c r="D1209" s="190" t="str">
        <f t="array" ref="D1209">IF(E1209="", "", XLOOKUP(E1209, 'MASTER ITEM LIST'!B:B, 'MASTER ITEM LIST'!A:A, "Code Not Found"))</f>
        <v/>
      </c>
      <c r="E1209" s="35"/>
      <c r="F1209" s="194"/>
      <c r="G1209" s="31"/>
      <c r="H1209" s="39" t="str">
        <f t="array" ref="H1209">IFERROR(XLOOKUP(D1209,'MASTER ITEM LIST'!A:A,'MASTER ITEM LIST'!D:D), "")</f>
        <v/>
      </c>
      <c r="I1209" s="40"/>
      <c r="J1209" s="41" t="str">
        <f t="shared" si="2"/>
        <v/>
      </c>
    </row>
    <row r="1210" ht="22.5" customHeight="1">
      <c r="A1210" s="29"/>
      <c r="B1210" s="31"/>
      <c r="C1210" s="193"/>
      <c r="D1210" s="190" t="str">
        <f t="array" ref="D1210">IF(E1210="", "", XLOOKUP(E1210, 'MASTER ITEM LIST'!B:B, 'MASTER ITEM LIST'!A:A, "Code Not Found"))</f>
        <v/>
      </c>
      <c r="E1210" s="35"/>
      <c r="F1210" s="194"/>
      <c r="G1210" s="31"/>
      <c r="H1210" s="39" t="str">
        <f t="array" ref="H1210">IFERROR(XLOOKUP(D1210,'MASTER ITEM LIST'!A:A,'MASTER ITEM LIST'!D:D), "")</f>
        <v/>
      </c>
      <c r="I1210" s="40"/>
      <c r="J1210" s="41" t="str">
        <f t="shared" si="2"/>
        <v/>
      </c>
    </row>
    <row r="1211" ht="22.5" customHeight="1">
      <c r="A1211" s="29"/>
      <c r="B1211" s="31"/>
      <c r="C1211" s="193"/>
      <c r="D1211" s="190" t="str">
        <f t="array" ref="D1211">IF(E1211="", "", XLOOKUP(E1211, 'MASTER ITEM LIST'!B:B, 'MASTER ITEM LIST'!A:A, "Code Not Found"))</f>
        <v/>
      </c>
      <c r="E1211" s="35"/>
      <c r="F1211" s="194"/>
      <c r="G1211" s="31"/>
      <c r="H1211" s="39" t="str">
        <f t="array" ref="H1211">IFERROR(XLOOKUP(D1211,'MASTER ITEM LIST'!A:A,'MASTER ITEM LIST'!D:D), "")</f>
        <v/>
      </c>
      <c r="I1211" s="40"/>
      <c r="J1211" s="41" t="str">
        <f t="shared" si="2"/>
        <v/>
      </c>
    </row>
    <row r="1212" ht="22.5" customHeight="1">
      <c r="A1212" s="29"/>
      <c r="B1212" s="31"/>
      <c r="C1212" s="193"/>
      <c r="D1212" s="190" t="str">
        <f t="array" ref="D1212">IF(E1212="", "", XLOOKUP(E1212, 'MASTER ITEM LIST'!B:B, 'MASTER ITEM LIST'!A:A, "Code Not Found"))</f>
        <v/>
      </c>
      <c r="E1212" s="35"/>
      <c r="F1212" s="194"/>
      <c r="G1212" s="31"/>
      <c r="H1212" s="39" t="str">
        <f t="array" ref="H1212">IFERROR(XLOOKUP(D1212,'MASTER ITEM LIST'!A:A,'MASTER ITEM LIST'!D:D), "")</f>
        <v/>
      </c>
      <c r="I1212" s="40"/>
      <c r="J1212" s="41" t="str">
        <f t="shared" si="2"/>
        <v/>
      </c>
    </row>
    <row r="1213" ht="22.5" customHeight="1">
      <c r="A1213" s="29"/>
      <c r="B1213" s="31"/>
      <c r="C1213" s="193"/>
      <c r="D1213" s="190" t="str">
        <f t="array" ref="D1213">IF(E1213="", "", XLOOKUP(E1213, 'MASTER ITEM LIST'!B:B, 'MASTER ITEM LIST'!A:A, "Code Not Found"))</f>
        <v/>
      </c>
      <c r="E1213" s="35"/>
      <c r="F1213" s="194"/>
      <c r="G1213" s="31"/>
      <c r="H1213" s="39" t="str">
        <f t="array" ref="H1213">IFERROR(XLOOKUP(D1213,'MASTER ITEM LIST'!A:A,'MASTER ITEM LIST'!D:D), "")</f>
        <v/>
      </c>
      <c r="I1213" s="40"/>
      <c r="J1213" s="41" t="str">
        <f t="shared" si="2"/>
        <v/>
      </c>
    </row>
    <row r="1214" ht="22.5" customHeight="1">
      <c r="A1214" s="29"/>
      <c r="B1214" s="31"/>
      <c r="C1214" s="193"/>
      <c r="D1214" s="190" t="str">
        <f t="array" ref="D1214">IF(E1214="", "", XLOOKUP(E1214, 'MASTER ITEM LIST'!B:B, 'MASTER ITEM LIST'!A:A, "Code Not Found"))</f>
        <v/>
      </c>
      <c r="E1214" s="35"/>
      <c r="F1214" s="194"/>
      <c r="G1214" s="31"/>
      <c r="H1214" s="39" t="str">
        <f t="array" ref="H1214">IFERROR(XLOOKUP(D1214,'MASTER ITEM LIST'!A:A,'MASTER ITEM LIST'!D:D), "")</f>
        <v/>
      </c>
      <c r="I1214" s="40"/>
      <c r="J1214" s="41" t="str">
        <f t="shared" si="2"/>
        <v/>
      </c>
    </row>
    <row r="1215" ht="22.5" customHeight="1">
      <c r="A1215" s="29"/>
      <c r="B1215" s="31"/>
      <c r="C1215" s="193"/>
      <c r="D1215" s="190" t="str">
        <f t="array" ref="D1215">IF(E1215="", "", XLOOKUP(E1215, 'MASTER ITEM LIST'!B:B, 'MASTER ITEM LIST'!A:A, "Code Not Found"))</f>
        <v/>
      </c>
      <c r="E1215" s="35"/>
      <c r="F1215" s="194"/>
      <c r="G1215" s="31"/>
      <c r="H1215" s="39" t="str">
        <f t="array" ref="H1215">IFERROR(XLOOKUP(D1215,'MASTER ITEM LIST'!A:A,'MASTER ITEM LIST'!D:D), "")</f>
        <v/>
      </c>
      <c r="I1215" s="40"/>
      <c r="J1215" s="41" t="str">
        <f t="shared" si="2"/>
        <v/>
      </c>
    </row>
    <row r="1216" ht="22.5" customHeight="1">
      <c r="A1216" s="29"/>
      <c r="B1216" s="31"/>
      <c r="C1216" s="193"/>
      <c r="D1216" s="190" t="str">
        <f t="array" ref="D1216">IF(E1216="", "", XLOOKUP(E1216, 'MASTER ITEM LIST'!B:B, 'MASTER ITEM LIST'!A:A, "Code Not Found"))</f>
        <v/>
      </c>
      <c r="E1216" s="35"/>
      <c r="F1216" s="194"/>
      <c r="G1216" s="31"/>
      <c r="H1216" s="39" t="str">
        <f t="array" ref="H1216">IFERROR(XLOOKUP(D1216,'MASTER ITEM LIST'!A:A,'MASTER ITEM LIST'!D:D), "")</f>
        <v/>
      </c>
      <c r="I1216" s="40"/>
      <c r="J1216" s="41" t="str">
        <f t="shared" si="2"/>
        <v/>
      </c>
    </row>
    <row r="1217" ht="22.5" customHeight="1">
      <c r="A1217" s="29"/>
      <c r="B1217" s="31"/>
      <c r="C1217" s="193"/>
      <c r="D1217" s="190" t="str">
        <f t="array" ref="D1217">IF(E1217="", "", XLOOKUP(E1217, 'MASTER ITEM LIST'!B:B, 'MASTER ITEM LIST'!A:A, "Code Not Found"))</f>
        <v/>
      </c>
      <c r="E1217" s="35"/>
      <c r="F1217" s="194"/>
      <c r="G1217" s="31"/>
      <c r="H1217" s="39" t="str">
        <f t="array" ref="H1217">IFERROR(XLOOKUP(D1217,'MASTER ITEM LIST'!A:A,'MASTER ITEM LIST'!D:D), "")</f>
        <v/>
      </c>
      <c r="I1217" s="40"/>
      <c r="J1217" s="41" t="str">
        <f t="shared" si="2"/>
        <v/>
      </c>
    </row>
    <row r="1218" ht="22.5" customHeight="1">
      <c r="A1218" s="29"/>
      <c r="B1218" s="31"/>
      <c r="C1218" s="193"/>
      <c r="D1218" s="190" t="str">
        <f t="array" ref="D1218">IF(E1218="", "", XLOOKUP(E1218, 'MASTER ITEM LIST'!B:B, 'MASTER ITEM LIST'!A:A, "Code Not Found"))</f>
        <v/>
      </c>
      <c r="E1218" s="35"/>
      <c r="F1218" s="194"/>
      <c r="G1218" s="31"/>
      <c r="H1218" s="39" t="str">
        <f t="array" ref="H1218">IFERROR(XLOOKUP(D1218,'MASTER ITEM LIST'!A:A,'MASTER ITEM LIST'!D:D), "")</f>
        <v/>
      </c>
      <c r="I1218" s="40"/>
      <c r="J1218" s="41" t="str">
        <f t="shared" si="2"/>
        <v/>
      </c>
    </row>
    <row r="1219" ht="22.5" customHeight="1">
      <c r="A1219" s="29"/>
      <c r="B1219" s="31"/>
      <c r="C1219" s="193"/>
      <c r="D1219" s="190" t="str">
        <f t="array" ref="D1219">IF(E1219="", "", XLOOKUP(E1219, 'MASTER ITEM LIST'!B:B, 'MASTER ITEM LIST'!A:A, "Code Not Found"))</f>
        <v/>
      </c>
      <c r="E1219" s="35"/>
      <c r="F1219" s="194"/>
      <c r="G1219" s="31"/>
      <c r="H1219" s="39" t="str">
        <f t="array" ref="H1219">IFERROR(XLOOKUP(D1219,'MASTER ITEM LIST'!A:A,'MASTER ITEM LIST'!D:D), "")</f>
        <v/>
      </c>
      <c r="I1219" s="40"/>
      <c r="J1219" s="41" t="str">
        <f t="shared" si="2"/>
        <v/>
      </c>
    </row>
    <row r="1220" ht="22.5" customHeight="1">
      <c r="A1220" s="29"/>
      <c r="B1220" s="31"/>
      <c r="C1220" s="193"/>
      <c r="D1220" s="190" t="str">
        <f t="array" ref="D1220">IF(E1220="", "", XLOOKUP(E1220, 'MASTER ITEM LIST'!B:B, 'MASTER ITEM LIST'!A:A, "Code Not Found"))</f>
        <v/>
      </c>
      <c r="E1220" s="35"/>
      <c r="F1220" s="194"/>
      <c r="G1220" s="31"/>
      <c r="H1220" s="39" t="str">
        <f t="array" ref="H1220">IFERROR(XLOOKUP(D1220,'MASTER ITEM LIST'!A:A,'MASTER ITEM LIST'!D:D), "")</f>
        <v/>
      </c>
      <c r="I1220" s="40"/>
      <c r="J1220" s="41" t="str">
        <f t="shared" si="2"/>
        <v/>
      </c>
    </row>
    <row r="1221" ht="22.5" customHeight="1">
      <c r="A1221" s="29"/>
      <c r="B1221" s="31"/>
      <c r="C1221" s="193"/>
      <c r="D1221" s="190" t="str">
        <f t="array" ref="D1221">IF(E1221="", "", XLOOKUP(E1221, 'MASTER ITEM LIST'!B:B, 'MASTER ITEM LIST'!A:A, "Code Not Found"))</f>
        <v/>
      </c>
      <c r="E1221" s="35"/>
      <c r="F1221" s="194"/>
      <c r="G1221" s="31"/>
      <c r="H1221" s="39" t="str">
        <f t="array" ref="H1221">IFERROR(XLOOKUP(D1221,'MASTER ITEM LIST'!A:A,'MASTER ITEM LIST'!D:D), "")</f>
        <v/>
      </c>
      <c r="I1221" s="40"/>
      <c r="J1221" s="41" t="str">
        <f t="shared" si="2"/>
        <v/>
      </c>
    </row>
    <row r="1222" ht="22.5" customHeight="1">
      <c r="A1222" s="29"/>
      <c r="B1222" s="31"/>
      <c r="C1222" s="193"/>
      <c r="D1222" s="190" t="str">
        <f t="array" ref="D1222">IF(E1222="", "", XLOOKUP(E1222, 'MASTER ITEM LIST'!B:B, 'MASTER ITEM LIST'!A:A, "Code Not Found"))</f>
        <v/>
      </c>
      <c r="E1222" s="35"/>
      <c r="F1222" s="194"/>
      <c r="G1222" s="31"/>
      <c r="H1222" s="39" t="str">
        <f t="array" ref="H1222">IFERROR(XLOOKUP(D1222,'MASTER ITEM LIST'!A:A,'MASTER ITEM LIST'!D:D), "")</f>
        <v/>
      </c>
      <c r="I1222" s="40"/>
      <c r="J1222" s="41" t="str">
        <f t="shared" si="2"/>
        <v/>
      </c>
    </row>
    <row r="1223" ht="22.5" customHeight="1">
      <c r="A1223" s="29"/>
      <c r="B1223" s="31"/>
      <c r="C1223" s="193"/>
      <c r="D1223" s="190" t="str">
        <f t="array" ref="D1223">IF(E1223="", "", XLOOKUP(E1223, 'MASTER ITEM LIST'!B:B, 'MASTER ITEM LIST'!A:A, "Code Not Found"))</f>
        <v/>
      </c>
      <c r="E1223" s="35"/>
      <c r="F1223" s="194"/>
      <c r="G1223" s="31"/>
      <c r="H1223" s="39" t="str">
        <f t="array" ref="H1223">IFERROR(XLOOKUP(D1223,'MASTER ITEM LIST'!A:A,'MASTER ITEM LIST'!D:D), "")</f>
        <v/>
      </c>
      <c r="I1223" s="40"/>
      <c r="J1223" s="41" t="str">
        <f t="shared" si="2"/>
        <v/>
      </c>
    </row>
    <row r="1224" ht="22.5" customHeight="1">
      <c r="A1224" s="29"/>
      <c r="B1224" s="31"/>
      <c r="C1224" s="193"/>
      <c r="D1224" s="190" t="str">
        <f t="array" ref="D1224">IF(E1224="", "", XLOOKUP(E1224, 'MASTER ITEM LIST'!B:B, 'MASTER ITEM LIST'!A:A, "Code Not Found"))</f>
        <v/>
      </c>
      <c r="E1224" s="35"/>
      <c r="F1224" s="194"/>
      <c r="G1224" s="31"/>
      <c r="H1224" s="39" t="str">
        <f t="array" ref="H1224">IFERROR(XLOOKUP(D1224,'MASTER ITEM LIST'!A:A,'MASTER ITEM LIST'!D:D), "")</f>
        <v/>
      </c>
      <c r="I1224" s="40"/>
      <c r="J1224" s="41" t="str">
        <f t="shared" si="2"/>
        <v/>
      </c>
    </row>
    <row r="1225" ht="22.5" customHeight="1">
      <c r="A1225" s="29"/>
      <c r="B1225" s="31"/>
      <c r="C1225" s="193"/>
      <c r="D1225" s="190" t="str">
        <f t="array" ref="D1225">IF(E1225="", "", XLOOKUP(E1225, 'MASTER ITEM LIST'!B:B, 'MASTER ITEM LIST'!A:A, "Code Not Found"))</f>
        <v/>
      </c>
      <c r="E1225" s="35"/>
      <c r="F1225" s="194"/>
      <c r="G1225" s="31"/>
      <c r="H1225" s="39" t="str">
        <f t="array" ref="H1225">IFERROR(XLOOKUP(D1225,'MASTER ITEM LIST'!A:A,'MASTER ITEM LIST'!D:D), "")</f>
        <v/>
      </c>
      <c r="I1225" s="40"/>
      <c r="J1225" s="41" t="str">
        <f t="shared" si="2"/>
        <v/>
      </c>
    </row>
    <row r="1226" ht="22.5" customHeight="1">
      <c r="A1226" s="29"/>
      <c r="B1226" s="31"/>
      <c r="C1226" s="193"/>
      <c r="D1226" s="190" t="str">
        <f t="array" ref="D1226">IF(E1226="", "", XLOOKUP(E1226, 'MASTER ITEM LIST'!B:B, 'MASTER ITEM LIST'!A:A, "Code Not Found"))</f>
        <v/>
      </c>
      <c r="E1226" s="35"/>
      <c r="F1226" s="194"/>
      <c r="G1226" s="31"/>
      <c r="H1226" s="39" t="str">
        <f t="array" ref="H1226">IFERROR(XLOOKUP(D1226,'MASTER ITEM LIST'!A:A,'MASTER ITEM LIST'!D:D), "")</f>
        <v/>
      </c>
      <c r="I1226" s="40"/>
      <c r="J1226" s="41" t="str">
        <f t="shared" si="2"/>
        <v/>
      </c>
    </row>
    <row r="1227" ht="22.5" customHeight="1">
      <c r="A1227" s="29"/>
      <c r="B1227" s="31"/>
      <c r="C1227" s="193"/>
      <c r="D1227" s="190" t="str">
        <f t="array" ref="D1227">IF(E1227="", "", XLOOKUP(E1227, 'MASTER ITEM LIST'!B:B, 'MASTER ITEM LIST'!A:A, "Code Not Found"))</f>
        <v/>
      </c>
      <c r="E1227" s="35"/>
      <c r="F1227" s="194"/>
      <c r="G1227" s="31"/>
      <c r="H1227" s="39" t="str">
        <f t="array" ref="H1227">IFERROR(XLOOKUP(D1227,'MASTER ITEM LIST'!A:A,'MASTER ITEM LIST'!D:D), "")</f>
        <v/>
      </c>
      <c r="I1227" s="40"/>
      <c r="J1227" s="41" t="str">
        <f t="shared" si="2"/>
        <v/>
      </c>
    </row>
    <row r="1228" ht="22.5" customHeight="1">
      <c r="A1228" s="29"/>
      <c r="B1228" s="31"/>
      <c r="C1228" s="193"/>
      <c r="D1228" s="190" t="str">
        <f t="array" ref="D1228">IF(E1228="", "", XLOOKUP(E1228, 'MASTER ITEM LIST'!B:B, 'MASTER ITEM LIST'!A:A, "Code Not Found"))</f>
        <v/>
      </c>
      <c r="E1228" s="35"/>
      <c r="F1228" s="194"/>
      <c r="G1228" s="31"/>
      <c r="H1228" s="39" t="str">
        <f t="array" ref="H1228">IFERROR(XLOOKUP(D1228,'MASTER ITEM LIST'!A:A,'MASTER ITEM LIST'!D:D), "")</f>
        <v/>
      </c>
      <c r="I1228" s="40"/>
      <c r="J1228" s="41" t="str">
        <f t="shared" si="2"/>
        <v/>
      </c>
    </row>
    <row r="1229" ht="22.5" customHeight="1">
      <c r="A1229" s="29"/>
      <c r="B1229" s="31"/>
      <c r="C1229" s="193"/>
      <c r="D1229" s="190" t="str">
        <f t="array" ref="D1229">IF(E1229="", "", XLOOKUP(E1229, 'MASTER ITEM LIST'!B:B, 'MASTER ITEM LIST'!A:A, "Code Not Found"))</f>
        <v/>
      </c>
      <c r="E1229" s="35"/>
      <c r="F1229" s="194"/>
      <c r="G1229" s="31"/>
      <c r="H1229" s="39" t="str">
        <f t="array" ref="H1229">IFERROR(XLOOKUP(D1229,'MASTER ITEM LIST'!A:A,'MASTER ITEM LIST'!D:D), "")</f>
        <v/>
      </c>
      <c r="I1229" s="40"/>
      <c r="J1229" s="41" t="str">
        <f t="shared" si="2"/>
        <v/>
      </c>
    </row>
    <row r="1230" ht="22.5" customHeight="1">
      <c r="A1230" s="29"/>
      <c r="B1230" s="31"/>
      <c r="C1230" s="193"/>
      <c r="D1230" s="190" t="str">
        <f t="array" ref="D1230">IF(E1230="", "", XLOOKUP(E1230, 'MASTER ITEM LIST'!B:B, 'MASTER ITEM LIST'!A:A, "Code Not Found"))</f>
        <v/>
      </c>
      <c r="E1230" s="35"/>
      <c r="F1230" s="194"/>
      <c r="G1230" s="31"/>
      <c r="H1230" s="39" t="str">
        <f t="array" ref="H1230">IFERROR(XLOOKUP(D1230,'MASTER ITEM LIST'!A:A,'MASTER ITEM LIST'!D:D), "")</f>
        <v/>
      </c>
      <c r="I1230" s="40"/>
      <c r="J1230" s="41" t="str">
        <f t="shared" si="2"/>
        <v/>
      </c>
    </row>
    <row r="1231" ht="22.5" customHeight="1">
      <c r="A1231" s="29"/>
      <c r="B1231" s="31"/>
      <c r="C1231" s="193"/>
      <c r="D1231" s="190" t="str">
        <f t="array" ref="D1231">IF(E1231="", "", XLOOKUP(E1231, 'MASTER ITEM LIST'!B:B, 'MASTER ITEM LIST'!A:A, "Code Not Found"))</f>
        <v/>
      </c>
      <c r="E1231" s="35"/>
      <c r="F1231" s="194"/>
      <c r="G1231" s="31"/>
      <c r="H1231" s="39" t="str">
        <f t="array" ref="H1231">IFERROR(XLOOKUP(D1231,'MASTER ITEM LIST'!A:A,'MASTER ITEM LIST'!D:D), "")</f>
        <v/>
      </c>
      <c r="I1231" s="40"/>
      <c r="J1231" s="41" t="str">
        <f t="shared" si="2"/>
        <v/>
      </c>
    </row>
    <row r="1232" ht="22.5" customHeight="1">
      <c r="A1232" s="29"/>
      <c r="B1232" s="31"/>
      <c r="C1232" s="193"/>
      <c r="D1232" s="190" t="str">
        <f t="array" ref="D1232">IF(E1232="", "", XLOOKUP(E1232, 'MASTER ITEM LIST'!B:B, 'MASTER ITEM LIST'!A:A, "Code Not Found"))</f>
        <v/>
      </c>
      <c r="E1232" s="35"/>
      <c r="F1232" s="194"/>
      <c r="G1232" s="31"/>
      <c r="H1232" s="39" t="str">
        <f t="array" ref="H1232">IFERROR(XLOOKUP(D1232,'MASTER ITEM LIST'!A:A,'MASTER ITEM LIST'!D:D), "")</f>
        <v/>
      </c>
      <c r="I1232" s="40"/>
      <c r="J1232" s="41" t="str">
        <f t="shared" si="2"/>
        <v/>
      </c>
    </row>
    <row r="1233" ht="22.5" customHeight="1">
      <c r="A1233" s="29"/>
      <c r="B1233" s="31"/>
      <c r="C1233" s="193"/>
      <c r="D1233" s="190" t="str">
        <f t="array" ref="D1233">IF(E1233="", "", XLOOKUP(E1233, 'MASTER ITEM LIST'!B:B, 'MASTER ITEM LIST'!A:A, "Code Not Found"))</f>
        <v/>
      </c>
      <c r="E1233" s="35"/>
      <c r="F1233" s="194"/>
      <c r="G1233" s="31"/>
      <c r="H1233" s="39" t="str">
        <f t="array" ref="H1233">IFERROR(XLOOKUP(D1233,'MASTER ITEM LIST'!A:A,'MASTER ITEM LIST'!D:D), "")</f>
        <v/>
      </c>
      <c r="I1233" s="40"/>
      <c r="J1233" s="41" t="str">
        <f t="shared" si="2"/>
        <v/>
      </c>
    </row>
    <row r="1234" ht="22.5" customHeight="1">
      <c r="A1234" s="29"/>
      <c r="B1234" s="31"/>
      <c r="C1234" s="193"/>
      <c r="D1234" s="190" t="str">
        <f t="array" ref="D1234">IF(E1234="", "", XLOOKUP(E1234, 'MASTER ITEM LIST'!B:B, 'MASTER ITEM LIST'!A:A, "Code Not Found"))</f>
        <v/>
      </c>
      <c r="E1234" s="35"/>
      <c r="F1234" s="194"/>
      <c r="G1234" s="31"/>
      <c r="H1234" s="39" t="str">
        <f t="array" ref="H1234">IFERROR(XLOOKUP(D1234,'MASTER ITEM LIST'!A:A,'MASTER ITEM LIST'!D:D), "")</f>
        <v/>
      </c>
      <c r="I1234" s="40"/>
      <c r="J1234" s="41" t="str">
        <f t="shared" si="2"/>
        <v/>
      </c>
    </row>
    <row r="1235" ht="22.5" customHeight="1">
      <c r="A1235" s="29"/>
      <c r="B1235" s="31"/>
      <c r="C1235" s="193"/>
      <c r="D1235" s="190" t="str">
        <f t="array" ref="D1235">IF(E1235="", "", XLOOKUP(E1235, 'MASTER ITEM LIST'!B:B, 'MASTER ITEM LIST'!A:A, "Code Not Found"))</f>
        <v/>
      </c>
      <c r="E1235" s="35"/>
      <c r="F1235" s="194"/>
      <c r="G1235" s="31"/>
      <c r="H1235" s="39" t="str">
        <f t="array" ref="H1235">IFERROR(XLOOKUP(D1235,'MASTER ITEM LIST'!A:A,'MASTER ITEM LIST'!D:D), "")</f>
        <v/>
      </c>
      <c r="I1235" s="40"/>
      <c r="J1235" s="41" t="str">
        <f t="shared" si="2"/>
        <v/>
      </c>
    </row>
    <row r="1236" ht="22.5" customHeight="1">
      <c r="A1236" s="29"/>
      <c r="B1236" s="31"/>
      <c r="C1236" s="193"/>
      <c r="D1236" s="190" t="str">
        <f t="array" ref="D1236">IF(E1236="", "", XLOOKUP(E1236, 'MASTER ITEM LIST'!B:B, 'MASTER ITEM LIST'!A:A, "Code Not Found"))</f>
        <v/>
      </c>
      <c r="E1236" s="35"/>
      <c r="F1236" s="194"/>
      <c r="G1236" s="31"/>
      <c r="H1236" s="39" t="str">
        <f t="array" ref="H1236">IFERROR(XLOOKUP(D1236,'MASTER ITEM LIST'!A:A,'MASTER ITEM LIST'!D:D), "")</f>
        <v/>
      </c>
      <c r="I1236" s="40"/>
      <c r="J1236" s="41" t="str">
        <f t="shared" si="2"/>
        <v/>
      </c>
    </row>
    <row r="1237" ht="22.5" customHeight="1">
      <c r="A1237" s="29"/>
      <c r="B1237" s="31"/>
      <c r="C1237" s="193"/>
      <c r="D1237" s="190" t="str">
        <f t="array" ref="D1237">IF(E1237="", "", XLOOKUP(E1237, 'MASTER ITEM LIST'!B:B, 'MASTER ITEM LIST'!A:A, "Code Not Found"))</f>
        <v/>
      </c>
      <c r="E1237" s="35"/>
      <c r="F1237" s="194"/>
      <c r="G1237" s="31"/>
      <c r="H1237" s="39" t="str">
        <f t="array" ref="H1237">IFERROR(XLOOKUP(D1237,'MASTER ITEM LIST'!A:A,'MASTER ITEM LIST'!D:D), "")</f>
        <v/>
      </c>
      <c r="I1237" s="40"/>
      <c r="J1237" s="41" t="str">
        <f t="shared" si="2"/>
        <v/>
      </c>
    </row>
    <row r="1238" ht="22.5" customHeight="1">
      <c r="A1238" s="29"/>
      <c r="B1238" s="31"/>
      <c r="C1238" s="193"/>
      <c r="D1238" s="190" t="str">
        <f t="array" ref="D1238">IF(E1238="", "", XLOOKUP(E1238, 'MASTER ITEM LIST'!B:B, 'MASTER ITEM LIST'!A:A, "Code Not Found"))</f>
        <v/>
      </c>
      <c r="E1238" s="35"/>
      <c r="F1238" s="194"/>
      <c r="G1238" s="31"/>
      <c r="H1238" s="39" t="str">
        <f t="array" ref="H1238">IFERROR(XLOOKUP(D1238,'MASTER ITEM LIST'!A:A,'MASTER ITEM LIST'!D:D), "")</f>
        <v/>
      </c>
      <c r="I1238" s="40"/>
      <c r="J1238" s="41" t="str">
        <f t="shared" si="2"/>
        <v/>
      </c>
    </row>
    <row r="1239" ht="22.5" customHeight="1">
      <c r="A1239" s="29"/>
      <c r="B1239" s="31"/>
      <c r="C1239" s="193"/>
      <c r="D1239" s="190" t="str">
        <f t="array" ref="D1239">IF(E1239="", "", XLOOKUP(E1239, 'MASTER ITEM LIST'!B:B, 'MASTER ITEM LIST'!A:A, "Code Not Found"))</f>
        <v/>
      </c>
      <c r="E1239" s="35"/>
      <c r="F1239" s="194"/>
      <c r="G1239" s="31"/>
      <c r="H1239" s="39" t="str">
        <f t="array" ref="H1239">IFERROR(XLOOKUP(D1239,'MASTER ITEM LIST'!A:A,'MASTER ITEM LIST'!D:D), "")</f>
        <v/>
      </c>
      <c r="I1239" s="40"/>
      <c r="J1239" s="41" t="str">
        <f t="shared" si="2"/>
        <v/>
      </c>
    </row>
    <row r="1240" ht="22.5" customHeight="1">
      <c r="A1240" s="29"/>
      <c r="B1240" s="31"/>
      <c r="C1240" s="193"/>
      <c r="D1240" s="190" t="str">
        <f t="array" ref="D1240">IF(E1240="", "", XLOOKUP(E1240, 'MASTER ITEM LIST'!B:B, 'MASTER ITEM LIST'!A:A, "Code Not Found"))</f>
        <v/>
      </c>
      <c r="E1240" s="35"/>
      <c r="F1240" s="194"/>
      <c r="G1240" s="31"/>
      <c r="H1240" s="39" t="str">
        <f t="array" ref="H1240">IFERROR(XLOOKUP(D1240,'MASTER ITEM LIST'!A:A,'MASTER ITEM LIST'!D:D), "")</f>
        <v/>
      </c>
      <c r="I1240" s="40"/>
      <c r="J1240" s="41" t="str">
        <f t="shared" si="2"/>
        <v/>
      </c>
    </row>
    <row r="1241" ht="22.5" customHeight="1">
      <c r="A1241" s="29"/>
      <c r="B1241" s="31"/>
      <c r="C1241" s="193"/>
      <c r="D1241" s="190" t="str">
        <f t="array" ref="D1241">IF(E1241="", "", XLOOKUP(E1241, 'MASTER ITEM LIST'!B:B, 'MASTER ITEM LIST'!A:A, "Code Not Found"))</f>
        <v/>
      </c>
      <c r="E1241" s="35"/>
      <c r="F1241" s="194"/>
      <c r="G1241" s="31"/>
      <c r="H1241" s="39" t="str">
        <f t="array" ref="H1241">IFERROR(XLOOKUP(D1241,'MASTER ITEM LIST'!A:A,'MASTER ITEM LIST'!D:D), "")</f>
        <v/>
      </c>
      <c r="I1241" s="40"/>
      <c r="J1241" s="41" t="str">
        <f t="shared" si="2"/>
        <v/>
      </c>
    </row>
    <row r="1242" ht="22.5" customHeight="1">
      <c r="A1242" s="29"/>
      <c r="B1242" s="31"/>
      <c r="C1242" s="193"/>
      <c r="D1242" s="190" t="str">
        <f t="array" ref="D1242">IF(E1242="", "", XLOOKUP(E1242, 'MASTER ITEM LIST'!B:B, 'MASTER ITEM LIST'!A:A, "Code Not Found"))</f>
        <v/>
      </c>
      <c r="E1242" s="35"/>
      <c r="F1242" s="194"/>
      <c r="G1242" s="31"/>
      <c r="H1242" s="39" t="str">
        <f t="array" ref="H1242">IFERROR(XLOOKUP(D1242,'MASTER ITEM LIST'!A:A,'MASTER ITEM LIST'!D:D), "")</f>
        <v/>
      </c>
      <c r="I1242" s="40"/>
      <c r="J1242" s="41" t="str">
        <f t="shared" si="2"/>
        <v/>
      </c>
    </row>
    <row r="1243" ht="22.5" customHeight="1">
      <c r="A1243" s="29"/>
      <c r="B1243" s="31"/>
      <c r="C1243" s="193"/>
      <c r="D1243" s="190" t="str">
        <f t="array" ref="D1243">IF(E1243="", "", XLOOKUP(E1243, 'MASTER ITEM LIST'!B:B, 'MASTER ITEM LIST'!A:A, "Code Not Found"))</f>
        <v/>
      </c>
      <c r="E1243" s="35"/>
      <c r="F1243" s="194"/>
      <c r="G1243" s="31"/>
      <c r="H1243" s="39" t="str">
        <f t="array" ref="H1243">IFERROR(XLOOKUP(D1243,'MASTER ITEM LIST'!A:A,'MASTER ITEM LIST'!D:D), "")</f>
        <v/>
      </c>
      <c r="I1243" s="40"/>
      <c r="J1243" s="41" t="str">
        <f t="shared" si="2"/>
        <v/>
      </c>
    </row>
    <row r="1244" ht="22.5" customHeight="1">
      <c r="A1244" s="29"/>
      <c r="B1244" s="31"/>
      <c r="C1244" s="193"/>
      <c r="D1244" s="190" t="str">
        <f t="array" ref="D1244">IF(E1244="", "", XLOOKUP(E1244, 'MASTER ITEM LIST'!B:B, 'MASTER ITEM LIST'!A:A, "Code Not Found"))</f>
        <v/>
      </c>
      <c r="E1244" s="35"/>
      <c r="F1244" s="194"/>
      <c r="G1244" s="31"/>
      <c r="H1244" s="39" t="str">
        <f t="array" ref="H1244">IFERROR(XLOOKUP(D1244,'MASTER ITEM LIST'!A:A,'MASTER ITEM LIST'!D:D), "")</f>
        <v/>
      </c>
      <c r="I1244" s="40"/>
      <c r="J1244" s="41" t="str">
        <f t="shared" si="2"/>
        <v/>
      </c>
    </row>
    <row r="1245" ht="22.5" customHeight="1">
      <c r="A1245" s="29"/>
      <c r="B1245" s="31"/>
      <c r="C1245" s="193"/>
      <c r="D1245" s="190" t="str">
        <f t="array" ref="D1245">IF(E1245="", "", XLOOKUP(E1245, 'MASTER ITEM LIST'!B:B, 'MASTER ITEM LIST'!A:A, "Code Not Found"))</f>
        <v/>
      </c>
      <c r="E1245" s="35"/>
      <c r="F1245" s="194"/>
      <c r="G1245" s="31"/>
      <c r="H1245" s="39" t="str">
        <f t="array" ref="H1245">IFERROR(XLOOKUP(D1245,'MASTER ITEM LIST'!A:A,'MASTER ITEM LIST'!D:D), "")</f>
        <v/>
      </c>
      <c r="I1245" s="40"/>
      <c r="J1245" s="41" t="str">
        <f t="shared" si="2"/>
        <v/>
      </c>
    </row>
    <row r="1246" ht="22.5" customHeight="1">
      <c r="A1246" s="29"/>
      <c r="B1246" s="31"/>
      <c r="C1246" s="193"/>
      <c r="D1246" s="190" t="str">
        <f t="array" ref="D1246">IF(E1246="", "", XLOOKUP(E1246, 'MASTER ITEM LIST'!B:B, 'MASTER ITEM LIST'!A:A, "Code Not Found"))</f>
        <v/>
      </c>
      <c r="E1246" s="35"/>
      <c r="F1246" s="194"/>
      <c r="G1246" s="31"/>
      <c r="H1246" s="39" t="str">
        <f t="array" ref="H1246">IFERROR(XLOOKUP(D1246,'MASTER ITEM LIST'!A:A,'MASTER ITEM LIST'!D:D), "")</f>
        <v/>
      </c>
      <c r="I1246" s="40"/>
      <c r="J1246" s="41" t="str">
        <f t="shared" si="2"/>
        <v/>
      </c>
    </row>
    <row r="1247" ht="22.5" customHeight="1">
      <c r="A1247" s="29"/>
      <c r="B1247" s="31"/>
      <c r="C1247" s="193"/>
      <c r="D1247" s="190" t="str">
        <f t="array" ref="D1247">IF(E1247="", "", XLOOKUP(E1247, 'MASTER ITEM LIST'!B:B, 'MASTER ITEM LIST'!A:A, "Code Not Found"))</f>
        <v/>
      </c>
      <c r="E1247" s="35"/>
      <c r="F1247" s="194"/>
      <c r="G1247" s="31"/>
      <c r="H1247" s="39" t="str">
        <f t="array" ref="H1247">IFERROR(XLOOKUP(D1247,'MASTER ITEM LIST'!A:A,'MASTER ITEM LIST'!D:D), "")</f>
        <v/>
      </c>
      <c r="I1247" s="40"/>
      <c r="J1247" s="41" t="str">
        <f t="shared" si="2"/>
        <v/>
      </c>
    </row>
    <row r="1248" ht="22.5" customHeight="1">
      <c r="A1248" s="29"/>
      <c r="B1248" s="31"/>
      <c r="C1248" s="193"/>
      <c r="D1248" s="190" t="str">
        <f t="array" ref="D1248">IF(E1248="", "", XLOOKUP(E1248, 'MASTER ITEM LIST'!B:B, 'MASTER ITEM LIST'!A:A, "Code Not Found"))</f>
        <v/>
      </c>
      <c r="E1248" s="35"/>
      <c r="F1248" s="194"/>
      <c r="G1248" s="31"/>
      <c r="H1248" s="39" t="str">
        <f t="array" ref="H1248">IFERROR(XLOOKUP(D1248,'MASTER ITEM LIST'!A:A,'MASTER ITEM LIST'!D:D), "")</f>
        <v/>
      </c>
      <c r="I1248" s="40"/>
      <c r="J1248" s="41" t="str">
        <f t="shared" si="2"/>
        <v/>
      </c>
    </row>
    <row r="1249" ht="22.5" customHeight="1">
      <c r="A1249" s="29"/>
      <c r="B1249" s="31"/>
      <c r="C1249" s="193"/>
      <c r="D1249" s="190" t="str">
        <f t="array" ref="D1249">IF(E1249="", "", XLOOKUP(E1249, 'MASTER ITEM LIST'!B:B, 'MASTER ITEM LIST'!A:A, "Code Not Found"))</f>
        <v/>
      </c>
      <c r="E1249" s="35"/>
      <c r="F1249" s="194"/>
      <c r="G1249" s="31"/>
      <c r="H1249" s="39" t="str">
        <f t="array" ref="H1249">IFERROR(XLOOKUP(D1249,'MASTER ITEM LIST'!A:A,'MASTER ITEM LIST'!D:D), "")</f>
        <v/>
      </c>
      <c r="I1249" s="40"/>
      <c r="J1249" s="41" t="str">
        <f t="shared" si="2"/>
        <v/>
      </c>
    </row>
    <row r="1250" ht="22.5" customHeight="1">
      <c r="A1250" s="29"/>
      <c r="B1250" s="31"/>
      <c r="C1250" s="193"/>
      <c r="D1250" s="190" t="str">
        <f t="array" ref="D1250">IF(E1250="", "", XLOOKUP(E1250, 'MASTER ITEM LIST'!B:B, 'MASTER ITEM LIST'!A:A, "Code Not Found"))</f>
        <v/>
      </c>
      <c r="E1250" s="35"/>
      <c r="F1250" s="194"/>
      <c r="G1250" s="31"/>
      <c r="H1250" s="39" t="str">
        <f t="array" ref="H1250">IFERROR(XLOOKUP(D1250,'MASTER ITEM LIST'!A:A,'MASTER ITEM LIST'!D:D), "")</f>
        <v/>
      </c>
      <c r="I1250" s="40"/>
      <c r="J1250" s="41" t="str">
        <f t="shared" si="2"/>
        <v/>
      </c>
    </row>
    <row r="1251" ht="22.5" customHeight="1">
      <c r="A1251" s="29"/>
      <c r="B1251" s="31"/>
      <c r="C1251" s="193"/>
      <c r="D1251" s="190" t="str">
        <f t="array" ref="D1251">IF(E1251="", "", XLOOKUP(E1251, 'MASTER ITEM LIST'!B:B, 'MASTER ITEM LIST'!A:A, "Code Not Found"))</f>
        <v/>
      </c>
      <c r="E1251" s="35"/>
      <c r="F1251" s="194"/>
      <c r="G1251" s="31"/>
      <c r="H1251" s="39" t="str">
        <f t="array" ref="H1251">IFERROR(XLOOKUP(D1251,'MASTER ITEM LIST'!A:A,'MASTER ITEM LIST'!D:D), "")</f>
        <v/>
      </c>
      <c r="I1251" s="40"/>
      <c r="J1251" s="41" t="str">
        <f t="shared" si="2"/>
        <v/>
      </c>
    </row>
    <row r="1252" ht="22.5" customHeight="1">
      <c r="A1252" s="29"/>
      <c r="B1252" s="31"/>
      <c r="C1252" s="193"/>
      <c r="D1252" s="190" t="str">
        <f t="array" ref="D1252">IF(E1252="", "", XLOOKUP(E1252, 'MASTER ITEM LIST'!B:B, 'MASTER ITEM LIST'!A:A, "Code Not Found"))</f>
        <v/>
      </c>
      <c r="E1252" s="35"/>
      <c r="F1252" s="194"/>
      <c r="G1252" s="31"/>
      <c r="H1252" s="39" t="str">
        <f t="array" ref="H1252">IFERROR(XLOOKUP(D1252,'MASTER ITEM LIST'!A:A,'MASTER ITEM LIST'!D:D), "")</f>
        <v/>
      </c>
      <c r="I1252" s="40"/>
      <c r="J1252" s="41" t="str">
        <f t="shared" si="2"/>
        <v/>
      </c>
    </row>
    <row r="1253" ht="22.5" customHeight="1">
      <c r="A1253" s="29"/>
      <c r="B1253" s="31"/>
      <c r="C1253" s="193"/>
      <c r="D1253" s="190" t="str">
        <f t="array" ref="D1253">IF(E1253="", "", XLOOKUP(E1253, 'MASTER ITEM LIST'!B:B, 'MASTER ITEM LIST'!A:A, "Code Not Found"))</f>
        <v/>
      </c>
      <c r="E1253" s="35"/>
      <c r="F1253" s="194"/>
      <c r="G1253" s="31"/>
      <c r="H1253" s="39" t="str">
        <f t="array" ref="H1253">IFERROR(XLOOKUP(D1253,'MASTER ITEM LIST'!A:A,'MASTER ITEM LIST'!D:D), "")</f>
        <v/>
      </c>
      <c r="I1253" s="40"/>
      <c r="J1253" s="41" t="str">
        <f t="shared" si="2"/>
        <v/>
      </c>
    </row>
    <row r="1254" ht="22.5" customHeight="1">
      <c r="A1254" s="29"/>
      <c r="B1254" s="31"/>
      <c r="C1254" s="193"/>
      <c r="D1254" s="190" t="str">
        <f t="array" ref="D1254">IF(E1254="", "", XLOOKUP(E1254, 'MASTER ITEM LIST'!B:B, 'MASTER ITEM LIST'!A:A, "Code Not Found"))</f>
        <v/>
      </c>
      <c r="E1254" s="35"/>
      <c r="F1254" s="194"/>
      <c r="G1254" s="31"/>
      <c r="H1254" s="39" t="str">
        <f t="array" ref="H1254">IFERROR(XLOOKUP(D1254,'MASTER ITEM LIST'!A:A,'MASTER ITEM LIST'!D:D), "")</f>
        <v/>
      </c>
      <c r="I1254" s="40"/>
      <c r="J1254" s="41" t="str">
        <f t="shared" si="2"/>
        <v/>
      </c>
    </row>
    <row r="1255" ht="22.5" customHeight="1">
      <c r="A1255" s="29"/>
      <c r="B1255" s="31"/>
      <c r="C1255" s="193"/>
      <c r="D1255" s="190" t="str">
        <f t="array" ref="D1255">IF(E1255="", "", XLOOKUP(E1255, 'MASTER ITEM LIST'!B:B, 'MASTER ITEM LIST'!A:A, "Code Not Found"))</f>
        <v/>
      </c>
      <c r="E1255" s="35"/>
      <c r="F1255" s="194"/>
      <c r="G1255" s="31"/>
      <c r="H1255" s="39" t="str">
        <f t="array" ref="H1255">IFERROR(XLOOKUP(D1255,'MASTER ITEM LIST'!A:A,'MASTER ITEM LIST'!D:D), "")</f>
        <v/>
      </c>
      <c r="I1255" s="40"/>
      <c r="J1255" s="41" t="str">
        <f t="shared" si="2"/>
        <v/>
      </c>
    </row>
    <row r="1256" ht="22.5" customHeight="1">
      <c r="A1256" s="29"/>
      <c r="B1256" s="31"/>
      <c r="C1256" s="193"/>
      <c r="D1256" s="190" t="str">
        <f t="array" ref="D1256">IF(E1256="", "", XLOOKUP(E1256, 'MASTER ITEM LIST'!B:B, 'MASTER ITEM LIST'!A:A, "Code Not Found"))</f>
        <v/>
      </c>
      <c r="E1256" s="35"/>
      <c r="F1256" s="194"/>
      <c r="G1256" s="31"/>
      <c r="H1256" s="39" t="str">
        <f t="array" ref="H1256">IFERROR(XLOOKUP(D1256,'MASTER ITEM LIST'!A:A,'MASTER ITEM LIST'!D:D), "")</f>
        <v/>
      </c>
      <c r="I1256" s="40"/>
      <c r="J1256" s="41" t="str">
        <f t="shared" si="2"/>
        <v/>
      </c>
    </row>
    <row r="1257" ht="22.5" customHeight="1">
      <c r="A1257" s="29"/>
      <c r="B1257" s="31"/>
      <c r="C1257" s="193"/>
      <c r="D1257" s="190" t="str">
        <f t="array" ref="D1257">IF(E1257="", "", XLOOKUP(E1257, 'MASTER ITEM LIST'!B:B, 'MASTER ITEM LIST'!A:A, "Code Not Found"))</f>
        <v/>
      </c>
      <c r="E1257" s="35"/>
      <c r="F1257" s="194"/>
      <c r="G1257" s="31"/>
      <c r="H1257" s="39" t="str">
        <f t="array" ref="H1257">IFERROR(XLOOKUP(D1257,'MASTER ITEM LIST'!A:A,'MASTER ITEM LIST'!D:D), "")</f>
        <v/>
      </c>
      <c r="I1257" s="40"/>
      <c r="J1257" s="41" t="str">
        <f t="shared" si="2"/>
        <v/>
      </c>
    </row>
    <row r="1258" ht="22.5" customHeight="1">
      <c r="A1258" s="29"/>
      <c r="B1258" s="31"/>
      <c r="C1258" s="193"/>
      <c r="D1258" s="190" t="str">
        <f t="array" ref="D1258">IF(E1258="", "", XLOOKUP(E1258, 'MASTER ITEM LIST'!B:B, 'MASTER ITEM LIST'!A:A, "Code Not Found"))</f>
        <v/>
      </c>
      <c r="E1258" s="35"/>
      <c r="F1258" s="194"/>
      <c r="G1258" s="31"/>
      <c r="H1258" s="39" t="str">
        <f t="array" ref="H1258">IFERROR(XLOOKUP(D1258,'MASTER ITEM LIST'!A:A,'MASTER ITEM LIST'!D:D), "")</f>
        <v/>
      </c>
      <c r="I1258" s="40"/>
      <c r="J1258" s="41" t="str">
        <f t="shared" si="2"/>
        <v/>
      </c>
    </row>
    <row r="1259" ht="22.5" customHeight="1">
      <c r="A1259" s="29"/>
      <c r="B1259" s="31"/>
      <c r="C1259" s="193"/>
      <c r="D1259" s="190" t="str">
        <f t="array" ref="D1259">IF(E1259="", "", XLOOKUP(E1259, 'MASTER ITEM LIST'!B:B, 'MASTER ITEM LIST'!A:A, "Code Not Found"))</f>
        <v/>
      </c>
      <c r="E1259" s="35"/>
      <c r="F1259" s="194"/>
      <c r="G1259" s="31"/>
      <c r="H1259" s="39" t="str">
        <f t="array" ref="H1259">IFERROR(XLOOKUP(D1259,'MASTER ITEM LIST'!A:A,'MASTER ITEM LIST'!D:D), "")</f>
        <v/>
      </c>
      <c r="I1259" s="40"/>
      <c r="J1259" s="41" t="str">
        <f t="shared" si="2"/>
        <v/>
      </c>
    </row>
    <row r="1260" ht="22.5" customHeight="1">
      <c r="A1260" s="29"/>
      <c r="B1260" s="31"/>
      <c r="C1260" s="193"/>
      <c r="D1260" s="190" t="str">
        <f t="array" ref="D1260">IF(E1260="", "", XLOOKUP(E1260, 'MASTER ITEM LIST'!B:B, 'MASTER ITEM LIST'!A:A, "Code Not Found"))</f>
        <v/>
      </c>
      <c r="E1260" s="35"/>
      <c r="F1260" s="194"/>
      <c r="G1260" s="31"/>
      <c r="H1260" s="39" t="str">
        <f t="array" ref="H1260">IFERROR(XLOOKUP(D1260,'MASTER ITEM LIST'!A:A,'MASTER ITEM LIST'!D:D), "")</f>
        <v/>
      </c>
      <c r="I1260" s="40"/>
      <c r="J1260" s="41" t="str">
        <f t="shared" si="2"/>
        <v/>
      </c>
    </row>
    <row r="1261" ht="22.5" customHeight="1">
      <c r="A1261" s="29"/>
      <c r="B1261" s="31"/>
      <c r="C1261" s="193"/>
      <c r="D1261" s="190" t="str">
        <f t="array" ref="D1261">IF(E1261="", "", XLOOKUP(E1261, 'MASTER ITEM LIST'!B:B, 'MASTER ITEM LIST'!A:A, "Code Not Found"))</f>
        <v/>
      </c>
      <c r="E1261" s="35"/>
      <c r="F1261" s="194"/>
      <c r="G1261" s="31"/>
      <c r="H1261" s="39" t="str">
        <f t="array" ref="H1261">IFERROR(XLOOKUP(D1261,'MASTER ITEM LIST'!A:A,'MASTER ITEM LIST'!D:D), "")</f>
        <v/>
      </c>
      <c r="I1261" s="40"/>
      <c r="J1261" s="41" t="str">
        <f t="shared" si="2"/>
        <v/>
      </c>
    </row>
    <row r="1262" ht="22.5" customHeight="1">
      <c r="A1262" s="29"/>
      <c r="B1262" s="31"/>
      <c r="C1262" s="193"/>
      <c r="D1262" s="190" t="str">
        <f t="array" ref="D1262">IF(E1262="", "", XLOOKUP(E1262, 'MASTER ITEM LIST'!B:B, 'MASTER ITEM LIST'!A:A, "Code Not Found"))</f>
        <v/>
      </c>
      <c r="E1262" s="35"/>
      <c r="F1262" s="194"/>
      <c r="G1262" s="31"/>
      <c r="H1262" s="39" t="str">
        <f t="array" ref="H1262">IFERROR(XLOOKUP(D1262,'MASTER ITEM LIST'!A:A,'MASTER ITEM LIST'!D:D), "")</f>
        <v/>
      </c>
      <c r="I1262" s="40"/>
      <c r="J1262" s="41" t="str">
        <f t="shared" si="2"/>
        <v/>
      </c>
    </row>
    <row r="1263" ht="22.5" customHeight="1">
      <c r="A1263" s="29"/>
      <c r="B1263" s="31"/>
      <c r="C1263" s="193"/>
      <c r="D1263" s="190" t="str">
        <f t="array" ref="D1263">IF(E1263="", "", XLOOKUP(E1263, 'MASTER ITEM LIST'!B:B, 'MASTER ITEM LIST'!A:A, "Code Not Found"))</f>
        <v/>
      </c>
      <c r="E1263" s="35"/>
      <c r="F1263" s="194"/>
      <c r="G1263" s="31"/>
      <c r="H1263" s="39" t="str">
        <f t="array" ref="H1263">IFERROR(XLOOKUP(D1263,'MASTER ITEM LIST'!A:A,'MASTER ITEM LIST'!D:D), "")</f>
        <v/>
      </c>
      <c r="I1263" s="40"/>
      <c r="J1263" s="41" t="str">
        <f t="shared" si="2"/>
        <v/>
      </c>
    </row>
    <row r="1264" ht="22.5" customHeight="1">
      <c r="A1264" s="29"/>
      <c r="B1264" s="31"/>
      <c r="C1264" s="193"/>
      <c r="D1264" s="190" t="str">
        <f t="array" ref="D1264">IF(E1264="", "", XLOOKUP(E1264, 'MASTER ITEM LIST'!B:B, 'MASTER ITEM LIST'!A:A, "Code Not Found"))</f>
        <v/>
      </c>
      <c r="E1264" s="35"/>
      <c r="F1264" s="194"/>
      <c r="G1264" s="31"/>
      <c r="H1264" s="39" t="str">
        <f t="array" ref="H1264">IFERROR(XLOOKUP(D1264,'MASTER ITEM LIST'!A:A,'MASTER ITEM LIST'!D:D), "")</f>
        <v/>
      </c>
      <c r="I1264" s="40"/>
      <c r="J1264" s="41" t="str">
        <f t="shared" si="2"/>
        <v/>
      </c>
    </row>
    <row r="1265" ht="22.5" customHeight="1">
      <c r="A1265" s="29"/>
      <c r="B1265" s="31"/>
      <c r="C1265" s="193"/>
      <c r="D1265" s="190" t="str">
        <f t="array" ref="D1265">IF(E1265="", "", XLOOKUP(E1265, 'MASTER ITEM LIST'!B:B, 'MASTER ITEM LIST'!A:A, "Code Not Found"))</f>
        <v/>
      </c>
      <c r="E1265" s="35"/>
      <c r="F1265" s="194"/>
      <c r="G1265" s="31"/>
      <c r="H1265" s="39" t="str">
        <f t="array" ref="H1265">IFERROR(XLOOKUP(D1265,'MASTER ITEM LIST'!A:A,'MASTER ITEM LIST'!D:D), "")</f>
        <v/>
      </c>
      <c r="I1265" s="40"/>
      <c r="J1265" s="41" t="str">
        <f t="shared" si="2"/>
        <v/>
      </c>
    </row>
    <row r="1266" ht="22.5" customHeight="1">
      <c r="A1266" s="29"/>
      <c r="B1266" s="31"/>
      <c r="C1266" s="193"/>
      <c r="D1266" s="190" t="str">
        <f t="array" ref="D1266">IF(E1266="", "", XLOOKUP(E1266, 'MASTER ITEM LIST'!B:B, 'MASTER ITEM LIST'!A:A, "Code Not Found"))</f>
        <v/>
      </c>
      <c r="E1266" s="35"/>
      <c r="F1266" s="194"/>
      <c r="G1266" s="31"/>
      <c r="H1266" s="39" t="str">
        <f t="array" ref="H1266">IFERROR(XLOOKUP(D1266,'MASTER ITEM LIST'!A:A,'MASTER ITEM LIST'!D:D), "")</f>
        <v/>
      </c>
      <c r="I1266" s="40"/>
      <c r="J1266" s="41" t="str">
        <f t="shared" si="2"/>
        <v/>
      </c>
    </row>
    <row r="1267" ht="22.5" customHeight="1">
      <c r="A1267" s="29"/>
      <c r="B1267" s="31"/>
      <c r="C1267" s="193"/>
      <c r="D1267" s="190" t="str">
        <f t="array" ref="D1267">IF(E1267="", "", XLOOKUP(E1267, 'MASTER ITEM LIST'!B:B, 'MASTER ITEM LIST'!A:A, "Code Not Found"))</f>
        <v/>
      </c>
      <c r="E1267" s="35"/>
      <c r="F1267" s="194"/>
      <c r="G1267" s="31"/>
      <c r="H1267" s="39" t="str">
        <f t="array" ref="H1267">IFERROR(XLOOKUP(D1267,'MASTER ITEM LIST'!A:A,'MASTER ITEM LIST'!D:D), "")</f>
        <v/>
      </c>
      <c r="I1267" s="40"/>
      <c r="J1267" s="41" t="str">
        <f t="shared" si="2"/>
        <v/>
      </c>
    </row>
    <row r="1268" ht="22.5" customHeight="1">
      <c r="A1268" s="29"/>
      <c r="B1268" s="31"/>
      <c r="C1268" s="193"/>
      <c r="D1268" s="190" t="str">
        <f t="array" ref="D1268">IF(E1268="", "", XLOOKUP(E1268, 'MASTER ITEM LIST'!B:B, 'MASTER ITEM LIST'!A:A, "Code Not Found"))</f>
        <v/>
      </c>
      <c r="E1268" s="35"/>
      <c r="F1268" s="194"/>
      <c r="G1268" s="31"/>
      <c r="H1268" s="39" t="str">
        <f t="array" ref="H1268">IFERROR(XLOOKUP(D1268,'MASTER ITEM LIST'!A:A,'MASTER ITEM LIST'!D:D), "")</f>
        <v/>
      </c>
      <c r="I1268" s="40"/>
      <c r="J1268" s="41" t="str">
        <f t="shared" si="2"/>
        <v/>
      </c>
    </row>
    <row r="1269" ht="22.5" customHeight="1">
      <c r="A1269" s="29"/>
      <c r="B1269" s="31"/>
      <c r="C1269" s="193"/>
      <c r="D1269" s="190" t="str">
        <f t="array" ref="D1269">IF(E1269="", "", XLOOKUP(E1269, 'MASTER ITEM LIST'!B:B, 'MASTER ITEM LIST'!A:A, "Code Not Found"))</f>
        <v/>
      </c>
      <c r="E1269" s="35"/>
      <c r="F1269" s="194"/>
      <c r="G1269" s="31"/>
      <c r="H1269" s="39" t="str">
        <f t="array" ref="H1269">IFERROR(XLOOKUP(D1269,'MASTER ITEM LIST'!A:A,'MASTER ITEM LIST'!D:D), "")</f>
        <v/>
      </c>
      <c r="I1269" s="40"/>
      <c r="J1269" s="41" t="str">
        <f t="shared" si="2"/>
        <v/>
      </c>
    </row>
    <row r="1270" ht="22.5" customHeight="1">
      <c r="A1270" s="29"/>
      <c r="B1270" s="31"/>
      <c r="C1270" s="193"/>
      <c r="D1270" s="190" t="str">
        <f t="array" ref="D1270">IF(E1270="", "", XLOOKUP(E1270, 'MASTER ITEM LIST'!B:B, 'MASTER ITEM LIST'!A:A, "Code Not Found"))</f>
        <v/>
      </c>
      <c r="E1270" s="35"/>
      <c r="F1270" s="194"/>
      <c r="G1270" s="31"/>
      <c r="H1270" s="39" t="str">
        <f t="array" ref="H1270">IFERROR(XLOOKUP(D1270,'MASTER ITEM LIST'!A:A,'MASTER ITEM LIST'!D:D), "")</f>
        <v/>
      </c>
      <c r="I1270" s="40"/>
      <c r="J1270" s="41" t="str">
        <f t="shared" si="2"/>
        <v/>
      </c>
    </row>
    <row r="1271" ht="22.5" customHeight="1">
      <c r="A1271" s="29"/>
      <c r="B1271" s="31"/>
      <c r="C1271" s="193"/>
      <c r="D1271" s="190" t="str">
        <f t="array" ref="D1271">IF(E1271="", "", XLOOKUP(E1271, 'MASTER ITEM LIST'!B:B, 'MASTER ITEM LIST'!A:A, "Code Not Found"))</f>
        <v/>
      </c>
      <c r="E1271" s="35"/>
      <c r="F1271" s="194"/>
      <c r="G1271" s="31"/>
      <c r="H1271" s="39" t="str">
        <f t="array" ref="H1271">IFERROR(XLOOKUP(D1271,'MASTER ITEM LIST'!A:A,'MASTER ITEM LIST'!D:D), "")</f>
        <v/>
      </c>
      <c r="I1271" s="40"/>
      <c r="J1271" s="41" t="str">
        <f t="shared" si="2"/>
        <v/>
      </c>
    </row>
    <row r="1272" ht="22.5" customHeight="1">
      <c r="A1272" s="29"/>
      <c r="B1272" s="31"/>
      <c r="C1272" s="193"/>
      <c r="D1272" s="190" t="str">
        <f t="array" ref="D1272">IF(E1272="", "", XLOOKUP(E1272, 'MASTER ITEM LIST'!B:B, 'MASTER ITEM LIST'!A:A, "Code Not Found"))</f>
        <v/>
      </c>
      <c r="E1272" s="35"/>
      <c r="F1272" s="194"/>
      <c r="G1272" s="31"/>
      <c r="H1272" s="39" t="str">
        <f t="array" ref="H1272">IFERROR(XLOOKUP(D1272,'MASTER ITEM LIST'!A:A,'MASTER ITEM LIST'!D:D), "")</f>
        <v/>
      </c>
      <c r="I1272" s="40"/>
      <c r="J1272" s="41" t="str">
        <f t="shared" si="2"/>
        <v/>
      </c>
    </row>
    <row r="1273" ht="22.5" customHeight="1">
      <c r="A1273" s="29"/>
      <c r="B1273" s="31"/>
      <c r="C1273" s="193"/>
      <c r="D1273" s="190" t="str">
        <f t="array" ref="D1273">IF(E1273="", "", XLOOKUP(E1273, 'MASTER ITEM LIST'!B:B, 'MASTER ITEM LIST'!A:A, "Code Not Found"))</f>
        <v/>
      </c>
      <c r="E1273" s="35"/>
      <c r="F1273" s="194"/>
      <c r="G1273" s="31"/>
      <c r="H1273" s="39" t="str">
        <f t="array" ref="H1273">IFERROR(XLOOKUP(D1273,'MASTER ITEM LIST'!A:A,'MASTER ITEM LIST'!D:D), "")</f>
        <v/>
      </c>
      <c r="I1273" s="40"/>
      <c r="J1273" s="41" t="str">
        <f t="shared" si="2"/>
        <v/>
      </c>
    </row>
    <row r="1274" ht="22.5" customHeight="1">
      <c r="A1274" s="29"/>
      <c r="B1274" s="31"/>
      <c r="C1274" s="193"/>
      <c r="D1274" s="190" t="str">
        <f t="array" ref="D1274">IF(E1274="", "", XLOOKUP(E1274, 'MASTER ITEM LIST'!B:B, 'MASTER ITEM LIST'!A:A, "Code Not Found"))</f>
        <v/>
      </c>
      <c r="E1274" s="35"/>
      <c r="F1274" s="194"/>
      <c r="G1274" s="31"/>
      <c r="H1274" s="39" t="str">
        <f t="array" ref="H1274">IFERROR(XLOOKUP(D1274,'MASTER ITEM LIST'!A:A,'MASTER ITEM LIST'!D:D), "")</f>
        <v/>
      </c>
      <c r="I1274" s="40"/>
      <c r="J1274" s="41" t="str">
        <f t="shared" si="2"/>
        <v/>
      </c>
    </row>
    <row r="1275" ht="22.5" customHeight="1">
      <c r="A1275" s="29"/>
      <c r="B1275" s="31"/>
      <c r="C1275" s="193"/>
      <c r="D1275" s="190" t="str">
        <f t="array" ref="D1275">IF(E1275="", "", XLOOKUP(E1275, 'MASTER ITEM LIST'!B:B, 'MASTER ITEM LIST'!A:A, "Code Not Found"))</f>
        <v/>
      </c>
      <c r="E1275" s="35"/>
      <c r="F1275" s="194"/>
      <c r="G1275" s="31"/>
      <c r="H1275" s="39" t="str">
        <f t="array" ref="H1275">IFERROR(XLOOKUP(D1275,'MASTER ITEM LIST'!A:A,'MASTER ITEM LIST'!D:D), "")</f>
        <v/>
      </c>
      <c r="I1275" s="40"/>
      <c r="J1275" s="41" t="str">
        <f t="shared" si="2"/>
        <v/>
      </c>
    </row>
    <row r="1276" ht="22.5" customHeight="1">
      <c r="A1276" s="29"/>
      <c r="B1276" s="31"/>
      <c r="C1276" s="193"/>
      <c r="D1276" s="190" t="str">
        <f t="array" ref="D1276">IF(E1276="", "", XLOOKUP(E1276, 'MASTER ITEM LIST'!B:B, 'MASTER ITEM LIST'!A:A, "Code Not Found"))</f>
        <v/>
      </c>
      <c r="E1276" s="35"/>
      <c r="F1276" s="194"/>
      <c r="G1276" s="31"/>
      <c r="H1276" s="39" t="str">
        <f t="array" ref="H1276">IFERROR(XLOOKUP(D1276,'MASTER ITEM LIST'!A:A,'MASTER ITEM LIST'!D:D), "")</f>
        <v/>
      </c>
      <c r="I1276" s="40"/>
      <c r="J1276" s="41" t="str">
        <f t="shared" si="2"/>
        <v/>
      </c>
    </row>
    <row r="1277" ht="22.5" customHeight="1">
      <c r="A1277" s="29"/>
      <c r="B1277" s="31"/>
      <c r="C1277" s="193"/>
      <c r="D1277" s="190" t="str">
        <f t="array" ref="D1277">IF(E1277="", "", XLOOKUP(E1277, 'MASTER ITEM LIST'!B:B, 'MASTER ITEM LIST'!A:A, "Code Not Found"))</f>
        <v/>
      </c>
      <c r="E1277" s="35"/>
      <c r="F1277" s="194"/>
      <c r="G1277" s="31"/>
      <c r="H1277" s="39" t="str">
        <f t="array" ref="H1277">IFERROR(XLOOKUP(D1277,'MASTER ITEM LIST'!A:A,'MASTER ITEM LIST'!D:D), "")</f>
        <v/>
      </c>
      <c r="I1277" s="40"/>
      <c r="J1277" s="41" t="str">
        <f t="shared" si="2"/>
        <v/>
      </c>
    </row>
    <row r="1278" ht="22.5" customHeight="1">
      <c r="A1278" s="29"/>
      <c r="B1278" s="31"/>
      <c r="C1278" s="193"/>
      <c r="D1278" s="190" t="str">
        <f t="array" ref="D1278">IF(E1278="", "", XLOOKUP(E1278, 'MASTER ITEM LIST'!B:B, 'MASTER ITEM LIST'!A:A, "Code Not Found"))</f>
        <v/>
      </c>
      <c r="E1278" s="35"/>
      <c r="F1278" s="194"/>
      <c r="G1278" s="31"/>
      <c r="H1278" s="39" t="str">
        <f t="array" ref="H1278">IFERROR(XLOOKUP(D1278,'MASTER ITEM LIST'!A:A,'MASTER ITEM LIST'!D:D), "")</f>
        <v/>
      </c>
      <c r="I1278" s="40"/>
      <c r="J1278" s="41" t="str">
        <f t="shared" si="2"/>
        <v/>
      </c>
    </row>
    <row r="1279" ht="22.5" customHeight="1">
      <c r="A1279" s="29"/>
      <c r="B1279" s="31"/>
      <c r="C1279" s="193"/>
      <c r="D1279" s="190" t="str">
        <f t="array" ref="D1279">IF(E1279="", "", XLOOKUP(E1279, 'MASTER ITEM LIST'!B:B, 'MASTER ITEM LIST'!A:A, "Code Not Found"))</f>
        <v/>
      </c>
      <c r="E1279" s="35"/>
      <c r="F1279" s="194"/>
      <c r="G1279" s="31"/>
      <c r="H1279" s="39" t="str">
        <f t="array" ref="H1279">IFERROR(XLOOKUP(D1279,'MASTER ITEM LIST'!A:A,'MASTER ITEM LIST'!D:D), "")</f>
        <v/>
      </c>
      <c r="I1279" s="40"/>
      <c r="J1279" s="41" t="str">
        <f t="shared" si="2"/>
        <v/>
      </c>
    </row>
    <row r="1280" ht="22.5" customHeight="1">
      <c r="A1280" s="29"/>
      <c r="B1280" s="31"/>
      <c r="C1280" s="193"/>
      <c r="D1280" s="190" t="str">
        <f t="array" ref="D1280">IF(E1280="", "", XLOOKUP(E1280, 'MASTER ITEM LIST'!B:B, 'MASTER ITEM LIST'!A:A, "Code Not Found"))</f>
        <v/>
      </c>
      <c r="E1280" s="35"/>
      <c r="F1280" s="194"/>
      <c r="G1280" s="31"/>
      <c r="H1280" s="39" t="str">
        <f t="array" ref="H1280">IFERROR(XLOOKUP(D1280,'MASTER ITEM LIST'!A:A,'MASTER ITEM LIST'!D:D), "")</f>
        <v/>
      </c>
      <c r="I1280" s="40"/>
      <c r="J1280" s="41" t="str">
        <f t="shared" si="2"/>
        <v/>
      </c>
    </row>
    <row r="1281" ht="22.5" customHeight="1">
      <c r="A1281" s="29"/>
      <c r="B1281" s="31"/>
      <c r="C1281" s="193"/>
      <c r="D1281" s="190" t="str">
        <f t="array" ref="D1281">IF(E1281="", "", XLOOKUP(E1281, 'MASTER ITEM LIST'!B:B, 'MASTER ITEM LIST'!A:A, "Code Not Found"))</f>
        <v/>
      </c>
      <c r="E1281" s="35"/>
      <c r="F1281" s="194"/>
      <c r="G1281" s="31"/>
      <c r="H1281" s="39" t="str">
        <f t="array" ref="H1281">IFERROR(XLOOKUP(D1281,'MASTER ITEM LIST'!A:A,'MASTER ITEM LIST'!D:D), "")</f>
        <v/>
      </c>
      <c r="I1281" s="40"/>
      <c r="J1281" s="41" t="str">
        <f t="shared" si="2"/>
        <v/>
      </c>
    </row>
    <row r="1282" ht="22.5" customHeight="1">
      <c r="A1282" s="29"/>
      <c r="B1282" s="31"/>
      <c r="C1282" s="193"/>
      <c r="D1282" s="190" t="str">
        <f t="array" ref="D1282">IF(E1282="", "", XLOOKUP(E1282, 'MASTER ITEM LIST'!B:B, 'MASTER ITEM LIST'!A:A, "Code Not Found"))</f>
        <v/>
      </c>
      <c r="E1282" s="35"/>
      <c r="F1282" s="194"/>
      <c r="G1282" s="31"/>
      <c r="H1282" s="39" t="str">
        <f t="array" ref="H1282">IFERROR(XLOOKUP(D1282,'MASTER ITEM LIST'!A:A,'MASTER ITEM LIST'!D:D), "")</f>
        <v/>
      </c>
      <c r="I1282" s="40"/>
      <c r="J1282" s="41" t="str">
        <f t="shared" si="2"/>
        <v/>
      </c>
    </row>
    <row r="1283" ht="22.5" customHeight="1">
      <c r="A1283" s="29"/>
      <c r="B1283" s="31"/>
      <c r="C1283" s="193"/>
      <c r="D1283" s="190" t="str">
        <f t="array" ref="D1283">IF(E1283="", "", XLOOKUP(E1283, 'MASTER ITEM LIST'!B:B, 'MASTER ITEM LIST'!A:A, "Code Not Found"))</f>
        <v/>
      </c>
      <c r="E1283" s="35"/>
      <c r="F1283" s="194"/>
      <c r="G1283" s="31"/>
      <c r="H1283" s="39" t="str">
        <f t="array" ref="H1283">IFERROR(XLOOKUP(D1283,'MASTER ITEM LIST'!A:A,'MASTER ITEM LIST'!D:D), "")</f>
        <v/>
      </c>
      <c r="I1283" s="40"/>
      <c r="J1283" s="41" t="str">
        <f t="shared" si="2"/>
        <v/>
      </c>
    </row>
    <row r="1284" ht="22.5" customHeight="1">
      <c r="A1284" s="29"/>
      <c r="B1284" s="31"/>
      <c r="C1284" s="193"/>
      <c r="D1284" s="190" t="str">
        <f t="array" ref="D1284">IF(E1284="", "", XLOOKUP(E1284, 'MASTER ITEM LIST'!B:B, 'MASTER ITEM LIST'!A:A, "Code Not Found"))</f>
        <v/>
      </c>
      <c r="E1284" s="35"/>
      <c r="F1284" s="194"/>
      <c r="G1284" s="31"/>
      <c r="H1284" s="39" t="str">
        <f t="array" ref="H1284">IFERROR(XLOOKUP(D1284,'MASTER ITEM LIST'!A:A,'MASTER ITEM LIST'!D:D), "")</f>
        <v/>
      </c>
      <c r="I1284" s="40"/>
      <c r="J1284" s="41" t="str">
        <f t="shared" si="2"/>
        <v/>
      </c>
    </row>
    <row r="1285" ht="22.5" customHeight="1">
      <c r="A1285" s="29"/>
      <c r="B1285" s="31"/>
      <c r="C1285" s="193"/>
      <c r="D1285" s="190" t="str">
        <f t="array" ref="D1285">IF(E1285="", "", XLOOKUP(E1285, 'MASTER ITEM LIST'!B:B, 'MASTER ITEM LIST'!A:A, "Code Not Found"))</f>
        <v/>
      </c>
      <c r="E1285" s="35"/>
      <c r="F1285" s="194"/>
      <c r="G1285" s="31"/>
      <c r="H1285" s="39" t="str">
        <f t="array" ref="H1285">IFERROR(XLOOKUP(D1285,'MASTER ITEM LIST'!A:A,'MASTER ITEM LIST'!D:D), "")</f>
        <v/>
      </c>
      <c r="I1285" s="40"/>
      <c r="J1285" s="41" t="str">
        <f t="shared" si="2"/>
        <v/>
      </c>
    </row>
    <row r="1286" ht="22.5" customHeight="1">
      <c r="A1286" s="29"/>
      <c r="B1286" s="31"/>
      <c r="C1286" s="193"/>
      <c r="D1286" s="190" t="str">
        <f t="array" ref="D1286">IF(E1286="", "", XLOOKUP(E1286, 'MASTER ITEM LIST'!B:B, 'MASTER ITEM LIST'!A:A, "Code Not Found"))</f>
        <v/>
      </c>
      <c r="E1286" s="35"/>
      <c r="F1286" s="194"/>
      <c r="G1286" s="31"/>
      <c r="H1286" s="39" t="str">
        <f t="array" ref="H1286">IFERROR(XLOOKUP(D1286,'MASTER ITEM LIST'!A:A,'MASTER ITEM LIST'!D:D), "")</f>
        <v/>
      </c>
      <c r="I1286" s="40"/>
      <c r="J1286" s="41" t="str">
        <f t="shared" si="2"/>
        <v/>
      </c>
    </row>
    <row r="1287" ht="22.5" customHeight="1">
      <c r="A1287" s="29"/>
      <c r="B1287" s="31"/>
      <c r="C1287" s="193"/>
      <c r="D1287" s="190" t="str">
        <f t="array" ref="D1287">IF(E1287="", "", XLOOKUP(E1287, 'MASTER ITEM LIST'!B:B, 'MASTER ITEM LIST'!A:A, "Code Not Found"))</f>
        <v/>
      </c>
      <c r="E1287" s="35"/>
      <c r="F1287" s="194"/>
      <c r="G1287" s="31"/>
      <c r="H1287" s="39" t="str">
        <f t="array" ref="H1287">IFERROR(XLOOKUP(D1287,'MASTER ITEM LIST'!A:A,'MASTER ITEM LIST'!D:D), "")</f>
        <v/>
      </c>
      <c r="I1287" s="40"/>
      <c r="J1287" s="41" t="str">
        <f t="shared" si="2"/>
        <v/>
      </c>
    </row>
    <row r="1288" ht="22.5" customHeight="1">
      <c r="A1288" s="29"/>
      <c r="B1288" s="31"/>
      <c r="C1288" s="193"/>
      <c r="D1288" s="190" t="str">
        <f t="array" ref="D1288">IF(E1288="", "", XLOOKUP(E1288, 'MASTER ITEM LIST'!B:B, 'MASTER ITEM LIST'!A:A, "Code Not Found"))</f>
        <v/>
      </c>
      <c r="E1288" s="35"/>
      <c r="F1288" s="194"/>
      <c r="G1288" s="31"/>
      <c r="H1288" s="39" t="str">
        <f t="array" ref="H1288">IFERROR(XLOOKUP(D1288,'MASTER ITEM LIST'!A:A,'MASTER ITEM LIST'!D:D), "")</f>
        <v/>
      </c>
      <c r="I1288" s="40"/>
      <c r="J1288" s="41" t="str">
        <f t="shared" si="2"/>
        <v/>
      </c>
    </row>
    <row r="1289" ht="22.5" customHeight="1">
      <c r="A1289" s="29"/>
      <c r="B1289" s="31"/>
      <c r="C1289" s="193"/>
      <c r="D1289" s="190" t="str">
        <f t="array" ref="D1289">IF(E1289="", "", XLOOKUP(E1289, 'MASTER ITEM LIST'!B:B, 'MASTER ITEM LIST'!A:A, "Code Not Found"))</f>
        <v/>
      </c>
      <c r="E1289" s="35"/>
      <c r="F1289" s="194"/>
      <c r="G1289" s="31"/>
      <c r="H1289" s="39" t="str">
        <f t="array" ref="H1289">IFERROR(XLOOKUP(D1289,'MASTER ITEM LIST'!A:A,'MASTER ITEM LIST'!D:D), "")</f>
        <v/>
      </c>
      <c r="I1289" s="40"/>
      <c r="J1289" s="41" t="str">
        <f t="shared" si="2"/>
        <v/>
      </c>
    </row>
    <row r="1290" ht="22.5" customHeight="1">
      <c r="A1290" s="29"/>
      <c r="B1290" s="31"/>
      <c r="C1290" s="193"/>
      <c r="D1290" s="190" t="str">
        <f t="array" ref="D1290">IF(E1290="", "", XLOOKUP(E1290, 'MASTER ITEM LIST'!B:B, 'MASTER ITEM LIST'!A:A, "Code Not Found"))</f>
        <v/>
      </c>
      <c r="E1290" s="35"/>
      <c r="F1290" s="194"/>
      <c r="G1290" s="31"/>
      <c r="H1290" s="39" t="str">
        <f t="array" ref="H1290">IFERROR(XLOOKUP(D1290,'MASTER ITEM LIST'!A:A,'MASTER ITEM LIST'!D:D), "")</f>
        <v/>
      </c>
      <c r="I1290" s="40"/>
      <c r="J1290" s="41" t="str">
        <f t="shared" si="2"/>
        <v/>
      </c>
    </row>
    <row r="1291" ht="22.5" customHeight="1">
      <c r="A1291" s="29"/>
      <c r="B1291" s="31"/>
      <c r="C1291" s="193"/>
      <c r="D1291" s="190" t="str">
        <f t="array" ref="D1291">IF(E1291="", "", XLOOKUP(E1291, 'MASTER ITEM LIST'!B:B, 'MASTER ITEM LIST'!A:A, "Code Not Found"))</f>
        <v/>
      </c>
      <c r="E1291" s="35"/>
      <c r="F1291" s="194"/>
      <c r="G1291" s="31"/>
      <c r="H1291" s="39" t="str">
        <f t="array" ref="H1291">IFERROR(XLOOKUP(D1291,'MASTER ITEM LIST'!A:A,'MASTER ITEM LIST'!D:D), "")</f>
        <v/>
      </c>
      <c r="I1291" s="40"/>
      <c r="J1291" s="41" t="str">
        <f t="shared" si="2"/>
        <v/>
      </c>
    </row>
    <row r="1292" ht="22.5" customHeight="1">
      <c r="A1292" s="29"/>
      <c r="B1292" s="31"/>
      <c r="C1292" s="193"/>
      <c r="D1292" s="190" t="str">
        <f t="array" ref="D1292">IF(E1292="", "", XLOOKUP(E1292, 'MASTER ITEM LIST'!B:B, 'MASTER ITEM LIST'!A:A, "Code Not Found"))</f>
        <v/>
      </c>
      <c r="E1292" s="35"/>
      <c r="F1292" s="194"/>
      <c r="G1292" s="31"/>
      <c r="H1292" s="39" t="str">
        <f t="array" ref="H1292">IFERROR(XLOOKUP(D1292,'MASTER ITEM LIST'!A:A,'MASTER ITEM LIST'!D:D), "")</f>
        <v/>
      </c>
      <c r="I1292" s="40"/>
      <c r="J1292" s="41" t="str">
        <f t="shared" si="2"/>
        <v/>
      </c>
    </row>
    <row r="1293" ht="22.5" customHeight="1">
      <c r="A1293" s="29"/>
      <c r="B1293" s="31"/>
      <c r="C1293" s="193"/>
      <c r="D1293" s="190" t="str">
        <f t="array" ref="D1293">IF(E1293="", "", XLOOKUP(E1293, 'MASTER ITEM LIST'!B:B, 'MASTER ITEM LIST'!A:A, "Code Not Found"))</f>
        <v/>
      </c>
      <c r="E1293" s="35"/>
      <c r="F1293" s="194"/>
      <c r="G1293" s="31"/>
      <c r="H1293" s="39" t="str">
        <f t="array" ref="H1293">IFERROR(XLOOKUP(D1293,'MASTER ITEM LIST'!A:A,'MASTER ITEM LIST'!D:D), "")</f>
        <v/>
      </c>
      <c r="I1293" s="40"/>
      <c r="J1293" s="41" t="str">
        <f t="shared" si="2"/>
        <v/>
      </c>
    </row>
    <row r="1294" ht="22.5" customHeight="1">
      <c r="A1294" s="29"/>
      <c r="B1294" s="31"/>
      <c r="C1294" s="193"/>
      <c r="D1294" s="190" t="str">
        <f t="array" ref="D1294">IF(E1294="", "", XLOOKUP(E1294, 'MASTER ITEM LIST'!B:B, 'MASTER ITEM LIST'!A:A, "Code Not Found"))</f>
        <v/>
      </c>
      <c r="E1294" s="35"/>
      <c r="F1294" s="194"/>
      <c r="G1294" s="31"/>
      <c r="H1294" s="39" t="str">
        <f t="array" ref="H1294">IFERROR(XLOOKUP(D1294,'MASTER ITEM LIST'!A:A,'MASTER ITEM LIST'!D:D), "")</f>
        <v/>
      </c>
      <c r="I1294" s="40"/>
      <c r="J1294" s="41" t="str">
        <f t="shared" si="2"/>
        <v/>
      </c>
    </row>
    <row r="1295" ht="22.5" customHeight="1">
      <c r="A1295" s="29"/>
      <c r="B1295" s="31"/>
      <c r="C1295" s="193"/>
      <c r="D1295" s="190" t="str">
        <f t="array" ref="D1295">IF(E1295="", "", XLOOKUP(E1295, 'MASTER ITEM LIST'!B:B, 'MASTER ITEM LIST'!A:A, "Code Not Found"))</f>
        <v/>
      </c>
      <c r="E1295" s="35"/>
      <c r="F1295" s="194"/>
      <c r="G1295" s="31"/>
      <c r="H1295" s="39" t="str">
        <f t="array" ref="H1295">IFERROR(XLOOKUP(D1295,'MASTER ITEM LIST'!A:A,'MASTER ITEM LIST'!D:D), "")</f>
        <v/>
      </c>
      <c r="I1295" s="40"/>
      <c r="J1295" s="41" t="str">
        <f t="shared" si="2"/>
        <v/>
      </c>
    </row>
    <row r="1296" ht="22.5" customHeight="1">
      <c r="A1296" s="29"/>
      <c r="B1296" s="31"/>
      <c r="C1296" s="193"/>
      <c r="D1296" s="190" t="str">
        <f t="array" ref="D1296">IF(E1296="", "", XLOOKUP(E1296, 'MASTER ITEM LIST'!B:B, 'MASTER ITEM LIST'!A:A, "Code Not Found"))</f>
        <v/>
      </c>
      <c r="E1296" s="35"/>
      <c r="F1296" s="194"/>
      <c r="G1296" s="31"/>
      <c r="H1296" s="39" t="str">
        <f t="array" ref="H1296">IFERROR(XLOOKUP(D1296,'MASTER ITEM LIST'!A:A,'MASTER ITEM LIST'!D:D), "")</f>
        <v/>
      </c>
      <c r="I1296" s="40"/>
      <c r="J1296" s="41" t="str">
        <f t="shared" si="2"/>
        <v/>
      </c>
    </row>
    <row r="1297" ht="22.5" customHeight="1">
      <c r="A1297" s="29"/>
      <c r="B1297" s="31"/>
      <c r="C1297" s="193"/>
      <c r="D1297" s="190" t="str">
        <f t="array" ref="D1297">IF(E1297="", "", XLOOKUP(E1297, 'MASTER ITEM LIST'!B:B, 'MASTER ITEM LIST'!A:A, "Code Not Found"))</f>
        <v/>
      </c>
      <c r="E1297" s="35"/>
      <c r="F1297" s="194"/>
      <c r="G1297" s="31"/>
      <c r="H1297" s="39" t="str">
        <f t="array" ref="H1297">IFERROR(XLOOKUP(D1297,'MASTER ITEM LIST'!A:A,'MASTER ITEM LIST'!D:D), "")</f>
        <v/>
      </c>
      <c r="I1297" s="40"/>
      <c r="J1297" s="41" t="str">
        <f t="shared" si="2"/>
        <v/>
      </c>
    </row>
    <row r="1298" ht="22.5" customHeight="1">
      <c r="A1298" s="29"/>
      <c r="B1298" s="31"/>
      <c r="C1298" s="193"/>
      <c r="D1298" s="190" t="str">
        <f t="array" ref="D1298">IF(E1298="", "", XLOOKUP(E1298, 'MASTER ITEM LIST'!B:B, 'MASTER ITEM LIST'!A:A, "Code Not Found"))</f>
        <v/>
      </c>
      <c r="E1298" s="35"/>
      <c r="F1298" s="194"/>
      <c r="G1298" s="31"/>
      <c r="H1298" s="39" t="str">
        <f t="array" ref="H1298">IFERROR(XLOOKUP(D1298,'MASTER ITEM LIST'!A:A,'MASTER ITEM LIST'!D:D), "")</f>
        <v/>
      </c>
      <c r="I1298" s="40"/>
      <c r="J1298" s="41" t="str">
        <f t="shared" si="2"/>
        <v/>
      </c>
    </row>
    <row r="1299" ht="22.5" customHeight="1">
      <c r="A1299" s="29"/>
      <c r="B1299" s="31"/>
      <c r="C1299" s="193"/>
      <c r="D1299" s="190" t="str">
        <f t="array" ref="D1299">IF(E1299="", "", XLOOKUP(E1299, 'MASTER ITEM LIST'!B:B, 'MASTER ITEM LIST'!A:A, "Code Not Found"))</f>
        <v/>
      </c>
      <c r="E1299" s="35"/>
      <c r="F1299" s="194"/>
      <c r="G1299" s="31"/>
      <c r="H1299" s="39" t="str">
        <f t="array" ref="H1299">IFERROR(XLOOKUP(D1299,'MASTER ITEM LIST'!A:A,'MASTER ITEM LIST'!D:D), "")</f>
        <v/>
      </c>
      <c r="I1299" s="40"/>
      <c r="J1299" s="41" t="str">
        <f t="shared" si="2"/>
        <v/>
      </c>
    </row>
    <row r="1300" ht="22.5" customHeight="1">
      <c r="A1300" s="29"/>
      <c r="B1300" s="31"/>
      <c r="C1300" s="193"/>
      <c r="D1300" s="190" t="str">
        <f t="array" ref="D1300">IF(E1300="", "", XLOOKUP(E1300, 'MASTER ITEM LIST'!B:B, 'MASTER ITEM LIST'!A:A, "Code Not Found"))</f>
        <v/>
      </c>
      <c r="E1300" s="35"/>
      <c r="F1300" s="194"/>
      <c r="G1300" s="31"/>
      <c r="H1300" s="39" t="str">
        <f t="array" ref="H1300">IFERROR(XLOOKUP(D1300,'MASTER ITEM LIST'!A:A,'MASTER ITEM LIST'!D:D), "")</f>
        <v/>
      </c>
      <c r="I1300" s="40"/>
      <c r="J1300" s="41" t="str">
        <f t="shared" si="2"/>
        <v/>
      </c>
    </row>
    <row r="1301" ht="22.5" customHeight="1">
      <c r="A1301" s="29"/>
      <c r="B1301" s="31"/>
      <c r="C1301" s="193"/>
      <c r="D1301" s="190" t="str">
        <f t="array" ref="D1301">IF(E1301="", "", XLOOKUP(E1301, 'MASTER ITEM LIST'!B:B, 'MASTER ITEM LIST'!A:A, "Code Not Found"))</f>
        <v/>
      </c>
      <c r="E1301" s="35"/>
      <c r="F1301" s="194"/>
      <c r="G1301" s="31"/>
      <c r="H1301" s="39" t="str">
        <f t="array" ref="H1301">IFERROR(XLOOKUP(D1301,'MASTER ITEM LIST'!A:A,'MASTER ITEM LIST'!D:D), "")</f>
        <v/>
      </c>
      <c r="I1301" s="40"/>
      <c r="J1301" s="41" t="str">
        <f t="shared" si="2"/>
        <v/>
      </c>
    </row>
    <row r="1302" ht="22.5" customHeight="1">
      <c r="A1302" s="29"/>
      <c r="B1302" s="31"/>
      <c r="C1302" s="193"/>
      <c r="D1302" s="190" t="str">
        <f t="array" ref="D1302">IF(E1302="", "", XLOOKUP(E1302, 'MASTER ITEM LIST'!B:B, 'MASTER ITEM LIST'!A:A, "Code Not Found"))</f>
        <v/>
      </c>
      <c r="E1302" s="35"/>
      <c r="F1302" s="194"/>
      <c r="G1302" s="31"/>
      <c r="H1302" s="39" t="str">
        <f t="array" ref="H1302">IFERROR(XLOOKUP(D1302,'MASTER ITEM LIST'!A:A,'MASTER ITEM LIST'!D:D), "")</f>
        <v/>
      </c>
      <c r="I1302" s="40"/>
      <c r="J1302" s="41" t="str">
        <f t="shared" si="2"/>
        <v/>
      </c>
    </row>
    <row r="1303" ht="22.5" customHeight="1">
      <c r="A1303" s="29"/>
      <c r="B1303" s="31"/>
      <c r="C1303" s="193"/>
      <c r="D1303" s="190" t="str">
        <f t="array" ref="D1303">IF(E1303="", "", XLOOKUP(E1303, 'MASTER ITEM LIST'!B:B, 'MASTER ITEM LIST'!A:A, "Code Not Found"))</f>
        <v/>
      </c>
      <c r="E1303" s="35"/>
      <c r="F1303" s="194"/>
      <c r="G1303" s="31"/>
      <c r="H1303" s="39" t="str">
        <f t="array" ref="H1303">IFERROR(XLOOKUP(D1303,'MASTER ITEM LIST'!A:A,'MASTER ITEM LIST'!D:D), "")</f>
        <v/>
      </c>
      <c r="I1303" s="40"/>
      <c r="J1303" s="41" t="str">
        <f t="shared" si="2"/>
        <v/>
      </c>
    </row>
    <row r="1304" ht="22.5" customHeight="1">
      <c r="A1304" s="29"/>
      <c r="B1304" s="31"/>
      <c r="C1304" s="193"/>
      <c r="D1304" s="190" t="str">
        <f t="array" ref="D1304">IF(E1304="", "", XLOOKUP(E1304, 'MASTER ITEM LIST'!B:B, 'MASTER ITEM LIST'!A:A, "Code Not Found"))</f>
        <v/>
      </c>
      <c r="E1304" s="35"/>
      <c r="F1304" s="194"/>
      <c r="G1304" s="31"/>
      <c r="H1304" s="39" t="str">
        <f t="array" ref="H1304">IFERROR(XLOOKUP(D1304,'MASTER ITEM LIST'!A:A,'MASTER ITEM LIST'!D:D), "")</f>
        <v/>
      </c>
      <c r="I1304" s="40"/>
      <c r="J1304" s="41" t="str">
        <f t="shared" si="2"/>
        <v/>
      </c>
    </row>
    <row r="1305" ht="22.5" customHeight="1">
      <c r="A1305" s="29"/>
      <c r="B1305" s="31"/>
      <c r="C1305" s="193"/>
      <c r="D1305" s="190" t="str">
        <f t="array" ref="D1305">IF(E1305="", "", XLOOKUP(E1305, 'MASTER ITEM LIST'!B:B, 'MASTER ITEM LIST'!A:A, "Code Not Found"))</f>
        <v/>
      </c>
      <c r="E1305" s="35"/>
      <c r="F1305" s="194"/>
      <c r="G1305" s="31"/>
      <c r="H1305" s="39" t="str">
        <f t="array" ref="H1305">IFERROR(XLOOKUP(D1305,'MASTER ITEM LIST'!A:A,'MASTER ITEM LIST'!D:D), "")</f>
        <v/>
      </c>
      <c r="I1305" s="40"/>
      <c r="J1305" s="41" t="str">
        <f t="shared" si="2"/>
        <v/>
      </c>
    </row>
    <row r="1306" ht="22.5" customHeight="1">
      <c r="A1306" s="29"/>
      <c r="B1306" s="31"/>
      <c r="C1306" s="193"/>
      <c r="D1306" s="190" t="str">
        <f t="array" ref="D1306">IF(E1306="", "", XLOOKUP(E1306, 'MASTER ITEM LIST'!B:B, 'MASTER ITEM LIST'!A:A, "Code Not Found"))</f>
        <v/>
      </c>
      <c r="E1306" s="35"/>
      <c r="F1306" s="194"/>
      <c r="G1306" s="31"/>
      <c r="H1306" s="39" t="str">
        <f t="array" ref="H1306">IFERROR(XLOOKUP(D1306,'MASTER ITEM LIST'!A:A,'MASTER ITEM LIST'!D:D), "")</f>
        <v/>
      </c>
      <c r="I1306" s="40"/>
      <c r="J1306" s="41" t="str">
        <f t="shared" si="2"/>
        <v/>
      </c>
    </row>
    <row r="1307" ht="22.5" customHeight="1">
      <c r="A1307" s="29"/>
      <c r="B1307" s="31"/>
      <c r="C1307" s="193"/>
      <c r="D1307" s="190" t="str">
        <f t="array" ref="D1307">IF(E1307="", "", XLOOKUP(E1307, 'MASTER ITEM LIST'!B:B, 'MASTER ITEM LIST'!A:A, "Code Not Found"))</f>
        <v/>
      </c>
      <c r="E1307" s="35"/>
      <c r="F1307" s="194"/>
      <c r="G1307" s="31"/>
      <c r="H1307" s="39" t="str">
        <f t="array" ref="H1307">IFERROR(XLOOKUP(D1307,'MASTER ITEM LIST'!A:A,'MASTER ITEM LIST'!D:D), "")</f>
        <v/>
      </c>
      <c r="I1307" s="40"/>
      <c r="J1307" s="41" t="str">
        <f t="shared" si="2"/>
        <v/>
      </c>
    </row>
    <row r="1308" ht="22.5" customHeight="1">
      <c r="A1308" s="29"/>
      <c r="B1308" s="31"/>
      <c r="C1308" s="193"/>
      <c r="D1308" s="190" t="str">
        <f t="array" ref="D1308">IF(E1308="", "", XLOOKUP(E1308, 'MASTER ITEM LIST'!B:B, 'MASTER ITEM LIST'!A:A, "Code Not Found"))</f>
        <v/>
      </c>
      <c r="E1308" s="35"/>
      <c r="F1308" s="194"/>
      <c r="G1308" s="31"/>
      <c r="H1308" s="39" t="str">
        <f t="array" ref="H1308">IFERROR(XLOOKUP(D1308,'MASTER ITEM LIST'!A:A,'MASTER ITEM LIST'!D:D), "")</f>
        <v/>
      </c>
      <c r="I1308" s="40"/>
      <c r="J1308" s="41" t="str">
        <f t="shared" si="2"/>
        <v/>
      </c>
    </row>
    <row r="1309" ht="22.5" customHeight="1">
      <c r="A1309" s="29"/>
      <c r="B1309" s="31"/>
      <c r="C1309" s="193"/>
      <c r="D1309" s="190" t="str">
        <f t="array" ref="D1309">IF(E1309="", "", XLOOKUP(E1309, 'MASTER ITEM LIST'!B:B, 'MASTER ITEM LIST'!A:A, "Code Not Found"))</f>
        <v/>
      </c>
      <c r="E1309" s="35"/>
      <c r="F1309" s="194"/>
      <c r="G1309" s="31"/>
      <c r="H1309" s="39" t="str">
        <f t="array" ref="H1309">IFERROR(XLOOKUP(D1309,'MASTER ITEM LIST'!A:A,'MASTER ITEM LIST'!D:D), "")</f>
        <v/>
      </c>
      <c r="I1309" s="40"/>
      <c r="J1309" s="41" t="str">
        <f t="shared" si="2"/>
        <v/>
      </c>
    </row>
    <row r="1310" ht="22.5" customHeight="1">
      <c r="A1310" s="29"/>
      <c r="B1310" s="31"/>
      <c r="C1310" s="193"/>
      <c r="D1310" s="190" t="str">
        <f t="array" ref="D1310">IF(E1310="", "", XLOOKUP(E1310, 'MASTER ITEM LIST'!B:B, 'MASTER ITEM LIST'!A:A, "Code Not Found"))</f>
        <v/>
      </c>
      <c r="E1310" s="35"/>
      <c r="F1310" s="194"/>
      <c r="G1310" s="31"/>
      <c r="H1310" s="39" t="str">
        <f t="array" ref="H1310">IFERROR(XLOOKUP(D1310,'MASTER ITEM LIST'!A:A,'MASTER ITEM LIST'!D:D), "")</f>
        <v/>
      </c>
      <c r="I1310" s="40"/>
      <c r="J1310" s="41" t="str">
        <f t="shared" si="2"/>
        <v/>
      </c>
    </row>
    <row r="1311" ht="22.5" customHeight="1">
      <c r="A1311" s="29"/>
      <c r="B1311" s="31"/>
      <c r="C1311" s="193"/>
      <c r="D1311" s="190" t="str">
        <f t="array" ref="D1311">IF(E1311="", "", XLOOKUP(E1311, 'MASTER ITEM LIST'!B:B, 'MASTER ITEM LIST'!A:A, "Code Not Found"))</f>
        <v/>
      </c>
      <c r="E1311" s="35"/>
      <c r="F1311" s="194"/>
      <c r="G1311" s="31"/>
      <c r="H1311" s="39" t="str">
        <f t="array" ref="H1311">IFERROR(XLOOKUP(D1311,'MASTER ITEM LIST'!A:A,'MASTER ITEM LIST'!D:D), "")</f>
        <v/>
      </c>
      <c r="I1311" s="40"/>
      <c r="J1311" s="41" t="str">
        <f t="shared" si="2"/>
        <v/>
      </c>
    </row>
    <row r="1312" ht="22.5" customHeight="1">
      <c r="A1312" s="29"/>
      <c r="B1312" s="31"/>
      <c r="C1312" s="193"/>
      <c r="D1312" s="190" t="str">
        <f t="array" ref="D1312">IF(E1312="", "", XLOOKUP(E1312, 'MASTER ITEM LIST'!B:B, 'MASTER ITEM LIST'!A:A, "Code Not Found"))</f>
        <v/>
      </c>
      <c r="E1312" s="35"/>
      <c r="F1312" s="194"/>
      <c r="G1312" s="31"/>
      <c r="H1312" s="39" t="str">
        <f t="array" ref="H1312">IFERROR(XLOOKUP(D1312,'MASTER ITEM LIST'!A:A,'MASTER ITEM LIST'!D:D), "")</f>
        <v/>
      </c>
      <c r="I1312" s="40"/>
      <c r="J1312" s="41" t="str">
        <f t="shared" si="2"/>
        <v/>
      </c>
    </row>
    <row r="1313" ht="22.5" customHeight="1">
      <c r="A1313" s="29"/>
      <c r="B1313" s="31"/>
      <c r="C1313" s="193"/>
      <c r="D1313" s="190" t="str">
        <f t="array" ref="D1313">IF(E1313="", "", XLOOKUP(E1313, 'MASTER ITEM LIST'!B:B, 'MASTER ITEM LIST'!A:A, "Code Not Found"))</f>
        <v/>
      </c>
      <c r="E1313" s="35"/>
      <c r="F1313" s="194"/>
      <c r="G1313" s="31"/>
      <c r="H1313" s="39" t="str">
        <f t="array" ref="H1313">IFERROR(XLOOKUP(D1313,'MASTER ITEM LIST'!A:A,'MASTER ITEM LIST'!D:D), "")</f>
        <v/>
      </c>
      <c r="I1313" s="40"/>
      <c r="J1313" s="41" t="str">
        <f t="shared" si="2"/>
        <v/>
      </c>
    </row>
    <row r="1314" ht="22.5" customHeight="1">
      <c r="A1314" s="29"/>
      <c r="B1314" s="31"/>
      <c r="C1314" s="193"/>
      <c r="D1314" s="190" t="str">
        <f t="array" ref="D1314">IF(E1314="", "", XLOOKUP(E1314, 'MASTER ITEM LIST'!B:B, 'MASTER ITEM LIST'!A:A, "Code Not Found"))</f>
        <v/>
      </c>
      <c r="E1314" s="35"/>
      <c r="F1314" s="194"/>
      <c r="G1314" s="31"/>
      <c r="H1314" s="39" t="str">
        <f t="array" ref="H1314">IFERROR(XLOOKUP(D1314,'MASTER ITEM LIST'!A:A,'MASTER ITEM LIST'!D:D), "")</f>
        <v/>
      </c>
      <c r="I1314" s="40"/>
      <c r="J1314" s="41" t="str">
        <f t="shared" si="2"/>
        <v/>
      </c>
    </row>
    <row r="1315" ht="22.5" customHeight="1">
      <c r="A1315" s="29"/>
      <c r="B1315" s="31"/>
      <c r="C1315" s="193"/>
      <c r="D1315" s="190" t="str">
        <f t="array" ref="D1315">IF(E1315="", "", XLOOKUP(E1315, 'MASTER ITEM LIST'!B:B, 'MASTER ITEM LIST'!A:A, "Code Not Found"))</f>
        <v/>
      </c>
      <c r="E1315" s="35"/>
      <c r="F1315" s="194"/>
      <c r="G1315" s="31"/>
      <c r="H1315" s="39" t="str">
        <f t="array" ref="H1315">IFERROR(XLOOKUP(D1315,'MASTER ITEM LIST'!A:A,'MASTER ITEM LIST'!D:D), "")</f>
        <v/>
      </c>
      <c r="I1315" s="40"/>
      <c r="J1315" s="41" t="str">
        <f t="shared" si="2"/>
        <v/>
      </c>
    </row>
    <row r="1316" ht="22.5" customHeight="1">
      <c r="A1316" s="29"/>
      <c r="B1316" s="31"/>
      <c r="C1316" s="193"/>
      <c r="D1316" s="190" t="str">
        <f t="array" ref="D1316">IF(E1316="", "", XLOOKUP(E1316, 'MASTER ITEM LIST'!B:B, 'MASTER ITEM LIST'!A:A, "Code Not Found"))</f>
        <v/>
      </c>
      <c r="E1316" s="35"/>
      <c r="F1316" s="194"/>
      <c r="G1316" s="31"/>
      <c r="H1316" s="39" t="str">
        <f t="array" ref="H1316">IFERROR(XLOOKUP(D1316,'MASTER ITEM LIST'!A:A,'MASTER ITEM LIST'!D:D), "")</f>
        <v/>
      </c>
      <c r="I1316" s="40"/>
      <c r="J1316" s="41" t="str">
        <f t="shared" si="2"/>
        <v/>
      </c>
    </row>
    <row r="1317" ht="22.5" customHeight="1">
      <c r="A1317" s="29"/>
      <c r="B1317" s="31"/>
      <c r="C1317" s="193"/>
      <c r="D1317" s="190" t="str">
        <f t="array" ref="D1317">IF(E1317="", "", XLOOKUP(E1317, 'MASTER ITEM LIST'!B:B, 'MASTER ITEM LIST'!A:A, "Code Not Found"))</f>
        <v/>
      </c>
      <c r="E1317" s="35"/>
      <c r="F1317" s="194"/>
      <c r="G1317" s="31"/>
      <c r="H1317" s="39" t="str">
        <f t="array" ref="H1317">IFERROR(XLOOKUP(D1317,'MASTER ITEM LIST'!A:A,'MASTER ITEM LIST'!D:D), "")</f>
        <v/>
      </c>
      <c r="I1317" s="40"/>
      <c r="J1317" s="41" t="str">
        <f t="shared" si="2"/>
        <v/>
      </c>
    </row>
    <row r="1318" ht="22.5" customHeight="1">
      <c r="A1318" s="29"/>
      <c r="B1318" s="31"/>
      <c r="C1318" s="193"/>
      <c r="D1318" s="190" t="str">
        <f t="array" ref="D1318">IF(E1318="", "", XLOOKUP(E1318, 'MASTER ITEM LIST'!B:B, 'MASTER ITEM LIST'!A:A, "Code Not Found"))</f>
        <v/>
      </c>
      <c r="E1318" s="35"/>
      <c r="F1318" s="194"/>
      <c r="G1318" s="31"/>
      <c r="H1318" s="39" t="str">
        <f t="array" ref="H1318">IFERROR(XLOOKUP(D1318,'MASTER ITEM LIST'!A:A,'MASTER ITEM LIST'!D:D), "")</f>
        <v/>
      </c>
      <c r="I1318" s="40"/>
      <c r="J1318" s="41" t="str">
        <f t="shared" si="2"/>
        <v/>
      </c>
    </row>
    <row r="1319" ht="22.5" customHeight="1">
      <c r="A1319" s="29"/>
      <c r="B1319" s="31"/>
      <c r="C1319" s="193"/>
      <c r="D1319" s="190" t="str">
        <f t="array" ref="D1319">IF(E1319="", "", XLOOKUP(E1319, 'MASTER ITEM LIST'!B:B, 'MASTER ITEM LIST'!A:A, "Code Not Found"))</f>
        <v/>
      </c>
      <c r="E1319" s="35"/>
      <c r="F1319" s="194"/>
      <c r="G1319" s="31"/>
      <c r="H1319" s="39" t="str">
        <f t="array" ref="H1319">IFERROR(XLOOKUP(D1319,'MASTER ITEM LIST'!A:A,'MASTER ITEM LIST'!D:D), "")</f>
        <v/>
      </c>
      <c r="I1319" s="40"/>
      <c r="J1319" s="41" t="str">
        <f t="shared" si="2"/>
        <v/>
      </c>
    </row>
    <row r="1320" ht="22.5" customHeight="1">
      <c r="A1320" s="29"/>
      <c r="B1320" s="31"/>
      <c r="C1320" s="193"/>
      <c r="D1320" s="190" t="str">
        <f t="array" ref="D1320">IF(E1320="", "", XLOOKUP(E1320, 'MASTER ITEM LIST'!B:B, 'MASTER ITEM LIST'!A:A, "Code Not Found"))</f>
        <v/>
      </c>
      <c r="E1320" s="35"/>
      <c r="F1320" s="194"/>
      <c r="G1320" s="31"/>
      <c r="H1320" s="39" t="str">
        <f t="array" ref="H1320">IFERROR(XLOOKUP(D1320,'MASTER ITEM LIST'!A:A,'MASTER ITEM LIST'!D:D), "")</f>
        <v/>
      </c>
      <c r="I1320" s="40"/>
      <c r="J1320" s="41" t="str">
        <f t="shared" si="2"/>
        <v/>
      </c>
    </row>
    <row r="1321" ht="22.5" customHeight="1">
      <c r="A1321" s="29"/>
      <c r="B1321" s="31"/>
      <c r="C1321" s="193"/>
      <c r="D1321" s="190" t="str">
        <f t="array" ref="D1321">IF(E1321="", "", XLOOKUP(E1321, 'MASTER ITEM LIST'!B:B, 'MASTER ITEM LIST'!A:A, "Code Not Found"))</f>
        <v/>
      </c>
      <c r="E1321" s="35"/>
      <c r="F1321" s="194"/>
      <c r="G1321" s="31"/>
      <c r="H1321" s="39" t="str">
        <f t="array" ref="H1321">IFERROR(XLOOKUP(D1321,'MASTER ITEM LIST'!A:A,'MASTER ITEM LIST'!D:D), "")</f>
        <v/>
      </c>
      <c r="I1321" s="40"/>
      <c r="J1321" s="41" t="str">
        <f t="shared" si="2"/>
        <v/>
      </c>
    </row>
    <row r="1322" ht="22.5" customHeight="1">
      <c r="A1322" s="29"/>
      <c r="B1322" s="31"/>
      <c r="C1322" s="193"/>
      <c r="D1322" s="190" t="str">
        <f t="array" ref="D1322">IF(E1322="", "", XLOOKUP(E1322, 'MASTER ITEM LIST'!B:B, 'MASTER ITEM LIST'!A:A, "Code Not Found"))</f>
        <v/>
      </c>
      <c r="E1322" s="35"/>
      <c r="F1322" s="194"/>
      <c r="G1322" s="31"/>
      <c r="H1322" s="39" t="str">
        <f t="array" ref="H1322">IFERROR(XLOOKUP(D1322,'MASTER ITEM LIST'!A:A,'MASTER ITEM LIST'!D:D), "")</f>
        <v/>
      </c>
      <c r="I1322" s="40"/>
      <c r="J1322" s="41" t="str">
        <f t="shared" si="2"/>
        <v/>
      </c>
    </row>
    <row r="1323" ht="22.5" customHeight="1">
      <c r="A1323" s="29"/>
      <c r="B1323" s="31"/>
      <c r="C1323" s="193"/>
      <c r="D1323" s="190" t="str">
        <f t="array" ref="D1323">IF(E1323="", "", XLOOKUP(E1323, 'MASTER ITEM LIST'!B:B, 'MASTER ITEM LIST'!A:A, "Code Not Found"))</f>
        <v/>
      </c>
      <c r="E1323" s="35"/>
      <c r="F1323" s="194"/>
      <c r="G1323" s="31"/>
      <c r="H1323" s="39" t="str">
        <f t="array" ref="H1323">IFERROR(XLOOKUP(D1323,'MASTER ITEM LIST'!A:A,'MASTER ITEM LIST'!D:D), "")</f>
        <v/>
      </c>
      <c r="I1323" s="40"/>
      <c r="J1323" s="41" t="str">
        <f t="shared" si="2"/>
        <v/>
      </c>
    </row>
    <row r="1324" ht="22.5" customHeight="1">
      <c r="A1324" s="29"/>
      <c r="B1324" s="31"/>
      <c r="C1324" s="193"/>
      <c r="D1324" s="190" t="str">
        <f t="array" ref="D1324">IF(E1324="", "", XLOOKUP(E1324, 'MASTER ITEM LIST'!B:B, 'MASTER ITEM LIST'!A:A, "Code Not Found"))</f>
        <v/>
      </c>
      <c r="E1324" s="35"/>
      <c r="F1324" s="194"/>
      <c r="G1324" s="31"/>
      <c r="H1324" s="39" t="str">
        <f t="array" ref="H1324">IFERROR(XLOOKUP(D1324,'MASTER ITEM LIST'!A:A,'MASTER ITEM LIST'!D:D), "")</f>
        <v/>
      </c>
      <c r="I1324" s="40"/>
      <c r="J1324" s="41" t="str">
        <f t="shared" si="2"/>
        <v/>
      </c>
    </row>
    <row r="1325" ht="22.5" customHeight="1">
      <c r="A1325" s="29"/>
      <c r="B1325" s="31"/>
      <c r="C1325" s="193"/>
      <c r="D1325" s="190" t="str">
        <f t="array" ref="D1325">IF(E1325="", "", XLOOKUP(E1325, 'MASTER ITEM LIST'!B:B, 'MASTER ITEM LIST'!A:A, "Code Not Found"))</f>
        <v/>
      </c>
      <c r="E1325" s="35"/>
      <c r="F1325" s="194"/>
      <c r="G1325" s="31"/>
      <c r="H1325" s="39" t="str">
        <f t="array" ref="H1325">IFERROR(XLOOKUP(D1325,'MASTER ITEM LIST'!A:A,'MASTER ITEM LIST'!D:D), "")</f>
        <v/>
      </c>
      <c r="I1325" s="40"/>
      <c r="J1325" s="41" t="str">
        <f t="shared" si="2"/>
        <v/>
      </c>
    </row>
    <row r="1326" ht="22.5" customHeight="1">
      <c r="A1326" s="29"/>
      <c r="B1326" s="31"/>
      <c r="C1326" s="193"/>
      <c r="D1326" s="190" t="str">
        <f t="array" ref="D1326">IF(E1326="", "", XLOOKUP(E1326, 'MASTER ITEM LIST'!B:B, 'MASTER ITEM LIST'!A:A, "Code Not Found"))</f>
        <v/>
      </c>
      <c r="E1326" s="35"/>
      <c r="F1326" s="194"/>
      <c r="G1326" s="31"/>
      <c r="H1326" s="39" t="str">
        <f t="array" ref="H1326">IFERROR(XLOOKUP(D1326,'MASTER ITEM LIST'!A:A,'MASTER ITEM LIST'!D:D), "")</f>
        <v/>
      </c>
      <c r="I1326" s="40"/>
      <c r="J1326" s="41" t="str">
        <f t="shared" si="2"/>
        <v/>
      </c>
    </row>
    <row r="1327" ht="22.5" customHeight="1">
      <c r="A1327" s="29"/>
      <c r="B1327" s="31"/>
      <c r="C1327" s="193"/>
      <c r="D1327" s="190" t="str">
        <f t="array" ref="D1327">IF(E1327="", "", XLOOKUP(E1327, 'MASTER ITEM LIST'!B:B, 'MASTER ITEM LIST'!A:A, "Code Not Found"))</f>
        <v/>
      </c>
      <c r="E1327" s="35"/>
      <c r="F1327" s="194"/>
      <c r="G1327" s="31"/>
      <c r="H1327" s="39" t="str">
        <f t="array" ref="H1327">IFERROR(XLOOKUP(D1327,'MASTER ITEM LIST'!A:A,'MASTER ITEM LIST'!D:D), "")</f>
        <v/>
      </c>
      <c r="I1327" s="40"/>
      <c r="J1327" s="41" t="str">
        <f t="shared" si="2"/>
        <v/>
      </c>
    </row>
    <row r="1328" ht="22.5" customHeight="1">
      <c r="A1328" s="29"/>
      <c r="B1328" s="31"/>
      <c r="C1328" s="193"/>
      <c r="D1328" s="190" t="str">
        <f t="array" ref="D1328">IF(E1328="", "", XLOOKUP(E1328, 'MASTER ITEM LIST'!B:B, 'MASTER ITEM LIST'!A:A, "Code Not Found"))</f>
        <v/>
      </c>
      <c r="E1328" s="35"/>
      <c r="F1328" s="194"/>
      <c r="G1328" s="31"/>
      <c r="H1328" s="39" t="str">
        <f t="array" ref="H1328">IFERROR(XLOOKUP(D1328,'MASTER ITEM LIST'!A:A,'MASTER ITEM LIST'!D:D), "")</f>
        <v/>
      </c>
      <c r="I1328" s="40"/>
      <c r="J1328" s="41" t="str">
        <f t="shared" si="2"/>
        <v/>
      </c>
    </row>
    <row r="1329" ht="22.5" customHeight="1">
      <c r="A1329" s="29"/>
      <c r="B1329" s="31"/>
      <c r="C1329" s="193"/>
      <c r="D1329" s="190" t="str">
        <f t="array" ref="D1329">IF(E1329="", "", XLOOKUP(E1329, 'MASTER ITEM LIST'!B:B, 'MASTER ITEM LIST'!A:A, "Code Not Found"))</f>
        <v/>
      </c>
      <c r="E1329" s="35"/>
      <c r="F1329" s="194"/>
      <c r="G1329" s="31"/>
      <c r="H1329" s="39" t="str">
        <f t="array" ref="H1329">IFERROR(XLOOKUP(D1329,'MASTER ITEM LIST'!A:A,'MASTER ITEM LIST'!D:D), "")</f>
        <v/>
      </c>
      <c r="I1329" s="40"/>
      <c r="J1329" s="41" t="str">
        <f t="shared" si="2"/>
        <v/>
      </c>
    </row>
    <row r="1330" ht="22.5" customHeight="1">
      <c r="A1330" s="29"/>
      <c r="B1330" s="31"/>
      <c r="C1330" s="193"/>
      <c r="D1330" s="190" t="str">
        <f t="array" ref="D1330">IF(E1330="", "", XLOOKUP(E1330, 'MASTER ITEM LIST'!B:B, 'MASTER ITEM LIST'!A:A, "Code Not Found"))</f>
        <v/>
      </c>
      <c r="E1330" s="35"/>
      <c r="F1330" s="194"/>
      <c r="G1330" s="31"/>
      <c r="H1330" s="39" t="str">
        <f t="array" ref="H1330">IFERROR(XLOOKUP(D1330,'MASTER ITEM LIST'!A:A,'MASTER ITEM LIST'!D:D), "")</f>
        <v/>
      </c>
      <c r="I1330" s="40"/>
      <c r="J1330" s="41" t="str">
        <f t="shared" si="2"/>
        <v/>
      </c>
    </row>
    <row r="1331" ht="22.5" customHeight="1">
      <c r="A1331" s="29"/>
      <c r="B1331" s="31"/>
      <c r="C1331" s="193"/>
      <c r="D1331" s="190" t="str">
        <f t="array" ref="D1331">IF(E1331="", "", XLOOKUP(E1331, 'MASTER ITEM LIST'!B:B, 'MASTER ITEM LIST'!A:A, "Code Not Found"))</f>
        <v/>
      </c>
      <c r="E1331" s="35"/>
      <c r="F1331" s="194"/>
      <c r="G1331" s="31"/>
      <c r="H1331" s="39" t="str">
        <f t="array" ref="H1331">IFERROR(XLOOKUP(D1331,'MASTER ITEM LIST'!A:A,'MASTER ITEM LIST'!D:D), "")</f>
        <v/>
      </c>
      <c r="I1331" s="40"/>
      <c r="J1331" s="41" t="str">
        <f t="shared" si="2"/>
        <v/>
      </c>
    </row>
    <row r="1332" ht="22.5" customHeight="1">
      <c r="A1332" s="29"/>
      <c r="B1332" s="31"/>
      <c r="C1332" s="193"/>
      <c r="D1332" s="190" t="str">
        <f t="array" ref="D1332">IF(E1332="", "", XLOOKUP(E1332, 'MASTER ITEM LIST'!B:B, 'MASTER ITEM LIST'!A:A, "Code Not Found"))</f>
        <v/>
      </c>
      <c r="E1332" s="35"/>
      <c r="F1332" s="194"/>
      <c r="G1332" s="31"/>
      <c r="H1332" s="39" t="str">
        <f t="array" ref="H1332">IFERROR(XLOOKUP(D1332,'MASTER ITEM LIST'!A:A,'MASTER ITEM LIST'!D:D), "")</f>
        <v/>
      </c>
      <c r="I1332" s="40"/>
      <c r="J1332" s="41" t="str">
        <f t="shared" si="2"/>
        <v/>
      </c>
    </row>
    <row r="1333" ht="22.5" customHeight="1">
      <c r="A1333" s="29"/>
      <c r="B1333" s="31"/>
      <c r="C1333" s="193"/>
      <c r="D1333" s="190" t="str">
        <f t="array" ref="D1333">IF(E1333="", "", XLOOKUP(E1333, 'MASTER ITEM LIST'!B:B, 'MASTER ITEM LIST'!A:A, "Code Not Found"))</f>
        <v/>
      </c>
      <c r="E1333" s="35"/>
      <c r="F1333" s="194"/>
      <c r="G1333" s="31"/>
      <c r="H1333" s="39" t="str">
        <f t="array" ref="H1333">IFERROR(XLOOKUP(D1333,'MASTER ITEM LIST'!A:A,'MASTER ITEM LIST'!D:D), "")</f>
        <v/>
      </c>
      <c r="I1333" s="40"/>
      <c r="J1333" s="41" t="str">
        <f t="shared" si="2"/>
        <v/>
      </c>
    </row>
    <row r="1334" ht="22.5" customHeight="1">
      <c r="A1334" s="29"/>
      <c r="B1334" s="31"/>
      <c r="C1334" s="193"/>
      <c r="D1334" s="190" t="str">
        <f t="array" ref="D1334">IF(E1334="", "", XLOOKUP(E1334, 'MASTER ITEM LIST'!B:B, 'MASTER ITEM LIST'!A:A, "Code Not Found"))</f>
        <v/>
      </c>
      <c r="E1334" s="35"/>
      <c r="F1334" s="194"/>
      <c r="G1334" s="31"/>
      <c r="H1334" s="39" t="str">
        <f t="array" ref="H1334">IFERROR(XLOOKUP(D1334,'MASTER ITEM LIST'!A:A,'MASTER ITEM LIST'!D:D), "")</f>
        <v/>
      </c>
      <c r="I1334" s="40"/>
      <c r="J1334" s="41" t="str">
        <f t="shared" si="2"/>
        <v/>
      </c>
    </row>
    <row r="1335" ht="22.5" customHeight="1">
      <c r="A1335" s="29"/>
      <c r="B1335" s="31"/>
      <c r="C1335" s="193"/>
      <c r="D1335" s="190" t="str">
        <f t="array" ref="D1335">IF(E1335="", "", XLOOKUP(E1335, 'MASTER ITEM LIST'!B:B, 'MASTER ITEM LIST'!A:A, "Code Not Found"))</f>
        <v/>
      </c>
      <c r="E1335" s="35"/>
      <c r="F1335" s="194"/>
      <c r="G1335" s="31"/>
      <c r="H1335" s="39" t="str">
        <f t="array" ref="H1335">IFERROR(XLOOKUP(D1335,'MASTER ITEM LIST'!A:A,'MASTER ITEM LIST'!D:D), "")</f>
        <v/>
      </c>
      <c r="I1335" s="40"/>
      <c r="J1335" s="41" t="str">
        <f t="shared" si="2"/>
        <v/>
      </c>
    </row>
    <row r="1336" ht="22.5" customHeight="1">
      <c r="A1336" s="29"/>
      <c r="B1336" s="31"/>
      <c r="C1336" s="193"/>
      <c r="D1336" s="190" t="str">
        <f t="array" ref="D1336">IF(E1336="", "", XLOOKUP(E1336, 'MASTER ITEM LIST'!B:B, 'MASTER ITEM LIST'!A:A, "Code Not Found"))</f>
        <v/>
      </c>
      <c r="E1336" s="35"/>
      <c r="F1336" s="194"/>
      <c r="G1336" s="31"/>
      <c r="H1336" s="39" t="str">
        <f t="array" ref="H1336">IFERROR(XLOOKUP(D1336,'MASTER ITEM LIST'!A:A,'MASTER ITEM LIST'!D:D), "")</f>
        <v/>
      </c>
      <c r="I1336" s="40"/>
      <c r="J1336" s="41" t="str">
        <f t="shared" si="2"/>
        <v/>
      </c>
    </row>
    <row r="1337" ht="22.5" customHeight="1">
      <c r="A1337" s="29"/>
      <c r="B1337" s="31"/>
      <c r="C1337" s="193"/>
      <c r="D1337" s="190" t="str">
        <f t="array" ref="D1337">IF(E1337="", "", XLOOKUP(E1337, 'MASTER ITEM LIST'!B:B, 'MASTER ITEM LIST'!A:A, "Code Not Found"))</f>
        <v/>
      </c>
      <c r="E1337" s="35"/>
      <c r="F1337" s="194"/>
      <c r="G1337" s="31"/>
      <c r="H1337" s="39" t="str">
        <f t="array" ref="H1337">IFERROR(XLOOKUP(D1337,'MASTER ITEM LIST'!A:A,'MASTER ITEM LIST'!D:D), "")</f>
        <v/>
      </c>
      <c r="I1337" s="40"/>
      <c r="J1337" s="41" t="str">
        <f t="shared" si="2"/>
        <v/>
      </c>
    </row>
    <row r="1338" ht="22.5" customHeight="1">
      <c r="A1338" s="29"/>
      <c r="B1338" s="31"/>
      <c r="C1338" s="193"/>
      <c r="D1338" s="190" t="str">
        <f t="array" ref="D1338">IF(E1338="", "", XLOOKUP(E1338, 'MASTER ITEM LIST'!B:B, 'MASTER ITEM LIST'!A:A, "Code Not Found"))</f>
        <v/>
      </c>
      <c r="E1338" s="35"/>
      <c r="F1338" s="194"/>
      <c r="G1338" s="31"/>
      <c r="H1338" s="39" t="str">
        <f t="array" ref="H1338">IFERROR(XLOOKUP(D1338,'MASTER ITEM LIST'!A:A,'MASTER ITEM LIST'!D:D), "")</f>
        <v/>
      </c>
      <c r="I1338" s="40"/>
      <c r="J1338" s="41" t="str">
        <f t="shared" si="2"/>
        <v/>
      </c>
    </row>
    <row r="1339" ht="22.5" customHeight="1">
      <c r="A1339" s="29"/>
      <c r="B1339" s="31"/>
      <c r="C1339" s="193"/>
      <c r="D1339" s="190" t="str">
        <f t="array" ref="D1339">IF(E1339="", "", XLOOKUP(E1339, 'MASTER ITEM LIST'!B:B, 'MASTER ITEM LIST'!A:A, "Code Not Found"))</f>
        <v/>
      </c>
      <c r="E1339" s="35"/>
      <c r="F1339" s="194"/>
      <c r="G1339" s="31"/>
      <c r="H1339" s="39" t="str">
        <f t="array" ref="H1339">IFERROR(XLOOKUP(D1339,'MASTER ITEM LIST'!A:A,'MASTER ITEM LIST'!D:D), "")</f>
        <v/>
      </c>
      <c r="I1339" s="40"/>
      <c r="J1339" s="41" t="str">
        <f t="shared" si="2"/>
        <v/>
      </c>
    </row>
    <row r="1340" ht="22.5" customHeight="1">
      <c r="A1340" s="29"/>
      <c r="B1340" s="31"/>
      <c r="C1340" s="193"/>
      <c r="D1340" s="190" t="str">
        <f t="array" ref="D1340">IF(E1340="", "", XLOOKUP(E1340, 'MASTER ITEM LIST'!B:B, 'MASTER ITEM LIST'!A:A, "Code Not Found"))</f>
        <v/>
      </c>
      <c r="E1340" s="35"/>
      <c r="F1340" s="194"/>
      <c r="G1340" s="31"/>
      <c r="H1340" s="39" t="str">
        <f t="array" ref="H1340">IFERROR(XLOOKUP(D1340,'MASTER ITEM LIST'!A:A,'MASTER ITEM LIST'!D:D), "")</f>
        <v/>
      </c>
      <c r="I1340" s="40"/>
      <c r="J1340" s="41" t="str">
        <f t="shared" si="2"/>
        <v/>
      </c>
    </row>
    <row r="1341" ht="22.5" customHeight="1">
      <c r="A1341" s="29"/>
      <c r="B1341" s="31"/>
      <c r="C1341" s="193"/>
      <c r="D1341" s="190" t="str">
        <f t="array" ref="D1341">IF(E1341="", "", XLOOKUP(E1341, 'MASTER ITEM LIST'!B:B, 'MASTER ITEM LIST'!A:A, "Code Not Found"))</f>
        <v/>
      </c>
      <c r="E1341" s="35"/>
      <c r="F1341" s="194"/>
      <c r="G1341" s="31"/>
      <c r="H1341" s="39" t="str">
        <f t="array" ref="H1341">IFERROR(XLOOKUP(D1341,'MASTER ITEM LIST'!A:A,'MASTER ITEM LIST'!D:D), "")</f>
        <v/>
      </c>
      <c r="I1341" s="40"/>
      <c r="J1341" s="41" t="str">
        <f t="shared" si="2"/>
        <v/>
      </c>
    </row>
    <row r="1342" ht="22.5" customHeight="1">
      <c r="A1342" s="29"/>
      <c r="B1342" s="31"/>
      <c r="C1342" s="193"/>
      <c r="D1342" s="190" t="str">
        <f t="array" ref="D1342">IF(E1342="", "", XLOOKUP(E1342, 'MASTER ITEM LIST'!B:B, 'MASTER ITEM LIST'!A:A, "Code Not Found"))</f>
        <v/>
      </c>
      <c r="E1342" s="35"/>
      <c r="F1342" s="194"/>
      <c r="G1342" s="31"/>
      <c r="H1342" s="39" t="str">
        <f t="array" ref="H1342">IFERROR(XLOOKUP(D1342,'MASTER ITEM LIST'!A:A,'MASTER ITEM LIST'!D:D), "")</f>
        <v/>
      </c>
      <c r="I1342" s="40"/>
      <c r="J1342" s="41" t="str">
        <f t="shared" si="2"/>
        <v/>
      </c>
    </row>
    <row r="1343" ht="22.5" customHeight="1">
      <c r="A1343" s="29"/>
      <c r="B1343" s="31"/>
      <c r="C1343" s="193"/>
      <c r="D1343" s="190" t="str">
        <f t="array" ref="D1343">IF(E1343="", "", XLOOKUP(E1343, 'MASTER ITEM LIST'!B:B, 'MASTER ITEM LIST'!A:A, "Code Not Found"))</f>
        <v/>
      </c>
      <c r="E1343" s="35"/>
      <c r="F1343" s="194"/>
      <c r="G1343" s="31"/>
      <c r="H1343" s="39" t="str">
        <f t="array" ref="H1343">IFERROR(XLOOKUP(D1343,'MASTER ITEM LIST'!A:A,'MASTER ITEM LIST'!D:D), "")</f>
        <v/>
      </c>
      <c r="I1343" s="40"/>
      <c r="J1343" s="41" t="str">
        <f t="shared" si="2"/>
        <v/>
      </c>
    </row>
    <row r="1344" ht="22.5" customHeight="1">
      <c r="A1344" s="29"/>
      <c r="B1344" s="31"/>
      <c r="C1344" s="193"/>
      <c r="D1344" s="190" t="str">
        <f t="array" ref="D1344">IF(E1344="", "", XLOOKUP(E1344, 'MASTER ITEM LIST'!B:B, 'MASTER ITEM LIST'!A:A, "Code Not Found"))</f>
        <v/>
      </c>
      <c r="E1344" s="35"/>
      <c r="F1344" s="194"/>
      <c r="G1344" s="31"/>
      <c r="H1344" s="39" t="str">
        <f t="array" ref="H1344">IFERROR(XLOOKUP(D1344,'MASTER ITEM LIST'!A:A,'MASTER ITEM LIST'!D:D), "")</f>
        <v/>
      </c>
      <c r="I1344" s="40"/>
      <c r="J1344" s="41" t="str">
        <f t="shared" si="2"/>
        <v/>
      </c>
    </row>
    <row r="1345" ht="22.5" customHeight="1">
      <c r="A1345" s="29"/>
      <c r="B1345" s="31"/>
      <c r="C1345" s="193"/>
      <c r="D1345" s="190" t="str">
        <f t="array" ref="D1345">IF(E1345="", "", XLOOKUP(E1345, 'MASTER ITEM LIST'!B:B, 'MASTER ITEM LIST'!A:A, "Code Not Found"))</f>
        <v/>
      </c>
      <c r="E1345" s="35"/>
      <c r="F1345" s="194"/>
      <c r="G1345" s="31"/>
      <c r="H1345" s="39" t="str">
        <f t="array" ref="H1345">IFERROR(XLOOKUP(D1345,'MASTER ITEM LIST'!A:A,'MASTER ITEM LIST'!D:D), "")</f>
        <v/>
      </c>
      <c r="I1345" s="40"/>
      <c r="J1345" s="41" t="str">
        <f t="shared" si="2"/>
        <v/>
      </c>
    </row>
    <row r="1346" ht="22.5" customHeight="1">
      <c r="A1346" s="29"/>
      <c r="B1346" s="31"/>
      <c r="C1346" s="193"/>
      <c r="D1346" s="190" t="str">
        <f t="array" ref="D1346">IF(E1346="", "", XLOOKUP(E1346, 'MASTER ITEM LIST'!B:B, 'MASTER ITEM LIST'!A:A, "Code Not Found"))</f>
        <v/>
      </c>
      <c r="E1346" s="35"/>
      <c r="F1346" s="194"/>
      <c r="G1346" s="31"/>
      <c r="H1346" s="39" t="str">
        <f t="array" ref="H1346">IFERROR(XLOOKUP(D1346,'MASTER ITEM LIST'!A:A,'MASTER ITEM LIST'!D:D), "")</f>
        <v/>
      </c>
      <c r="I1346" s="40"/>
      <c r="J1346" s="41" t="str">
        <f t="shared" si="2"/>
        <v/>
      </c>
    </row>
    <row r="1347" ht="22.5" customHeight="1">
      <c r="A1347" s="29"/>
      <c r="B1347" s="31"/>
      <c r="C1347" s="193"/>
      <c r="D1347" s="190" t="str">
        <f t="array" ref="D1347">IF(E1347="", "", XLOOKUP(E1347, 'MASTER ITEM LIST'!B:B, 'MASTER ITEM LIST'!A:A, "Code Not Found"))</f>
        <v/>
      </c>
      <c r="E1347" s="35"/>
      <c r="F1347" s="194"/>
      <c r="G1347" s="31"/>
      <c r="H1347" s="39" t="str">
        <f t="array" ref="H1347">IFERROR(XLOOKUP(D1347,'MASTER ITEM LIST'!A:A,'MASTER ITEM LIST'!D:D), "")</f>
        <v/>
      </c>
      <c r="I1347" s="40"/>
      <c r="J1347" s="41" t="str">
        <f t="shared" si="2"/>
        <v/>
      </c>
    </row>
    <row r="1348" ht="22.5" customHeight="1">
      <c r="A1348" s="29"/>
      <c r="B1348" s="31"/>
      <c r="C1348" s="193"/>
      <c r="D1348" s="190" t="str">
        <f t="array" ref="D1348">IF(E1348="", "", XLOOKUP(E1348, 'MASTER ITEM LIST'!B:B, 'MASTER ITEM LIST'!A:A, "Code Not Found"))</f>
        <v/>
      </c>
      <c r="E1348" s="35"/>
      <c r="F1348" s="194"/>
      <c r="G1348" s="31"/>
      <c r="H1348" s="39" t="str">
        <f t="array" ref="H1348">IFERROR(XLOOKUP(D1348,'MASTER ITEM LIST'!A:A,'MASTER ITEM LIST'!D:D), "")</f>
        <v/>
      </c>
      <c r="I1348" s="40"/>
      <c r="J1348" s="41" t="str">
        <f t="shared" si="2"/>
        <v/>
      </c>
    </row>
    <row r="1349" ht="22.5" customHeight="1">
      <c r="A1349" s="29"/>
      <c r="B1349" s="31"/>
      <c r="C1349" s="193"/>
      <c r="D1349" s="190" t="str">
        <f t="array" ref="D1349">IF(E1349="", "", XLOOKUP(E1349, 'MASTER ITEM LIST'!B:B, 'MASTER ITEM LIST'!A:A, "Code Not Found"))</f>
        <v/>
      </c>
      <c r="E1349" s="35"/>
      <c r="F1349" s="194"/>
      <c r="G1349" s="31"/>
      <c r="H1349" s="39" t="str">
        <f t="array" ref="H1349">IFERROR(XLOOKUP(D1349,'MASTER ITEM LIST'!A:A,'MASTER ITEM LIST'!D:D), "")</f>
        <v/>
      </c>
      <c r="I1349" s="40"/>
      <c r="J1349" s="41" t="str">
        <f t="shared" si="2"/>
        <v/>
      </c>
    </row>
    <row r="1350" ht="22.5" customHeight="1">
      <c r="A1350" s="29"/>
      <c r="B1350" s="31"/>
      <c r="C1350" s="193"/>
      <c r="D1350" s="190" t="str">
        <f t="array" ref="D1350">IF(E1350="", "", XLOOKUP(E1350, 'MASTER ITEM LIST'!B:B, 'MASTER ITEM LIST'!A:A, "Code Not Found"))</f>
        <v/>
      </c>
      <c r="E1350" s="35"/>
      <c r="F1350" s="194"/>
      <c r="G1350" s="31"/>
      <c r="H1350" s="39" t="str">
        <f t="array" ref="H1350">IFERROR(XLOOKUP(D1350,'MASTER ITEM LIST'!A:A,'MASTER ITEM LIST'!D:D), "")</f>
        <v/>
      </c>
      <c r="I1350" s="40"/>
      <c r="J1350" s="41" t="str">
        <f t="shared" si="2"/>
        <v/>
      </c>
    </row>
    <row r="1351" ht="22.5" customHeight="1">
      <c r="A1351" s="29"/>
      <c r="B1351" s="31"/>
      <c r="C1351" s="193"/>
      <c r="D1351" s="190" t="str">
        <f t="array" ref="D1351">IF(E1351="", "", XLOOKUP(E1351, 'MASTER ITEM LIST'!B:B, 'MASTER ITEM LIST'!A:A, "Code Not Found"))</f>
        <v/>
      </c>
      <c r="E1351" s="35"/>
      <c r="F1351" s="194"/>
      <c r="G1351" s="31"/>
      <c r="H1351" s="39" t="str">
        <f t="array" ref="H1351">IFERROR(XLOOKUP(D1351,'MASTER ITEM LIST'!A:A,'MASTER ITEM LIST'!D:D), "")</f>
        <v/>
      </c>
      <c r="I1351" s="40"/>
      <c r="J1351" s="41" t="str">
        <f t="shared" si="2"/>
        <v/>
      </c>
    </row>
    <row r="1352" ht="22.5" customHeight="1">
      <c r="A1352" s="29"/>
      <c r="B1352" s="31"/>
      <c r="C1352" s="193"/>
      <c r="D1352" s="190" t="str">
        <f t="array" ref="D1352">IF(E1352="", "", XLOOKUP(E1352, 'MASTER ITEM LIST'!B:B, 'MASTER ITEM LIST'!A:A, "Code Not Found"))</f>
        <v/>
      </c>
      <c r="E1352" s="35"/>
      <c r="F1352" s="194"/>
      <c r="G1352" s="31"/>
      <c r="H1352" s="39" t="str">
        <f t="array" ref="H1352">IFERROR(XLOOKUP(D1352,'MASTER ITEM LIST'!A:A,'MASTER ITEM LIST'!D:D), "")</f>
        <v/>
      </c>
      <c r="I1352" s="40"/>
      <c r="J1352" s="41" t="str">
        <f t="shared" si="2"/>
        <v/>
      </c>
    </row>
    <row r="1353" ht="22.5" customHeight="1">
      <c r="A1353" s="29"/>
      <c r="B1353" s="31"/>
      <c r="C1353" s="193"/>
      <c r="D1353" s="190" t="str">
        <f t="array" ref="D1353">IF(E1353="", "", XLOOKUP(E1353, 'MASTER ITEM LIST'!B:B, 'MASTER ITEM LIST'!A:A, "Code Not Found"))</f>
        <v/>
      </c>
      <c r="E1353" s="35"/>
      <c r="F1353" s="194"/>
      <c r="G1353" s="31"/>
      <c r="H1353" s="39" t="str">
        <f t="array" ref="H1353">IFERROR(XLOOKUP(D1353,'MASTER ITEM LIST'!A:A,'MASTER ITEM LIST'!D:D), "")</f>
        <v/>
      </c>
      <c r="I1353" s="40"/>
      <c r="J1353" s="41" t="str">
        <f t="shared" si="2"/>
        <v/>
      </c>
    </row>
    <row r="1354" ht="22.5" customHeight="1">
      <c r="A1354" s="29"/>
      <c r="B1354" s="31"/>
      <c r="C1354" s="193"/>
      <c r="D1354" s="190" t="str">
        <f t="array" ref="D1354">IF(E1354="", "", XLOOKUP(E1354, 'MASTER ITEM LIST'!B:B, 'MASTER ITEM LIST'!A:A, "Code Not Found"))</f>
        <v/>
      </c>
      <c r="E1354" s="35"/>
      <c r="F1354" s="194"/>
      <c r="G1354" s="31"/>
      <c r="H1354" s="39" t="str">
        <f t="array" ref="H1354">IFERROR(XLOOKUP(D1354,'MASTER ITEM LIST'!A:A,'MASTER ITEM LIST'!D:D), "")</f>
        <v/>
      </c>
      <c r="I1354" s="40"/>
      <c r="J1354" s="41" t="str">
        <f t="shared" si="2"/>
        <v/>
      </c>
    </row>
    <row r="1355" ht="22.5" customHeight="1">
      <c r="A1355" s="29"/>
      <c r="B1355" s="31"/>
      <c r="C1355" s="193"/>
      <c r="D1355" s="190" t="str">
        <f t="array" ref="D1355">IF(E1355="", "", XLOOKUP(E1355, 'MASTER ITEM LIST'!B:B, 'MASTER ITEM LIST'!A:A, "Code Not Found"))</f>
        <v/>
      </c>
      <c r="E1355" s="35"/>
      <c r="F1355" s="194"/>
      <c r="G1355" s="31"/>
      <c r="H1355" s="39" t="str">
        <f t="array" ref="H1355">IFERROR(XLOOKUP(D1355,'MASTER ITEM LIST'!A:A,'MASTER ITEM LIST'!D:D), "")</f>
        <v/>
      </c>
      <c r="I1355" s="40"/>
      <c r="J1355" s="41" t="str">
        <f t="shared" si="2"/>
        <v/>
      </c>
    </row>
    <row r="1356" ht="22.5" customHeight="1">
      <c r="A1356" s="29"/>
      <c r="B1356" s="31"/>
      <c r="C1356" s="193"/>
      <c r="D1356" s="190" t="str">
        <f t="array" ref="D1356">IF(E1356="", "", XLOOKUP(E1356, 'MASTER ITEM LIST'!B:B, 'MASTER ITEM LIST'!A:A, "Code Not Found"))</f>
        <v/>
      </c>
      <c r="E1356" s="35"/>
      <c r="F1356" s="194"/>
      <c r="G1356" s="31"/>
      <c r="H1356" s="39" t="str">
        <f t="array" ref="H1356">IFERROR(XLOOKUP(D1356,'MASTER ITEM LIST'!A:A,'MASTER ITEM LIST'!D:D), "")</f>
        <v/>
      </c>
      <c r="I1356" s="40"/>
      <c r="J1356" s="41" t="str">
        <f t="shared" si="2"/>
        <v/>
      </c>
    </row>
    <row r="1357" ht="22.5" customHeight="1">
      <c r="A1357" s="29"/>
      <c r="B1357" s="31"/>
      <c r="C1357" s="193"/>
      <c r="D1357" s="190" t="str">
        <f t="array" ref="D1357">IF(E1357="", "", XLOOKUP(E1357, 'MASTER ITEM LIST'!B:B, 'MASTER ITEM LIST'!A:A, "Code Not Found"))</f>
        <v/>
      </c>
      <c r="E1357" s="35"/>
      <c r="F1357" s="194"/>
      <c r="G1357" s="31"/>
      <c r="H1357" s="39" t="str">
        <f t="array" ref="H1357">IFERROR(XLOOKUP(D1357,'MASTER ITEM LIST'!A:A,'MASTER ITEM LIST'!D:D), "")</f>
        <v/>
      </c>
      <c r="I1357" s="40"/>
      <c r="J1357" s="41" t="str">
        <f t="shared" si="2"/>
        <v/>
      </c>
    </row>
    <row r="1358" ht="22.5" customHeight="1">
      <c r="A1358" s="29"/>
      <c r="B1358" s="31"/>
      <c r="C1358" s="193"/>
      <c r="D1358" s="190" t="str">
        <f t="array" ref="D1358">IF(E1358="", "", XLOOKUP(E1358, 'MASTER ITEM LIST'!B:B, 'MASTER ITEM LIST'!A:A, "Code Not Found"))</f>
        <v/>
      </c>
      <c r="E1358" s="35"/>
      <c r="F1358" s="194"/>
      <c r="G1358" s="31"/>
      <c r="H1358" s="39" t="str">
        <f t="array" ref="H1358">IFERROR(XLOOKUP(D1358,'MASTER ITEM LIST'!A:A,'MASTER ITEM LIST'!D:D), "")</f>
        <v/>
      </c>
      <c r="I1358" s="40"/>
      <c r="J1358" s="41" t="str">
        <f t="shared" si="2"/>
        <v/>
      </c>
    </row>
    <row r="1359" ht="22.5" customHeight="1">
      <c r="A1359" s="29"/>
      <c r="B1359" s="31"/>
      <c r="C1359" s="193"/>
      <c r="D1359" s="190" t="str">
        <f t="array" ref="D1359">IF(E1359="", "", XLOOKUP(E1359, 'MASTER ITEM LIST'!B:B, 'MASTER ITEM LIST'!A:A, "Code Not Found"))</f>
        <v/>
      </c>
      <c r="E1359" s="35"/>
      <c r="F1359" s="194"/>
      <c r="G1359" s="31"/>
      <c r="H1359" s="39" t="str">
        <f t="array" ref="H1359">IFERROR(XLOOKUP(D1359,'MASTER ITEM LIST'!A:A,'MASTER ITEM LIST'!D:D), "")</f>
        <v/>
      </c>
      <c r="I1359" s="40"/>
      <c r="J1359" s="41" t="str">
        <f t="shared" si="2"/>
        <v/>
      </c>
    </row>
    <row r="1360" ht="22.5" customHeight="1">
      <c r="A1360" s="29"/>
      <c r="B1360" s="31"/>
      <c r="C1360" s="193"/>
      <c r="D1360" s="190" t="str">
        <f t="array" ref="D1360">IF(E1360="", "", XLOOKUP(E1360, 'MASTER ITEM LIST'!B:B, 'MASTER ITEM LIST'!A:A, "Code Not Found"))</f>
        <v/>
      </c>
      <c r="E1360" s="35"/>
      <c r="F1360" s="194"/>
      <c r="G1360" s="31"/>
      <c r="H1360" s="39" t="str">
        <f t="array" ref="H1360">IFERROR(XLOOKUP(D1360,'MASTER ITEM LIST'!A:A,'MASTER ITEM LIST'!D:D), "")</f>
        <v/>
      </c>
      <c r="I1360" s="40"/>
      <c r="J1360" s="41" t="str">
        <f t="shared" si="2"/>
        <v/>
      </c>
    </row>
    <row r="1361" ht="22.5" customHeight="1">
      <c r="A1361" s="29"/>
      <c r="B1361" s="31"/>
      <c r="C1361" s="193"/>
      <c r="D1361" s="190" t="str">
        <f t="array" ref="D1361">IF(E1361="", "", XLOOKUP(E1361, 'MASTER ITEM LIST'!B:B, 'MASTER ITEM LIST'!A:A, "Code Not Found"))</f>
        <v/>
      </c>
      <c r="E1361" s="35"/>
      <c r="F1361" s="194"/>
      <c r="G1361" s="31"/>
      <c r="H1361" s="39" t="str">
        <f t="array" ref="H1361">IFERROR(XLOOKUP(D1361,'MASTER ITEM LIST'!A:A,'MASTER ITEM LIST'!D:D), "")</f>
        <v/>
      </c>
      <c r="I1361" s="40"/>
      <c r="J1361" s="41" t="str">
        <f t="shared" si="2"/>
        <v/>
      </c>
    </row>
    <row r="1362" ht="22.5" customHeight="1">
      <c r="A1362" s="29"/>
      <c r="B1362" s="31"/>
      <c r="C1362" s="193"/>
      <c r="D1362" s="190" t="str">
        <f t="array" ref="D1362">IF(E1362="", "", XLOOKUP(E1362, 'MASTER ITEM LIST'!B:B, 'MASTER ITEM LIST'!A:A, "Code Not Found"))</f>
        <v/>
      </c>
      <c r="E1362" s="35"/>
      <c r="F1362" s="194"/>
      <c r="G1362" s="31"/>
      <c r="H1362" s="39" t="str">
        <f t="array" ref="H1362">IFERROR(XLOOKUP(D1362,'MASTER ITEM LIST'!A:A,'MASTER ITEM LIST'!D:D), "")</f>
        <v/>
      </c>
      <c r="I1362" s="40"/>
      <c r="J1362" s="41" t="str">
        <f t="shared" si="2"/>
        <v/>
      </c>
    </row>
    <row r="1363" ht="22.5" customHeight="1">
      <c r="A1363" s="29"/>
      <c r="B1363" s="31"/>
      <c r="C1363" s="193"/>
      <c r="D1363" s="190" t="str">
        <f t="array" ref="D1363">IF(E1363="", "", XLOOKUP(E1363, 'MASTER ITEM LIST'!B:B, 'MASTER ITEM LIST'!A:A, "Code Not Found"))</f>
        <v/>
      </c>
      <c r="E1363" s="35"/>
      <c r="F1363" s="194"/>
      <c r="G1363" s="31"/>
      <c r="H1363" s="39" t="str">
        <f t="array" ref="H1363">IFERROR(XLOOKUP(D1363,'MASTER ITEM LIST'!A:A,'MASTER ITEM LIST'!D:D), "")</f>
        <v/>
      </c>
      <c r="I1363" s="40"/>
      <c r="J1363" s="41" t="str">
        <f t="shared" si="2"/>
        <v/>
      </c>
    </row>
    <row r="1364" ht="22.5" customHeight="1">
      <c r="A1364" s="29"/>
      <c r="B1364" s="31"/>
      <c r="C1364" s="193"/>
      <c r="D1364" s="190" t="str">
        <f t="array" ref="D1364">IF(E1364="", "", XLOOKUP(E1364, 'MASTER ITEM LIST'!B:B, 'MASTER ITEM LIST'!A:A, "Code Not Found"))</f>
        <v/>
      </c>
      <c r="E1364" s="35"/>
      <c r="F1364" s="194"/>
      <c r="G1364" s="31"/>
      <c r="H1364" s="39" t="str">
        <f t="array" ref="H1364">IFERROR(XLOOKUP(D1364,'MASTER ITEM LIST'!A:A,'MASTER ITEM LIST'!D:D), "")</f>
        <v/>
      </c>
      <c r="I1364" s="40"/>
      <c r="J1364" s="41" t="str">
        <f t="shared" si="2"/>
        <v/>
      </c>
    </row>
    <row r="1365" ht="22.5" customHeight="1">
      <c r="A1365" s="29"/>
      <c r="B1365" s="31"/>
      <c r="C1365" s="193"/>
      <c r="D1365" s="190" t="str">
        <f t="array" ref="D1365">IF(E1365="", "", XLOOKUP(E1365, 'MASTER ITEM LIST'!B:B, 'MASTER ITEM LIST'!A:A, "Code Not Found"))</f>
        <v/>
      </c>
      <c r="E1365" s="35"/>
      <c r="F1365" s="194"/>
      <c r="G1365" s="31"/>
      <c r="H1365" s="39" t="str">
        <f t="array" ref="H1365">IFERROR(XLOOKUP(D1365,'MASTER ITEM LIST'!A:A,'MASTER ITEM LIST'!D:D), "")</f>
        <v/>
      </c>
      <c r="I1365" s="40"/>
      <c r="J1365" s="41" t="str">
        <f t="shared" si="2"/>
        <v/>
      </c>
    </row>
    <row r="1366" ht="22.5" customHeight="1">
      <c r="A1366" s="29"/>
      <c r="B1366" s="31"/>
      <c r="C1366" s="193"/>
      <c r="D1366" s="190" t="str">
        <f t="array" ref="D1366">IF(E1366="", "", XLOOKUP(E1366, 'MASTER ITEM LIST'!B:B, 'MASTER ITEM LIST'!A:A, "Code Not Found"))</f>
        <v/>
      </c>
      <c r="E1366" s="35"/>
      <c r="F1366" s="194"/>
      <c r="G1366" s="31"/>
      <c r="H1366" s="39" t="str">
        <f t="array" ref="H1366">IFERROR(XLOOKUP(D1366,'MASTER ITEM LIST'!A:A,'MASTER ITEM LIST'!D:D), "")</f>
        <v/>
      </c>
      <c r="I1366" s="40"/>
      <c r="J1366" s="41" t="str">
        <f t="shared" si="2"/>
        <v/>
      </c>
    </row>
    <row r="1367" ht="22.5" customHeight="1">
      <c r="A1367" s="29"/>
      <c r="B1367" s="31"/>
      <c r="C1367" s="193"/>
      <c r="D1367" s="190" t="str">
        <f t="array" ref="D1367">IF(E1367="", "", XLOOKUP(E1367, 'MASTER ITEM LIST'!B:B, 'MASTER ITEM LIST'!A:A, "Code Not Found"))</f>
        <v/>
      </c>
      <c r="E1367" s="35"/>
      <c r="F1367" s="194"/>
      <c r="G1367" s="31"/>
      <c r="H1367" s="39" t="str">
        <f t="array" ref="H1367">IFERROR(XLOOKUP(D1367,'MASTER ITEM LIST'!A:A,'MASTER ITEM LIST'!D:D), "")</f>
        <v/>
      </c>
      <c r="I1367" s="40"/>
      <c r="J1367" s="41" t="str">
        <f t="shared" si="2"/>
        <v/>
      </c>
    </row>
    <row r="1368" ht="22.5" customHeight="1">
      <c r="A1368" s="29"/>
      <c r="B1368" s="31"/>
      <c r="C1368" s="193"/>
      <c r="D1368" s="190" t="str">
        <f t="array" ref="D1368">IF(E1368="", "", XLOOKUP(E1368, 'MASTER ITEM LIST'!B:B, 'MASTER ITEM LIST'!A:A, "Code Not Found"))</f>
        <v/>
      </c>
      <c r="E1368" s="35"/>
      <c r="F1368" s="194"/>
      <c r="G1368" s="31"/>
      <c r="H1368" s="39" t="str">
        <f t="array" ref="H1368">IFERROR(XLOOKUP(D1368,'MASTER ITEM LIST'!A:A,'MASTER ITEM LIST'!D:D), "")</f>
        <v/>
      </c>
      <c r="I1368" s="40"/>
      <c r="J1368" s="41" t="str">
        <f t="shared" si="2"/>
        <v/>
      </c>
    </row>
    <row r="1369" ht="22.5" customHeight="1">
      <c r="A1369" s="29"/>
      <c r="B1369" s="31"/>
      <c r="C1369" s="193"/>
      <c r="D1369" s="190" t="str">
        <f t="array" ref="D1369">IF(E1369="", "", XLOOKUP(E1369, 'MASTER ITEM LIST'!B:B, 'MASTER ITEM LIST'!A:A, "Code Not Found"))</f>
        <v/>
      </c>
      <c r="E1369" s="35"/>
      <c r="F1369" s="194"/>
      <c r="G1369" s="31"/>
      <c r="H1369" s="39" t="str">
        <f t="array" ref="H1369">IFERROR(XLOOKUP(D1369,'MASTER ITEM LIST'!A:A,'MASTER ITEM LIST'!D:D), "")</f>
        <v/>
      </c>
      <c r="I1369" s="40"/>
      <c r="J1369" s="41" t="str">
        <f t="shared" si="2"/>
        <v/>
      </c>
    </row>
    <row r="1370" ht="22.5" customHeight="1">
      <c r="A1370" s="29"/>
      <c r="B1370" s="31"/>
      <c r="C1370" s="193"/>
      <c r="D1370" s="190" t="str">
        <f t="array" ref="D1370">IF(E1370="", "", XLOOKUP(E1370, 'MASTER ITEM LIST'!B:B, 'MASTER ITEM LIST'!A:A, "Code Not Found"))</f>
        <v/>
      </c>
      <c r="E1370" s="35"/>
      <c r="F1370" s="194"/>
      <c r="G1370" s="31"/>
      <c r="H1370" s="39" t="str">
        <f t="array" ref="H1370">IFERROR(XLOOKUP(D1370,'MASTER ITEM LIST'!A:A,'MASTER ITEM LIST'!D:D), "")</f>
        <v/>
      </c>
      <c r="I1370" s="40"/>
      <c r="J1370" s="41" t="str">
        <f t="shared" si="2"/>
        <v/>
      </c>
    </row>
    <row r="1371" ht="22.5" customHeight="1">
      <c r="A1371" s="29"/>
      <c r="B1371" s="31"/>
      <c r="C1371" s="193"/>
      <c r="D1371" s="190" t="str">
        <f t="array" ref="D1371">IF(E1371="", "", XLOOKUP(E1371, 'MASTER ITEM LIST'!B:B, 'MASTER ITEM LIST'!A:A, "Code Not Found"))</f>
        <v/>
      </c>
      <c r="E1371" s="35"/>
      <c r="F1371" s="194"/>
      <c r="G1371" s="31"/>
      <c r="H1371" s="39" t="str">
        <f t="array" ref="H1371">IFERROR(XLOOKUP(D1371,'MASTER ITEM LIST'!A:A,'MASTER ITEM LIST'!D:D), "")</f>
        <v/>
      </c>
      <c r="I1371" s="40"/>
      <c r="J1371" s="41" t="str">
        <f t="shared" si="2"/>
        <v/>
      </c>
    </row>
    <row r="1372" ht="22.5" customHeight="1">
      <c r="A1372" s="29"/>
      <c r="B1372" s="31"/>
      <c r="C1372" s="193"/>
      <c r="D1372" s="190" t="str">
        <f t="array" ref="D1372">IF(E1372="", "", XLOOKUP(E1372, 'MASTER ITEM LIST'!B:B, 'MASTER ITEM LIST'!A:A, "Code Not Found"))</f>
        <v/>
      </c>
      <c r="E1372" s="35"/>
      <c r="F1372" s="194"/>
      <c r="G1372" s="31"/>
      <c r="H1372" s="39" t="str">
        <f t="array" ref="H1372">IFERROR(XLOOKUP(D1372,'MASTER ITEM LIST'!A:A,'MASTER ITEM LIST'!D:D), "")</f>
        <v/>
      </c>
      <c r="I1372" s="40"/>
      <c r="J1372" s="41" t="str">
        <f t="shared" si="2"/>
        <v/>
      </c>
    </row>
    <row r="1373" ht="22.5" customHeight="1">
      <c r="A1373" s="29"/>
      <c r="B1373" s="31"/>
      <c r="C1373" s="193"/>
      <c r="D1373" s="190" t="str">
        <f t="array" ref="D1373">IF(E1373="", "", XLOOKUP(E1373, 'MASTER ITEM LIST'!B:B, 'MASTER ITEM LIST'!A:A, "Code Not Found"))</f>
        <v/>
      </c>
      <c r="E1373" s="35"/>
      <c r="F1373" s="194"/>
      <c r="G1373" s="31"/>
      <c r="H1373" s="39" t="str">
        <f t="array" ref="H1373">IFERROR(XLOOKUP(D1373,'MASTER ITEM LIST'!A:A,'MASTER ITEM LIST'!D:D), "")</f>
        <v/>
      </c>
      <c r="I1373" s="40"/>
      <c r="J1373" s="41" t="str">
        <f t="shared" si="2"/>
        <v/>
      </c>
    </row>
    <row r="1374" ht="22.5" customHeight="1">
      <c r="A1374" s="29"/>
      <c r="B1374" s="31"/>
      <c r="C1374" s="193"/>
      <c r="D1374" s="190" t="str">
        <f t="array" ref="D1374">IF(E1374="", "", XLOOKUP(E1374, 'MASTER ITEM LIST'!B:B, 'MASTER ITEM LIST'!A:A, "Code Not Found"))</f>
        <v/>
      </c>
      <c r="E1374" s="35"/>
      <c r="F1374" s="194"/>
      <c r="G1374" s="31"/>
      <c r="H1374" s="39" t="str">
        <f t="array" ref="H1374">IFERROR(XLOOKUP(D1374,'MASTER ITEM LIST'!A:A,'MASTER ITEM LIST'!D:D), "")</f>
        <v/>
      </c>
      <c r="I1374" s="40"/>
      <c r="J1374" s="41" t="str">
        <f t="shared" si="2"/>
        <v/>
      </c>
    </row>
    <row r="1375" ht="22.5" customHeight="1">
      <c r="A1375" s="29"/>
      <c r="B1375" s="31"/>
      <c r="C1375" s="193"/>
      <c r="D1375" s="190" t="str">
        <f t="array" ref="D1375">IF(E1375="", "", XLOOKUP(E1375, 'MASTER ITEM LIST'!B:B, 'MASTER ITEM LIST'!A:A, "Code Not Found"))</f>
        <v/>
      </c>
      <c r="E1375" s="35"/>
      <c r="F1375" s="194"/>
      <c r="G1375" s="31"/>
      <c r="H1375" s="39" t="str">
        <f t="array" ref="H1375">IFERROR(XLOOKUP(D1375,'MASTER ITEM LIST'!A:A,'MASTER ITEM LIST'!D:D), "")</f>
        <v/>
      </c>
      <c r="I1375" s="40"/>
      <c r="J1375" s="41" t="str">
        <f t="shared" si="2"/>
        <v/>
      </c>
    </row>
    <row r="1376" ht="22.5" customHeight="1">
      <c r="A1376" s="29"/>
      <c r="B1376" s="31"/>
      <c r="C1376" s="193"/>
      <c r="D1376" s="190" t="str">
        <f t="array" ref="D1376">IF(E1376="", "", XLOOKUP(E1376, 'MASTER ITEM LIST'!B:B, 'MASTER ITEM LIST'!A:A, "Code Not Found"))</f>
        <v/>
      </c>
      <c r="E1376" s="35"/>
      <c r="F1376" s="194"/>
      <c r="G1376" s="31"/>
      <c r="H1376" s="39" t="str">
        <f t="array" ref="H1376">IFERROR(XLOOKUP(D1376,'MASTER ITEM LIST'!A:A,'MASTER ITEM LIST'!D:D), "")</f>
        <v/>
      </c>
      <c r="I1376" s="40"/>
      <c r="J1376" s="41" t="str">
        <f t="shared" si="2"/>
        <v/>
      </c>
    </row>
    <row r="1377" ht="22.5" customHeight="1">
      <c r="A1377" s="29"/>
      <c r="B1377" s="31"/>
      <c r="C1377" s="193"/>
      <c r="D1377" s="190" t="str">
        <f t="array" ref="D1377">IF(E1377="", "", XLOOKUP(E1377, 'MASTER ITEM LIST'!B:B, 'MASTER ITEM LIST'!A:A, "Code Not Found"))</f>
        <v/>
      </c>
      <c r="E1377" s="35"/>
      <c r="F1377" s="194"/>
      <c r="G1377" s="31"/>
      <c r="H1377" s="39" t="str">
        <f t="array" ref="H1377">IFERROR(XLOOKUP(D1377,'MASTER ITEM LIST'!A:A,'MASTER ITEM LIST'!D:D), "")</f>
        <v/>
      </c>
      <c r="I1377" s="40"/>
      <c r="J1377" s="41" t="str">
        <f t="shared" si="2"/>
        <v/>
      </c>
    </row>
    <row r="1378" ht="22.5" customHeight="1">
      <c r="A1378" s="29"/>
      <c r="B1378" s="31"/>
      <c r="C1378" s="193"/>
      <c r="D1378" s="190" t="str">
        <f t="array" ref="D1378">IF(E1378="", "", XLOOKUP(E1378, 'MASTER ITEM LIST'!B:B, 'MASTER ITEM LIST'!A:A, "Code Not Found"))</f>
        <v/>
      </c>
      <c r="E1378" s="35"/>
      <c r="F1378" s="194"/>
      <c r="G1378" s="31"/>
      <c r="H1378" s="39" t="str">
        <f t="array" ref="H1378">IFERROR(XLOOKUP(D1378,'MASTER ITEM LIST'!A:A,'MASTER ITEM LIST'!D:D), "")</f>
        <v/>
      </c>
      <c r="I1378" s="40"/>
      <c r="J1378" s="41" t="str">
        <f t="shared" si="2"/>
        <v/>
      </c>
    </row>
    <row r="1379" ht="22.5" customHeight="1">
      <c r="A1379" s="29"/>
      <c r="B1379" s="31"/>
      <c r="C1379" s="193"/>
      <c r="D1379" s="190" t="str">
        <f t="array" ref="D1379">IF(E1379="", "", XLOOKUP(E1379, 'MASTER ITEM LIST'!B:B, 'MASTER ITEM LIST'!A:A, "Code Not Found"))</f>
        <v/>
      </c>
      <c r="E1379" s="35"/>
      <c r="F1379" s="194"/>
      <c r="G1379" s="31"/>
      <c r="H1379" s="39" t="str">
        <f t="array" ref="H1379">IFERROR(XLOOKUP(D1379,'MASTER ITEM LIST'!A:A,'MASTER ITEM LIST'!D:D), "")</f>
        <v/>
      </c>
      <c r="I1379" s="40"/>
      <c r="J1379" s="41" t="str">
        <f t="shared" si="2"/>
        <v/>
      </c>
    </row>
    <row r="1380" ht="22.5" customHeight="1">
      <c r="A1380" s="29"/>
      <c r="B1380" s="31"/>
      <c r="C1380" s="193"/>
      <c r="D1380" s="190" t="str">
        <f t="array" ref="D1380">IF(E1380="", "", XLOOKUP(E1380, 'MASTER ITEM LIST'!B:B, 'MASTER ITEM LIST'!A:A, "Code Not Found"))</f>
        <v/>
      </c>
      <c r="E1380" s="35"/>
      <c r="F1380" s="194"/>
      <c r="G1380" s="31"/>
      <c r="H1380" s="39" t="str">
        <f t="array" ref="H1380">IFERROR(XLOOKUP(D1380,'MASTER ITEM LIST'!A:A,'MASTER ITEM LIST'!D:D), "")</f>
        <v/>
      </c>
      <c r="I1380" s="40"/>
      <c r="J1380" s="41" t="str">
        <f t="shared" si="2"/>
        <v/>
      </c>
    </row>
    <row r="1381" ht="22.5" customHeight="1">
      <c r="A1381" s="29"/>
      <c r="B1381" s="31"/>
      <c r="C1381" s="193"/>
      <c r="D1381" s="190" t="str">
        <f t="array" ref="D1381">IF(E1381="", "", XLOOKUP(E1381, 'MASTER ITEM LIST'!B:B, 'MASTER ITEM LIST'!A:A, "Code Not Found"))</f>
        <v/>
      </c>
      <c r="E1381" s="35"/>
      <c r="F1381" s="194"/>
      <c r="G1381" s="31"/>
      <c r="H1381" s="39" t="str">
        <f t="array" ref="H1381">IFERROR(XLOOKUP(D1381,'MASTER ITEM LIST'!A:A,'MASTER ITEM LIST'!D:D), "")</f>
        <v/>
      </c>
      <c r="I1381" s="40"/>
      <c r="J1381" s="41" t="str">
        <f t="shared" si="2"/>
        <v/>
      </c>
    </row>
    <row r="1382" ht="22.5" customHeight="1">
      <c r="A1382" s="29"/>
      <c r="B1382" s="31"/>
      <c r="C1382" s="193"/>
      <c r="D1382" s="190" t="str">
        <f t="array" ref="D1382">IF(E1382="", "", XLOOKUP(E1382, 'MASTER ITEM LIST'!B:B, 'MASTER ITEM LIST'!A:A, "Code Not Found"))</f>
        <v/>
      </c>
      <c r="E1382" s="35"/>
      <c r="F1382" s="194"/>
      <c r="G1382" s="31"/>
      <c r="H1382" s="39" t="str">
        <f t="array" ref="H1382">IFERROR(XLOOKUP(D1382,'MASTER ITEM LIST'!A:A,'MASTER ITEM LIST'!D:D), "")</f>
        <v/>
      </c>
      <c r="I1382" s="40"/>
      <c r="J1382" s="41" t="str">
        <f t="shared" si="2"/>
        <v/>
      </c>
    </row>
    <row r="1383" ht="22.5" customHeight="1">
      <c r="A1383" s="29"/>
      <c r="B1383" s="31"/>
      <c r="C1383" s="193"/>
      <c r="D1383" s="190" t="str">
        <f t="array" ref="D1383">IF(E1383="", "", XLOOKUP(E1383, 'MASTER ITEM LIST'!B:B, 'MASTER ITEM LIST'!A:A, "Code Not Found"))</f>
        <v/>
      </c>
      <c r="E1383" s="35"/>
      <c r="F1383" s="194"/>
      <c r="G1383" s="31"/>
      <c r="H1383" s="39" t="str">
        <f t="array" ref="H1383">IFERROR(XLOOKUP(D1383,'MASTER ITEM LIST'!A:A,'MASTER ITEM LIST'!D:D), "")</f>
        <v/>
      </c>
      <c r="I1383" s="40"/>
      <c r="J1383" s="41" t="str">
        <f t="shared" si="2"/>
        <v/>
      </c>
    </row>
    <row r="1384" ht="22.5" customHeight="1">
      <c r="A1384" s="29"/>
      <c r="B1384" s="31"/>
      <c r="C1384" s="193"/>
      <c r="D1384" s="190" t="str">
        <f t="array" ref="D1384">IF(E1384="", "", XLOOKUP(E1384, 'MASTER ITEM LIST'!B:B, 'MASTER ITEM LIST'!A:A, "Code Not Found"))</f>
        <v/>
      </c>
      <c r="E1384" s="35"/>
      <c r="F1384" s="194"/>
      <c r="G1384" s="31"/>
      <c r="H1384" s="39" t="str">
        <f t="array" ref="H1384">IFERROR(XLOOKUP(D1384,'MASTER ITEM LIST'!A:A,'MASTER ITEM LIST'!D:D), "")</f>
        <v/>
      </c>
      <c r="I1384" s="40"/>
      <c r="J1384" s="41" t="str">
        <f t="shared" si="2"/>
        <v/>
      </c>
    </row>
    <row r="1385" ht="22.5" customHeight="1">
      <c r="A1385" s="29"/>
      <c r="B1385" s="31"/>
      <c r="C1385" s="193"/>
      <c r="D1385" s="190" t="str">
        <f t="array" ref="D1385">IF(E1385="", "", XLOOKUP(E1385, 'MASTER ITEM LIST'!B:B, 'MASTER ITEM LIST'!A:A, "Code Not Found"))</f>
        <v/>
      </c>
      <c r="E1385" s="35"/>
      <c r="F1385" s="194"/>
      <c r="G1385" s="31"/>
      <c r="H1385" s="39" t="str">
        <f t="array" ref="H1385">IFERROR(XLOOKUP(D1385,'MASTER ITEM LIST'!A:A,'MASTER ITEM LIST'!D:D), "")</f>
        <v/>
      </c>
      <c r="I1385" s="40"/>
      <c r="J1385" s="41" t="str">
        <f t="shared" si="2"/>
        <v/>
      </c>
    </row>
    <row r="1386" ht="22.5" customHeight="1">
      <c r="A1386" s="29"/>
      <c r="B1386" s="31"/>
      <c r="C1386" s="193"/>
      <c r="D1386" s="190" t="str">
        <f t="array" ref="D1386">IF(E1386="", "", XLOOKUP(E1386, 'MASTER ITEM LIST'!B:B, 'MASTER ITEM LIST'!A:A, "Code Not Found"))</f>
        <v/>
      </c>
      <c r="E1386" s="35"/>
      <c r="F1386" s="194"/>
      <c r="G1386" s="31"/>
      <c r="H1386" s="39" t="str">
        <f t="array" ref="H1386">IFERROR(XLOOKUP(D1386,'MASTER ITEM LIST'!A:A,'MASTER ITEM LIST'!D:D), "")</f>
        <v/>
      </c>
      <c r="I1386" s="40"/>
      <c r="J1386" s="41" t="str">
        <f t="shared" si="2"/>
        <v/>
      </c>
    </row>
    <row r="1387" ht="22.5" customHeight="1">
      <c r="A1387" s="29"/>
      <c r="B1387" s="31"/>
      <c r="C1387" s="193"/>
      <c r="D1387" s="190" t="str">
        <f t="array" ref="D1387">IF(E1387="", "", XLOOKUP(E1387, 'MASTER ITEM LIST'!B:B, 'MASTER ITEM LIST'!A:A, "Code Not Found"))</f>
        <v/>
      </c>
      <c r="E1387" s="35"/>
      <c r="F1387" s="194"/>
      <c r="G1387" s="31"/>
      <c r="H1387" s="39" t="str">
        <f t="array" ref="H1387">IFERROR(XLOOKUP(D1387,'MASTER ITEM LIST'!A:A,'MASTER ITEM LIST'!D:D), "")</f>
        <v/>
      </c>
      <c r="I1387" s="40"/>
      <c r="J1387" s="41" t="str">
        <f t="shared" si="2"/>
        <v/>
      </c>
    </row>
    <row r="1388" ht="22.5" customHeight="1">
      <c r="A1388" s="29"/>
      <c r="B1388" s="31"/>
      <c r="C1388" s="193"/>
      <c r="D1388" s="190" t="str">
        <f t="array" ref="D1388">IF(E1388="", "", XLOOKUP(E1388, 'MASTER ITEM LIST'!B:B, 'MASTER ITEM LIST'!A:A, "Code Not Found"))</f>
        <v/>
      </c>
      <c r="E1388" s="35"/>
      <c r="F1388" s="194"/>
      <c r="G1388" s="31"/>
      <c r="H1388" s="39" t="str">
        <f t="array" ref="H1388">IFERROR(XLOOKUP(D1388,'MASTER ITEM LIST'!A:A,'MASTER ITEM LIST'!D:D), "")</f>
        <v/>
      </c>
      <c r="I1388" s="40"/>
      <c r="J1388" s="41" t="str">
        <f t="shared" si="2"/>
        <v/>
      </c>
    </row>
    <row r="1389" ht="22.5" customHeight="1">
      <c r="A1389" s="29"/>
      <c r="B1389" s="31"/>
      <c r="C1389" s="193"/>
      <c r="D1389" s="190" t="str">
        <f t="array" ref="D1389">IF(E1389="", "", XLOOKUP(E1389, 'MASTER ITEM LIST'!B:B, 'MASTER ITEM LIST'!A:A, "Code Not Found"))</f>
        <v/>
      </c>
      <c r="E1389" s="35"/>
      <c r="F1389" s="194"/>
      <c r="G1389" s="31"/>
      <c r="H1389" s="39" t="str">
        <f t="array" ref="H1389">IFERROR(XLOOKUP(D1389,'MASTER ITEM LIST'!A:A,'MASTER ITEM LIST'!D:D), "")</f>
        <v/>
      </c>
      <c r="I1389" s="40"/>
      <c r="J1389" s="41" t="str">
        <f t="shared" si="2"/>
        <v/>
      </c>
    </row>
    <row r="1390" ht="22.5" customHeight="1">
      <c r="A1390" s="29"/>
      <c r="B1390" s="31"/>
      <c r="C1390" s="193"/>
      <c r="D1390" s="190" t="str">
        <f t="array" ref="D1390">IF(E1390="", "", XLOOKUP(E1390, 'MASTER ITEM LIST'!B:B, 'MASTER ITEM LIST'!A:A, "Code Not Found"))</f>
        <v/>
      </c>
      <c r="E1390" s="35"/>
      <c r="F1390" s="194"/>
      <c r="G1390" s="31"/>
      <c r="H1390" s="39" t="str">
        <f t="array" ref="H1390">IFERROR(XLOOKUP(D1390,'MASTER ITEM LIST'!A:A,'MASTER ITEM LIST'!D:D), "")</f>
        <v/>
      </c>
      <c r="I1390" s="40"/>
      <c r="J1390" s="41" t="str">
        <f t="shared" si="2"/>
        <v/>
      </c>
    </row>
    <row r="1391" ht="22.5" customHeight="1">
      <c r="A1391" s="29"/>
      <c r="B1391" s="31"/>
      <c r="C1391" s="193"/>
      <c r="D1391" s="190" t="str">
        <f t="array" ref="D1391">IF(E1391="", "", XLOOKUP(E1391, 'MASTER ITEM LIST'!B:B, 'MASTER ITEM LIST'!A:A, "Code Not Found"))</f>
        <v/>
      </c>
      <c r="E1391" s="35"/>
      <c r="F1391" s="194"/>
      <c r="G1391" s="31"/>
      <c r="H1391" s="39" t="str">
        <f t="array" ref="H1391">IFERROR(XLOOKUP(D1391,'MASTER ITEM LIST'!A:A,'MASTER ITEM LIST'!D:D), "")</f>
        <v/>
      </c>
      <c r="I1391" s="40"/>
      <c r="J1391" s="41" t="str">
        <f t="shared" si="2"/>
        <v/>
      </c>
    </row>
    <row r="1392" ht="22.5" customHeight="1">
      <c r="A1392" s="29"/>
      <c r="B1392" s="31"/>
      <c r="C1392" s="193"/>
      <c r="D1392" s="190" t="str">
        <f t="array" ref="D1392">IF(E1392="", "", XLOOKUP(E1392, 'MASTER ITEM LIST'!B:B, 'MASTER ITEM LIST'!A:A, "Code Not Found"))</f>
        <v/>
      </c>
      <c r="E1392" s="35"/>
      <c r="F1392" s="194"/>
      <c r="G1392" s="31"/>
      <c r="H1392" s="39" t="str">
        <f t="array" ref="H1392">IFERROR(XLOOKUP(D1392,'MASTER ITEM LIST'!A:A,'MASTER ITEM LIST'!D:D), "")</f>
        <v/>
      </c>
      <c r="I1392" s="40"/>
      <c r="J1392" s="41" t="str">
        <f t="shared" si="2"/>
        <v/>
      </c>
    </row>
    <row r="1393" ht="22.5" customHeight="1">
      <c r="A1393" s="29"/>
      <c r="B1393" s="31"/>
      <c r="C1393" s="193"/>
      <c r="D1393" s="190" t="str">
        <f t="array" ref="D1393">IF(E1393="", "", XLOOKUP(E1393, 'MASTER ITEM LIST'!B:B, 'MASTER ITEM LIST'!A:A, "Code Not Found"))</f>
        <v/>
      </c>
      <c r="E1393" s="35"/>
      <c r="F1393" s="194"/>
      <c r="G1393" s="31"/>
      <c r="H1393" s="39" t="str">
        <f t="array" ref="H1393">IFERROR(XLOOKUP(D1393,'MASTER ITEM LIST'!A:A,'MASTER ITEM LIST'!D:D), "")</f>
        <v/>
      </c>
      <c r="I1393" s="40"/>
      <c r="J1393" s="41" t="str">
        <f t="shared" si="2"/>
        <v/>
      </c>
    </row>
    <row r="1394" ht="22.5" customHeight="1">
      <c r="A1394" s="29"/>
      <c r="B1394" s="31"/>
      <c r="C1394" s="193"/>
      <c r="D1394" s="190" t="str">
        <f t="array" ref="D1394">IF(E1394="", "", XLOOKUP(E1394, 'MASTER ITEM LIST'!B:B, 'MASTER ITEM LIST'!A:A, "Code Not Found"))</f>
        <v/>
      </c>
      <c r="E1394" s="35"/>
      <c r="F1394" s="194"/>
      <c r="G1394" s="31"/>
      <c r="H1394" s="39" t="str">
        <f t="array" ref="H1394">IFERROR(XLOOKUP(D1394,'MASTER ITEM LIST'!A:A,'MASTER ITEM LIST'!D:D), "")</f>
        <v/>
      </c>
      <c r="I1394" s="40"/>
      <c r="J1394" s="41" t="str">
        <f t="shared" si="2"/>
        <v/>
      </c>
    </row>
    <row r="1395" ht="22.5" customHeight="1">
      <c r="A1395" s="29"/>
      <c r="B1395" s="31"/>
      <c r="C1395" s="193"/>
      <c r="D1395" s="190" t="str">
        <f t="array" ref="D1395">IF(E1395="", "", XLOOKUP(E1395, 'MASTER ITEM LIST'!B:B, 'MASTER ITEM LIST'!A:A, "Code Not Found"))</f>
        <v/>
      </c>
      <c r="E1395" s="35"/>
      <c r="F1395" s="194"/>
      <c r="G1395" s="31"/>
      <c r="H1395" s="39" t="str">
        <f t="array" ref="H1395">IFERROR(XLOOKUP(D1395,'MASTER ITEM LIST'!A:A,'MASTER ITEM LIST'!D:D), "")</f>
        <v/>
      </c>
      <c r="I1395" s="40"/>
      <c r="J1395" s="41" t="str">
        <f t="shared" si="2"/>
        <v/>
      </c>
    </row>
    <row r="1396" ht="22.5" customHeight="1">
      <c r="A1396" s="29"/>
      <c r="B1396" s="31"/>
      <c r="C1396" s="193"/>
      <c r="D1396" s="190" t="str">
        <f t="array" ref="D1396">IF(E1396="", "", XLOOKUP(E1396, 'MASTER ITEM LIST'!B:B, 'MASTER ITEM LIST'!A:A, "Code Not Found"))</f>
        <v/>
      </c>
      <c r="E1396" s="35"/>
      <c r="F1396" s="194"/>
      <c r="G1396" s="31"/>
      <c r="H1396" s="39" t="str">
        <f t="array" ref="H1396">IFERROR(XLOOKUP(D1396,'MASTER ITEM LIST'!A:A,'MASTER ITEM LIST'!D:D), "")</f>
        <v/>
      </c>
      <c r="I1396" s="40"/>
      <c r="J1396" s="41" t="str">
        <f t="shared" si="2"/>
        <v/>
      </c>
    </row>
    <row r="1397" ht="22.5" customHeight="1">
      <c r="A1397" s="29"/>
      <c r="B1397" s="31"/>
      <c r="C1397" s="193"/>
      <c r="D1397" s="190" t="str">
        <f t="array" ref="D1397">IF(E1397="", "", XLOOKUP(E1397, 'MASTER ITEM LIST'!B:B, 'MASTER ITEM LIST'!A:A, "Code Not Found"))</f>
        <v/>
      </c>
      <c r="E1397" s="35"/>
      <c r="F1397" s="194"/>
      <c r="G1397" s="31"/>
      <c r="H1397" s="39" t="str">
        <f t="array" ref="H1397">IFERROR(XLOOKUP(D1397,'MASTER ITEM LIST'!A:A,'MASTER ITEM LIST'!D:D), "")</f>
        <v/>
      </c>
      <c r="I1397" s="40"/>
      <c r="J1397" s="41" t="str">
        <f t="shared" si="2"/>
        <v/>
      </c>
    </row>
    <row r="1398" ht="22.5" customHeight="1">
      <c r="A1398" s="29"/>
      <c r="B1398" s="31"/>
      <c r="C1398" s="193"/>
      <c r="D1398" s="190" t="str">
        <f t="array" ref="D1398">IF(E1398="", "", XLOOKUP(E1398, 'MASTER ITEM LIST'!B:B, 'MASTER ITEM LIST'!A:A, "Code Not Found"))</f>
        <v/>
      </c>
      <c r="E1398" s="35"/>
      <c r="F1398" s="194"/>
      <c r="G1398" s="31"/>
      <c r="H1398" s="39" t="str">
        <f t="array" ref="H1398">IFERROR(XLOOKUP(D1398,'MASTER ITEM LIST'!A:A,'MASTER ITEM LIST'!D:D), "")</f>
        <v/>
      </c>
      <c r="I1398" s="40"/>
      <c r="J1398" s="41" t="str">
        <f t="shared" si="2"/>
        <v/>
      </c>
    </row>
    <row r="1399" ht="22.5" customHeight="1">
      <c r="A1399" s="29"/>
      <c r="B1399" s="31"/>
      <c r="C1399" s="193"/>
      <c r="D1399" s="190" t="str">
        <f t="array" ref="D1399">IF(E1399="", "", XLOOKUP(E1399, 'MASTER ITEM LIST'!B:B, 'MASTER ITEM LIST'!A:A, "Code Not Found"))</f>
        <v/>
      </c>
      <c r="E1399" s="35"/>
      <c r="F1399" s="194"/>
      <c r="G1399" s="31"/>
      <c r="H1399" s="39" t="str">
        <f t="array" ref="H1399">IFERROR(XLOOKUP(D1399,'MASTER ITEM LIST'!A:A,'MASTER ITEM LIST'!D:D), "")</f>
        <v/>
      </c>
      <c r="I1399" s="40"/>
      <c r="J1399" s="41" t="str">
        <f t="shared" si="2"/>
        <v/>
      </c>
    </row>
    <row r="1400" ht="22.5" customHeight="1">
      <c r="A1400" s="29"/>
      <c r="B1400" s="31"/>
      <c r="C1400" s="193"/>
      <c r="D1400" s="190" t="str">
        <f t="array" ref="D1400">IF(E1400="", "", XLOOKUP(E1400, 'MASTER ITEM LIST'!B:B, 'MASTER ITEM LIST'!A:A, "Code Not Found"))</f>
        <v/>
      </c>
      <c r="E1400" s="35"/>
      <c r="F1400" s="194"/>
      <c r="G1400" s="31"/>
      <c r="H1400" s="39" t="str">
        <f t="array" ref="H1400">IFERROR(XLOOKUP(D1400,'MASTER ITEM LIST'!A:A,'MASTER ITEM LIST'!D:D), "")</f>
        <v/>
      </c>
      <c r="I1400" s="40"/>
      <c r="J1400" s="41" t="str">
        <f t="shared" si="2"/>
        <v/>
      </c>
    </row>
    <row r="1401" ht="22.5" customHeight="1">
      <c r="A1401" s="29"/>
      <c r="B1401" s="31"/>
      <c r="C1401" s="193"/>
      <c r="D1401" s="190" t="str">
        <f t="array" ref="D1401">IF(E1401="", "", XLOOKUP(E1401, 'MASTER ITEM LIST'!B:B, 'MASTER ITEM LIST'!A:A, "Code Not Found"))</f>
        <v/>
      </c>
      <c r="E1401" s="35"/>
      <c r="F1401" s="194"/>
      <c r="G1401" s="31"/>
      <c r="H1401" s="39" t="str">
        <f t="array" ref="H1401">IFERROR(XLOOKUP(D1401,'MASTER ITEM LIST'!A:A,'MASTER ITEM LIST'!D:D), "")</f>
        <v/>
      </c>
      <c r="I1401" s="40"/>
      <c r="J1401" s="41" t="str">
        <f t="shared" si="2"/>
        <v/>
      </c>
    </row>
    <row r="1402" ht="22.5" customHeight="1">
      <c r="A1402" s="29"/>
      <c r="B1402" s="31"/>
      <c r="C1402" s="193"/>
      <c r="D1402" s="190" t="str">
        <f t="array" ref="D1402">IF(E1402="", "", XLOOKUP(E1402, 'MASTER ITEM LIST'!B:B, 'MASTER ITEM LIST'!A:A, "Code Not Found"))</f>
        <v/>
      </c>
      <c r="E1402" s="35"/>
      <c r="F1402" s="194"/>
      <c r="G1402" s="31"/>
      <c r="H1402" s="39" t="str">
        <f t="array" ref="H1402">IFERROR(XLOOKUP(D1402,'MASTER ITEM LIST'!A:A,'MASTER ITEM LIST'!D:D), "")</f>
        <v/>
      </c>
      <c r="I1402" s="40"/>
      <c r="J1402" s="41" t="str">
        <f t="shared" si="2"/>
        <v/>
      </c>
    </row>
    <row r="1403" ht="22.5" customHeight="1">
      <c r="A1403" s="29"/>
      <c r="B1403" s="31"/>
      <c r="C1403" s="193"/>
      <c r="D1403" s="190" t="str">
        <f t="array" ref="D1403">IF(E1403="", "", XLOOKUP(E1403, 'MASTER ITEM LIST'!B:B, 'MASTER ITEM LIST'!A:A, "Code Not Found"))</f>
        <v/>
      </c>
      <c r="E1403" s="35"/>
      <c r="F1403" s="194"/>
      <c r="G1403" s="31"/>
      <c r="H1403" s="39" t="str">
        <f t="array" ref="H1403">IFERROR(XLOOKUP(D1403,'MASTER ITEM LIST'!A:A,'MASTER ITEM LIST'!D:D), "")</f>
        <v/>
      </c>
      <c r="I1403" s="40"/>
      <c r="J1403" s="41" t="str">
        <f t="shared" si="2"/>
        <v/>
      </c>
    </row>
    <row r="1404" ht="22.5" customHeight="1">
      <c r="A1404" s="29"/>
      <c r="B1404" s="31"/>
      <c r="C1404" s="193"/>
      <c r="D1404" s="190" t="str">
        <f t="array" ref="D1404">IF(E1404="", "", XLOOKUP(E1404, 'MASTER ITEM LIST'!B:B, 'MASTER ITEM LIST'!A:A, "Code Not Found"))</f>
        <v/>
      </c>
      <c r="E1404" s="35"/>
      <c r="F1404" s="194"/>
      <c r="G1404" s="31"/>
      <c r="H1404" s="39" t="str">
        <f t="array" ref="H1404">IFERROR(XLOOKUP(D1404,'MASTER ITEM LIST'!A:A,'MASTER ITEM LIST'!D:D), "")</f>
        <v/>
      </c>
      <c r="I1404" s="40"/>
      <c r="J1404" s="41" t="str">
        <f t="shared" si="2"/>
        <v/>
      </c>
    </row>
    <row r="1405" ht="22.5" customHeight="1">
      <c r="A1405" s="29"/>
      <c r="B1405" s="31"/>
      <c r="C1405" s="193"/>
      <c r="D1405" s="190" t="str">
        <f t="array" ref="D1405">IF(E1405="", "", XLOOKUP(E1405, 'MASTER ITEM LIST'!B:B, 'MASTER ITEM LIST'!A:A, "Code Not Found"))</f>
        <v/>
      </c>
      <c r="E1405" s="35"/>
      <c r="F1405" s="194"/>
      <c r="G1405" s="31"/>
      <c r="H1405" s="39" t="str">
        <f t="array" ref="H1405">IFERROR(XLOOKUP(D1405,'MASTER ITEM LIST'!A:A,'MASTER ITEM LIST'!D:D), "")</f>
        <v/>
      </c>
      <c r="I1405" s="40"/>
      <c r="J1405" s="41" t="str">
        <f t="shared" si="2"/>
        <v/>
      </c>
    </row>
    <row r="1406" ht="22.5" customHeight="1">
      <c r="A1406" s="29"/>
      <c r="B1406" s="31"/>
      <c r="C1406" s="193"/>
      <c r="D1406" s="190" t="str">
        <f t="array" ref="D1406">IF(E1406="", "", XLOOKUP(E1406, 'MASTER ITEM LIST'!B:B, 'MASTER ITEM LIST'!A:A, "Code Not Found"))</f>
        <v/>
      </c>
      <c r="E1406" s="35"/>
      <c r="F1406" s="194"/>
      <c r="G1406" s="31"/>
      <c r="H1406" s="39" t="str">
        <f t="array" ref="H1406">IFERROR(XLOOKUP(D1406,'MASTER ITEM LIST'!A:A,'MASTER ITEM LIST'!D:D), "")</f>
        <v/>
      </c>
      <c r="I1406" s="40"/>
      <c r="J1406" s="41" t="str">
        <f t="shared" si="2"/>
        <v/>
      </c>
    </row>
    <row r="1407" ht="22.5" customHeight="1">
      <c r="A1407" s="29"/>
      <c r="B1407" s="31"/>
      <c r="C1407" s="193"/>
      <c r="D1407" s="190" t="str">
        <f t="array" ref="D1407">IF(E1407="", "", XLOOKUP(E1407, 'MASTER ITEM LIST'!B:B, 'MASTER ITEM LIST'!A:A, "Code Not Found"))</f>
        <v/>
      </c>
      <c r="E1407" s="35"/>
      <c r="F1407" s="194"/>
      <c r="G1407" s="31"/>
      <c r="H1407" s="39" t="str">
        <f t="array" ref="H1407">IFERROR(XLOOKUP(D1407,'MASTER ITEM LIST'!A:A,'MASTER ITEM LIST'!D:D), "")</f>
        <v/>
      </c>
      <c r="I1407" s="40"/>
      <c r="J1407" s="41" t="str">
        <f t="shared" si="2"/>
        <v/>
      </c>
    </row>
    <row r="1408" ht="22.5" customHeight="1">
      <c r="A1408" s="29"/>
      <c r="B1408" s="31"/>
      <c r="C1408" s="193"/>
      <c r="D1408" s="190" t="str">
        <f t="array" ref="D1408">IF(E1408="", "", XLOOKUP(E1408, 'MASTER ITEM LIST'!B:B, 'MASTER ITEM LIST'!A:A, "Code Not Found"))</f>
        <v/>
      </c>
      <c r="E1408" s="35"/>
      <c r="F1408" s="194"/>
      <c r="G1408" s="31"/>
      <c r="H1408" s="39" t="str">
        <f t="array" ref="H1408">IFERROR(XLOOKUP(D1408,'MASTER ITEM LIST'!A:A,'MASTER ITEM LIST'!D:D), "")</f>
        <v/>
      </c>
      <c r="I1408" s="40"/>
      <c r="J1408" s="41" t="str">
        <f t="shared" si="2"/>
        <v/>
      </c>
    </row>
    <row r="1409" ht="22.5" customHeight="1">
      <c r="A1409" s="29"/>
      <c r="B1409" s="31"/>
      <c r="C1409" s="193"/>
      <c r="D1409" s="190" t="str">
        <f t="array" ref="D1409">IF(E1409="", "", XLOOKUP(E1409, 'MASTER ITEM LIST'!B:B, 'MASTER ITEM LIST'!A:A, "Code Not Found"))</f>
        <v/>
      </c>
      <c r="E1409" s="35"/>
      <c r="F1409" s="194"/>
      <c r="G1409" s="31"/>
      <c r="H1409" s="39" t="str">
        <f t="array" ref="H1409">IFERROR(XLOOKUP(D1409,'MASTER ITEM LIST'!A:A,'MASTER ITEM LIST'!D:D), "")</f>
        <v/>
      </c>
      <c r="I1409" s="40"/>
      <c r="J1409" s="41" t="str">
        <f t="shared" si="2"/>
        <v/>
      </c>
    </row>
    <row r="1410" ht="22.5" customHeight="1">
      <c r="A1410" s="29"/>
      <c r="B1410" s="31"/>
      <c r="C1410" s="193"/>
      <c r="D1410" s="190" t="str">
        <f t="array" ref="D1410">IF(E1410="", "", XLOOKUP(E1410, 'MASTER ITEM LIST'!B:B, 'MASTER ITEM LIST'!A:A, "Code Not Found"))</f>
        <v/>
      </c>
      <c r="E1410" s="35"/>
      <c r="F1410" s="194"/>
      <c r="G1410" s="31"/>
      <c r="H1410" s="39" t="str">
        <f t="array" ref="H1410">IFERROR(XLOOKUP(D1410,'MASTER ITEM LIST'!A:A,'MASTER ITEM LIST'!D:D), "")</f>
        <v/>
      </c>
      <c r="I1410" s="40"/>
      <c r="J1410" s="41" t="str">
        <f t="shared" si="2"/>
        <v/>
      </c>
    </row>
    <row r="1411" ht="22.5" customHeight="1">
      <c r="A1411" s="29"/>
      <c r="B1411" s="31"/>
      <c r="C1411" s="193"/>
      <c r="D1411" s="190" t="str">
        <f t="array" ref="D1411">IF(E1411="", "", XLOOKUP(E1411, 'MASTER ITEM LIST'!B:B, 'MASTER ITEM LIST'!A:A, "Code Not Found"))</f>
        <v/>
      </c>
      <c r="E1411" s="35"/>
      <c r="F1411" s="194"/>
      <c r="G1411" s="31"/>
      <c r="H1411" s="39" t="str">
        <f t="array" ref="H1411">IFERROR(XLOOKUP(D1411,'MASTER ITEM LIST'!A:A,'MASTER ITEM LIST'!D:D), "")</f>
        <v/>
      </c>
      <c r="I1411" s="40"/>
      <c r="J1411" s="41" t="str">
        <f t="shared" si="2"/>
        <v/>
      </c>
    </row>
    <row r="1412" ht="22.5" customHeight="1">
      <c r="A1412" s="29"/>
      <c r="B1412" s="31"/>
      <c r="C1412" s="193"/>
      <c r="D1412" s="190" t="str">
        <f t="array" ref="D1412">IF(E1412="", "", XLOOKUP(E1412, 'MASTER ITEM LIST'!B:B, 'MASTER ITEM LIST'!A:A, "Code Not Found"))</f>
        <v/>
      </c>
      <c r="E1412" s="35"/>
      <c r="F1412" s="194"/>
      <c r="G1412" s="31"/>
      <c r="H1412" s="39" t="str">
        <f t="array" ref="H1412">IFERROR(XLOOKUP(D1412,'MASTER ITEM LIST'!A:A,'MASTER ITEM LIST'!D:D), "")</f>
        <v/>
      </c>
      <c r="I1412" s="40"/>
      <c r="J1412" s="41" t="str">
        <f t="shared" si="2"/>
        <v/>
      </c>
    </row>
    <row r="1413" ht="22.5" customHeight="1">
      <c r="A1413" s="29"/>
      <c r="B1413" s="31"/>
      <c r="C1413" s="193"/>
      <c r="D1413" s="190" t="str">
        <f t="array" ref="D1413">IF(E1413="", "", XLOOKUP(E1413, 'MASTER ITEM LIST'!B:B, 'MASTER ITEM LIST'!A:A, "Code Not Found"))</f>
        <v/>
      </c>
      <c r="E1413" s="35"/>
      <c r="F1413" s="194"/>
      <c r="G1413" s="31"/>
      <c r="H1413" s="39" t="str">
        <f t="array" ref="H1413">IFERROR(XLOOKUP(D1413,'MASTER ITEM LIST'!A:A,'MASTER ITEM LIST'!D:D), "")</f>
        <v/>
      </c>
      <c r="I1413" s="40"/>
      <c r="J1413" s="41" t="str">
        <f t="shared" si="2"/>
        <v/>
      </c>
    </row>
    <row r="1414" ht="22.5" customHeight="1">
      <c r="A1414" s="29"/>
      <c r="B1414" s="31"/>
      <c r="C1414" s="193"/>
      <c r="D1414" s="190" t="str">
        <f t="array" ref="D1414">IF(E1414="", "", XLOOKUP(E1414, 'MASTER ITEM LIST'!B:B, 'MASTER ITEM LIST'!A:A, "Code Not Found"))</f>
        <v/>
      </c>
      <c r="E1414" s="35"/>
      <c r="F1414" s="194"/>
      <c r="G1414" s="31"/>
      <c r="H1414" s="39" t="str">
        <f t="array" ref="H1414">IFERROR(XLOOKUP(D1414,'MASTER ITEM LIST'!A:A,'MASTER ITEM LIST'!D:D), "")</f>
        <v/>
      </c>
      <c r="I1414" s="40"/>
      <c r="J1414" s="41" t="str">
        <f t="shared" si="2"/>
        <v/>
      </c>
    </row>
    <row r="1415" ht="22.5" customHeight="1">
      <c r="A1415" s="29"/>
      <c r="B1415" s="31"/>
      <c r="C1415" s="193"/>
      <c r="D1415" s="190" t="str">
        <f t="array" ref="D1415">IF(E1415="", "", XLOOKUP(E1415, 'MASTER ITEM LIST'!B:B, 'MASTER ITEM LIST'!A:A, "Code Not Found"))</f>
        <v/>
      </c>
      <c r="E1415" s="35"/>
      <c r="F1415" s="194"/>
      <c r="G1415" s="31"/>
      <c r="H1415" s="39" t="str">
        <f t="array" ref="H1415">IFERROR(XLOOKUP(D1415,'MASTER ITEM LIST'!A:A,'MASTER ITEM LIST'!D:D), "")</f>
        <v/>
      </c>
      <c r="I1415" s="40"/>
      <c r="J1415" s="41" t="str">
        <f t="shared" si="2"/>
        <v/>
      </c>
    </row>
    <row r="1416" ht="22.5" customHeight="1">
      <c r="A1416" s="29"/>
      <c r="B1416" s="31"/>
      <c r="C1416" s="193"/>
      <c r="D1416" s="190" t="str">
        <f t="array" ref="D1416">IF(E1416="", "", XLOOKUP(E1416, 'MASTER ITEM LIST'!B:B, 'MASTER ITEM LIST'!A:A, "Code Not Found"))</f>
        <v/>
      </c>
      <c r="E1416" s="35"/>
      <c r="F1416" s="194"/>
      <c r="G1416" s="31"/>
      <c r="H1416" s="39" t="str">
        <f t="array" ref="H1416">IFERROR(XLOOKUP(D1416,'MASTER ITEM LIST'!A:A,'MASTER ITEM LIST'!D:D), "")</f>
        <v/>
      </c>
      <c r="I1416" s="40"/>
      <c r="J1416" s="41" t="str">
        <f t="shared" si="2"/>
        <v/>
      </c>
    </row>
    <row r="1417" ht="22.5" customHeight="1">
      <c r="A1417" s="29"/>
      <c r="B1417" s="31"/>
      <c r="C1417" s="193"/>
      <c r="D1417" s="190" t="str">
        <f t="array" ref="D1417">IF(E1417="", "", XLOOKUP(E1417, 'MASTER ITEM LIST'!B:B, 'MASTER ITEM LIST'!A:A, "Code Not Found"))</f>
        <v/>
      </c>
      <c r="E1417" s="35"/>
      <c r="F1417" s="194"/>
      <c r="G1417" s="31"/>
      <c r="H1417" s="39" t="str">
        <f t="array" ref="H1417">IFERROR(XLOOKUP(D1417,'MASTER ITEM LIST'!A:A,'MASTER ITEM LIST'!D:D), "")</f>
        <v/>
      </c>
      <c r="I1417" s="40"/>
      <c r="J1417" s="41" t="str">
        <f t="shared" si="2"/>
        <v/>
      </c>
    </row>
    <row r="1418" ht="22.5" customHeight="1">
      <c r="A1418" s="29"/>
      <c r="B1418" s="31"/>
      <c r="C1418" s="193"/>
      <c r="D1418" s="190" t="str">
        <f t="array" ref="D1418">IF(E1418="", "", XLOOKUP(E1418, 'MASTER ITEM LIST'!B:B, 'MASTER ITEM LIST'!A:A, "Code Not Found"))</f>
        <v/>
      </c>
      <c r="E1418" s="35"/>
      <c r="F1418" s="194"/>
      <c r="G1418" s="31"/>
      <c r="H1418" s="39" t="str">
        <f t="array" ref="H1418">IFERROR(XLOOKUP(D1418,'MASTER ITEM LIST'!A:A,'MASTER ITEM LIST'!D:D), "")</f>
        <v/>
      </c>
      <c r="I1418" s="40"/>
      <c r="J1418" s="41" t="str">
        <f t="shared" si="2"/>
        <v/>
      </c>
    </row>
    <row r="1419" ht="22.5" customHeight="1">
      <c r="A1419" s="29"/>
      <c r="B1419" s="31"/>
      <c r="C1419" s="193"/>
      <c r="D1419" s="190" t="str">
        <f t="array" ref="D1419">IF(E1419="", "", XLOOKUP(E1419, 'MASTER ITEM LIST'!B:B, 'MASTER ITEM LIST'!A:A, "Code Not Found"))</f>
        <v/>
      </c>
      <c r="E1419" s="35"/>
      <c r="F1419" s="194"/>
      <c r="G1419" s="31"/>
      <c r="H1419" s="39" t="str">
        <f t="array" ref="H1419">IFERROR(XLOOKUP(D1419,'MASTER ITEM LIST'!A:A,'MASTER ITEM LIST'!D:D), "")</f>
        <v/>
      </c>
      <c r="I1419" s="40"/>
      <c r="J1419" s="41" t="str">
        <f t="shared" si="2"/>
        <v/>
      </c>
    </row>
    <row r="1420" ht="22.5" customHeight="1">
      <c r="A1420" s="29"/>
      <c r="B1420" s="31"/>
      <c r="C1420" s="193"/>
      <c r="D1420" s="190" t="str">
        <f t="array" ref="D1420">IF(E1420="", "", XLOOKUP(E1420, 'MASTER ITEM LIST'!B:B, 'MASTER ITEM LIST'!A:A, "Code Not Found"))</f>
        <v/>
      </c>
      <c r="E1420" s="35"/>
      <c r="F1420" s="194"/>
      <c r="G1420" s="31"/>
      <c r="H1420" s="39" t="str">
        <f t="array" ref="H1420">IFERROR(XLOOKUP(D1420,'MASTER ITEM LIST'!A:A,'MASTER ITEM LIST'!D:D), "")</f>
        <v/>
      </c>
      <c r="I1420" s="40"/>
      <c r="J1420" s="41" t="str">
        <f t="shared" si="2"/>
        <v/>
      </c>
    </row>
    <row r="1421" ht="22.5" customHeight="1">
      <c r="A1421" s="29"/>
      <c r="B1421" s="31"/>
      <c r="C1421" s="193"/>
      <c r="D1421" s="190" t="str">
        <f t="array" ref="D1421">IF(E1421="", "", XLOOKUP(E1421, 'MASTER ITEM LIST'!B:B, 'MASTER ITEM LIST'!A:A, "Code Not Found"))</f>
        <v/>
      </c>
      <c r="E1421" s="35"/>
      <c r="F1421" s="194"/>
      <c r="G1421" s="31"/>
      <c r="H1421" s="39" t="str">
        <f t="array" ref="H1421">IFERROR(XLOOKUP(D1421,'MASTER ITEM LIST'!A:A,'MASTER ITEM LIST'!D:D), "")</f>
        <v/>
      </c>
      <c r="I1421" s="40"/>
      <c r="J1421" s="41" t="str">
        <f t="shared" si="2"/>
        <v/>
      </c>
    </row>
    <row r="1422" ht="22.5" customHeight="1">
      <c r="A1422" s="29"/>
      <c r="B1422" s="31"/>
      <c r="C1422" s="193"/>
      <c r="D1422" s="190" t="str">
        <f t="array" ref="D1422">IF(E1422="", "", XLOOKUP(E1422, 'MASTER ITEM LIST'!B:B, 'MASTER ITEM LIST'!A:A, "Code Not Found"))</f>
        <v/>
      </c>
      <c r="E1422" s="35"/>
      <c r="F1422" s="194"/>
      <c r="G1422" s="31"/>
      <c r="H1422" s="39" t="str">
        <f t="array" ref="H1422">IFERROR(XLOOKUP(D1422,'MASTER ITEM LIST'!A:A,'MASTER ITEM LIST'!D:D), "")</f>
        <v/>
      </c>
      <c r="I1422" s="40"/>
      <c r="J1422" s="41" t="str">
        <f t="shared" si="2"/>
        <v/>
      </c>
    </row>
    <row r="1423" ht="22.5" customHeight="1">
      <c r="A1423" s="29"/>
      <c r="B1423" s="31"/>
      <c r="C1423" s="193"/>
      <c r="D1423" s="190" t="str">
        <f t="array" ref="D1423">IF(E1423="", "", XLOOKUP(E1423, 'MASTER ITEM LIST'!B:B, 'MASTER ITEM LIST'!A:A, "Code Not Found"))</f>
        <v/>
      </c>
      <c r="E1423" s="35"/>
      <c r="F1423" s="194"/>
      <c r="G1423" s="31"/>
      <c r="H1423" s="39" t="str">
        <f t="array" ref="H1423">IFERROR(XLOOKUP(D1423,'MASTER ITEM LIST'!A:A,'MASTER ITEM LIST'!D:D), "")</f>
        <v/>
      </c>
      <c r="I1423" s="40"/>
      <c r="J1423" s="41" t="str">
        <f t="shared" si="2"/>
        <v/>
      </c>
    </row>
    <row r="1424" ht="22.5" customHeight="1">
      <c r="A1424" s="29"/>
      <c r="B1424" s="31"/>
      <c r="C1424" s="193"/>
      <c r="D1424" s="190" t="str">
        <f t="array" ref="D1424">IF(E1424="", "", XLOOKUP(E1424, 'MASTER ITEM LIST'!B:B, 'MASTER ITEM LIST'!A:A, "Code Not Found"))</f>
        <v/>
      </c>
      <c r="E1424" s="35"/>
      <c r="F1424" s="194"/>
      <c r="G1424" s="31"/>
      <c r="H1424" s="39" t="str">
        <f t="array" ref="H1424">IFERROR(XLOOKUP(D1424,'MASTER ITEM LIST'!A:A,'MASTER ITEM LIST'!D:D), "")</f>
        <v/>
      </c>
      <c r="I1424" s="40"/>
      <c r="J1424" s="41" t="str">
        <f t="shared" si="2"/>
        <v/>
      </c>
    </row>
    <row r="1425" ht="22.5" customHeight="1">
      <c r="A1425" s="29"/>
      <c r="B1425" s="31"/>
      <c r="C1425" s="193"/>
      <c r="D1425" s="190" t="str">
        <f t="array" ref="D1425">IF(E1425="", "", XLOOKUP(E1425, 'MASTER ITEM LIST'!B:B, 'MASTER ITEM LIST'!A:A, "Code Not Found"))</f>
        <v/>
      </c>
      <c r="E1425" s="35"/>
      <c r="F1425" s="194"/>
      <c r="G1425" s="31"/>
      <c r="H1425" s="39" t="str">
        <f t="array" ref="H1425">IFERROR(XLOOKUP(D1425,'MASTER ITEM LIST'!A:A,'MASTER ITEM LIST'!D:D), "")</f>
        <v/>
      </c>
      <c r="I1425" s="40"/>
      <c r="J1425" s="41" t="str">
        <f t="shared" si="2"/>
        <v/>
      </c>
    </row>
    <row r="1426" ht="22.5" customHeight="1">
      <c r="A1426" s="29"/>
      <c r="B1426" s="31"/>
      <c r="C1426" s="193"/>
      <c r="D1426" s="190" t="str">
        <f t="array" ref="D1426">IF(E1426="", "", XLOOKUP(E1426, 'MASTER ITEM LIST'!B:B, 'MASTER ITEM LIST'!A:A, "Code Not Found"))</f>
        <v/>
      </c>
      <c r="E1426" s="35"/>
      <c r="F1426" s="194"/>
      <c r="G1426" s="31"/>
      <c r="H1426" s="39" t="str">
        <f t="array" ref="H1426">IFERROR(XLOOKUP(D1426,'MASTER ITEM LIST'!A:A,'MASTER ITEM LIST'!D:D), "")</f>
        <v/>
      </c>
      <c r="I1426" s="40"/>
      <c r="J1426" s="41" t="str">
        <f t="shared" si="2"/>
        <v/>
      </c>
    </row>
    <row r="1427" ht="22.5" customHeight="1">
      <c r="A1427" s="29"/>
      <c r="B1427" s="31"/>
      <c r="C1427" s="193"/>
      <c r="D1427" s="190" t="str">
        <f t="array" ref="D1427">IF(E1427="", "", XLOOKUP(E1427, 'MASTER ITEM LIST'!B:B, 'MASTER ITEM LIST'!A:A, "Code Not Found"))</f>
        <v/>
      </c>
      <c r="E1427" s="35"/>
      <c r="F1427" s="194"/>
      <c r="G1427" s="31"/>
      <c r="H1427" s="39" t="str">
        <f t="array" ref="H1427">IFERROR(XLOOKUP(D1427,'MASTER ITEM LIST'!A:A,'MASTER ITEM LIST'!D:D), "")</f>
        <v/>
      </c>
      <c r="I1427" s="40"/>
      <c r="J1427" s="41" t="str">
        <f t="shared" si="2"/>
        <v/>
      </c>
    </row>
    <row r="1428" ht="22.5" customHeight="1">
      <c r="A1428" s="29"/>
      <c r="B1428" s="31"/>
      <c r="C1428" s="193"/>
      <c r="D1428" s="190" t="str">
        <f t="array" ref="D1428">IF(E1428="", "", XLOOKUP(E1428, 'MASTER ITEM LIST'!B:B, 'MASTER ITEM LIST'!A:A, "Code Not Found"))</f>
        <v/>
      </c>
      <c r="E1428" s="35"/>
      <c r="F1428" s="194"/>
      <c r="G1428" s="31"/>
      <c r="H1428" s="39" t="str">
        <f t="array" ref="H1428">IFERROR(XLOOKUP(D1428,'MASTER ITEM LIST'!A:A,'MASTER ITEM LIST'!D:D), "")</f>
        <v/>
      </c>
      <c r="I1428" s="40"/>
      <c r="J1428" s="41" t="str">
        <f t="shared" si="2"/>
        <v/>
      </c>
    </row>
    <row r="1429" ht="22.5" customHeight="1">
      <c r="A1429" s="29"/>
      <c r="B1429" s="31"/>
      <c r="C1429" s="193"/>
      <c r="D1429" s="190" t="str">
        <f t="array" ref="D1429">IF(E1429="", "", XLOOKUP(E1429, 'MASTER ITEM LIST'!B:B, 'MASTER ITEM LIST'!A:A, "Code Not Found"))</f>
        <v/>
      </c>
      <c r="E1429" s="35"/>
      <c r="F1429" s="194"/>
      <c r="G1429" s="31"/>
      <c r="H1429" s="39" t="str">
        <f t="array" ref="H1429">IFERROR(XLOOKUP(D1429,'MASTER ITEM LIST'!A:A,'MASTER ITEM LIST'!D:D), "")</f>
        <v/>
      </c>
      <c r="I1429" s="40"/>
      <c r="J1429" s="41" t="str">
        <f t="shared" si="2"/>
        <v/>
      </c>
    </row>
    <row r="1430" ht="22.5" customHeight="1">
      <c r="A1430" s="29"/>
      <c r="B1430" s="31"/>
      <c r="C1430" s="193"/>
      <c r="D1430" s="190" t="str">
        <f t="array" ref="D1430">IF(E1430="", "", XLOOKUP(E1430, 'MASTER ITEM LIST'!B:B, 'MASTER ITEM LIST'!A:A, "Code Not Found"))</f>
        <v/>
      </c>
      <c r="E1430" s="35"/>
      <c r="F1430" s="194"/>
      <c r="G1430" s="31"/>
      <c r="H1430" s="39" t="str">
        <f t="array" ref="H1430">IFERROR(XLOOKUP(D1430,'MASTER ITEM LIST'!A:A,'MASTER ITEM LIST'!D:D), "")</f>
        <v/>
      </c>
      <c r="I1430" s="40"/>
      <c r="J1430" s="41" t="str">
        <f t="shared" si="2"/>
        <v/>
      </c>
    </row>
    <row r="1431" ht="22.5" customHeight="1">
      <c r="A1431" s="29"/>
      <c r="B1431" s="31"/>
      <c r="C1431" s="193"/>
      <c r="D1431" s="190" t="str">
        <f t="array" ref="D1431">IF(E1431="", "", XLOOKUP(E1431, 'MASTER ITEM LIST'!B:B, 'MASTER ITEM LIST'!A:A, "Code Not Found"))</f>
        <v/>
      </c>
      <c r="E1431" s="35"/>
      <c r="F1431" s="194"/>
      <c r="G1431" s="31"/>
      <c r="H1431" s="39" t="str">
        <f t="array" ref="H1431">IFERROR(XLOOKUP(D1431,'MASTER ITEM LIST'!A:A,'MASTER ITEM LIST'!D:D), "")</f>
        <v/>
      </c>
      <c r="I1431" s="40"/>
      <c r="J1431" s="41" t="str">
        <f t="shared" si="2"/>
        <v/>
      </c>
    </row>
    <row r="1432" ht="22.5" customHeight="1">
      <c r="A1432" s="29"/>
      <c r="B1432" s="31"/>
      <c r="C1432" s="193"/>
      <c r="D1432" s="190" t="str">
        <f t="array" ref="D1432">IF(E1432="", "", XLOOKUP(E1432, 'MASTER ITEM LIST'!B:B, 'MASTER ITEM LIST'!A:A, "Code Not Found"))</f>
        <v/>
      </c>
      <c r="E1432" s="35"/>
      <c r="F1432" s="194"/>
      <c r="G1432" s="31"/>
      <c r="H1432" s="39" t="str">
        <f t="array" ref="H1432">IFERROR(XLOOKUP(D1432,'MASTER ITEM LIST'!A:A,'MASTER ITEM LIST'!D:D), "")</f>
        <v/>
      </c>
      <c r="I1432" s="40"/>
      <c r="J1432" s="41" t="str">
        <f t="shared" si="2"/>
        <v/>
      </c>
    </row>
    <row r="1433" ht="22.5" customHeight="1">
      <c r="A1433" s="29"/>
      <c r="B1433" s="31"/>
      <c r="C1433" s="193"/>
      <c r="D1433" s="190" t="str">
        <f t="array" ref="D1433">IF(E1433="", "", XLOOKUP(E1433, 'MASTER ITEM LIST'!B:B, 'MASTER ITEM LIST'!A:A, "Code Not Found"))</f>
        <v/>
      </c>
      <c r="E1433" s="35"/>
      <c r="F1433" s="194"/>
      <c r="G1433" s="31"/>
      <c r="H1433" s="39" t="str">
        <f t="array" ref="H1433">IFERROR(XLOOKUP(D1433,'MASTER ITEM LIST'!A:A,'MASTER ITEM LIST'!D:D), "")</f>
        <v/>
      </c>
      <c r="I1433" s="40"/>
      <c r="J1433" s="41" t="str">
        <f t="shared" si="2"/>
        <v/>
      </c>
    </row>
    <row r="1434" ht="22.5" customHeight="1">
      <c r="A1434" s="29"/>
      <c r="B1434" s="31"/>
      <c r="C1434" s="193"/>
      <c r="D1434" s="190" t="str">
        <f t="array" ref="D1434">IF(E1434="", "", XLOOKUP(E1434, 'MASTER ITEM LIST'!B:B, 'MASTER ITEM LIST'!A:A, "Code Not Found"))</f>
        <v/>
      </c>
      <c r="E1434" s="35"/>
      <c r="F1434" s="194"/>
      <c r="G1434" s="31"/>
      <c r="H1434" s="39" t="str">
        <f t="array" ref="H1434">IFERROR(XLOOKUP(D1434,'MASTER ITEM LIST'!A:A,'MASTER ITEM LIST'!D:D), "")</f>
        <v/>
      </c>
      <c r="I1434" s="40"/>
      <c r="J1434" s="41" t="str">
        <f t="shared" si="2"/>
        <v/>
      </c>
    </row>
    <row r="1435" ht="22.5" customHeight="1">
      <c r="A1435" s="29"/>
      <c r="B1435" s="31"/>
      <c r="C1435" s="193"/>
      <c r="D1435" s="190" t="str">
        <f t="array" ref="D1435">IF(E1435="", "", XLOOKUP(E1435, 'MASTER ITEM LIST'!B:B, 'MASTER ITEM LIST'!A:A, "Code Not Found"))</f>
        <v/>
      </c>
      <c r="E1435" s="35"/>
      <c r="F1435" s="194"/>
      <c r="G1435" s="31"/>
      <c r="H1435" s="39" t="str">
        <f t="array" ref="H1435">IFERROR(XLOOKUP(D1435,'MASTER ITEM LIST'!A:A,'MASTER ITEM LIST'!D:D), "")</f>
        <v/>
      </c>
      <c r="I1435" s="40"/>
      <c r="J1435" s="41" t="str">
        <f t="shared" si="2"/>
        <v/>
      </c>
    </row>
    <row r="1436" ht="22.5" customHeight="1">
      <c r="A1436" s="29"/>
      <c r="B1436" s="31"/>
      <c r="C1436" s="193"/>
      <c r="D1436" s="190" t="str">
        <f t="array" ref="D1436">IF(E1436="", "", XLOOKUP(E1436, 'MASTER ITEM LIST'!B:B, 'MASTER ITEM LIST'!A:A, "Code Not Found"))</f>
        <v/>
      </c>
      <c r="E1436" s="35"/>
      <c r="F1436" s="194"/>
      <c r="G1436" s="31"/>
      <c r="H1436" s="39" t="str">
        <f t="array" ref="H1436">IFERROR(XLOOKUP(D1436,'MASTER ITEM LIST'!A:A,'MASTER ITEM LIST'!D:D), "")</f>
        <v/>
      </c>
      <c r="I1436" s="40"/>
      <c r="J1436" s="41" t="str">
        <f t="shared" si="2"/>
        <v/>
      </c>
    </row>
    <row r="1437" ht="22.5" customHeight="1">
      <c r="A1437" s="29"/>
      <c r="B1437" s="31"/>
      <c r="C1437" s="193"/>
      <c r="D1437" s="190" t="str">
        <f t="array" ref="D1437">IF(E1437="", "", XLOOKUP(E1437, 'MASTER ITEM LIST'!B:B, 'MASTER ITEM LIST'!A:A, "Code Not Found"))</f>
        <v/>
      </c>
      <c r="E1437" s="35"/>
      <c r="F1437" s="194"/>
      <c r="G1437" s="31"/>
      <c r="H1437" s="39" t="str">
        <f t="array" ref="H1437">IFERROR(XLOOKUP(D1437,'MASTER ITEM LIST'!A:A,'MASTER ITEM LIST'!D:D), "")</f>
        <v/>
      </c>
      <c r="I1437" s="40"/>
      <c r="J1437" s="41" t="str">
        <f t="shared" si="2"/>
        <v/>
      </c>
    </row>
    <row r="1438" ht="22.5" customHeight="1">
      <c r="A1438" s="29"/>
      <c r="B1438" s="31"/>
      <c r="C1438" s="193"/>
      <c r="D1438" s="190" t="str">
        <f t="array" ref="D1438">IF(E1438="", "", XLOOKUP(E1438, 'MASTER ITEM LIST'!B:B, 'MASTER ITEM LIST'!A:A, "Code Not Found"))</f>
        <v/>
      </c>
      <c r="E1438" s="35"/>
      <c r="F1438" s="194"/>
      <c r="G1438" s="31"/>
      <c r="H1438" s="39" t="str">
        <f t="array" ref="H1438">IFERROR(XLOOKUP(D1438,'MASTER ITEM LIST'!A:A,'MASTER ITEM LIST'!D:D), "")</f>
        <v/>
      </c>
      <c r="I1438" s="40"/>
      <c r="J1438" s="41" t="str">
        <f t="shared" si="2"/>
        <v/>
      </c>
    </row>
    <row r="1439" ht="22.5" customHeight="1">
      <c r="A1439" s="29"/>
      <c r="B1439" s="31"/>
      <c r="C1439" s="193"/>
      <c r="D1439" s="190" t="str">
        <f t="array" ref="D1439">IF(E1439="", "", XLOOKUP(E1439, 'MASTER ITEM LIST'!B:B, 'MASTER ITEM LIST'!A:A, "Code Not Found"))</f>
        <v/>
      </c>
      <c r="E1439" s="35"/>
      <c r="F1439" s="194"/>
      <c r="G1439" s="31"/>
      <c r="H1439" s="39" t="str">
        <f t="array" ref="H1439">IFERROR(XLOOKUP(D1439,'MASTER ITEM LIST'!A:A,'MASTER ITEM LIST'!D:D), "")</f>
        <v/>
      </c>
      <c r="I1439" s="40"/>
      <c r="J1439" s="41" t="str">
        <f t="shared" si="2"/>
        <v/>
      </c>
    </row>
    <row r="1440" ht="22.5" customHeight="1">
      <c r="A1440" s="29"/>
      <c r="B1440" s="31"/>
      <c r="C1440" s="193"/>
      <c r="D1440" s="190" t="str">
        <f t="array" ref="D1440">IF(E1440="", "", XLOOKUP(E1440, 'MASTER ITEM LIST'!B:B, 'MASTER ITEM LIST'!A:A, "Code Not Found"))</f>
        <v/>
      </c>
      <c r="E1440" s="35"/>
      <c r="F1440" s="194"/>
      <c r="G1440" s="31"/>
      <c r="H1440" s="39" t="str">
        <f t="array" ref="H1440">IFERROR(XLOOKUP(D1440,'MASTER ITEM LIST'!A:A,'MASTER ITEM LIST'!D:D), "")</f>
        <v/>
      </c>
      <c r="I1440" s="40"/>
      <c r="J1440" s="41" t="str">
        <f t="shared" si="2"/>
        <v/>
      </c>
    </row>
    <row r="1441" ht="22.5" customHeight="1">
      <c r="A1441" s="29"/>
      <c r="B1441" s="31"/>
      <c r="C1441" s="193"/>
      <c r="D1441" s="190" t="str">
        <f t="array" ref="D1441">IF(E1441="", "", XLOOKUP(E1441, 'MASTER ITEM LIST'!B:B, 'MASTER ITEM LIST'!A:A, "Code Not Found"))</f>
        <v/>
      </c>
      <c r="E1441" s="35"/>
      <c r="F1441" s="194"/>
      <c r="G1441" s="31"/>
      <c r="H1441" s="39" t="str">
        <f t="array" ref="H1441">IFERROR(XLOOKUP(D1441,'MASTER ITEM LIST'!A:A,'MASTER ITEM LIST'!D:D), "")</f>
        <v/>
      </c>
      <c r="I1441" s="40"/>
      <c r="J1441" s="41" t="str">
        <f t="shared" si="2"/>
        <v/>
      </c>
    </row>
    <row r="1442" ht="22.5" customHeight="1">
      <c r="A1442" s="29"/>
      <c r="B1442" s="31"/>
      <c r="C1442" s="193"/>
      <c r="D1442" s="190" t="str">
        <f t="array" ref="D1442">IF(E1442="", "", XLOOKUP(E1442, 'MASTER ITEM LIST'!B:B, 'MASTER ITEM LIST'!A:A, "Code Not Found"))</f>
        <v/>
      </c>
      <c r="E1442" s="35"/>
      <c r="F1442" s="194"/>
      <c r="G1442" s="31"/>
      <c r="H1442" s="39" t="str">
        <f t="array" ref="H1442">IFERROR(XLOOKUP(D1442,'MASTER ITEM LIST'!A:A,'MASTER ITEM LIST'!D:D), "")</f>
        <v/>
      </c>
      <c r="I1442" s="40"/>
      <c r="J1442" s="41" t="str">
        <f t="shared" si="2"/>
        <v/>
      </c>
    </row>
    <row r="1443" ht="22.5" customHeight="1">
      <c r="A1443" s="29"/>
      <c r="B1443" s="31"/>
      <c r="C1443" s="193"/>
      <c r="D1443" s="190" t="str">
        <f t="array" ref="D1443">IF(E1443="", "", XLOOKUP(E1443, 'MASTER ITEM LIST'!B:B, 'MASTER ITEM LIST'!A:A, "Code Not Found"))</f>
        <v/>
      </c>
      <c r="E1443" s="35"/>
      <c r="F1443" s="194"/>
      <c r="G1443" s="31"/>
      <c r="H1443" s="39" t="str">
        <f t="array" ref="H1443">IFERROR(XLOOKUP(D1443,'MASTER ITEM LIST'!A:A,'MASTER ITEM LIST'!D:D), "")</f>
        <v/>
      </c>
      <c r="I1443" s="40"/>
      <c r="J1443" s="41" t="str">
        <f t="shared" si="2"/>
        <v/>
      </c>
    </row>
    <row r="1444" ht="22.5" customHeight="1">
      <c r="A1444" s="29"/>
      <c r="B1444" s="31"/>
      <c r="C1444" s="193"/>
      <c r="D1444" s="190" t="str">
        <f t="array" ref="D1444">IF(E1444="", "", XLOOKUP(E1444, 'MASTER ITEM LIST'!B:B, 'MASTER ITEM LIST'!A:A, "Code Not Found"))</f>
        <v/>
      </c>
      <c r="E1444" s="35"/>
      <c r="F1444" s="194"/>
      <c r="G1444" s="31"/>
      <c r="H1444" s="39" t="str">
        <f t="array" ref="H1444">IFERROR(XLOOKUP(D1444,'MASTER ITEM LIST'!A:A,'MASTER ITEM LIST'!D:D), "")</f>
        <v/>
      </c>
      <c r="I1444" s="40"/>
      <c r="J1444" s="41" t="str">
        <f t="shared" si="2"/>
        <v/>
      </c>
    </row>
    <row r="1445" ht="22.5" customHeight="1">
      <c r="A1445" s="29"/>
      <c r="B1445" s="31"/>
      <c r="C1445" s="193"/>
      <c r="D1445" s="190" t="str">
        <f t="array" ref="D1445">IF(E1445="", "", XLOOKUP(E1445, 'MASTER ITEM LIST'!B:B, 'MASTER ITEM LIST'!A:A, "Code Not Found"))</f>
        <v/>
      </c>
      <c r="E1445" s="35"/>
      <c r="F1445" s="194"/>
      <c r="G1445" s="31"/>
      <c r="H1445" s="39" t="str">
        <f t="array" ref="H1445">IFERROR(XLOOKUP(D1445,'MASTER ITEM LIST'!A:A,'MASTER ITEM LIST'!D:D), "")</f>
        <v/>
      </c>
      <c r="I1445" s="40"/>
      <c r="J1445" s="41" t="str">
        <f t="shared" si="2"/>
        <v/>
      </c>
    </row>
    <row r="1446" ht="22.5" customHeight="1">
      <c r="A1446" s="29"/>
      <c r="B1446" s="31"/>
      <c r="C1446" s="193"/>
      <c r="D1446" s="190" t="str">
        <f t="array" ref="D1446">IF(E1446="", "", XLOOKUP(E1446, 'MASTER ITEM LIST'!B:B, 'MASTER ITEM LIST'!A:A, "Code Not Found"))</f>
        <v/>
      </c>
      <c r="E1446" s="35"/>
      <c r="F1446" s="194"/>
      <c r="G1446" s="31"/>
      <c r="H1446" s="39" t="str">
        <f t="array" ref="H1446">IFERROR(XLOOKUP(D1446,'MASTER ITEM LIST'!A:A,'MASTER ITEM LIST'!D:D), "")</f>
        <v/>
      </c>
      <c r="I1446" s="40"/>
      <c r="J1446" s="41" t="str">
        <f t="shared" si="2"/>
        <v/>
      </c>
    </row>
    <row r="1447" ht="22.5" customHeight="1">
      <c r="A1447" s="29"/>
      <c r="B1447" s="31"/>
      <c r="C1447" s="193"/>
      <c r="D1447" s="190" t="str">
        <f t="array" ref="D1447">IF(E1447="", "", XLOOKUP(E1447, 'MASTER ITEM LIST'!B:B, 'MASTER ITEM LIST'!A:A, "Code Not Found"))</f>
        <v/>
      </c>
      <c r="E1447" s="35"/>
      <c r="F1447" s="194"/>
      <c r="G1447" s="31"/>
      <c r="H1447" s="39" t="str">
        <f t="array" ref="H1447">IFERROR(XLOOKUP(D1447,'MASTER ITEM LIST'!A:A,'MASTER ITEM LIST'!D:D), "")</f>
        <v/>
      </c>
      <c r="I1447" s="40"/>
      <c r="J1447" s="41" t="str">
        <f t="shared" si="2"/>
        <v/>
      </c>
    </row>
    <row r="1448" ht="22.5" customHeight="1">
      <c r="A1448" s="29"/>
      <c r="B1448" s="31"/>
      <c r="C1448" s="193"/>
      <c r="D1448" s="190" t="str">
        <f t="array" ref="D1448">IF(E1448="", "", XLOOKUP(E1448, 'MASTER ITEM LIST'!B:B, 'MASTER ITEM LIST'!A:A, "Code Not Found"))</f>
        <v/>
      </c>
      <c r="E1448" s="35"/>
      <c r="F1448" s="194"/>
      <c r="G1448" s="31"/>
      <c r="H1448" s="39" t="str">
        <f t="array" ref="H1448">IFERROR(XLOOKUP(D1448,'MASTER ITEM LIST'!A:A,'MASTER ITEM LIST'!D:D), "")</f>
        <v/>
      </c>
      <c r="I1448" s="40"/>
      <c r="J1448" s="41" t="str">
        <f t="shared" si="2"/>
        <v/>
      </c>
    </row>
    <row r="1449" ht="22.5" customHeight="1">
      <c r="A1449" s="29"/>
      <c r="B1449" s="31"/>
      <c r="C1449" s="193"/>
      <c r="D1449" s="190" t="str">
        <f t="array" ref="D1449">IF(E1449="", "", XLOOKUP(E1449, 'MASTER ITEM LIST'!B:B, 'MASTER ITEM LIST'!A:A, "Code Not Found"))</f>
        <v/>
      </c>
      <c r="E1449" s="35"/>
      <c r="F1449" s="194"/>
      <c r="G1449" s="31"/>
      <c r="H1449" s="39" t="str">
        <f t="array" ref="H1449">IFERROR(XLOOKUP(D1449,'MASTER ITEM LIST'!A:A,'MASTER ITEM LIST'!D:D), "")</f>
        <v/>
      </c>
      <c r="I1449" s="40"/>
      <c r="J1449" s="41" t="str">
        <f t="shared" si="2"/>
        <v/>
      </c>
    </row>
    <row r="1450" ht="22.5" customHeight="1">
      <c r="A1450" s="29"/>
      <c r="B1450" s="31"/>
      <c r="C1450" s="193"/>
      <c r="D1450" s="190" t="str">
        <f t="array" ref="D1450">IF(E1450="", "", XLOOKUP(E1450, 'MASTER ITEM LIST'!B:B, 'MASTER ITEM LIST'!A:A, "Code Not Found"))</f>
        <v/>
      </c>
      <c r="E1450" s="35"/>
      <c r="F1450" s="194"/>
      <c r="G1450" s="31"/>
      <c r="H1450" s="39" t="str">
        <f t="array" ref="H1450">IFERROR(XLOOKUP(D1450,'MASTER ITEM LIST'!A:A,'MASTER ITEM LIST'!D:D), "")</f>
        <v/>
      </c>
      <c r="I1450" s="40"/>
      <c r="J1450" s="41" t="str">
        <f t="shared" si="2"/>
        <v/>
      </c>
    </row>
    <row r="1451" ht="22.5" customHeight="1">
      <c r="A1451" s="29"/>
      <c r="B1451" s="31"/>
      <c r="C1451" s="193"/>
      <c r="D1451" s="190" t="str">
        <f t="array" ref="D1451">IF(E1451="", "", XLOOKUP(E1451, 'MASTER ITEM LIST'!B:B, 'MASTER ITEM LIST'!A:A, "Code Not Found"))</f>
        <v/>
      </c>
      <c r="E1451" s="35"/>
      <c r="F1451" s="194"/>
      <c r="G1451" s="31"/>
      <c r="H1451" s="39" t="str">
        <f t="array" ref="H1451">IFERROR(XLOOKUP(D1451,'MASTER ITEM LIST'!A:A,'MASTER ITEM LIST'!D:D), "")</f>
        <v/>
      </c>
      <c r="I1451" s="40"/>
      <c r="J1451" s="41" t="str">
        <f t="shared" si="2"/>
        <v/>
      </c>
    </row>
    <row r="1452" ht="22.5" customHeight="1">
      <c r="A1452" s="29"/>
      <c r="B1452" s="31"/>
      <c r="C1452" s="193"/>
      <c r="D1452" s="190" t="str">
        <f t="array" ref="D1452">IF(E1452="", "", XLOOKUP(E1452, 'MASTER ITEM LIST'!B:B, 'MASTER ITEM LIST'!A:A, "Code Not Found"))</f>
        <v/>
      </c>
      <c r="E1452" s="35"/>
      <c r="F1452" s="194"/>
      <c r="G1452" s="31"/>
      <c r="H1452" s="39" t="str">
        <f t="array" ref="H1452">IFERROR(XLOOKUP(D1452,'MASTER ITEM LIST'!A:A,'MASTER ITEM LIST'!D:D), "")</f>
        <v/>
      </c>
      <c r="I1452" s="40"/>
      <c r="J1452" s="41" t="str">
        <f t="shared" si="2"/>
        <v/>
      </c>
    </row>
    <row r="1453" ht="22.5" customHeight="1">
      <c r="A1453" s="29"/>
      <c r="B1453" s="31"/>
      <c r="C1453" s="193"/>
      <c r="D1453" s="190" t="str">
        <f t="array" ref="D1453">IF(E1453="", "", XLOOKUP(E1453, 'MASTER ITEM LIST'!B:B, 'MASTER ITEM LIST'!A:A, "Code Not Found"))</f>
        <v/>
      </c>
      <c r="E1453" s="35"/>
      <c r="F1453" s="194"/>
      <c r="G1453" s="31"/>
      <c r="H1453" s="39" t="str">
        <f t="array" ref="H1453">IFERROR(XLOOKUP(D1453,'MASTER ITEM LIST'!A:A,'MASTER ITEM LIST'!D:D), "")</f>
        <v/>
      </c>
      <c r="I1453" s="40"/>
      <c r="J1453" s="41" t="str">
        <f t="shared" si="2"/>
        <v/>
      </c>
    </row>
    <row r="1454" ht="22.5" customHeight="1">
      <c r="A1454" s="29"/>
      <c r="B1454" s="31"/>
      <c r="C1454" s="193"/>
      <c r="D1454" s="190" t="str">
        <f t="array" ref="D1454">IF(E1454="", "", XLOOKUP(E1454, 'MASTER ITEM LIST'!B:B, 'MASTER ITEM LIST'!A:A, "Code Not Found"))</f>
        <v/>
      </c>
      <c r="E1454" s="35"/>
      <c r="F1454" s="194"/>
      <c r="G1454" s="31"/>
      <c r="H1454" s="39" t="str">
        <f t="array" ref="H1454">IFERROR(XLOOKUP(D1454,'MASTER ITEM LIST'!A:A,'MASTER ITEM LIST'!D:D), "")</f>
        <v/>
      </c>
      <c r="I1454" s="40"/>
      <c r="J1454" s="41" t="str">
        <f t="shared" si="2"/>
        <v/>
      </c>
    </row>
    <row r="1455" ht="22.5" customHeight="1">
      <c r="A1455" s="29"/>
      <c r="B1455" s="31"/>
      <c r="C1455" s="193"/>
      <c r="D1455" s="190" t="str">
        <f t="array" ref="D1455">IF(E1455="", "", XLOOKUP(E1455, 'MASTER ITEM LIST'!B:B, 'MASTER ITEM LIST'!A:A, "Code Not Found"))</f>
        <v/>
      </c>
      <c r="E1455" s="35"/>
      <c r="F1455" s="194"/>
      <c r="G1455" s="31"/>
      <c r="H1455" s="39" t="str">
        <f t="array" ref="H1455">IFERROR(XLOOKUP(D1455,'MASTER ITEM LIST'!A:A,'MASTER ITEM LIST'!D:D), "")</f>
        <v/>
      </c>
      <c r="I1455" s="40"/>
      <c r="J1455" s="41" t="str">
        <f t="shared" si="2"/>
        <v/>
      </c>
    </row>
    <row r="1456" ht="22.5" customHeight="1">
      <c r="A1456" s="29"/>
      <c r="B1456" s="31"/>
      <c r="C1456" s="193"/>
      <c r="D1456" s="190" t="str">
        <f t="array" ref="D1456">IF(E1456="", "", XLOOKUP(E1456, 'MASTER ITEM LIST'!B:B, 'MASTER ITEM LIST'!A:A, "Code Not Found"))</f>
        <v/>
      </c>
      <c r="E1456" s="35"/>
      <c r="F1456" s="194"/>
      <c r="G1456" s="31"/>
      <c r="H1456" s="39" t="str">
        <f t="array" ref="H1456">IFERROR(XLOOKUP(D1456,'MASTER ITEM LIST'!A:A,'MASTER ITEM LIST'!D:D), "")</f>
        <v/>
      </c>
      <c r="I1456" s="40"/>
      <c r="J1456" s="41" t="str">
        <f t="shared" si="2"/>
        <v/>
      </c>
    </row>
    <row r="1457" ht="22.5" customHeight="1">
      <c r="A1457" s="29"/>
      <c r="B1457" s="31"/>
      <c r="C1457" s="193"/>
      <c r="D1457" s="190" t="str">
        <f t="array" ref="D1457">IF(E1457="", "", XLOOKUP(E1457, 'MASTER ITEM LIST'!B:B, 'MASTER ITEM LIST'!A:A, "Code Not Found"))</f>
        <v/>
      </c>
      <c r="E1457" s="35"/>
      <c r="F1457" s="194"/>
      <c r="G1457" s="31"/>
      <c r="H1457" s="39" t="str">
        <f t="array" ref="H1457">IFERROR(XLOOKUP(D1457,'MASTER ITEM LIST'!A:A,'MASTER ITEM LIST'!D:D), "")</f>
        <v/>
      </c>
      <c r="I1457" s="40"/>
      <c r="J1457" s="41" t="str">
        <f t="shared" si="2"/>
        <v/>
      </c>
    </row>
    <row r="1458" ht="22.5" customHeight="1">
      <c r="A1458" s="29"/>
      <c r="B1458" s="31"/>
      <c r="C1458" s="193"/>
      <c r="D1458" s="190" t="str">
        <f t="array" ref="D1458">IF(E1458="", "", XLOOKUP(E1458, 'MASTER ITEM LIST'!B:B, 'MASTER ITEM LIST'!A:A, "Code Not Found"))</f>
        <v/>
      </c>
      <c r="E1458" s="35"/>
      <c r="F1458" s="194"/>
      <c r="G1458" s="31"/>
      <c r="H1458" s="39" t="str">
        <f t="array" ref="H1458">IFERROR(XLOOKUP(D1458,'MASTER ITEM LIST'!A:A,'MASTER ITEM LIST'!D:D), "")</f>
        <v/>
      </c>
      <c r="I1458" s="40"/>
      <c r="J1458" s="41" t="str">
        <f t="shared" si="2"/>
        <v/>
      </c>
    </row>
    <row r="1459" ht="22.5" customHeight="1">
      <c r="A1459" s="29"/>
      <c r="B1459" s="31"/>
      <c r="C1459" s="193"/>
      <c r="D1459" s="190" t="str">
        <f t="array" ref="D1459">IF(E1459="", "", XLOOKUP(E1459, 'MASTER ITEM LIST'!B:B, 'MASTER ITEM LIST'!A:A, "Code Not Found"))</f>
        <v/>
      </c>
      <c r="E1459" s="35"/>
      <c r="F1459" s="194"/>
      <c r="G1459" s="31"/>
      <c r="H1459" s="39" t="str">
        <f t="array" ref="H1459">IFERROR(XLOOKUP(D1459,'MASTER ITEM LIST'!A:A,'MASTER ITEM LIST'!D:D), "")</f>
        <v/>
      </c>
      <c r="I1459" s="40"/>
      <c r="J1459" s="41" t="str">
        <f t="shared" si="2"/>
        <v/>
      </c>
    </row>
    <row r="1460" ht="22.5" customHeight="1">
      <c r="A1460" s="29"/>
      <c r="B1460" s="31"/>
      <c r="C1460" s="193"/>
      <c r="D1460" s="190" t="str">
        <f t="array" ref="D1460">IF(E1460="", "", XLOOKUP(E1460, 'MASTER ITEM LIST'!B:B, 'MASTER ITEM LIST'!A:A, "Code Not Found"))</f>
        <v/>
      </c>
      <c r="E1460" s="35"/>
      <c r="F1460" s="194"/>
      <c r="G1460" s="31"/>
      <c r="H1460" s="39" t="str">
        <f t="array" ref="H1460">IFERROR(XLOOKUP(D1460,'MASTER ITEM LIST'!A:A,'MASTER ITEM LIST'!D:D), "")</f>
        <v/>
      </c>
      <c r="I1460" s="40"/>
      <c r="J1460" s="41" t="str">
        <f t="shared" si="2"/>
        <v/>
      </c>
    </row>
    <row r="1461" ht="22.5" customHeight="1">
      <c r="A1461" s="29"/>
      <c r="B1461" s="31"/>
      <c r="C1461" s="193"/>
      <c r="D1461" s="190" t="str">
        <f t="array" ref="D1461">IF(E1461="", "", XLOOKUP(E1461, 'MASTER ITEM LIST'!B:B, 'MASTER ITEM LIST'!A:A, "Code Not Found"))</f>
        <v/>
      </c>
      <c r="E1461" s="35"/>
      <c r="F1461" s="194"/>
      <c r="G1461" s="31"/>
      <c r="H1461" s="39" t="str">
        <f t="array" ref="H1461">IFERROR(XLOOKUP(D1461,'MASTER ITEM LIST'!A:A,'MASTER ITEM LIST'!D:D), "")</f>
        <v/>
      </c>
      <c r="I1461" s="40"/>
      <c r="J1461" s="41" t="str">
        <f t="shared" si="2"/>
        <v/>
      </c>
    </row>
    <row r="1462" ht="22.5" customHeight="1">
      <c r="A1462" s="29"/>
      <c r="B1462" s="31"/>
      <c r="C1462" s="193"/>
      <c r="D1462" s="190" t="str">
        <f t="array" ref="D1462">IF(E1462="", "", XLOOKUP(E1462, 'MASTER ITEM LIST'!B:B, 'MASTER ITEM LIST'!A:A, "Code Not Found"))</f>
        <v/>
      </c>
      <c r="E1462" s="35"/>
      <c r="F1462" s="194"/>
      <c r="G1462" s="31"/>
      <c r="H1462" s="39" t="str">
        <f t="array" ref="H1462">IFERROR(XLOOKUP(D1462,'MASTER ITEM LIST'!A:A,'MASTER ITEM LIST'!D:D), "")</f>
        <v/>
      </c>
      <c r="I1462" s="40"/>
      <c r="J1462" s="41" t="str">
        <f t="shared" si="2"/>
        <v/>
      </c>
    </row>
    <row r="1463" ht="22.5" customHeight="1">
      <c r="A1463" s="29"/>
      <c r="B1463" s="31"/>
      <c r="C1463" s="193"/>
      <c r="D1463" s="190" t="str">
        <f t="array" ref="D1463">IF(E1463="", "", XLOOKUP(E1463, 'MASTER ITEM LIST'!B:B, 'MASTER ITEM LIST'!A:A, "Code Not Found"))</f>
        <v/>
      </c>
      <c r="E1463" s="35"/>
      <c r="F1463" s="194"/>
      <c r="G1463" s="31"/>
      <c r="H1463" s="39" t="str">
        <f t="array" ref="H1463">IFERROR(XLOOKUP(D1463,'MASTER ITEM LIST'!A:A,'MASTER ITEM LIST'!D:D), "")</f>
        <v/>
      </c>
      <c r="I1463" s="40"/>
      <c r="J1463" s="41" t="str">
        <f t="shared" si="2"/>
        <v/>
      </c>
    </row>
    <row r="1464" ht="22.5" customHeight="1">
      <c r="A1464" s="29"/>
      <c r="B1464" s="31"/>
      <c r="C1464" s="193"/>
      <c r="D1464" s="190" t="str">
        <f t="array" ref="D1464">IF(E1464="", "", XLOOKUP(E1464, 'MASTER ITEM LIST'!B:B, 'MASTER ITEM LIST'!A:A, "Code Not Found"))</f>
        <v/>
      </c>
      <c r="E1464" s="35"/>
      <c r="F1464" s="194"/>
      <c r="G1464" s="31"/>
      <c r="H1464" s="39" t="str">
        <f t="array" ref="H1464">IFERROR(XLOOKUP(D1464,'MASTER ITEM LIST'!A:A,'MASTER ITEM LIST'!D:D), "")</f>
        <v/>
      </c>
      <c r="I1464" s="40"/>
      <c r="J1464" s="41" t="str">
        <f t="shared" si="2"/>
        <v/>
      </c>
    </row>
    <row r="1465" ht="22.5" customHeight="1">
      <c r="A1465" s="29"/>
      <c r="B1465" s="31"/>
      <c r="C1465" s="193"/>
      <c r="D1465" s="190" t="str">
        <f t="array" ref="D1465">IF(E1465="", "", XLOOKUP(E1465, 'MASTER ITEM LIST'!B:B, 'MASTER ITEM LIST'!A:A, "Code Not Found"))</f>
        <v/>
      </c>
      <c r="E1465" s="35"/>
      <c r="F1465" s="194"/>
      <c r="G1465" s="31"/>
      <c r="H1465" s="39" t="str">
        <f t="array" ref="H1465">IFERROR(XLOOKUP(D1465,'MASTER ITEM LIST'!A:A,'MASTER ITEM LIST'!D:D), "")</f>
        <v/>
      </c>
      <c r="I1465" s="40"/>
      <c r="J1465" s="41" t="str">
        <f t="shared" si="2"/>
        <v/>
      </c>
    </row>
    <row r="1466" ht="22.5" customHeight="1">
      <c r="A1466" s="29"/>
      <c r="B1466" s="31"/>
      <c r="C1466" s="193"/>
      <c r="D1466" s="190" t="str">
        <f t="array" ref="D1466">IF(E1466="", "", XLOOKUP(E1466, 'MASTER ITEM LIST'!B:B, 'MASTER ITEM LIST'!A:A, "Code Not Found"))</f>
        <v/>
      </c>
      <c r="E1466" s="35"/>
      <c r="F1466" s="194"/>
      <c r="G1466" s="31"/>
      <c r="H1466" s="39" t="str">
        <f t="array" ref="H1466">IFERROR(XLOOKUP(D1466,'MASTER ITEM LIST'!A:A,'MASTER ITEM LIST'!D:D), "")</f>
        <v/>
      </c>
      <c r="I1466" s="40"/>
      <c r="J1466" s="41" t="str">
        <f t="shared" si="2"/>
        <v/>
      </c>
    </row>
    <row r="1467" ht="22.5" customHeight="1">
      <c r="A1467" s="29"/>
      <c r="B1467" s="31"/>
      <c r="C1467" s="193"/>
      <c r="D1467" s="190" t="str">
        <f t="array" ref="D1467">IF(E1467="", "", XLOOKUP(E1467, 'MASTER ITEM LIST'!B:B, 'MASTER ITEM LIST'!A:A, "Code Not Found"))</f>
        <v/>
      </c>
      <c r="E1467" s="35"/>
      <c r="F1467" s="194"/>
      <c r="G1467" s="31"/>
      <c r="H1467" s="39" t="str">
        <f t="array" ref="H1467">IFERROR(XLOOKUP(D1467,'MASTER ITEM LIST'!A:A,'MASTER ITEM LIST'!D:D), "")</f>
        <v/>
      </c>
      <c r="I1467" s="40"/>
      <c r="J1467" s="41" t="str">
        <f t="shared" si="2"/>
        <v/>
      </c>
    </row>
    <row r="1468" ht="22.5" customHeight="1">
      <c r="A1468" s="29"/>
      <c r="B1468" s="31"/>
      <c r="C1468" s="193"/>
      <c r="D1468" s="190" t="str">
        <f t="array" ref="D1468">IF(E1468="", "", XLOOKUP(E1468, 'MASTER ITEM LIST'!B:B, 'MASTER ITEM LIST'!A:A, "Code Not Found"))</f>
        <v/>
      </c>
      <c r="E1468" s="35"/>
      <c r="F1468" s="194"/>
      <c r="G1468" s="31"/>
      <c r="H1468" s="39" t="str">
        <f t="array" ref="H1468">IFERROR(XLOOKUP(D1468,'MASTER ITEM LIST'!A:A,'MASTER ITEM LIST'!D:D), "")</f>
        <v/>
      </c>
      <c r="I1468" s="40"/>
      <c r="J1468" s="41" t="str">
        <f t="shared" si="2"/>
        <v/>
      </c>
    </row>
    <row r="1469" ht="22.5" customHeight="1">
      <c r="A1469" s="29"/>
      <c r="B1469" s="31"/>
      <c r="C1469" s="193"/>
      <c r="D1469" s="190" t="str">
        <f t="array" ref="D1469">IF(E1469="", "", XLOOKUP(E1469, 'MASTER ITEM LIST'!B:B, 'MASTER ITEM LIST'!A:A, "Code Not Found"))</f>
        <v/>
      </c>
      <c r="E1469" s="35"/>
      <c r="F1469" s="194"/>
      <c r="G1469" s="31"/>
      <c r="H1469" s="39" t="str">
        <f t="array" ref="H1469">IFERROR(XLOOKUP(D1469,'MASTER ITEM LIST'!A:A,'MASTER ITEM LIST'!D:D), "")</f>
        <v/>
      </c>
      <c r="I1469" s="40"/>
      <c r="J1469" s="41" t="str">
        <f t="shared" si="2"/>
        <v/>
      </c>
    </row>
    <row r="1470" ht="22.5" customHeight="1">
      <c r="A1470" s="29"/>
      <c r="B1470" s="31"/>
      <c r="C1470" s="193"/>
      <c r="D1470" s="190" t="str">
        <f t="array" ref="D1470">IF(E1470="", "", XLOOKUP(E1470, 'MASTER ITEM LIST'!B:B, 'MASTER ITEM LIST'!A:A, "Code Not Found"))</f>
        <v/>
      </c>
      <c r="E1470" s="35"/>
      <c r="F1470" s="194"/>
      <c r="G1470" s="31"/>
      <c r="H1470" s="39" t="str">
        <f t="array" ref="H1470">IFERROR(XLOOKUP(D1470,'MASTER ITEM LIST'!A:A,'MASTER ITEM LIST'!D:D), "")</f>
        <v/>
      </c>
      <c r="I1470" s="40"/>
      <c r="J1470" s="41" t="str">
        <f t="shared" si="2"/>
        <v/>
      </c>
    </row>
    <row r="1471" ht="22.5" customHeight="1">
      <c r="A1471" s="29"/>
      <c r="B1471" s="31"/>
      <c r="C1471" s="193"/>
      <c r="D1471" s="190" t="str">
        <f t="array" ref="D1471">IF(E1471="", "", XLOOKUP(E1471, 'MASTER ITEM LIST'!B:B, 'MASTER ITEM LIST'!A:A, "Code Not Found"))</f>
        <v/>
      </c>
      <c r="E1471" s="35"/>
      <c r="F1471" s="194"/>
      <c r="G1471" s="31"/>
      <c r="H1471" s="39" t="str">
        <f t="array" ref="H1471">IFERROR(XLOOKUP(D1471,'MASTER ITEM LIST'!A:A,'MASTER ITEM LIST'!D:D), "")</f>
        <v/>
      </c>
      <c r="I1471" s="40"/>
      <c r="J1471" s="41" t="str">
        <f t="shared" si="2"/>
        <v/>
      </c>
    </row>
    <row r="1472" ht="22.5" customHeight="1">
      <c r="A1472" s="29"/>
      <c r="B1472" s="31"/>
      <c r="C1472" s="193"/>
      <c r="D1472" s="190" t="str">
        <f t="array" ref="D1472">IF(E1472="", "", XLOOKUP(E1472, 'MASTER ITEM LIST'!B:B, 'MASTER ITEM LIST'!A:A, "Code Not Found"))</f>
        <v/>
      </c>
      <c r="E1472" s="35"/>
      <c r="F1472" s="194"/>
      <c r="G1472" s="31"/>
      <c r="H1472" s="39" t="str">
        <f t="array" ref="H1472">IFERROR(XLOOKUP(D1472,'MASTER ITEM LIST'!A:A,'MASTER ITEM LIST'!D:D), "")</f>
        <v/>
      </c>
      <c r="I1472" s="40"/>
      <c r="J1472" s="41" t="str">
        <f t="shared" si="2"/>
        <v/>
      </c>
    </row>
    <row r="1473" ht="22.5" customHeight="1">
      <c r="A1473" s="29"/>
      <c r="B1473" s="31"/>
      <c r="C1473" s="193"/>
      <c r="D1473" s="190" t="str">
        <f t="array" ref="D1473">IF(E1473="", "", XLOOKUP(E1473, 'MASTER ITEM LIST'!B:B, 'MASTER ITEM LIST'!A:A, "Code Not Found"))</f>
        <v/>
      </c>
      <c r="E1473" s="35"/>
      <c r="F1473" s="194"/>
      <c r="G1473" s="31"/>
      <c r="H1473" s="39" t="str">
        <f t="array" ref="H1473">IFERROR(XLOOKUP(D1473,'MASTER ITEM LIST'!A:A,'MASTER ITEM LIST'!D:D), "")</f>
        <v/>
      </c>
      <c r="I1473" s="40"/>
      <c r="J1473" s="41" t="str">
        <f t="shared" si="2"/>
        <v/>
      </c>
    </row>
    <row r="1474" ht="22.5" customHeight="1">
      <c r="A1474" s="29"/>
      <c r="B1474" s="31"/>
      <c r="C1474" s="193"/>
      <c r="D1474" s="190" t="str">
        <f t="array" ref="D1474">IF(E1474="", "", XLOOKUP(E1474, 'MASTER ITEM LIST'!B:B, 'MASTER ITEM LIST'!A:A, "Code Not Found"))</f>
        <v/>
      </c>
      <c r="E1474" s="35"/>
      <c r="F1474" s="194"/>
      <c r="G1474" s="31"/>
      <c r="H1474" s="39" t="str">
        <f t="array" ref="H1474">IFERROR(XLOOKUP(D1474,'MASTER ITEM LIST'!A:A,'MASTER ITEM LIST'!D:D), "")</f>
        <v/>
      </c>
      <c r="I1474" s="40"/>
      <c r="J1474" s="41" t="str">
        <f t="shared" si="2"/>
        <v/>
      </c>
    </row>
    <row r="1475" ht="22.5" customHeight="1">
      <c r="A1475" s="29"/>
      <c r="B1475" s="31"/>
      <c r="C1475" s="193"/>
      <c r="D1475" s="190" t="str">
        <f t="array" ref="D1475">IF(E1475="", "", XLOOKUP(E1475, 'MASTER ITEM LIST'!B:B, 'MASTER ITEM LIST'!A:A, "Code Not Found"))</f>
        <v/>
      </c>
      <c r="E1475" s="35"/>
      <c r="F1475" s="194"/>
      <c r="G1475" s="31"/>
      <c r="H1475" s="39" t="str">
        <f t="array" ref="H1475">IFERROR(XLOOKUP(D1475,'MASTER ITEM LIST'!A:A,'MASTER ITEM LIST'!D:D), "")</f>
        <v/>
      </c>
      <c r="I1475" s="40"/>
      <c r="J1475" s="41" t="str">
        <f t="shared" si="2"/>
        <v/>
      </c>
    </row>
    <row r="1476" ht="22.5" customHeight="1">
      <c r="A1476" s="29"/>
      <c r="B1476" s="31"/>
      <c r="C1476" s="193"/>
      <c r="D1476" s="190" t="str">
        <f t="array" ref="D1476">IF(E1476="", "", XLOOKUP(E1476, 'MASTER ITEM LIST'!B:B, 'MASTER ITEM LIST'!A:A, "Code Not Found"))</f>
        <v/>
      </c>
      <c r="E1476" s="35"/>
      <c r="F1476" s="194"/>
      <c r="G1476" s="31"/>
      <c r="H1476" s="39" t="str">
        <f t="array" ref="H1476">IFERROR(XLOOKUP(D1476,'MASTER ITEM LIST'!A:A,'MASTER ITEM LIST'!D:D), "")</f>
        <v/>
      </c>
      <c r="I1476" s="40"/>
      <c r="J1476" s="41" t="str">
        <f t="shared" si="2"/>
        <v/>
      </c>
    </row>
    <row r="1477" ht="22.5" customHeight="1">
      <c r="A1477" s="29"/>
      <c r="B1477" s="31"/>
      <c r="C1477" s="193"/>
      <c r="D1477" s="190" t="str">
        <f t="array" ref="D1477">IF(E1477="", "", XLOOKUP(E1477, 'MASTER ITEM LIST'!B:B, 'MASTER ITEM LIST'!A:A, "Code Not Found"))</f>
        <v/>
      </c>
      <c r="E1477" s="35"/>
      <c r="F1477" s="194"/>
      <c r="G1477" s="31"/>
      <c r="H1477" s="39" t="str">
        <f t="array" ref="H1477">IFERROR(XLOOKUP(D1477,'MASTER ITEM LIST'!A:A,'MASTER ITEM LIST'!D:D), "")</f>
        <v/>
      </c>
      <c r="I1477" s="40"/>
      <c r="J1477" s="41" t="str">
        <f t="shared" si="2"/>
        <v/>
      </c>
    </row>
    <row r="1478" ht="22.5" customHeight="1">
      <c r="A1478" s="29"/>
      <c r="B1478" s="31"/>
      <c r="C1478" s="193"/>
      <c r="D1478" s="190" t="str">
        <f t="array" ref="D1478">IF(E1478="", "", XLOOKUP(E1478, 'MASTER ITEM LIST'!B:B, 'MASTER ITEM LIST'!A:A, "Code Not Found"))</f>
        <v/>
      </c>
      <c r="E1478" s="35"/>
      <c r="F1478" s="194"/>
      <c r="G1478" s="31"/>
      <c r="H1478" s="39" t="str">
        <f t="array" ref="H1478">IFERROR(XLOOKUP(D1478,'MASTER ITEM LIST'!A:A,'MASTER ITEM LIST'!D:D), "")</f>
        <v/>
      </c>
      <c r="I1478" s="40"/>
      <c r="J1478" s="41" t="str">
        <f t="shared" si="2"/>
        <v/>
      </c>
    </row>
    <row r="1479" ht="22.5" customHeight="1">
      <c r="A1479" s="29"/>
      <c r="B1479" s="31"/>
      <c r="C1479" s="193"/>
      <c r="D1479" s="190" t="str">
        <f t="array" ref="D1479">IF(E1479="", "", XLOOKUP(E1479, 'MASTER ITEM LIST'!B:B, 'MASTER ITEM LIST'!A:A, "Code Not Found"))</f>
        <v/>
      </c>
      <c r="E1479" s="35"/>
      <c r="F1479" s="194"/>
      <c r="G1479" s="31"/>
      <c r="H1479" s="39" t="str">
        <f t="array" ref="H1479">IFERROR(XLOOKUP(D1479,'MASTER ITEM LIST'!A:A,'MASTER ITEM LIST'!D:D), "")</f>
        <v/>
      </c>
      <c r="I1479" s="40"/>
      <c r="J1479" s="41" t="str">
        <f t="shared" si="2"/>
        <v/>
      </c>
    </row>
    <row r="1480" ht="22.5" customHeight="1">
      <c r="A1480" s="29"/>
      <c r="B1480" s="31"/>
      <c r="C1480" s="193"/>
      <c r="D1480" s="190" t="str">
        <f t="array" ref="D1480">IF(E1480="", "", XLOOKUP(E1480, 'MASTER ITEM LIST'!B:B, 'MASTER ITEM LIST'!A:A, "Code Not Found"))</f>
        <v/>
      </c>
      <c r="E1480" s="35"/>
      <c r="F1480" s="194"/>
      <c r="G1480" s="31"/>
      <c r="H1480" s="39" t="str">
        <f t="array" ref="H1480">IFERROR(XLOOKUP(D1480,'MASTER ITEM LIST'!A:A,'MASTER ITEM LIST'!D:D), "")</f>
        <v/>
      </c>
      <c r="I1480" s="40"/>
      <c r="J1480" s="41" t="str">
        <f t="shared" si="2"/>
        <v/>
      </c>
    </row>
    <row r="1481" ht="22.5" customHeight="1">
      <c r="A1481" s="29"/>
      <c r="B1481" s="31"/>
      <c r="C1481" s="193"/>
      <c r="D1481" s="190" t="str">
        <f t="array" ref="D1481">IF(E1481="", "", XLOOKUP(E1481, 'MASTER ITEM LIST'!B:B, 'MASTER ITEM LIST'!A:A, "Code Not Found"))</f>
        <v/>
      </c>
      <c r="E1481" s="35"/>
      <c r="F1481" s="194"/>
      <c r="G1481" s="31"/>
      <c r="H1481" s="39" t="str">
        <f t="array" ref="H1481">IFERROR(XLOOKUP(D1481,'MASTER ITEM LIST'!A:A,'MASTER ITEM LIST'!D:D), "")</f>
        <v/>
      </c>
      <c r="I1481" s="40"/>
      <c r="J1481" s="41" t="str">
        <f t="shared" si="2"/>
        <v/>
      </c>
    </row>
    <row r="1482" ht="22.5" customHeight="1">
      <c r="A1482" s="29"/>
      <c r="B1482" s="31"/>
      <c r="C1482" s="193"/>
      <c r="D1482" s="190" t="str">
        <f t="array" ref="D1482">IF(E1482="", "", XLOOKUP(E1482, 'MASTER ITEM LIST'!B:B, 'MASTER ITEM LIST'!A:A, "Code Not Found"))</f>
        <v/>
      </c>
      <c r="E1482" s="35"/>
      <c r="F1482" s="194"/>
      <c r="G1482" s="31"/>
      <c r="H1482" s="39" t="str">
        <f t="array" ref="H1482">IFERROR(XLOOKUP(D1482,'MASTER ITEM LIST'!A:A,'MASTER ITEM LIST'!D:D), "")</f>
        <v/>
      </c>
      <c r="I1482" s="40"/>
      <c r="J1482" s="41" t="str">
        <f t="shared" si="2"/>
        <v/>
      </c>
    </row>
    <row r="1483" ht="22.5" customHeight="1">
      <c r="A1483" s="29"/>
      <c r="B1483" s="31"/>
      <c r="C1483" s="193"/>
      <c r="D1483" s="190" t="str">
        <f t="array" ref="D1483">IF(E1483="", "", XLOOKUP(E1483, 'MASTER ITEM LIST'!B:B, 'MASTER ITEM LIST'!A:A, "Code Not Found"))</f>
        <v/>
      </c>
      <c r="E1483" s="35"/>
      <c r="F1483" s="194"/>
      <c r="G1483" s="31"/>
      <c r="H1483" s="39" t="str">
        <f t="array" ref="H1483">IFERROR(XLOOKUP(D1483,'MASTER ITEM LIST'!A:A,'MASTER ITEM LIST'!D:D), "")</f>
        <v/>
      </c>
      <c r="I1483" s="40"/>
      <c r="J1483" s="41" t="str">
        <f t="shared" si="2"/>
        <v/>
      </c>
    </row>
    <row r="1484" ht="22.5" customHeight="1">
      <c r="A1484" s="29"/>
      <c r="B1484" s="31"/>
      <c r="C1484" s="193"/>
      <c r="D1484" s="190" t="str">
        <f t="array" ref="D1484">IF(E1484="", "", XLOOKUP(E1484, 'MASTER ITEM LIST'!B:B, 'MASTER ITEM LIST'!A:A, "Code Not Found"))</f>
        <v/>
      </c>
      <c r="E1484" s="35"/>
      <c r="F1484" s="194"/>
      <c r="G1484" s="31"/>
      <c r="H1484" s="39" t="str">
        <f t="array" ref="H1484">IFERROR(XLOOKUP(D1484,'MASTER ITEM LIST'!A:A,'MASTER ITEM LIST'!D:D), "")</f>
        <v/>
      </c>
      <c r="I1484" s="40"/>
      <c r="J1484" s="41" t="str">
        <f t="shared" si="2"/>
        <v/>
      </c>
    </row>
    <row r="1485" ht="22.5" customHeight="1">
      <c r="A1485" s="29"/>
      <c r="B1485" s="31"/>
      <c r="C1485" s="193"/>
      <c r="D1485" s="190" t="str">
        <f t="array" ref="D1485">IF(E1485="", "", XLOOKUP(E1485, 'MASTER ITEM LIST'!B:B, 'MASTER ITEM LIST'!A:A, "Code Not Found"))</f>
        <v/>
      </c>
      <c r="E1485" s="35"/>
      <c r="F1485" s="194"/>
      <c r="G1485" s="31"/>
      <c r="H1485" s="39" t="str">
        <f t="array" ref="H1485">IFERROR(XLOOKUP(D1485,'MASTER ITEM LIST'!A:A,'MASTER ITEM LIST'!D:D), "")</f>
        <v/>
      </c>
      <c r="I1485" s="40"/>
      <c r="J1485" s="41" t="str">
        <f t="shared" si="2"/>
        <v/>
      </c>
    </row>
    <row r="1486" ht="22.5" customHeight="1">
      <c r="A1486" s="29"/>
      <c r="B1486" s="31"/>
      <c r="C1486" s="193"/>
      <c r="D1486" s="190" t="str">
        <f t="array" ref="D1486">IF(E1486="", "", XLOOKUP(E1486, 'MASTER ITEM LIST'!B:B, 'MASTER ITEM LIST'!A:A, "Code Not Found"))</f>
        <v/>
      </c>
      <c r="E1486" s="35"/>
      <c r="F1486" s="194"/>
      <c r="G1486" s="31"/>
      <c r="H1486" s="39" t="str">
        <f t="array" ref="H1486">IFERROR(XLOOKUP(D1486,'MASTER ITEM LIST'!A:A,'MASTER ITEM LIST'!D:D), "")</f>
        <v/>
      </c>
      <c r="I1486" s="40"/>
      <c r="J1486" s="41" t="str">
        <f t="shared" si="2"/>
        <v/>
      </c>
    </row>
    <row r="1487" ht="22.5" customHeight="1">
      <c r="A1487" s="29"/>
      <c r="B1487" s="31"/>
      <c r="C1487" s="193"/>
      <c r="D1487" s="190" t="str">
        <f t="array" ref="D1487">IF(E1487="", "", XLOOKUP(E1487, 'MASTER ITEM LIST'!B:B, 'MASTER ITEM LIST'!A:A, "Code Not Found"))</f>
        <v/>
      </c>
      <c r="E1487" s="35"/>
      <c r="F1487" s="194"/>
      <c r="G1487" s="31"/>
      <c r="H1487" s="39" t="str">
        <f t="array" ref="H1487">IFERROR(XLOOKUP(D1487,'MASTER ITEM LIST'!A:A,'MASTER ITEM LIST'!D:D), "")</f>
        <v/>
      </c>
      <c r="I1487" s="40"/>
      <c r="J1487" s="41" t="str">
        <f t="shared" si="2"/>
        <v/>
      </c>
    </row>
    <row r="1488" ht="22.5" customHeight="1">
      <c r="A1488" s="29"/>
      <c r="B1488" s="31"/>
      <c r="C1488" s="193"/>
      <c r="D1488" s="190" t="str">
        <f t="array" ref="D1488">IF(E1488="", "", XLOOKUP(E1488, 'MASTER ITEM LIST'!B:B, 'MASTER ITEM LIST'!A:A, "Code Not Found"))</f>
        <v/>
      </c>
      <c r="E1488" s="35"/>
      <c r="F1488" s="194"/>
      <c r="G1488" s="31"/>
      <c r="H1488" s="39" t="str">
        <f t="array" ref="H1488">IFERROR(XLOOKUP(D1488,'MASTER ITEM LIST'!A:A,'MASTER ITEM LIST'!D:D), "")</f>
        <v/>
      </c>
      <c r="I1488" s="40"/>
      <c r="J1488" s="41" t="str">
        <f t="shared" si="2"/>
        <v/>
      </c>
    </row>
    <row r="1489" ht="22.5" customHeight="1">
      <c r="A1489" s="29"/>
      <c r="B1489" s="31"/>
      <c r="C1489" s="193"/>
      <c r="D1489" s="190" t="str">
        <f t="array" ref="D1489">IF(E1489="", "", XLOOKUP(E1489, 'MASTER ITEM LIST'!B:B, 'MASTER ITEM LIST'!A:A, "Code Not Found"))</f>
        <v/>
      </c>
      <c r="E1489" s="35"/>
      <c r="F1489" s="194"/>
      <c r="G1489" s="31"/>
      <c r="H1489" s="39" t="str">
        <f t="array" ref="H1489">IFERROR(XLOOKUP(D1489,'MASTER ITEM LIST'!A:A,'MASTER ITEM LIST'!D:D), "")</f>
        <v/>
      </c>
      <c r="I1489" s="40"/>
      <c r="J1489" s="41" t="str">
        <f t="shared" si="2"/>
        <v/>
      </c>
    </row>
    <row r="1490" ht="22.5" customHeight="1">
      <c r="A1490" s="29"/>
      <c r="B1490" s="31"/>
      <c r="C1490" s="193"/>
      <c r="D1490" s="190" t="str">
        <f t="array" ref="D1490">IF(E1490="", "", XLOOKUP(E1490, 'MASTER ITEM LIST'!B:B, 'MASTER ITEM LIST'!A:A, "Code Not Found"))</f>
        <v/>
      </c>
      <c r="E1490" s="35"/>
      <c r="F1490" s="194"/>
      <c r="G1490" s="31"/>
      <c r="H1490" s="39" t="str">
        <f t="array" ref="H1490">IFERROR(XLOOKUP(D1490,'MASTER ITEM LIST'!A:A,'MASTER ITEM LIST'!D:D), "")</f>
        <v/>
      </c>
      <c r="I1490" s="40"/>
      <c r="J1490" s="41" t="str">
        <f t="shared" si="2"/>
        <v/>
      </c>
    </row>
    <row r="1491" ht="22.5" customHeight="1">
      <c r="A1491" s="29"/>
      <c r="B1491" s="31"/>
      <c r="C1491" s="193"/>
      <c r="D1491" s="190" t="str">
        <f t="array" ref="D1491">IF(E1491="", "", XLOOKUP(E1491, 'MASTER ITEM LIST'!B:B, 'MASTER ITEM LIST'!A:A, "Code Not Found"))</f>
        <v/>
      </c>
      <c r="E1491" s="35"/>
      <c r="F1491" s="194"/>
      <c r="G1491" s="31"/>
      <c r="H1491" s="39" t="str">
        <f t="array" ref="H1491">IFERROR(XLOOKUP(D1491,'MASTER ITEM LIST'!A:A,'MASTER ITEM LIST'!D:D), "")</f>
        <v/>
      </c>
      <c r="I1491" s="40"/>
      <c r="J1491" s="41" t="str">
        <f t="shared" si="2"/>
        <v/>
      </c>
    </row>
    <row r="1492" ht="22.5" customHeight="1">
      <c r="A1492" s="29"/>
      <c r="B1492" s="31"/>
      <c r="C1492" s="193"/>
      <c r="D1492" s="190" t="str">
        <f t="array" ref="D1492">IF(E1492="", "", XLOOKUP(E1492, 'MASTER ITEM LIST'!B:B, 'MASTER ITEM LIST'!A:A, "Code Not Found"))</f>
        <v/>
      </c>
      <c r="E1492" s="35"/>
      <c r="F1492" s="194"/>
      <c r="G1492" s="31"/>
      <c r="H1492" s="39" t="str">
        <f t="array" ref="H1492">IFERROR(XLOOKUP(D1492,'MASTER ITEM LIST'!A:A,'MASTER ITEM LIST'!D:D), "")</f>
        <v/>
      </c>
      <c r="I1492" s="40"/>
      <c r="J1492" s="41" t="str">
        <f t="shared" si="2"/>
        <v/>
      </c>
    </row>
    <row r="1493" ht="22.5" customHeight="1">
      <c r="A1493" s="29"/>
      <c r="B1493" s="31"/>
      <c r="C1493" s="193"/>
      <c r="D1493" s="190" t="str">
        <f t="array" ref="D1493">IF(E1493="", "", XLOOKUP(E1493, 'MASTER ITEM LIST'!B:B, 'MASTER ITEM LIST'!A:A, "Code Not Found"))</f>
        <v/>
      </c>
      <c r="E1493" s="35"/>
      <c r="F1493" s="194"/>
      <c r="G1493" s="31"/>
      <c r="H1493" s="39" t="str">
        <f t="array" ref="H1493">IFERROR(XLOOKUP(D1493,'MASTER ITEM LIST'!A:A,'MASTER ITEM LIST'!D:D), "")</f>
        <v/>
      </c>
      <c r="I1493" s="40"/>
      <c r="J1493" s="41" t="str">
        <f t="shared" si="2"/>
        <v/>
      </c>
    </row>
    <row r="1494" ht="22.5" customHeight="1">
      <c r="A1494" s="29"/>
      <c r="B1494" s="31"/>
      <c r="C1494" s="193"/>
      <c r="D1494" s="190" t="str">
        <f t="array" ref="D1494">IF(E1494="", "", XLOOKUP(E1494, 'MASTER ITEM LIST'!B:B, 'MASTER ITEM LIST'!A:A, "Code Not Found"))</f>
        <v/>
      </c>
      <c r="E1494" s="35"/>
      <c r="F1494" s="194"/>
      <c r="G1494" s="31"/>
      <c r="H1494" s="39" t="str">
        <f t="array" ref="H1494">IFERROR(XLOOKUP(D1494,'MASTER ITEM LIST'!A:A,'MASTER ITEM LIST'!D:D), "")</f>
        <v/>
      </c>
      <c r="I1494" s="40"/>
      <c r="J1494" s="41" t="str">
        <f t="shared" si="2"/>
        <v/>
      </c>
    </row>
    <row r="1495" ht="22.5" customHeight="1">
      <c r="A1495" s="29"/>
      <c r="B1495" s="31"/>
      <c r="C1495" s="193"/>
      <c r="D1495" s="190" t="str">
        <f t="array" ref="D1495">IF(E1495="", "", XLOOKUP(E1495, 'MASTER ITEM LIST'!B:B, 'MASTER ITEM LIST'!A:A, "Code Not Found"))</f>
        <v/>
      </c>
      <c r="E1495" s="35"/>
      <c r="F1495" s="194"/>
      <c r="G1495" s="31"/>
      <c r="H1495" s="39" t="str">
        <f t="array" ref="H1495">IFERROR(XLOOKUP(D1495,'MASTER ITEM LIST'!A:A,'MASTER ITEM LIST'!D:D), "")</f>
        <v/>
      </c>
      <c r="I1495" s="40"/>
      <c r="J1495" s="41" t="str">
        <f t="shared" si="2"/>
        <v/>
      </c>
    </row>
    <row r="1496" ht="22.5" customHeight="1">
      <c r="A1496" s="29"/>
      <c r="B1496" s="31"/>
      <c r="C1496" s="193"/>
      <c r="D1496" s="190" t="str">
        <f t="array" ref="D1496">IF(E1496="", "", XLOOKUP(E1496, 'MASTER ITEM LIST'!B:B, 'MASTER ITEM LIST'!A:A, "Code Not Found"))</f>
        <v/>
      </c>
      <c r="E1496" s="35"/>
      <c r="F1496" s="194"/>
      <c r="G1496" s="31"/>
      <c r="H1496" s="39" t="str">
        <f t="array" ref="H1496">IFERROR(XLOOKUP(D1496,'MASTER ITEM LIST'!A:A,'MASTER ITEM LIST'!D:D), "")</f>
        <v/>
      </c>
      <c r="I1496" s="40"/>
      <c r="J1496" s="41" t="str">
        <f t="shared" si="2"/>
        <v/>
      </c>
    </row>
    <row r="1497" ht="22.5" customHeight="1">
      <c r="A1497" s="29"/>
      <c r="B1497" s="31"/>
      <c r="C1497" s="193"/>
      <c r="D1497" s="190" t="str">
        <f t="array" ref="D1497">IF(E1497="", "", XLOOKUP(E1497, 'MASTER ITEM LIST'!B:B, 'MASTER ITEM LIST'!A:A, "Code Not Found"))</f>
        <v/>
      </c>
      <c r="E1497" s="35"/>
      <c r="F1497" s="194"/>
      <c r="G1497" s="31"/>
      <c r="H1497" s="39" t="str">
        <f t="array" ref="H1497">IFERROR(XLOOKUP(D1497,'MASTER ITEM LIST'!A:A,'MASTER ITEM LIST'!D:D), "")</f>
        <v/>
      </c>
      <c r="I1497" s="40"/>
      <c r="J1497" s="41" t="str">
        <f t="shared" si="2"/>
        <v/>
      </c>
    </row>
    <row r="1498" ht="22.5" customHeight="1">
      <c r="A1498" s="29"/>
      <c r="B1498" s="31"/>
      <c r="C1498" s="193"/>
      <c r="D1498" s="190" t="str">
        <f t="array" ref="D1498">IF(E1498="", "", XLOOKUP(E1498, 'MASTER ITEM LIST'!B:B, 'MASTER ITEM LIST'!A:A, "Code Not Found"))</f>
        <v/>
      </c>
      <c r="E1498" s="35"/>
      <c r="F1498" s="194"/>
      <c r="G1498" s="31"/>
      <c r="H1498" s="39" t="str">
        <f t="array" ref="H1498">IFERROR(XLOOKUP(D1498,'MASTER ITEM LIST'!A:A,'MASTER ITEM LIST'!D:D), "")</f>
        <v/>
      </c>
      <c r="I1498" s="40"/>
      <c r="J1498" s="41" t="str">
        <f t="shared" si="2"/>
        <v/>
      </c>
    </row>
    <row r="1499" ht="22.5" customHeight="1">
      <c r="A1499" s="29"/>
      <c r="B1499" s="31"/>
      <c r="C1499" s="193"/>
      <c r="D1499" s="190" t="str">
        <f t="array" ref="D1499">IF(E1499="", "", XLOOKUP(E1499, 'MASTER ITEM LIST'!B:B, 'MASTER ITEM LIST'!A:A, "Code Not Found"))</f>
        <v/>
      </c>
      <c r="E1499" s="35"/>
      <c r="F1499" s="194"/>
      <c r="G1499" s="31"/>
      <c r="H1499" s="39" t="str">
        <f t="array" ref="H1499">IFERROR(XLOOKUP(D1499,'MASTER ITEM LIST'!A:A,'MASTER ITEM LIST'!D:D), "")</f>
        <v/>
      </c>
      <c r="I1499" s="40"/>
      <c r="J1499" s="41" t="str">
        <f t="shared" si="2"/>
        <v/>
      </c>
    </row>
    <row r="1500" ht="22.5" customHeight="1">
      <c r="A1500" s="29"/>
      <c r="B1500" s="31"/>
      <c r="C1500" s="193"/>
      <c r="D1500" s="190" t="str">
        <f t="array" ref="D1500">IF(E1500="", "", XLOOKUP(E1500, 'MASTER ITEM LIST'!B:B, 'MASTER ITEM LIST'!A:A, "Code Not Found"))</f>
        <v/>
      </c>
      <c r="E1500" s="35"/>
      <c r="F1500" s="194"/>
      <c r="G1500" s="31"/>
      <c r="H1500" s="39" t="str">
        <f t="array" ref="H1500">IFERROR(XLOOKUP(D1500,'MASTER ITEM LIST'!A:A,'MASTER ITEM LIST'!D:D), "")</f>
        <v/>
      </c>
      <c r="I1500" s="40"/>
      <c r="J1500" s="41" t="str">
        <f t="shared" si="2"/>
        <v/>
      </c>
    </row>
    <row r="1501" ht="22.5" customHeight="1">
      <c r="A1501" s="29"/>
      <c r="B1501" s="31"/>
      <c r="C1501" s="193"/>
      <c r="D1501" s="190" t="str">
        <f t="array" ref="D1501">IF(E1501="", "", XLOOKUP(E1501, 'MASTER ITEM LIST'!B:B, 'MASTER ITEM LIST'!A:A, "Code Not Found"))</f>
        <v/>
      </c>
      <c r="E1501" s="35"/>
      <c r="F1501" s="194"/>
      <c r="G1501" s="31"/>
      <c r="H1501" s="39" t="str">
        <f t="array" ref="H1501">IFERROR(XLOOKUP(D1501,'MASTER ITEM LIST'!A:A,'MASTER ITEM LIST'!D:D), "")</f>
        <v/>
      </c>
      <c r="I1501" s="40"/>
      <c r="J1501" s="41" t="str">
        <f t="shared" si="2"/>
        <v/>
      </c>
    </row>
    <row r="1502" ht="22.5" customHeight="1">
      <c r="A1502" s="29"/>
      <c r="B1502" s="31"/>
      <c r="C1502" s="193"/>
      <c r="D1502" s="190" t="str">
        <f t="array" ref="D1502">IF(E1502="", "", XLOOKUP(E1502, 'MASTER ITEM LIST'!B:B, 'MASTER ITEM LIST'!A:A, "Code Not Found"))</f>
        <v/>
      </c>
      <c r="E1502" s="35"/>
      <c r="F1502" s="194"/>
      <c r="G1502" s="31"/>
      <c r="H1502" s="39" t="str">
        <f t="array" ref="H1502">IFERROR(XLOOKUP(D1502,'MASTER ITEM LIST'!A:A,'MASTER ITEM LIST'!D:D), "")</f>
        <v/>
      </c>
      <c r="I1502" s="40"/>
      <c r="J1502" s="41" t="str">
        <f t="shared" si="2"/>
        <v/>
      </c>
    </row>
    <row r="1503" ht="22.5" customHeight="1">
      <c r="A1503" s="29"/>
      <c r="B1503" s="31"/>
      <c r="C1503" s="193"/>
      <c r="D1503" s="190" t="str">
        <f t="array" ref="D1503">IF(E1503="", "", XLOOKUP(E1503, 'MASTER ITEM LIST'!B:B, 'MASTER ITEM LIST'!A:A, "Code Not Found"))</f>
        <v/>
      </c>
      <c r="E1503" s="35"/>
      <c r="F1503" s="194"/>
      <c r="G1503" s="31"/>
      <c r="H1503" s="39" t="str">
        <f t="array" ref="H1503">IFERROR(XLOOKUP(D1503,'MASTER ITEM LIST'!A:A,'MASTER ITEM LIST'!D:D), "")</f>
        <v/>
      </c>
      <c r="I1503" s="40"/>
      <c r="J1503" s="41" t="str">
        <f t="shared" si="2"/>
        <v/>
      </c>
    </row>
    <row r="1504" ht="22.5" customHeight="1">
      <c r="A1504" s="29"/>
      <c r="B1504" s="31"/>
      <c r="C1504" s="193"/>
      <c r="D1504" s="190" t="str">
        <f t="array" ref="D1504">IF(E1504="", "", XLOOKUP(E1504, 'MASTER ITEM LIST'!B:B, 'MASTER ITEM LIST'!A:A, "Code Not Found"))</f>
        <v/>
      </c>
      <c r="E1504" s="35"/>
      <c r="F1504" s="194"/>
      <c r="G1504" s="31"/>
      <c r="H1504" s="39" t="str">
        <f t="array" ref="H1504">IFERROR(XLOOKUP(D1504,'MASTER ITEM LIST'!A:A,'MASTER ITEM LIST'!D:D), "")</f>
        <v/>
      </c>
      <c r="I1504" s="40"/>
      <c r="J1504" s="41" t="str">
        <f t="shared" si="2"/>
        <v/>
      </c>
    </row>
    <row r="1505" ht="22.5" customHeight="1">
      <c r="A1505" s="29"/>
      <c r="B1505" s="31"/>
      <c r="C1505" s="193"/>
      <c r="D1505" s="190" t="str">
        <f t="array" ref="D1505">IF(E1505="", "", XLOOKUP(E1505, 'MASTER ITEM LIST'!B:B, 'MASTER ITEM LIST'!A:A, "Code Not Found"))</f>
        <v/>
      </c>
      <c r="E1505" s="35"/>
      <c r="F1505" s="194"/>
      <c r="G1505" s="31"/>
      <c r="H1505" s="39" t="str">
        <f t="array" ref="H1505">IFERROR(XLOOKUP(D1505,'MASTER ITEM LIST'!A:A,'MASTER ITEM LIST'!D:D), "")</f>
        <v/>
      </c>
      <c r="I1505" s="40"/>
      <c r="J1505" s="41" t="str">
        <f t="shared" si="2"/>
        <v/>
      </c>
    </row>
    <row r="1506" ht="22.5" customHeight="1">
      <c r="A1506" s="29"/>
      <c r="B1506" s="31"/>
      <c r="C1506" s="193"/>
      <c r="D1506" s="190" t="str">
        <f t="array" ref="D1506">IF(E1506="", "", XLOOKUP(E1506, 'MASTER ITEM LIST'!B:B, 'MASTER ITEM LIST'!A:A, "Code Not Found"))</f>
        <v/>
      </c>
      <c r="E1506" s="35"/>
      <c r="F1506" s="194"/>
      <c r="G1506" s="31"/>
      <c r="H1506" s="39" t="str">
        <f t="array" ref="H1506">IFERROR(XLOOKUP(D1506,'MASTER ITEM LIST'!A:A,'MASTER ITEM LIST'!D:D), "")</f>
        <v/>
      </c>
      <c r="I1506" s="40"/>
      <c r="J1506" s="41" t="str">
        <f t="shared" si="2"/>
        <v/>
      </c>
    </row>
    <row r="1507" ht="22.5" customHeight="1">
      <c r="A1507" s="29"/>
      <c r="B1507" s="31"/>
      <c r="C1507" s="193"/>
      <c r="D1507" s="190" t="str">
        <f t="array" ref="D1507">IF(E1507="", "", XLOOKUP(E1507, 'MASTER ITEM LIST'!B:B, 'MASTER ITEM LIST'!A:A, "Code Not Found"))</f>
        <v/>
      </c>
      <c r="E1507" s="35"/>
      <c r="F1507" s="194"/>
      <c r="G1507" s="31"/>
      <c r="H1507" s="39" t="str">
        <f t="array" ref="H1507">IFERROR(XLOOKUP(D1507,'MASTER ITEM LIST'!A:A,'MASTER ITEM LIST'!D:D), "")</f>
        <v/>
      </c>
      <c r="I1507" s="40"/>
      <c r="J1507" s="41" t="str">
        <f t="shared" si="2"/>
        <v/>
      </c>
    </row>
    <row r="1508" ht="22.5" customHeight="1">
      <c r="A1508" s="29"/>
      <c r="B1508" s="31"/>
      <c r="C1508" s="193"/>
      <c r="D1508" s="190" t="str">
        <f t="array" ref="D1508">IF(E1508="", "", XLOOKUP(E1508, 'MASTER ITEM LIST'!B:B, 'MASTER ITEM LIST'!A:A, "Code Not Found"))</f>
        <v/>
      </c>
      <c r="E1508" s="35"/>
      <c r="F1508" s="194"/>
      <c r="G1508" s="31"/>
      <c r="H1508" s="39" t="str">
        <f t="array" ref="H1508">IFERROR(XLOOKUP(D1508,'MASTER ITEM LIST'!A:A,'MASTER ITEM LIST'!D:D), "")</f>
        <v/>
      </c>
      <c r="I1508" s="40"/>
      <c r="J1508" s="41" t="str">
        <f t="shared" si="2"/>
        <v/>
      </c>
    </row>
    <row r="1509" ht="22.5" customHeight="1">
      <c r="A1509" s="29"/>
      <c r="B1509" s="31"/>
      <c r="C1509" s="193"/>
      <c r="D1509" s="190" t="str">
        <f t="array" ref="D1509">IF(E1509="", "", XLOOKUP(E1509, 'MASTER ITEM LIST'!B:B, 'MASTER ITEM LIST'!A:A, "Code Not Found"))</f>
        <v/>
      </c>
      <c r="E1509" s="35"/>
      <c r="F1509" s="194"/>
      <c r="G1509" s="31"/>
      <c r="H1509" s="39" t="str">
        <f t="array" ref="H1509">IFERROR(XLOOKUP(D1509,'MASTER ITEM LIST'!A:A,'MASTER ITEM LIST'!D:D), "")</f>
        <v/>
      </c>
      <c r="I1509" s="40"/>
      <c r="J1509" s="41" t="str">
        <f t="shared" si="2"/>
        <v/>
      </c>
    </row>
    <row r="1510" ht="22.5" customHeight="1">
      <c r="A1510" s="29"/>
      <c r="B1510" s="31"/>
      <c r="C1510" s="193"/>
      <c r="D1510" s="190" t="str">
        <f t="array" ref="D1510">IF(E1510="", "", XLOOKUP(E1510, 'MASTER ITEM LIST'!B:B, 'MASTER ITEM LIST'!A:A, "Code Not Found"))</f>
        <v/>
      </c>
      <c r="E1510" s="35"/>
      <c r="F1510" s="194"/>
      <c r="G1510" s="31"/>
      <c r="H1510" s="39" t="str">
        <f t="array" ref="H1510">IFERROR(XLOOKUP(D1510,'MASTER ITEM LIST'!A:A,'MASTER ITEM LIST'!D:D), "")</f>
        <v/>
      </c>
      <c r="I1510" s="40"/>
      <c r="J1510" s="41" t="str">
        <f t="shared" si="2"/>
        <v/>
      </c>
    </row>
    <row r="1511" ht="22.5" customHeight="1">
      <c r="A1511" s="29"/>
      <c r="B1511" s="31"/>
      <c r="C1511" s="193"/>
      <c r="D1511" s="190" t="str">
        <f t="array" ref="D1511">IF(E1511="", "", XLOOKUP(E1511, 'MASTER ITEM LIST'!B:B, 'MASTER ITEM LIST'!A:A, "Code Not Found"))</f>
        <v/>
      </c>
      <c r="E1511" s="35"/>
      <c r="F1511" s="194"/>
      <c r="G1511" s="31"/>
      <c r="H1511" s="39" t="str">
        <f t="array" ref="H1511">IFERROR(XLOOKUP(D1511,'MASTER ITEM LIST'!A:A,'MASTER ITEM LIST'!D:D), "")</f>
        <v/>
      </c>
      <c r="I1511" s="40"/>
      <c r="J1511" s="41" t="str">
        <f t="shared" si="2"/>
        <v/>
      </c>
    </row>
    <row r="1512" ht="22.5" customHeight="1">
      <c r="A1512" s="29"/>
      <c r="B1512" s="31"/>
      <c r="C1512" s="193"/>
      <c r="D1512" s="190" t="str">
        <f t="array" ref="D1512">IF(E1512="", "", XLOOKUP(E1512, 'MASTER ITEM LIST'!B:B, 'MASTER ITEM LIST'!A:A, "Code Not Found"))</f>
        <v/>
      </c>
      <c r="E1512" s="35"/>
      <c r="F1512" s="194"/>
      <c r="G1512" s="31"/>
      <c r="H1512" s="39" t="str">
        <f t="array" ref="H1512">IFERROR(XLOOKUP(D1512,'MASTER ITEM LIST'!A:A,'MASTER ITEM LIST'!D:D), "")</f>
        <v/>
      </c>
      <c r="I1512" s="40"/>
      <c r="J1512" s="41" t="str">
        <f t="shared" si="2"/>
        <v/>
      </c>
    </row>
    <row r="1513" ht="22.5" customHeight="1">
      <c r="A1513" s="29"/>
      <c r="B1513" s="31"/>
      <c r="C1513" s="193"/>
      <c r="D1513" s="190" t="str">
        <f t="array" ref="D1513">IF(E1513="", "", XLOOKUP(E1513, 'MASTER ITEM LIST'!B:B, 'MASTER ITEM LIST'!A:A, "Code Not Found"))</f>
        <v/>
      </c>
      <c r="E1513" s="35"/>
      <c r="F1513" s="194"/>
      <c r="G1513" s="31"/>
      <c r="H1513" s="39" t="str">
        <f t="array" ref="H1513">IFERROR(XLOOKUP(D1513,'MASTER ITEM LIST'!A:A,'MASTER ITEM LIST'!D:D), "")</f>
        <v/>
      </c>
      <c r="I1513" s="40"/>
      <c r="J1513" s="41" t="str">
        <f t="shared" si="2"/>
        <v/>
      </c>
    </row>
    <row r="1514" ht="22.5" customHeight="1">
      <c r="A1514" s="29"/>
      <c r="B1514" s="31"/>
      <c r="C1514" s="193"/>
      <c r="D1514" s="190" t="str">
        <f t="array" ref="D1514">IF(E1514="", "", XLOOKUP(E1514, 'MASTER ITEM LIST'!B:B, 'MASTER ITEM LIST'!A:A, "Code Not Found"))</f>
        <v/>
      </c>
      <c r="E1514" s="35"/>
      <c r="F1514" s="194"/>
      <c r="G1514" s="31"/>
      <c r="H1514" s="39" t="str">
        <f t="array" ref="H1514">IFERROR(XLOOKUP(D1514,'MASTER ITEM LIST'!A:A,'MASTER ITEM LIST'!D:D), "")</f>
        <v/>
      </c>
      <c r="I1514" s="40"/>
      <c r="J1514" s="41" t="str">
        <f t="shared" si="2"/>
        <v/>
      </c>
    </row>
    <row r="1515" ht="22.5" customHeight="1">
      <c r="A1515" s="29"/>
      <c r="B1515" s="31"/>
      <c r="C1515" s="193"/>
      <c r="D1515" s="190" t="str">
        <f t="array" ref="D1515">IF(E1515="", "", XLOOKUP(E1515, 'MASTER ITEM LIST'!B:B, 'MASTER ITEM LIST'!A:A, "Code Not Found"))</f>
        <v/>
      </c>
      <c r="E1515" s="35"/>
      <c r="F1515" s="194"/>
      <c r="G1515" s="31"/>
      <c r="H1515" s="39" t="str">
        <f t="array" ref="H1515">IFERROR(XLOOKUP(D1515,'MASTER ITEM LIST'!A:A,'MASTER ITEM LIST'!D:D), "")</f>
        <v/>
      </c>
      <c r="I1515" s="40"/>
      <c r="J1515" s="41" t="str">
        <f t="shared" si="2"/>
        <v/>
      </c>
    </row>
    <row r="1516" ht="22.5" customHeight="1">
      <c r="A1516" s="29"/>
      <c r="B1516" s="31"/>
      <c r="C1516" s="193"/>
      <c r="D1516" s="190" t="str">
        <f t="array" ref="D1516">IF(E1516="", "", XLOOKUP(E1516, 'MASTER ITEM LIST'!B:B, 'MASTER ITEM LIST'!A:A, "Code Not Found"))</f>
        <v/>
      </c>
      <c r="E1516" s="35"/>
      <c r="F1516" s="194"/>
      <c r="G1516" s="31"/>
      <c r="H1516" s="39" t="str">
        <f t="array" ref="H1516">IFERROR(XLOOKUP(D1516,'MASTER ITEM LIST'!A:A,'MASTER ITEM LIST'!D:D), "")</f>
        <v/>
      </c>
      <c r="I1516" s="40"/>
      <c r="J1516" s="41" t="str">
        <f t="shared" si="2"/>
        <v/>
      </c>
    </row>
    <row r="1517" ht="22.5" customHeight="1">
      <c r="A1517" s="29"/>
      <c r="B1517" s="31"/>
      <c r="C1517" s="193"/>
      <c r="D1517" s="190" t="str">
        <f t="array" ref="D1517">IF(E1517="", "", XLOOKUP(E1517, 'MASTER ITEM LIST'!B:B, 'MASTER ITEM LIST'!A:A, "Code Not Found"))</f>
        <v/>
      </c>
      <c r="E1517" s="35"/>
      <c r="F1517" s="194"/>
      <c r="G1517" s="31"/>
      <c r="H1517" s="39" t="str">
        <f t="array" ref="H1517">IFERROR(XLOOKUP(D1517,'MASTER ITEM LIST'!A:A,'MASTER ITEM LIST'!D:D), "")</f>
        <v/>
      </c>
      <c r="I1517" s="40"/>
      <c r="J1517" s="41" t="str">
        <f t="shared" si="2"/>
        <v/>
      </c>
    </row>
    <row r="1518" ht="22.5" customHeight="1">
      <c r="A1518" s="29"/>
      <c r="B1518" s="31"/>
      <c r="C1518" s="193"/>
      <c r="D1518" s="190" t="str">
        <f t="array" ref="D1518">IF(E1518="", "", XLOOKUP(E1518, 'MASTER ITEM LIST'!B:B, 'MASTER ITEM LIST'!A:A, "Code Not Found"))</f>
        <v/>
      </c>
      <c r="E1518" s="35"/>
      <c r="F1518" s="194"/>
      <c r="G1518" s="31"/>
      <c r="H1518" s="39" t="str">
        <f t="array" ref="H1518">IFERROR(XLOOKUP(D1518,'MASTER ITEM LIST'!A:A,'MASTER ITEM LIST'!D:D), "")</f>
        <v/>
      </c>
      <c r="I1518" s="40"/>
      <c r="J1518" s="41" t="str">
        <f t="shared" si="2"/>
        <v/>
      </c>
    </row>
    <row r="1519" ht="22.5" customHeight="1">
      <c r="A1519" s="29"/>
      <c r="B1519" s="31"/>
      <c r="C1519" s="193"/>
      <c r="D1519" s="190" t="str">
        <f t="array" ref="D1519">IF(E1519="", "", XLOOKUP(E1519, 'MASTER ITEM LIST'!B:B, 'MASTER ITEM LIST'!A:A, "Code Not Found"))</f>
        <v/>
      </c>
      <c r="E1519" s="35"/>
      <c r="F1519" s="194"/>
      <c r="G1519" s="31"/>
      <c r="H1519" s="39" t="str">
        <f t="array" ref="H1519">IFERROR(XLOOKUP(D1519,'MASTER ITEM LIST'!A:A,'MASTER ITEM LIST'!D:D), "")</f>
        <v/>
      </c>
      <c r="I1519" s="40"/>
      <c r="J1519" s="41" t="str">
        <f t="shared" si="2"/>
        <v/>
      </c>
    </row>
    <row r="1520" ht="22.5" customHeight="1">
      <c r="A1520" s="29"/>
      <c r="B1520" s="31"/>
      <c r="C1520" s="193"/>
      <c r="D1520" s="190" t="str">
        <f t="array" ref="D1520">IF(E1520="", "", XLOOKUP(E1520, 'MASTER ITEM LIST'!B:B, 'MASTER ITEM LIST'!A:A, "Code Not Found"))</f>
        <v/>
      </c>
      <c r="E1520" s="35"/>
      <c r="F1520" s="194"/>
      <c r="G1520" s="31"/>
      <c r="H1520" s="39" t="str">
        <f t="array" ref="H1520">IFERROR(XLOOKUP(D1520,'MASTER ITEM LIST'!A:A,'MASTER ITEM LIST'!D:D), "")</f>
        <v/>
      </c>
      <c r="I1520" s="40"/>
      <c r="J1520" s="41" t="str">
        <f t="shared" si="2"/>
        <v/>
      </c>
    </row>
    <row r="1521" ht="22.5" customHeight="1">
      <c r="A1521" s="29"/>
      <c r="B1521" s="31"/>
      <c r="C1521" s="193"/>
      <c r="D1521" s="190" t="str">
        <f t="array" ref="D1521">IF(E1521="", "", XLOOKUP(E1521, 'MASTER ITEM LIST'!B:B, 'MASTER ITEM LIST'!A:A, "Code Not Found"))</f>
        <v/>
      </c>
      <c r="E1521" s="35"/>
      <c r="F1521" s="194"/>
      <c r="G1521" s="31"/>
      <c r="H1521" s="39" t="str">
        <f t="array" ref="H1521">IFERROR(XLOOKUP(D1521,'MASTER ITEM LIST'!A:A,'MASTER ITEM LIST'!D:D), "")</f>
        <v/>
      </c>
      <c r="I1521" s="40"/>
      <c r="J1521" s="41" t="str">
        <f t="shared" si="2"/>
        <v/>
      </c>
    </row>
    <row r="1522" ht="22.5" customHeight="1">
      <c r="A1522" s="29"/>
      <c r="B1522" s="31"/>
      <c r="C1522" s="193"/>
      <c r="D1522" s="190" t="str">
        <f t="array" ref="D1522">IF(E1522="", "", XLOOKUP(E1522, 'MASTER ITEM LIST'!B:B, 'MASTER ITEM LIST'!A:A, "Code Not Found"))</f>
        <v/>
      </c>
      <c r="E1522" s="35"/>
      <c r="F1522" s="194"/>
      <c r="G1522" s="31"/>
      <c r="H1522" s="39" t="str">
        <f t="array" ref="H1522">IFERROR(XLOOKUP(D1522,'MASTER ITEM LIST'!A:A,'MASTER ITEM LIST'!D:D), "")</f>
        <v/>
      </c>
      <c r="I1522" s="40"/>
      <c r="J1522" s="41" t="str">
        <f t="shared" si="2"/>
        <v/>
      </c>
    </row>
    <row r="1523" ht="22.5" customHeight="1">
      <c r="A1523" s="29"/>
      <c r="B1523" s="31"/>
      <c r="C1523" s="193"/>
      <c r="D1523" s="190" t="str">
        <f t="array" ref="D1523">IF(E1523="", "", XLOOKUP(E1523, 'MASTER ITEM LIST'!B:B, 'MASTER ITEM LIST'!A:A, "Code Not Found"))</f>
        <v/>
      </c>
      <c r="E1523" s="35"/>
      <c r="F1523" s="194"/>
      <c r="G1523" s="31"/>
      <c r="H1523" s="39" t="str">
        <f t="array" ref="H1523">IFERROR(XLOOKUP(D1523,'MASTER ITEM LIST'!A:A,'MASTER ITEM LIST'!D:D), "")</f>
        <v/>
      </c>
      <c r="I1523" s="40"/>
      <c r="J1523" s="41" t="str">
        <f t="shared" si="2"/>
        <v/>
      </c>
    </row>
    <row r="1524" ht="22.5" customHeight="1">
      <c r="A1524" s="29"/>
      <c r="B1524" s="31"/>
      <c r="C1524" s="193"/>
      <c r="D1524" s="190" t="str">
        <f t="array" ref="D1524">IF(E1524="", "", XLOOKUP(E1524, 'MASTER ITEM LIST'!B:B, 'MASTER ITEM LIST'!A:A, "Code Not Found"))</f>
        <v/>
      </c>
      <c r="E1524" s="35"/>
      <c r="F1524" s="194"/>
      <c r="G1524" s="31"/>
      <c r="H1524" s="39" t="str">
        <f t="array" ref="H1524">IFERROR(XLOOKUP(D1524,'MASTER ITEM LIST'!A:A,'MASTER ITEM LIST'!D:D), "")</f>
        <v/>
      </c>
      <c r="I1524" s="40"/>
      <c r="J1524" s="41" t="str">
        <f t="shared" si="2"/>
        <v/>
      </c>
    </row>
    <row r="1525" ht="22.5" customHeight="1">
      <c r="A1525" s="29"/>
      <c r="B1525" s="31"/>
      <c r="C1525" s="193"/>
      <c r="D1525" s="190" t="str">
        <f t="array" ref="D1525">IF(E1525="", "", XLOOKUP(E1525, 'MASTER ITEM LIST'!B:B, 'MASTER ITEM LIST'!A:A, "Code Not Found"))</f>
        <v/>
      </c>
      <c r="E1525" s="35"/>
      <c r="F1525" s="194"/>
      <c r="G1525" s="31"/>
      <c r="H1525" s="39" t="str">
        <f t="array" ref="H1525">IFERROR(XLOOKUP(D1525,'MASTER ITEM LIST'!A:A,'MASTER ITEM LIST'!D:D), "")</f>
        <v/>
      </c>
      <c r="I1525" s="40"/>
      <c r="J1525" s="41" t="str">
        <f t="shared" si="2"/>
        <v/>
      </c>
    </row>
    <row r="1526" ht="22.5" customHeight="1">
      <c r="A1526" s="29"/>
      <c r="B1526" s="31"/>
      <c r="C1526" s="193"/>
      <c r="D1526" s="190" t="str">
        <f t="array" ref="D1526">IF(E1526="", "", XLOOKUP(E1526, 'MASTER ITEM LIST'!B:B, 'MASTER ITEM LIST'!A:A, "Code Not Found"))</f>
        <v/>
      </c>
      <c r="E1526" s="35"/>
      <c r="F1526" s="194"/>
      <c r="G1526" s="31"/>
      <c r="H1526" s="39" t="str">
        <f t="array" ref="H1526">IFERROR(XLOOKUP(D1526,'MASTER ITEM LIST'!A:A,'MASTER ITEM LIST'!D:D), "")</f>
        <v/>
      </c>
      <c r="I1526" s="40"/>
      <c r="J1526" s="41" t="str">
        <f t="shared" si="2"/>
        <v/>
      </c>
    </row>
    <row r="1527" ht="22.5" customHeight="1">
      <c r="A1527" s="29"/>
      <c r="B1527" s="31"/>
      <c r="C1527" s="193"/>
      <c r="D1527" s="190" t="str">
        <f t="array" ref="D1527">IF(E1527="", "", XLOOKUP(E1527, 'MASTER ITEM LIST'!B:B, 'MASTER ITEM LIST'!A:A, "Code Not Found"))</f>
        <v/>
      </c>
      <c r="E1527" s="35"/>
      <c r="F1527" s="194"/>
      <c r="G1527" s="31"/>
      <c r="H1527" s="39" t="str">
        <f t="array" ref="H1527">IFERROR(XLOOKUP(D1527,'MASTER ITEM LIST'!A:A,'MASTER ITEM LIST'!D:D), "")</f>
        <v/>
      </c>
      <c r="I1527" s="40"/>
      <c r="J1527" s="41" t="str">
        <f t="shared" si="2"/>
        <v/>
      </c>
    </row>
    <row r="1528" ht="22.5" customHeight="1">
      <c r="A1528" s="29"/>
      <c r="B1528" s="31"/>
      <c r="C1528" s="193"/>
      <c r="D1528" s="190" t="str">
        <f t="array" ref="D1528">IF(E1528="", "", XLOOKUP(E1528, 'MASTER ITEM LIST'!B:B, 'MASTER ITEM LIST'!A:A, "Code Not Found"))</f>
        <v/>
      </c>
      <c r="E1528" s="35"/>
      <c r="F1528" s="194"/>
      <c r="G1528" s="31"/>
      <c r="H1528" s="39" t="str">
        <f t="array" ref="H1528">IFERROR(XLOOKUP(D1528,'MASTER ITEM LIST'!A:A,'MASTER ITEM LIST'!D:D), "")</f>
        <v/>
      </c>
      <c r="I1528" s="40"/>
      <c r="J1528" s="41" t="str">
        <f t="shared" si="2"/>
        <v/>
      </c>
    </row>
    <row r="1529" ht="22.5" customHeight="1">
      <c r="A1529" s="29"/>
      <c r="B1529" s="31"/>
      <c r="C1529" s="193"/>
      <c r="D1529" s="190" t="str">
        <f t="array" ref="D1529">IF(E1529="", "", XLOOKUP(E1529, 'MASTER ITEM LIST'!B:B, 'MASTER ITEM LIST'!A:A, "Code Not Found"))</f>
        <v/>
      </c>
      <c r="E1529" s="35"/>
      <c r="F1529" s="194"/>
      <c r="G1529" s="31"/>
      <c r="H1529" s="39" t="str">
        <f t="array" ref="H1529">IFERROR(XLOOKUP(D1529,'MASTER ITEM LIST'!A:A,'MASTER ITEM LIST'!D:D), "")</f>
        <v/>
      </c>
      <c r="I1529" s="40"/>
      <c r="J1529" s="41" t="str">
        <f t="shared" si="2"/>
        <v/>
      </c>
    </row>
    <row r="1530" ht="22.5" customHeight="1">
      <c r="A1530" s="29"/>
      <c r="B1530" s="31"/>
      <c r="C1530" s="193"/>
      <c r="D1530" s="190" t="str">
        <f t="array" ref="D1530">IF(E1530="", "", XLOOKUP(E1530, 'MASTER ITEM LIST'!B:B, 'MASTER ITEM LIST'!A:A, "Code Not Found"))</f>
        <v/>
      </c>
      <c r="E1530" s="35"/>
      <c r="F1530" s="194"/>
      <c r="G1530" s="31"/>
      <c r="H1530" s="39" t="str">
        <f t="array" ref="H1530">IFERROR(XLOOKUP(D1530,'MASTER ITEM LIST'!A:A,'MASTER ITEM LIST'!D:D), "")</f>
        <v/>
      </c>
      <c r="I1530" s="40"/>
      <c r="J1530" s="41" t="str">
        <f t="shared" si="2"/>
        <v/>
      </c>
    </row>
    <row r="1531" ht="22.5" customHeight="1">
      <c r="A1531" s="29"/>
      <c r="B1531" s="31"/>
      <c r="C1531" s="193"/>
      <c r="D1531" s="190" t="str">
        <f t="array" ref="D1531">IF(E1531="", "", XLOOKUP(E1531, 'MASTER ITEM LIST'!B:B, 'MASTER ITEM LIST'!A:A, "Code Not Found"))</f>
        <v/>
      </c>
      <c r="E1531" s="35"/>
      <c r="F1531" s="194"/>
      <c r="G1531" s="31"/>
      <c r="H1531" s="39" t="str">
        <f t="array" ref="H1531">IFERROR(XLOOKUP(D1531,'MASTER ITEM LIST'!A:A,'MASTER ITEM LIST'!D:D), "")</f>
        <v/>
      </c>
      <c r="I1531" s="40"/>
      <c r="J1531" s="41" t="str">
        <f t="shared" si="2"/>
        <v/>
      </c>
    </row>
    <row r="1532" ht="22.5" customHeight="1">
      <c r="A1532" s="29"/>
      <c r="B1532" s="31"/>
      <c r="C1532" s="193"/>
      <c r="D1532" s="190" t="str">
        <f t="array" ref="D1532">IF(E1532="", "", XLOOKUP(E1532, 'MASTER ITEM LIST'!B:B, 'MASTER ITEM LIST'!A:A, "Code Not Found"))</f>
        <v/>
      </c>
      <c r="E1532" s="35"/>
      <c r="F1532" s="194"/>
      <c r="G1532" s="31"/>
      <c r="H1532" s="39" t="str">
        <f t="array" ref="H1532">IFERROR(XLOOKUP(D1532,'MASTER ITEM LIST'!A:A,'MASTER ITEM LIST'!D:D), "")</f>
        <v/>
      </c>
      <c r="I1532" s="40"/>
      <c r="J1532" s="41" t="str">
        <f t="shared" si="2"/>
        <v/>
      </c>
    </row>
    <row r="1533" ht="22.5" customHeight="1">
      <c r="A1533" s="29"/>
      <c r="B1533" s="31"/>
      <c r="C1533" s="193"/>
      <c r="D1533" s="190" t="str">
        <f t="array" ref="D1533">IF(E1533="", "", XLOOKUP(E1533, 'MASTER ITEM LIST'!B:B, 'MASTER ITEM LIST'!A:A, "Code Not Found"))</f>
        <v/>
      </c>
      <c r="E1533" s="35"/>
      <c r="F1533" s="194"/>
      <c r="G1533" s="31"/>
      <c r="H1533" s="39" t="str">
        <f t="array" ref="H1533">IFERROR(XLOOKUP(D1533,'MASTER ITEM LIST'!A:A,'MASTER ITEM LIST'!D:D), "")</f>
        <v/>
      </c>
      <c r="I1533" s="40"/>
      <c r="J1533" s="41" t="str">
        <f t="shared" si="2"/>
        <v/>
      </c>
    </row>
    <row r="1534" ht="22.5" customHeight="1">
      <c r="A1534" s="29"/>
      <c r="B1534" s="31"/>
      <c r="C1534" s="193"/>
      <c r="D1534" s="190" t="str">
        <f t="array" ref="D1534">IF(E1534="", "", XLOOKUP(E1534, 'MASTER ITEM LIST'!B:B, 'MASTER ITEM LIST'!A:A, "Code Not Found"))</f>
        <v/>
      </c>
      <c r="E1534" s="35"/>
      <c r="F1534" s="194"/>
      <c r="G1534" s="31"/>
      <c r="H1534" s="39" t="str">
        <f t="array" ref="H1534">IFERROR(XLOOKUP(D1534,'MASTER ITEM LIST'!A:A,'MASTER ITEM LIST'!D:D), "")</f>
        <v/>
      </c>
      <c r="I1534" s="40"/>
      <c r="J1534" s="41" t="str">
        <f t="shared" si="2"/>
        <v/>
      </c>
    </row>
    <row r="1535" ht="22.5" customHeight="1">
      <c r="A1535" s="29"/>
      <c r="B1535" s="31"/>
      <c r="C1535" s="193"/>
      <c r="D1535" s="190" t="str">
        <f t="array" ref="D1535">IF(E1535="", "", XLOOKUP(E1535, 'MASTER ITEM LIST'!B:B, 'MASTER ITEM LIST'!A:A, "Code Not Found"))</f>
        <v/>
      </c>
      <c r="E1535" s="35"/>
      <c r="F1535" s="194"/>
      <c r="G1535" s="31"/>
      <c r="H1535" s="39" t="str">
        <f t="array" ref="H1535">IFERROR(XLOOKUP(D1535,'MASTER ITEM LIST'!A:A,'MASTER ITEM LIST'!D:D), "")</f>
        <v/>
      </c>
      <c r="I1535" s="40"/>
      <c r="J1535" s="41" t="str">
        <f t="shared" si="2"/>
        <v/>
      </c>
    </row>
    <row r="1536" ht="22.5" customHeight="1">
      <c r="A1536" s="29"/>
      <c r="B1536" s="31"/>
      <c r="C1536" s="193"/>
      <c r="D1536" s="190" t="str">
        <f t="array" ref="D1536">IF(E1536="", "", XLOOKUP(E1536, 'MASTER ITEM LIST'!B:B, 'MASTER ITEM LIST'!A:A, "Code Not Found"))</f>
        <v/>
      </c>
      <c r="E1536" s="35"/>
      <c r="F1536" s="194"/>
      <c r="G1536" s="31"/>
      <c r="H1536" s="39" t="str">
        <f t="array" ref="H1536">IFERROR(XLOOKUP(D1536,'MASTER ITEM LIST'!A:A,'MASTER ITEM LIST'!D:D), "")</f>
        <v/>
      </c>
      <c r="I1536" s="40"/>
      <c r="J1536" s="41" t="str">
        <f t="shared" si="2"/>
        <v/>
      </c>
    </row>
    <row r="1537" ht="22.5" customHeight="1">
      <c r="A1537" s="29"/>
      <c r="B1537" s="31"/>
      <c r="C1537" s="193"/>
      <c r="D1537" s="190" t="str">
        <f t="array" ref="D1537">IF(E1537="", "", XLOOKUP(E1537, 'MASTER ITEM LIST'!B:B, 'MASTER ITEM LIST'!A:A, "Code Not Found"))</f>
        <v/>
      </c>
      <c r="E1537" s="35"/>
      <c r="F1537" s="194"/>
      <c r="G1537" s="31"/>
      <c r="H1537" s="39" t="str">
        <f t="array" ref="H1537">IFERROR(XLOOKUP(D1537,'MASTER ITEM LIST'!A:A,'MASTER ITEM LIST'!D:D), "")</f>
        <v/>
      </c>
      <c r="I1537" s="40"/>
      <c r="J1537" s="41" t="str">
        <f t="shared" si="2"/>
        <v/>
      </c>
    </row>
    <row r="1538" ht="22.5" customHeight="1">
      <c r="A1538" s="29"/>
      <c r="B1538" s="31"/>
      <c r="C1538" s="193"/>
      <c r="D1538" s="190" t="str">
        <f t="array" ref="D1538">IF(E1538="", "", XLOOKUP(E1538, 'MASTER ITEM LIST'!B:B, 'MASTER ITEM LIST'!A:A, "Code Not Found"))</f>
        <v/>
      </c>
      <c r="E1538" s="35"/>
      <c r="F1538" s="194"/>
      <c r="G1538" s="31"/>
      <c r="H1538" s="39" t="str">
        <f t="array" ref="H1538">IFERROR(XLOOKUP(D1538,'MASTER ITEM LIST'!A:A,'MASTER ITEM LIST'!D:D), "")</f>
        <v/>
      </c>
      <c r="I1538" s="40"/>
      <c r="J1538" s="41" t="str">
        <f t="shared" si="2"/>
        <v/>
      </c>
    </row>
    <row r="1539" ht="22.5" customHeight="1">
      <c r="A1539" s="29"/>
      <c r="B1539" s="31"/>
      <c r="C1539" s="193"/>
      <c r="D1539" s="190" t="str">
        <f t="array" ref="D1539">IF(E1539="", "", XLOOKUP(E1539, 'MASTER ITEM LIST'!B:B, 'MASTER ITEM LIST'!A:A, "Code Not Found"))</f>
        <v/>
      </c>
      <c r="E1539" s="35"/>
      <c r="F1539" s="194"/>
      <c r="G1539" s="31"/>
      <c r="H1539" s="39" t="str">
        <f t="array" ref="H1539">IFERROR(XLOOKUP(D1539,'MASTER ITEM LIST'!A:A,'MASTER ITEM LIST'!D:D), "")</f>
        <v/>
      </c>
      <c r="I1539" s="40"/>
      <c r="J1539" s="41" t="str">
        <f t="shared" si="2"/>
        <v/>
      </c>
    </row>
    <row r="1540" ht="22.5" customHeight="1">
      <c r="A1540" s="29"/>
      <c r="B1540" s="31"/>
      <c r="C1540" s="193"/>
      <c r="D1540" s="190" t="str">
        <f t="array" ref="D1540">IF(E1540="", "", XLOOKUP(E1540, 'MASTER ITEM LIST'!B:B, 'MASTER ITEM LIST'!A:A, "Code Not Found"))</f>
        <v/>
      </c>
      <c r="E1540" s="35"/>
      <c r="F1540" s="194"/>
      <c r="G1540" s="31"/>
      <c r="H1540" s="39" t="str">
        <f t="array" ref="H1540">IFERROR(XLOOKUP(D1540,'MASTER ITEM LIST'!A:A,'MASTER ITEM LIST'!D:D), "")</f>
        <v/>
      </c>
      <c r="I1540" s="40"/>
      <c r="J1540" s="41" t="str">
        <f t="shared" si="2"/>
        <v/>
      </c>
    </row>
    <row r="1541" ht="22.5" customHeight="1">
      <c r="A1541" s="29"/>
      <c r="B1541" s="31"/>
      <c r="C1541" s="193"/>
      <c r="D1541" s="190" t="str">
        <f t="array" ref="D1541">IF(E1541="", "", XLOOKUP(E1541, 'MASTER ITEM LIST'!B:B, 'MASTER ITEM LIST'!A:A, "Code Not Found"))</f>
        <v/>
      </c>
      <c r="E1541" s="35"/>
      <c r="F1541" s="194"/>
      <c r="G1541" s="31"/>
      <c r="H1541" s="39" t="str">
        <f t="array" ref="H1541">IFERROR(XLOOKUP(D1541,'MASTER ITEM LIST'!A:A,'MASTER ITEM LIST'!D:D), "")</f>
        <v/>
      </c>
      <c r="I1541" s="40"/>
      <c r="J1541" s="41" t="str">
        <f t="shared" si="2"/>
        <v/>
      </c>
    </row>
    <row r="1542" ht="22.5" customHeight="1">
      <c r="A1542" s="29"/>
      <c r="B1542" s="31"/>
      <c r="C1542" s="193"/>
      <c r="D1542" s="190" t="str">
        <f t="array" ref="D1542">IF(E1542="", "", XLOOKUP(E1542, 'MASTER ITEM LIST'!B:B, 'MASTER ITEM LIST'!A:A, "Code Not Found"))</f>
        <v/>
      </c>
      <c r="E1542" s="35"/>
      <c r="F1542" s="194"/>
      <c r="G1542" s="31"/>
      <c r="H1542" s="39" t="str">
        <f t="array" ref="H1542">IFERROR(XLOOKUP(D1542,'MASTER ITEM LIST'!A:A,'MASTER ITEM LIST'!D:D), "")</f>
        <v/>
      </c>
      <c r="I1542" s="40"/>
      <c r="J1542" s="41" t="str">
        <f t="shared" si="2"/>
        <v/>
      </c>
    </row>
    <row r="1543" ht="22.5" customHeight="1">
      <c r="A1543" s="29"/>
      <c r="B1543" s="31"/>
      <c r="C1543" s="193"/>
      <c r="D1543" s="190" t="str">
        <f t="array" ref="D1543">IF(E1543="", "", XLOOKUP(E1543, 'MASTER ITEM LIST'!B:B, 'MASTER ITEM LIST'!A:A, "Code Not Found"))</f>
        <v/>
      </c>
      <c r="E1543" s="35"/>
      <c r="F1543" s="194"/>
      <c r="G1543" s="31"/>
      <c r="H1543" s="39" t="str">
        <f t="array" ref="H1543">IFERROR(XLOOKUP(D1543,'MASTER ITEM LIST'!A:A,'MASTER ITEM LIST'!D:D), "")</f>
        <v/>
      </c>
      <c r="I1543" s="40"/>
      <c r="J1543" s="41" t="str">
        <f t="shared" si="2"/>
        <v/>
      </c>
    </row>
    <row r="1544" ht="22.5" customHeight="1">
      <c r="A1544" s="29"/>
      <c r="B1544" s="31"/>
      <c r="C1544" s="193"/>
      <c r="D1544" s="190" t="str">
        <f t="array" ref="D1544">IF(E1544="", "", XLOOKUP(E1544, 'MASTER ITEM LIST'!B:B, 'MASTER ITEM LIST'!A:A, "Code Not Found"))</f>
        <v/>
      </c>
      <c r="E1544" s="35"/>
      <c r="F1544" s="194"/>
      <c r="G1544" s="31"/>
      <c r="H1544" s="39" t="str">
        <f t="array" ref="H1544">IFERROR(XLOOKUP(D1544,'MASTER ITEM LIST'!A:A,'MASTER ITEM LIST'!D:D), "")</f>
        <v/>
      </c>
      <c r="I1544" s="40"/>
      <c r="J1544" s="41" t="str">
        <f t="shared" si="2"/>
        <v/>
      </c>
    </row>
    <row r="1545" ht="22.5" customHeight="1">
      <c r="A1545" s="29"/>
      <c r="B1545" s="31"/>
      <c r="C1545" s="193"/>
      <c r="D1545" s="190" t="str">
        <f t="array" ref="D1545">IF(E1545="", "", XLOOKUP(E1545, 'MASTER ITEM LIST'!B:B, 'MASTER ITEM LIST'!A:A, "Code Not Found"))</f>
        <v/>
      </c>
      <c r="E1545" s="35"/>
      <c r="F1545" s="194"/>
      <c r="G1545" s="31"/>
      <c r="H1545" s="39" t="str">
        <f t="array" ref="H1545">IFERROR(XLOOKUP(D1545,'MASTER ITEM LIST'!A:A,'MASTER ITEM LIST'!D:D), "")</f>
        <v/>
      </c>
      <c r="I1545" s="40"/>
      <c r="J1545" s="41" t="str">
        <f t="shared" si="2"/>
        <v/>
      </c>
    </row>
    <row r="1546" ht="22.5" customHeight="1">
      <c r="A1546" s="29"/>
      <c r="B1546" s="31"/>
      <c r="C1546" s="193"/>
      <c r="D1546" s="190" t="str">
        <f t="array" ref="D1546">IF(E1546="", "", XLOOKUP(E1546, 'MASTER ITEM LIST'!B:B, 'MASTER ITEM LIST'!A:A, "Code Not Found"))</f>
        <v/>
      </c>
      <c r="E1546" s="35"/>
      <c r="F1546" s="194"/>
      <c r="G1546" s="31"/>
      <c r="H1546" s="39" t="str">
        <f t="array" ref="H1546">IFERROR(XLOOKUP(D1546,'MASTER ITEM LIST'!A:A,'MASTER ITEM LIST'!D:D), "")</f>
        <v/>
      </c>
      <c r="I1546" s="40"/>
      <c r="J1546" s="41" t="str">
        <f t="shared" si="2"/>
        <v/>
      </c>
    </row>
    <row r="1547" ht="22.5" customHeight="1">
      <c r="A1547" s="29"/>
      <c r="B1547" s="31"/>
      <c r="C1547" s="193"/>
      <c r="D1547" s="190" t="str">
        <f t="array" ref="D1547">IF(E1547="", "", XLOOKUP(E1547, 'MASTER ITEM LIST'!B:B, 'MASTER ITEM LIST'!A:A, "Code Not Found"))</f>
        <v/>
      </c>
      <c r="E1547" s="35"/>
      <c r="F1547" s="194"/>
      <c r="G1547" s="31"/>
      <c r="H1547" s="39" t="str">
        <f t="array" ref="H1547">IFERROR(XLOOKUP(D1547,'MASTER ITEM LIST'!A:A,'MASTER ITEM LIST'!D:D), "")</f>
        <v/>
      </c>
      <c r="I1547" s="40"/>
      <c r="J1547" s="41" t="str">
        <f t="shared" si="2"/>
        <v/>
      </c>
    </row>
    <row r="1548" ht="22.5" customHeight="1">
      <c r="A1548" s="29"/>
      <c r="B1548" s="31"/>
      <c r="C1548" s="193"/>
      <c r="D1548" s="190" t="str">
        <f t="array" ref="D1548">IF(E1548="", "", XLOOKUP(E1548, 'MASTER ITEM LIST'!B:B, 'MASTER ITEM LIST'!A:A, "Code Not Found"))</f>
        <v/>
      </c>
      <c r="E1548" s="35"/>
      <c r="F1548" s="194"/>
      <c r="G1548" s="31"/>
      <c r="H1548" s="39" t="str">
        <f t="array" ref="H1548">IFERROR(XLOOKUP(D1548,'MASTER ITEM LIST'!A:A,'MASTER ITEM LIST'!D:D), "")</f>
        <v/>
      </c>
      <c r="I1548" s="40"/>
      <c r="J1548" s="41" t="str">
        <f t="shared" si="2"/>
        <v/>
      </c>
    </row>
    <row r="1549" ht="22.5" customHeight="1">
      <c r="A1549" s="29"/>
      <c r="B1549" s="31"/>
      <c r="C1549" s="193"/>
      <c r="D1549" s="190" t="str">
        <f t="array" ref="D1549">IF(E1549="", "", XLOOKUP(E1549, 'MASTER ITEM LIST'!B:B, 'MASTER ITEM LIST'!A:A, "Code Not Found"))</f>
        <v/>
      </c>
      <c r="E1549" s="35"/>
      <c r="F1549" s="194"/>
      <c r="G1549" s="31"/>
      <c r="H1549" s="39" t="str">
        <f t="array" ref="H1549">IFERROR(XLOOKUP(D1549,'MASTER ITEM LIST'!A:A,'MASTER ITEM LIST'!D:D), "")</f>
        <v/>
      </c>
      <c r="I1549" s="40"/>
      <c r="J1549" s="41" t="str">
        <f t="shared" si="2"/>
        <v/>
      </c>
    </row>
    <row r="1550" ht="22.5" customHeight="1">
      <c r="A1550" s="29"/>
      <c r="B1550" s="31"/>
      <c r="C1550" s="193"/>
      <c r="D1550" s="190" t="str">
        <f t="array" ref="D1550">IF(E1550="", "", XLOOKUP(E1550, 'MASTER ITEM LIST'!B:B, 'MASTER ITEM LIST'!A:A, "Code Not Found"))</f>
        <v/>
      </c>
      <c r="E1550" s="35"/>
      <c r="F1550" s="194"/>
      <c r="G1550" s="31"/>
      <c r="H1550" s="39" t="str">
        <f t="array" ref="H1550">IFERROR(XLOOKUP(D1550,'MASTER ITEM LIST'!A:A,'MASTER ITEM LIST'!D:D), "")</f>
        <v/>
      </c>
      <c r="I1550" s="40"/>
      <c r="J1550" s="41" t="str">
        <f t="shared" si="2"/>
        <v/>
      </c>
    </row>
    <row r="1551" ht="22.5" customHeight="1">
      <c r="A1551" s="29"/>
      <c r="B1551" s="31"/>
      <c r="C1551" s="193"/>
      <c r="D1551" s="190" t="str">
        <f t="array" ref="D1551">IF(E1551="", "", XLOOKUP(E1551, 'MASTER ITEM LIST'!B:B, 'MASTER ITEM LIST'!A:A, "Code Not Found"))</f>
        <v/>
      </c>
      <c r="E1551" s="35"/>
      <c r="F1551" s="194"/>
      <c r="G1551" s="31"/>
      <c r="H1551" s="39" t="str">
        <f t="array" ref="H1551">IFERROR(XLOOKUP(D1551,'MASTER ITEM LIST'!A:A,'MASTER ITEM LIST'!D:D), "")</f>
        <v/>
      </c>
      <c r="I1551" s="40"/>
      <c r="J1551" s="41" t="str">
        <f t="shared" si="2"/>
        <v/>
      </c>
    </row>
    <row r="1552" ht="22.5" customHeight="1">
      <c r="A1552" s="29"/>
      <c r="B1552" s="31"/>
      <c r="C1552" s="193"/>
      <c r="D1552" s="190" t="str">
        <f t="array" ref="D1552">IF(E1552="", "", XLOOKUP(E1552, 'MASTER ITEM LIST'!B:B, 'MASTER ITEM LIST'!A:A, "Code Not Found"))</f>
        <v/>
      </c>
      <c r="E1552" s="35"/>
      <c r="F1552" s="194"/>
      <c r="G1552" s="31"/>
      <c r="H1552" s="39" t="str">
        <f t="array" ref="H1552">IFERROR(XLOOKUP(D1552,'MASTER ITEM LIST'!A:A,'MASTER ITEM LIST'!D:D), "")</f>
        <v/>
      </c>
      <c r="I1552" s="40"/>
      <c r="J1552" s="41" t="str">
        <f t="shared" si="2"/>
        <v/>
      </c>
    </row>
    <row r="1553" ht="22.5" customHeight="1">
      <c r="A1553" s="29"/>
      <c r="B1553" s="31"/>
      <c r="C1553" s="193"/>
      <c r="D1553" s="190" t="str">
        <f t="array" ref="D1553">IF(E1553="", "", XLOOKUP(E1553, 'MASTER ITEM LIST'!B:B, 'MASTER ITEM LIST'!A:A, "Code Not Found"))</f>
        <v/>
      </c>
      <c r="E1553" s="35"/>
      <c r="F1553" s="194"/>
      <c r="G1553" s="31"/>
      <c r="H1553" s="39" t="str">
        <f t="array" ref="H1553">IFERROR(XLOOKUP(D1553,'MASTER ITEM LIST'!A:A,'MASTER ITEM LIST'!D:D), "")</f>
        <v/>
      </c>
      <c r="I1553" s="40"/>
      <c r="J1553" s="41" t="str">
        <f t="shared" si="2"/>
        <v/>
      </c>
    </row>
    <row r="1554" ht="22.5" customHeight="1">
      <c r="A1554" s="29"/>
      <c r="B1554" s="31"/>
      <c r="C1554" s="193"/>
      <c r="D1554" s="190" t="str">
        <f t="array" ref="D1554">IF(E1554="", "", XLOOKUP(E1554, 'MASTER ITEM LIST'!B:B, 'MASTER ITEM LIST'!A:A, "Code Not Found"))</f>
        <v/>
      </c>
      <c r="E1554" s="35"/>
      <c r="F1554" s="194"/>
      <c r="G1554" s="31"/>
      <c r="H1554" s="39" t="str">
        <f t="array" ref="H1554">IFERROR(XLOOKUP(D1554,'MASTER ITEM LIST'!A:A,'MASTER ITEM LIST'!D:D), "")</f>
        <v/>
      </c>
      <c r="I1554" s="40"/>
      <c r="J1554" s="41" t="str">
        <f t="shared" si="2"/>
        <v/>
      </c>
    </row>
    <row r="1555" ht="22.5" customHeight="1">
      <c r="A1555" s="29"/>
      <c r="B1555" s="31"/>
      <c r="C1555" s="193"/>
      <c r="D1555" s="190" t="str">
        <f t="array" ref="D1555">IF(E1555="", "", XLOOKUP(E1555, 'MASTER ITEM LIST'!B:B, 'MASTER ITEM LIST'!A:A, "Code Not Found"))</f>
        <v/>
      </c>
      <c r="E1555" s="35"/>
      <c r="F1555" s="194"/>
      <c r="G1555" s="31"/>
      <c r="H1555" s="39" t="str">
        <f t="array" ref="H1555">IFERROR(XLOOKUP(D1555,'MASTER ITEM LIST'!A:A,'MASTER ITEM LIST'!D:D), "")</f>
        <v/>
      </c>
      <c r="I1555" s="40"/>
      <c r="J1555" s="41" t="str">
        <f t="shared" si="2"/>
        <v/>
      </c>
    </row>
    <row r="1556" ht="22.5" customHeight="1">
      <c r="A1556" s="29"/>
      <c r="B1556" s="31"/>
      <c r="C1556" s="193"/>
      <c r="D1556" s="190" t="str">
        <f t="array" ref="D1556">IF(E1556="", "", XLOOKUP(E1556, 'MASTER ITEM LIST'!B:B, 'MASTER ITEM LIST'!A:A, "Code Not Found"))</f>
        <v/>
      </c>
      <c r="E1556" s="35"/>
      <c r="F1556" s="194"/>
      <c r="G1556" s="31"/>
      <c r="H1556" s="39" t="str">
        <f t="array" ref="H1556">IFERROR(XLOOKUP(D1556,'MASTER ITEM LIST'!A:A,'MASTER ITEM LIST'!D:D), "")</f>
        <v/>
      </c>
      <c r="I1556" s="40"/>
      <c r="J1556" s="41" t="str">
        <f t="shared" si="2"/>
        <v/>
      </c>
    </row>
    <row r="1557" ht="22.5" customHeight="1">
      <c r="A1557" s="29"/>
      <c r="B1557" s="31"/>
      <c r="C1557" s="193"/>
      <c r="D1557" s="190" t="str">
        <f t="array" ref="D1557">IF(E1557="", "", XLOOKUP(E1557, 'MASTER ITEM LIST'!B:B, 'MASTER ITEM LIST'!A:A, "Code Not Found"))</f>
        <v/>
      </c>
      <c r="E1557" s="35"/>
      <c r="F1557" s="194"/>
      <c r="G1557" s="31"/>
      <c r="H1557" s="39" t="str">
        <f t="array" ref="H1557">IFERROR(XLOOKUP(D1557,'MASTER ITEM LIST'!A:A,'MASTER ITEM LIST'!D:D), "")</f>
        <v/>
      </c>
      <c r="I1557" s="40"/>
      <c r="J1557" s="41" t="str">
        <f t="shared" si="2"/>
        <v/>
      </c>
    </row>
    <row r="1558" ht="22.5" customHeight="1">
      <c r="A1558" s="29"/>
      <c r="B1558" s="31"/>
      <c r="C1558" s="193"/>
      <c r="D1558" s="190" t="str">
        <f t="array" ref="D1558">IF(E1558="", "", XLOOKUP(E1558, 'MASTER ITEM LIST'!B:B, 'MASTER ITEM LIST'!A:A, "Code Not Found"))</f>
        <v/>
      </c>
      <c r="E1558" s="35"/>
      <c r="F1558" s="194"/>
      <c r="G1558" s="31"/>
      <c r="H1558" s="39" t="str">
        <f t="array" ref="H1558">IFERROR(XLOOKUP(D1558,'MASTER ITEM LIST'!A:A,'MASTER ITEM LIST'!D:D), "")</f>
        <v/>
      </c>
      <c r="I1558" s="40"/>
      <c r="J1558" s="41" t="str">
        <f t="shared" si="2"/>
        <v/>
      </c>
    </row>
    <row r="1559" ht="22.5" customHeight="1">
      <c r="A1559" s="29"/>
      <c r="B1559" s="31"/>
      <c r="C1559" s="193"/>
      <c r="D1559" s="190" t="str">
        <f t="array" ref="D1559">IF(E1559="", "", XLOOKUP(E1559, 'MASTER ITEM LIST'!B:B, 'MASTER ITEM LIST'!A:A, "Code Not Found"))</f>
        <v/>
      </c>
      <c r="E1559" s="35"/>
      <c r="F1559" s="194"/>
      <c r="G1559" s="31"/>
      <c r="H1559" s="39" t="str">
        <f t="array" ref="H1559">IFERROR(XLOOKUP(D1559,'MASTER ITEM LIST'!A:A,'MASTER ITEM LIST'!D:D), "")</f>
        <v/>
      </c>
      <c r="I1559" s="40"/>
      <c r="J1559" s="41" t="str">
        <f t="shared" si="2"/>
        <v/>
      </c>
    </row>
    <row r="1560" ht="22.5" customHeight="1">
      <c r="A1560" s="29"/>
      <c r="B1560" s="31"/>
      <c r="C1560" s="193"/>
      <c r="D1560" s="190" t="str">
        <f t="array" ref="D1560">IF(E1560="", "", XLOOKUP(E1560, 'MASTER ITEM LIST'!B:B, 'MASTER ITEM LIST'!A:A, "Code Not Found"))</f>
        <v/>
      </c>
      <c r="E1560" s="35"/>
      <c r="F1560" s="194"/>
      <c r="G1560" s="31"/>
      <c r="H1560" s="39" t="str">
        <f t="array" ref="H1560">IFERROR(XLOOKUP(D1560,'MASTER ITEM LIST'!A:A,'MASTER ITEM LIST'!D:D), "")</f>
        <v/>
      </c>
      <c r="I1560" s="40"/>
      <c r="J1560" s="41" t="str">
        <f t="shared" si="2"/>
        <v/>
      </c>
    </row>
    <row r="1561" ht="22.5" customHeight="1">
      <c r="A1561" s="29"/>
      <c r="B1561" s="31"/>
      <c r="C1561" s="193"/>
      <c r="D1561" s="190" t="str">
        <f t="array" ref="D1561">IF(E1561="", "", XLOOKUP(E1561, 'MASTER ITEM LIST'!B:B, 'MASTER ITEM LIST'!A:A, "Code Not Found"))</f>
        <v/>
      </c>
      <c r="E1561" s="35"/>
      <c r="F1561" s="194"/>
      <c r="G1561" s="31"/>
      <c r="H1561" s="39" t="str">
        <f t="array" ref="H1561">IFERROR(XLOOKUP(D1561,'MASTER ITEM LIST'!A:A,'MASTER ITEM LIST'!D:D), "")</f>
        <v/>
      </c>
      <c r="I1561" s="40"/>
      <c r="J1561" s="41" t="str">
        <f t="shared" si="2"/>
        <v/>
      </c>
    </row>
    <row r="1562" ht="22.5" customHeight="1">
      <c r="A1562" s="29"/>
      <c r="B1562" s="31"/>
      <c r="C1562" s="193"/>
      <c r="D1562" s="190" t="str">
        <f t="array" ref="D1562">IF(E1562="", "", XLOOKUP(E1562, 'MASTER ITEM LIST'!B:B, 'MASTER ITEM LIST'!A:A, "Code Not Found"))</f>
        <v/>
      </c>
      <c r="E1562" s="35"/>
      <c r="F1562" s="194"/>
      <c r="G1562" s="31"/>
      <c r="H1562" s="39" t="str">
        <f t="array" ref="H1562">IFERROR(XLOOKUP(D1562,'MASTER ITEM LIST'!A:A,'MASTER ITEM LIST'!D:D), "")</f>
        <v/>
      </c>
      <c r="I1562" s="40"/>
      <c r="J1562" s="41" t="str">
        <f t="shared" si="2"/>
        <v/>
      </c>
    </row>
    <row r="1563" ht="22.5" customHeight="1">
      <c r="A1563" s="29"/>
      <c r="B1563" s="31"/>
      <c r="C1563" s="193"/>
      <c r="D1563" s="190" t="str">
        <f t="array" ref="D1563">IF(E1563="", "", XLOOKUP(E1563, 'MASTER ITEM LIST'!B:B, 'MASTER ITEM LIST'!A:A, "Code Not Found"))</f>
        <v/>
      </c>
      <c r="E1563" s="35"/>
      <c r="F1563" s="194"/>
      <c r="G1563" s="31"/>
      <c r="H1563" s="39" t="str">
        <f t="array" ref="H1563">IFERROR(XLOOKUP(D1563,'MASTER ITEM LIST'!A:A,'MASTER ITEM LIST'!D:D), "")</f>
        <v/>
      </c>
      <c r="I1563" s="40"/>
      <c r="J1563" s="41" t="str">
        <f t="shared" si="2"/>
        <v/>
      </c>
    </row>
    <row r="1564" ht="22.5" customHeight="1">
      <c r="A1564" s="29"/>
      <c r="B1564" s="31"/>
      <c r="C1564" s="193"/>
      <c r="D1564" s="190" t="str">
        <f t="array" ref="D1564">IF(E1564="", "", XLOOKUP(E1564, 'MASTER ITEM LIST'!B:B, 'MASTER ITEM LIST'!A:A, "Code Not Found"))</f>
        <v/>
      </c>
      <c r="E1564" s="35"/>
      <c r="F1564" s="194"/>
      <c r="G1564" s="31"/>
      <c r="H1564" s="39" t="str">
        <f t="array" ref="H1564">IFERROR(XLOOKUP(D1564,'MASTER ITEM LIST'!A:A,'MASTER ITEM LIST'!D:D), "")</f>
        <v/>
      </c>
      <c r="I1564" s="40"/>
      <c r="J1564" s="41" t="str">
        <f t="shared" si="2"/>
        <v/>
      </c>
    </row>
    <row r="1565" ht="22.5" customHeight="1">
      <c r="A1565" s="29"/>
      <c r="B1565" s="31"/>
      <c r="C1565" s="193"/>
      <c r="D1565" s="190" t="str">
        <f t="array" ref="D1565">IF(E1565="", "", XLOOKUP(E1565, 'MASTER ITEM LIST'!B:B, 'MASTER ITEM LIST'!A:A, "Code Not Found"))</f>
        <v/>
      </c>
      <c r="E1565" s="35"/>
      <c r="F1565" s="194"/>
      <c r="G1565" s="31"/>
      <c r="H1565" s="39" t="str">
        <f t="array" ref="H1565">IFERROR(XLOOKUP(D1565,'MASTER ITEM LIST'!A:A,'MASTER ITEM LIST'!D:D), "")</f>
        <v/>
      </c>
      <c r="I1565" s="40"/>
      <c r="J1565" s="41" t="str">
        <f t="shared" si="2"/>
        <v/>
      </c>
    </row>
    <row r="1566" ht="22.5" customHeight="1">
      <c r="A1566" s="29"/>
      <c r="B1566" s="31"/>
      <c r="C1566" s="193"/>
      <c r="D1566" s="190" t="str">
        <f t="array" ref="D1566">IF(E1566="", "", XLOOKUP(E1566, 'MASTER ITEM LIST'!B:B, 'MASTER ITEM LIST'!A:A, "Code Not Found"))</f>
        <v/>
      </c>
      <c r="E1566" s="35"/>
      <c r="F1566" s="194"/>
      <c r="G1566" s="31"/>
      <c r="H1566" s="39" t="str">
        <f t="array" ref="H1566">IFERROR(XLOOKUP(D1566,'MASTER ITEM LIST'!A:A,'MASTER ITEM LIST'!D:D), "")</f>
        <v/>
      </c>
      <c r="I1566" s="40"/>
      <c r="J1566" s="41" t="str">
        <f t="shared" si="2"/>
        <v/>
      </c>
    </row>
    <row r="1567" ht="22.5" customHeight="1">
      <c r="A1567" s="29"/>
      <c r="B1567" s="31"/>
      <c r="C1567" s="193"/>
      <c r="D1567" s="190" t="str">
        <f t="array" ref="D1567">IF(E1567="", "", XLOOKUP(E1567, 'MASTER ITEM LIST'!B:B, 'MASTER ITEM LIST'!A:A, "Code Not Found"))</f>
        <v/>
      </c>
      <c r="E1567" s="35"/>
      <c r="F1567" s="194"/>
      <c r="G1567" s="31"/>
      <c r="H1567" s="39" t="str">
        <f t="array" ref="H1567">IFERROR(XLOOKUP(D1567,'MASTER ITEM LIST'!A:A,'MASTER ITEM LIST'!D:D), "")</f>
        <v/>
      </c>
      <c r="I1567" s="40"/>
      <c r="J1567" s="41" t="str">
        <f t="shared" si="2"/>
        <v/>
      </c>
    </row>
    <row r="1568" ht="22.5" customHeight="1">
      <c r="A1568" s="29"/>
      <c r="B1568" s="31"/>
      <c r="C1568" s="193"/>
      <c r="D1568" s="190" t="str">
        <f t="array" ref="D1568">IF(E1568="", "", XLOOKUP(E1568, 'MASTER ITEM LIST'!B:B, 'MASTER ITEM LIST'!A:A, "Code Not Found"))</f>
        <v/>
      </c>
      <c r="E1568" s="35"/>
      <c r="F1568" s="194"/>
      <c r="G1568" s="31"/>
      <c r="H1568" s="39" t="str">
        <f t="array" ref="H1568">IFERROR(XLOOKUP(D1568,'MASTER ITEM LIST'!A:A,'MASTER ITEM LIST'!D:D), "")</f>
        <v/>
      </c>
      <c r="I1568" s="40"/>
      <c r="J1568" s="41" t="str">
        <f t="shared" si="2"/>
        <v/>
      </c>
    </row>
    <row r="1569" ht="22.5" customHeight="1">
      <c r="A1569" s="29"/>
      <c r="B1569" s="31"/>
      <c r="C1569" s="193"/>
      <c r="D1569" s="190" t="str">
        <f t="array" ref="D1569">IF(E1569="", "", XLOOKUP(E1569, 'MASTER ITEM LIST'!B:B, 'MASTER ITEM LIST'!A:A, "Code Not Found"))</f>
        <v/>
      </c>
      <c r="E1569" s="35"/>
      <c r="F1569" s="194"/>
      <c r="G1569" s="31"/>
      <c r="H1569" s="39" t="str">
        <f t="array" ref="H1569">IFERROR(XLOOKUP(D1569,'MASTER ITEM LIST'!A:A,'MASTER ITEM LIST'!D:D), "")</f>
        <v/>
      </c>
      <c r="I1569" s="40"/>
      <c r="J1569" s="41" t="str">
        <f t="shared" si="2"/>
        <v/>
      </c>
    </row>
    <row r="1570" ht="22.5" customHeight="1">
      <c r="A1570" s="29"/>
      <c r="B1570" s="31"/>
      <c r="C1570" s="193"/>
      <c r="D1570" s="190" t="str">
        <f t="array" ref="D1570">IF(E1570="", "", XLOOKUP(E1570, 'MASTER ITEM LIST'!B:B, 'MASTER ITEM LIST'!A:A, "Code Not Found"))</f>
        <v/>
      </c>
      <c r="E1570" s="35"/>
      <c r="F1570" s="194"/>
      <c r="G1570" s="31"/>
      <c r="H1570" s="39" t="str">
        <f t="array" ref="H1570">IFERROR(XLOOKUP(D1570,'MASTER ITEM LIST'!A:A,'MASTER ITEM LIST'!D:D), "")</f>
        <v/>
      </c>
      <c r="I1570" s="40"/>
      <c r="J1570" s="41" t="str">
        <f t="shared" si="2"/>
        <v/>
      </c>
    </row>
    <row r="1571" ht="22.5" customHeight="1">
      <c r="A1571" s="29"/>
      <c r="B1571" s="31"/>
      <c r="C1571" s="193"/>
      <c r="D1571" s="190" t="str">
        <f t="array" ref="D1571">IF(E1571="", "", XLOOKUP(E1571, 'MASTER ITEM LIST'!B:B, 'MASTER ITEM LIST'!A:A, "Code Not Found"))</f>
        <v/>
      </c>
      <c r="E1571" s="35"/>
      <c r="F1571" s="194"/>
      <c r="G1571" s="31"/>
      <c r="H1571" s="39" t="str">
        <f t="array" ref="H1571">IFERROR(XLOOKUP(D1571,'MASTER ITEM LIST'!A:A,'MASTER ITEM LIST'!D:D), "")</f>
        <v/>
      </c>
      <c r="I1571" s="40"/>
      <c r="J1571" s="41" t="str">
        <f t="shared" si="2"/>
        <v/>
      </c>
    </row>
    <row r="1572" ht="22.5" customHeight="1">
      <c r="A1572" s="29"/>
      <c r="B1572" s="31"/>
      <c r="C1572" s="193"/>
      <c r="D1572" s="190" t="str">
        <f t="array" ref="D1572">IF(E1572="", "", XLOOKUP(E1572, 'MASTER ITEM LIST'!B:B, 'MASTER ITEM LIST'!A:A, "Code Not Found"))</f>
        <v/>
      </c>
      <c r="E1572" s="35"/>
      <c r="F1572" s="194"/>
      <c r="G1572" s="31"/>
      <c r="H1572" s="39" t="str">
        <f t="array" ref="H1572">IFERROR(XLOOKUP(D1572,'MASTER ITEM LIST'!A:A,'MASTER ITEM LIST'!D:D), "")</f>
        <v/>
      </c>
      <c r="I1572" s="40"/>
      <c r="J1572" s="41" t="str">
        <f t="shared" si="2"/>
        <v/>
      </c>
    </row>
    <row r="1573" ht="22.5" customHeight="1">
      <c r="A1573" s="29"/>
      <c r="B1573" s="31"/>
      <c r="C1573" s="193"/>
      <c r="D1573" s="190" t="str">
        <f t="array" ref="D1573">IF(E1573="", "", XLOOKUP(E1573, 'MASTER ITEM LIST'!B:B, 'MASTER ITEM LIST'!A:A, "Code Not Found"))</f>
        <v/>
      </c>
      <c r="E1573" s="35"/>
      <c r="F1573" s="194"/>
      <c r="G1573" s="31"/>
      <c r="H1573" s="39" t="str">
        <f t="array" ref="H1573">IFERROR(XLOOKUP(D1573,'MASTER ITEM LIST'!A:A,'MASTER ITEM LIST'!D:D), "")</f>
        <v/>
      </c>
      <c r="I1573" s="40"/>
      <c r="J1573" s="41" t="str">
        <f t="shared" si="2"/>
        <v/>
      </c>
    </row>
    <row r="1574" ht="22.5" customHeight="1">
      <c r="A1574" s="29"/>
      <c r="B1574" s="31"/>
      <c r="C1574" s="193"/>
      <c r="D1574" s="190" t="str">
        <f t="array" ref="D1574">IF(E1574="", "", XLOOKUP(E1574, 'MASTER ITEM LIST'!B:B, 'MASTER ITEM LIST'!A:A, "Code Not Found"))</f>
        <v/>
      </c>
      <c r="E1574" s="35"/>
      <c r="F1574" s="194"/>
      <c r="G1574" s="31"/>
      <c r="H1574" s="39" t="str">
        <f t="array" ref="H1574">IFERROR(XLOOKUP(D1574,'MASTER ITEM LIST'!A:A,'MASTER ITEM LIST'!D:D), "")</f>
        <v/>
      </c>
      <c r="I1574" s="40"/>
      <c r="J1574" s="41" t="str">
        <f t="shared" si="2"/>
        <v/>
      </c>
    </row>
    <row r="1575" ht="22.5" customHeight="1">
      <c r="A1575" s="29"/>
      <c r="B1575" s="31"/>
      <c r="C1575" s="193"/>
      <c r="D1575" s="190" t="str">
        <f t="array" ref="D1575">IF(E1575="", "", XLOOKUP(E1575, 'MASTER ITEM LIST'!B:B, 'MASTER ITEM LIST'!A:A, "Code Not Found"))</f>
        <v/>
      </c>
      <c r="E1575" s="35"/>
      <c r="F1575" s="194"/>
      <c r="G1575" s="31"/>
      <c r="H1575" s="39" t="str">
        <f t="array" ref="H1575">IFERROR(XLOOKUP(D1575,'MASTER ITEM LIST'!A:A,'MASTER ITEM LIST'!D:D), "")</f>
        <v/>
      </c>
      <c r="I1575" s="40"/>
      <c r="J1575" s="41" t="str">
        <f t="shared" si="2"/>
        <v/>
      </c>
    </row>
    <row r="1576" ht="22.5" customHeight="1">
      <c r="A1576" s="29"/>
      <c r="B1576" s="31"/>
      <c r="C1576" s="193"/>
      <c r="D1576" s="190" t="str">
        <f t="array" ref="D1576">IF(E1576="", "", XLOOKUP(E1576, 'MASTER ITEM LIST'!B:B, 'MASTER ITEM LIST'!A:A, "Code Not Found"))</f>
        <v/>
      </c>
      <c r="E1576" s="35"/>
      <c r="F1576" s="194"/>
      <c r="G1576" s="31"/>
      <c r="H1576" s="39" t="str">
        <f t="array" ref="H1576">IFERROR(XLOOKUP(D1576,'MASTER ITEM LIST'!A:A,'MASTER ITEM LIST'!D:D), "")</f>
        <v/>
      </c>
      <c r="I1576" s="40"/>
      <c r="J1576" s="41" t="str">
        <f t="shared" si="2"/>
        <v/>
      </c>
    </row>
    <row r="1577" ht="22.5" customHeight="1">
      <c r="A1577" s="29"/>
      <c r="B1577" s="31"/>
      <c r="C1577" s="193"/>
      <c r="D1577" s="190" t="str">
        <f t="array" ref="D1577">IF(E1577="", "", XLOOKUP(E1577, 'MASTER ITEM LIST'!B:B, 'MASTER ITEM LIST'!A:A, "Code Not Found"))</f>
        <v/>
      </c>
      <c r="E1577" s="35"/>
      <c r="F1577" s="194"/>
      <c r="G1577" s="31"/>
      <c r="H1577" s="39" t="str">
        <f t="array" ref="H1577">IFERROR(XLOOKUP(D1577,'MASTER ITEM LIST'!A:A,'MASTER ITEM LIST'!D:D), "")</f>
        <v/>
      </c>
      <c r="I1577" s="40"/>
      <c r="J1577" s="41" t="str">
        <f t="shared" si="2"/>
        <v/>
      </c>
    </row>
    <row r="1578" ht="22.5" customHeight="1">
      <c r="A1578" s="29"/>
      <c r="B1578" s="31"/>
      <c r="C1578" s="193"/>
      <c r="D1578" s="190" t="str">
        <f t="array" ref="D1578">IF(E1578="", "", XLOOKUP(E1578, 'MASTER ITEM LIST'!B:B, 'MASTER ITEM LIST'!A:A, "Code Not Found"))</f>
        <v/>
      </c>
      <c r="E1578" s="35"/>
      <c r="F1578" s="194"/>
      <c r="G1578" s="31"/>
      <c r="H1578" s="39" t="str">
        <f t="array" ref="H1578">IFERROR(XLOOKUP(D1578,'MASTER ITEM LIST'!A:A,'MASTER ITEM LIST'!D:D), "")</f>
        <v/>
      </c>
      <c r="I1578" s="40"/>
      <c r="J1578" s="41" t="str">
        <f t="shared" si="2"/>
        <v/>
      </c>
    </row>
    <row r="1579" ht="22.5" customHeight="1">
      <c r="A1579" s="29"/>
      <c r="B1579" s="31"/>
      <c r="C1579" s="193"/>
      <c r="D1579" s="190" t="str">
        <f t="array" ref="D1579">IF(E1579="", "", XLOOKUP(E1579, 'MASTER ITEM LIST'!B:B, 'MASTER ITEM LIST'!A:A, "Code Not Found"))</f>
        <v/>
      </c>
      <c r="E1579" s="35"/>
      <c r="F1579" s="194"/>
      <c r="G1579" s="31"/>
      <c r="H1579" s="39" t="str">
        <f t="array" ref="H1579">IFERROR(XLOOKUP(D1579,'MASTER ITEM LIST'!A:A,'MASTER ITEM LIST'!D:D), "")</f>
        <v/>
      </c>
      <c r="I1579" s="40"/>
      <c r="J1579" s="41" t="str">
        <f t="shared" si="2"/>
        <v/>
      </c>
    </row>
    <row r="1580" ht="22.5" customHeight="1">
      <c r="A1580" s="29"/>
      <c r="B1580" s="31"/>
      <c r="C1580" s="193"/>
      <c r="D1580" s="190" t="str">
        <f t="array" ref="D1580">IF(E1580="", "", XLOOKUP(E1580, 'MASTER ITEM LIST'!B:B, 'MASTER ITEM LIST'!A:A, "Code Not Found"))</f>
        <v/>
      </c>
      <c r="E1580" s="35"/>
      <c r="F1580" s="194"/>
      <c r="G1580" s="31"/>
      <c r="H1580" s="39" t="str">
        <f t="array" ref="H1580">IFERROR(XLOOKUP(D1580,'MASTER ITEM LIST'!A:A,'MASTER ITEM LIST'!D:D), "")</f>
        <v/>
      </c>
      <c r="I1580" s="40"/>
      <c r="J1580" s="41" t="str">
        <f t="shared" si="2"/>
        <v/>
      </c>
    </row>
    <row r="1581" ht="22.5" customHeight="1">
      <c r="A1581" s="29"/>
      <c r="B1581" s="31"/>
      <c r="C1581" s="193"/>
      <c r="D1581" s="190" t="str">
        <f t="array" ref="D1581">IF(E1581="", "", XLOOKUP(E1581, 'MASTER ITEM LIST'!B:B, 'MASTER ITEM LIST'!A:A, "Code Not Found"))</f>
        <v/>
      </c>
      <c r="E1581" s="35"/>
      <c r="F1581" s="194"/>
      <c r="G1581" s="31"/>
      <c r="H1581" s="39" t="str">
        <f t="array" ref="H1581">IFERROR(XLOOKUP(D1581,'MASTER ITEM LIST'!A:A,'MASTER ITEM LIST'!D:D), "")</f>
        <v/>
      </c>
      <c r="I1581" s="40"/>
      <c r="J1581" s="41" t="str">
        <f t="shared" si="2"/>
        <v/>
      </c>
    </row>
    <row r="1582" ht="22.5" customHeight="1">
      <c r="A1582" s="29"/>
      <c r="B1582" s="31"/>
      <c r="C1582" s="193"/>
      <c r="D1582" s="190" t="str">
        <f t="array" ref="D1582">IF(E1582="", "", XLOOKUP(E1582, 'MASTER ITEM LIST'!B:B, 'MASTER ITEM LIST'!A:A, "Code Not Found"))</f>
        <v/>
      </c>
      <c r="E1582" s="35"/>
      <c r="F1582" s="194"/>
      <c r="G1582" s="31"/>
      <c r="H1582" s="39" t="str">
        <f t="array" ref="H1582">IFERROR(XLOOKUP(D1582,'MASTER ITEM LIST'!A:A,'MASTER ITEM LIST'!D:D), "")</f>
        <v/>
      </c>
      <c r="I1582" s="40"/>
      <c r="J1582" s="41" t="str">
        <f t="shared" si="2"/>
        <v/>
      </c>
    </row>
    <row r="1583" ht="22.5" customHeight="1">
      <c r="A1583" s="29"/>
      <c r="B1583" s="31"/>
      <c r="C1583" s="193"/>
      <c r="D1583" s="190" t="str">
        <f t="array" ref="D1583">IF(E1583="", "", XLOOKUP(E1583, 'MASTER ITEM LIST'!B:B, 'MASTER ITEM LIST'!A:A, "Code Not Found"))</f>
        <v/>
      </c>
      <c r="E1583" s="35"/>
      <c r="F1583" s="194"/>
      <c r="G1583" s="31"/>
      <c r="H1583" s="39" t="str">
        <f t="array" ref="H1583">IFERROR(XLOOKUP(D1583,'MASTER ITEM LIST'!A:A,'MASTER ITEM LIST'!D:D), "")</f>
        <v/>
      </c>
      <c r="I1583" s="40"/>
      <c r="J1583" s="41" t="str">
        <f t="shared" si="2"/>
        <v/>
      </c>
    </row>
    <row r="1584" ht="22.5" customHeight="1">
      <c r="A1584" s="29"/>
      <c r="B1584" s="31"/>
      <c r="C1584" s="193"/>
      <c r="D1584" s="190" t="str">
        <f t="array" ref="D1584">IF(E1584="", "", XLOOKUP(E1584, 'MASTER ITEM LIST'!B:B, 'MASTER ITEM LIST'!A:A, "Code Not Found"))</f>
        <v/>
      </c>
      <c r="E1584" s="35"/>
      <c r="F1584" s="194"/>
      <c r="G1584" s="31"/>
      <c r="H1584" s="39" t="str">
        <f t="array" ref="H1584">IFERROR(XLOOKUP(D1584,'MASTER ITEM LIST'!A:A,'MASTER ITEM LIST'!D:D), "")</f>
        <v/>
      </c>
      <c r="I1584" s="40"/>
      <c r="J1584" s="41" t="str">
        <f t="shared" si="2"/>
        <v/>
      </c>
    </row>
    <row r="1585" ht="22.5" customHeight="1">
      <c r="A1585" s="29"/>
      <c r="B1585" s="31"/>
      <c r="C1585" s="193"/>
      <c r="D1585" s="190" t="str">
        <f t="array" ref="D1585">IF(E1585="", "", XLOOKUP(E1585, 'MASTER ITEM LIST'!B:B, 'MASTER ITEM LIST'!A:A, "Code Not Found"))</f>
        <v/>
      </c>
      <c r="E1585" s="35"/>
      <c r="F1585" s="194"/>
      <c r="G1585" s="31"/>
      <c r="H1585" s="39" t="str">
        <f t="array" ref="H1585">IFERROR(XLOOKUP(D1585,'MASTER ITEM LIST'!A:A,'MASTER ITEM LIST'!D:D), "")</f>
        <v/>
      </c>
      <c r="I1585" s="40"/>
      <c r="J1585" s="41" t="str">
        <f t="shared" si="2"/>
        <v/>
      </c>
    </row>
    <row r="1586" ht="22.5" customHeight="1">
      <c r="A1586" s="29"/>
      <c r="B1586" s="31"/>
      <c r="C1586" s="193"/>
      <c r="D1586" s="190" t="str">
        <f t="array" ref="D1586">IF(E1586="", "", XLOOKUP(E1586, 'MASTER ITEM LIST'!B:B, 'MASTER ITEM LIST'!A:A, "Code Not Found"))</f>
        <v/>
      </c>
      <c r="E1586" s="35"/>
      <c r="F1586" s="194"/>
      <c r="G1586" s="31"/>
      <c r="H1586" s="39" t="str">
        <f t="array" ref="H1586">IFERROR(XLOOKUP(D1586,'MASTER ITEM LIST'!A:A,'MASTER ITEM LIST'!D:D), "")</f>
        <v/>
      </c>
      <c r="I1586" s="40"/>
      <c r="J1586" s="41" t="str">
        <f t="shared" si="2"/>
        <v/>
      </c>
    </row>
    <row r="1587" ht="22.5" customHeight="1">
      <c r="A1587" s="29"/>
      <c r="B1587" s="31"/>
      <c r="C1587" s="193"/>
      <c r="D1587" s="190" t="str">
        <f t="array" ref="D1587">IF(E1587="", "", XLOOKUP(E1587, 'MASTER ITEM LIST'!B:B, 'MASTER ITEM LIST'!A:A, "Code Not Found"))</f>
        <v/>
      </c>
      <c r="E1587" s="35"/>
      <c r="F1587" s="194"/>
      <c r="G1587" s="31"/>
      <c r="H1587" s="39" t="str">
        <f t="array" ref="H1587">IFERROR(XLOOKUP(D1587,'MASTER ITEM LIST'!A:A,'MASTER ITEM LIST'!D:D), "")</f>
        <v/>
      </c>
      <c r="I1587" s="40"/>
      <c r="J1587" s="41" t="str">
        <f t="shared" si="2"/>
        <v/>
      </c>
    </row>
    <row r="1588" ht="22.5" customHeight="1">
      <c r="A1588" s="29"/>
      <c r="B1588" s="31"/>
      <c r="C1588" s="193"/>
      <c r="D1588" s="190" t="str">
        <f t="array" ref="D1588">IF(E1588="", "", XLOOKUP(E1588, 'MASTER ITEM LIST'!B:B, 'MASTER ITEM LIST'!A:A, "Code Not Found"))</f>
        <v/>
      </c>
      <c r="E1588" s="35"/>
      <c r="F1588" s="194"/>
      <c r="G1588" s="31"/>
      <c r="H1588" s="39" t="str">
        <f t="array" ref="H1588">IFERROR(XLOOKUP(D1588,'MASTER ITEM LIST'!A:A,'MASTER ITEM LIST'!D:D), "")</f>
        <v/>
      </c>
      <c r="I1588" s="40"/>
      <c r="J1588" s="41" t="str">
        <f t="shared" si="2"/>
        <v/>
      </c>
    </row>
    <row r="1589" ht="22.5" customHeight="1">
      <c r="A1589" s="29"/>
      <c r="B1589" s="31"/>
      <c r="C1589" s="193"/>
      <c r="D1589" s="190" t="str">
        <f t="array" ref="D1589">IF(E1589="", "", XLOOKUP(E1589, 'MASTER ITEM LIST'!B:B, 'MASTER ITEM LIST'!A:A, "Code Not Found"))</f>
        <v/>
      </c>
      <c r="E1589" s="35"/>
      <c r="F1589" s="194"/>
      <c r="G1589" s="31"/>
      <c r="H1589" s="39" t="str">
        <f t="array" ref="H1589">IFERROR(XLOOKUP(D1589,'MASTER ITEM LIST'!A:A,'MASTER ITEM LIST'!D:D), "")</f>
        <v/>
      </c>
      <c r="I1589" s="40"/>
      <c r="J1589" s="41" t="str">
        <f t="shared" si="2"/>
        <v/>
      </c>
    </row>
    <row r="1590" ht="22.5" customHeight="1">
      <c r="A1590" s="29"/>
      <c r="B1590" s="31"/>
      <c r="C1590" s="193"/>
      <c r="D1590" s="190" t="str">
        <f t="array" ref="D1590">IF(E1590="", "", XLOOKUP(E1590, 'MASTER ITEM LIST'!B:B, 'MASTER ITEM LIST'!A:A, "Code Not Found"))</f>
        <v/>
      </c>
      <c r="E1590" s="35"/>
      <c r="F1590" s="194"/>
      <c r="G1590" s="31"/>
      <c r="H1590" s="39" t="str">
        <f t="array" ref="H1590">IFERROR(XLOOKUP(D1590,'MASTER ITEM LIST'!A:A,'MASTER ITEM LIST'!D:D), "")</f>
        <v/>
      </c>
      <c r="I1590" s="40"/>
      <c r="J1590" s="41" t="str">
        <f t="shared" si="2"/>
        <v/>
      </c>
    </row>
    <row r="1591" ht="22.5" customHeight="1">
      <c r="A1591" s="29"/>
      <c r="B1591" s="31"/>
      <c r="C1591" s="193"/>
      <c r="D1591" s="190" t="str">
        <f t="array" ref="D1591">IF(E1591="", "", XLOOKUP(E1591, 'MASTER ITEM LIST'!B:B, 'MASTER ITEM LIST'!A:A, "Code Not Found"))</f>
        <v/>
      </c>
      <c r="E1591" s="35"/>
      <c r="F1591" s="194"/>
      <c r="G1591" s="31"/>
      <c r="H1591" s="39" t="str">
        <f t="array" ref="H1591">IFERROR(XLOOKUP(D1591,'MASTER ITEM LIST'!A:A,'MASTER ITEM LIST'!D:D), "")</f>
        <v/>
      </c>
      <c r="I1591" s="40"/>
      <c r="J1591" s="41" t="str">
        <f t="shared" si="2"/>
        <v/>
      </c>
    </row>
    <row r="1592" ht="22.5" customHeight="1">
      <c r="A1592" s="29"/>
      <c r="B1592" s="31"/>
      <c r="C1592" s="193"/>
      <c r="D1592" s="190" t="str">
        <f t="array" ref="D1592">IF(E1592="", "", XLOOKUP(E1592, 'MASTER ITEM LIST'!B:B, 'MASTER ITEM LIST'!A:A, "Code Not Found"))</f>
        <v/>
      </c>
      <c r="E1592" s="35"/>
      <c r="F1592" s="194"/>
      <c r="G1592" s="31"/>
      <c r="H1592" s="39" t="str">
        <f t="array" ref="H1592">IFERROR(XLOOKUP(D1592,'MASTER ITEM LIST'!A:A,'MASTER ITEM LIST'!D:D), "")</f>
        <v/>
      </c>
      <c r="I1592" s="40"/>
      <c r="J1592" s="41" t="str">
        <f t="shared" si="2"/>
        <v/>
      </c>
    </row>
    <row r="1593" ht="22.5" customHeight="1">
      <c r="A1593" s="29"/>
      <c r="B1593" s="31"/>
      <c r="C1593" s="193"/>
      <c r="D1593" s="190" t="str">
        <f t="array" ref="D1593">IF(E1593="", "", XLOOKUP(E1593, 'MASTER ITEM LIST'!B:B, 'MASTER ITEM LIST'!A:A, "Code Not Found"))</f>
        <v/>
      </c>
      <c r="E1593" s="35"/>
      <c r="F1593" s="194"/>
      <c r="G1593" s="31"/>
      <c r="H1593" s="39" t="str">
        <f t="array" ref="H1593">IFERROR(XLOOKUP(D1593,'MASTER ITEM LIST'!A:A,'MASTER ITEM LIST'!D:D), "")</f>
        <v/>
      </c>
      <c r="I1593" s="40"/>
      <c r="J1593" s="41" t="str">
        <f t="shared" si="2"/>
        <v/>
      </c>
    </row>
    <row r="1594" ht="22.5" customHeight="1">
      <c r="A1594" s="29"/>
      <c r="B1594" s="31"/>
      <c r="C1594" s="193"/>
      <c r="D1594" s="190" t="str">
        <f t="array" ref="D1594">IF(E1594="", "", XLOOKUP(E1594, 'MASTER ITEM LIST'!B:B, 'MASTER ITEM LIST'!A:A, "Code Not Found"))</f>
        <v/>
      </c>
      <c r="E1594" s="35"/>
      <c r="F1594" s="194"/>
      <c r="G1594" s="31"/>
      <c r="H1594" s="39" t="str">
        <f t="array" ref="H1594">IFERROR(XLOOKUP(D1594,'MASTER ITEM LIST'!A:A,'MASTER ITEM LIST'!D:D), "")</f>
        <v/>
      </c>
      <c r="I1594" s="40"/>
      <c r="J1594" s="41" t="str">
        <f t="shared" si="2"/>
        <v/>
      </c>
    </row>
    <row r="1595" ht="22.5" customHeight="1">
      <c r="A1595" s="29"/>
      <c r="B1595" s="31"/>
      <c r="C1595" s="193"/>
      <c r="D1595" s="190" t="str">
        <f t="array" ref="D1595">IF(E1595="", "", XLOOKUP(E1595, 'MASTER ITEM LIST'!B:B, 'MASTER ITEM LIST'!A:A, "Code Not Found"))</f>
        <v/>
      </c>
      <c r="E1595" s="35"/>
      <c r="F1595" s="194"/>
      <c r="G1595" s="31"/>
      <c r="H1595" s="39" t="str">
        <f t="array" ref="H1595">IFERROR(XLOOKUP(D1595,'MASTER ITEM LIST'!A:A,'MASTER ITEM LIST'!D:D), "")</f>
        <v/>
      </c>
      <c r="I1595" s="40"/>
      <c r="J1595" s="41" t="str">
        <f t="shared" si="2"/>
        <v/>
      </c>
    </row>
    <row r="1596" ht="22.5" customHeight="1">
      <c r="A1596" s="29"/>
      <c r="B1596" s="31"/>
      <c r="C1596" s="193"/>
      <c r="D1596" s="190" t="str">
        <f t="array" ref="D1596">IF(E1596="", "", XLOOKUP(E1596, 'MASTER ITEM LIST'!B:B, 'MASTER ITEM LIST'!A:A, "Code Not Found"))</f>
        <v/>
      </c>
      <c r="E1596" s="35"/>
      <c r="F1596" s="194"/>
      <c r="G1596" s="31"/>
      <c r="H1596" s="39" t="str">
        <f t="array" ref="H1596">IFERROR(XLOOKUP(D1596,'MASTER ITEM LIST'!A:A,'MASTER ITEM LIST'!D:D), "")</f>
        <v/>
      </c>
      <c r="I1596" s="40"/>
      <c r="J1596" s="41" t="str">
        <f t="shared" si="2"/>
        <v/>
      </c>
    </row>
    <row r="1597" ht="22.5" customHeight="1">
      <c r="A1597" s="29"/>
      <c r="B1597" s="31"/>
      <c r="C1597" s="193"/>
      <c r="D1597" s="190" t="str">
        <f t="array" ref="D1597">IF(E1597="", "", XLOOKUP(E1597, 'MASTER ITEM LIST'!B:B, 'MASTER ITEM LIST'!A:A, "Code Not Found"))</f>
        <v/>
      </c>
      <c r="E1597" s="35"/>
      <c r="F1597" s="194"/>
      <c r="G1597" s="31"/>
      <c r="H1597" s="39" t="str">
        <f t="array" ref="H1597">IFERROR(XLOOKUP(D1597,'MASTER ITEM LIST'!A:A,'MASTER ITEM LIST'!D:D), "")</f>
        <v/>
      </c>
      <c r="I1597" s="40"/>
      <c r="J1597" s="41" t="str">
        <f t="shared" si="2"/>
        <v/>
      </c>
    </row>
    <row r="1598" ht="22.5" customHeight="1">
      <c r="A1598" s="29"/>
      <c r="B1598" s="31"/>
      <c r="C1598" s="193"/>
      <c r="D1598" s="190" t="str">
        <f t="array" ref="D1598">IF(E1598="", "", XLOOKUP(E1598, 'MASTER ITEM LIST'!B:B, 'MASTER ITEM LIST'!A:A, "Code Not Found"))</f>
        <v/>
      </c>
      <c r="E1598" s="35"/>
      <c r="F1598" s="194"/>
      <c r="G1598" s="31"/>
      <c r="H1598" s="39" t="str">
        <f t="array" ref="H1598">IFERROR(XLOOKUP(D1598,'MASTER ITEM LIST'!A:A,'MASTER ITEM LIST'!D:D), "")</f>
        <v/>
      </c>
      <c r="I1598" s="40"/>
      <c r="J1598" s="41" t="str">
        <f t="shared" si="2"/>
        <v/>
      </c>
    </row>
    <row r="1599" ht="22.5" customHeight="1">
      <c r="A1599" s="29"/>
      <c r="B1599" s="31"/>
      <c r="C1599" s="193"/>
      <c r="D1599" s="190" t="str">
        <f t="array" ref="D1599">IF(E1599="", "", XLOOKUP(E1599, 'MASTER ITEM LIST'!B:B, 'MASTER ITEM LIST'!A:A, "Code Not Found"))</f>
        <v/>
      </c>
      <c r="E1599" s="35"/>
      <c r="F1599" s="194"/>
      <c r="G1599" s="31"/>
      <c r="H1599" s="39" t="str">
        <f t="array" ref="H1599">IFERROR(XLOOKUP(D1599,'MASTER ITEM LIST'!A:A,'MASTER ITEM LIST'!D:D), "")</f>
        <v/>
      </c>
      <c r="I1599" s="40"/>
      <c r="J1599" s="41" t="str">
        <f t="shared" si="2"/>
        <v/>
      </c>
    </row>
    <row r="1600" ht="22.5" customHeight="1">
      <c r="A1600" s="29"/>
      <c r="B1600" s="31"/>
      <c r="C1600" s="193"/>
      <c r="D1600" s="190" t="str">
        <f t="array" ref="D1600">IF(E1600="", "", XLOOKUP(E1600, 'MASTER ITEM LIST'!B:B, 'MASTER ITEM LIST'!A:A, "Code Not Found"))</f>
        <v/>
      </c>
      <c r="E1600" s="35"/>
      <c r="F1600" s="194"/>
      <c r="G1600" s="31"/>
      <c r="H1600" s="39" t="str">
        <f t="array" ref="H1600">IFERROR(XLOOKUP(D1600,'MASTER ITEM LIST'!A:A,'MASTER ITEM LIST'!D:D), "")</f>
        <v/>
      </c>
      <c r="I1600" s="40"/>
      <c r="J1600" s="41" t="str">
        <f t="shared" si="2"/>
        <v/>
      </c>
    </row>
    <row r="1601" ht="22.5" customHeight="1">
      <c r="A1601" s="29"/>
      <c r="B1601" s="31"/>
      <c r="C1601" s="193"/>
      <c r="D1601" s="190" t="str">
        <f t="array" ref="D1601">IF(E1601="", "", XLOOKUP(E1601, 'MASTER ITEM LIST'!B:B, 'MASTER ITEM LIST'!A:A, "Code Not Found"))</f>
        <v/>
      </c>
      <c r="E1601" s="35"/>
      <c r="F1601" s="194"/>
      <c r="G1601" s="31"/>
      <c r="H1601" s="39" t="str">
        <f t="array" ref="H1601">IFERROR(XLOOKUP(D1601,'MASTER ITEM LIST'!A:A,'MASTER ITEM LIST'!D:D), "")</f>
        <v/>
      </c>
      <c r="I1601" s="40"/>
      <c r="J1601" s="41" t="str">
        <f t="shared" si="2"/>
        <v/>
      </c>
    </row>
    <row r="1602" ht="22.5" customHeight="1">
      <c r="A1602" s="29"/>
      <c r="B1602" s="31"/>
      <c r="C1602" s="193"/>
      <c r="D1602" s="190" t="str">
        <f t="array" ref="D1602">IF(E1602="", "", XLOOKUP(E1602, 'MASTER ITEM LIST'!B:B, 'MASTER ITEM LIST'!A:A, "Code Not Found"))</f>
        <v/>
      </c>
      <c r="E1602" s="35"/>
      <c r="F1602" s="194"/>
      <c r="G1602" s="31"/>
      <c r="H1602" s="39" t="str">
        <f t="array" ref="H1602">IFERROR(XLOOKUP(D1602,'MASTER ITEM LIST'!A:A,'MASTER ITEM LIST'!D:D), "")</f>
        <v/>
      </c>
      <c r="I1602" s="40"/>
      <c r="J1602" s="41" t="str">
        <f t="shared" si="2"/>
        <v/>
      </c>
    </row>
    <row r="1603" ht="22.5" customHeight="1">
      <c r="A1603" s="29"/>
      <c r="B1603" s="31"/>
      <c r="C1603" s="193"/>
      <c r="D1603" s="190" t="str">
        <f t="array" ref="D1603">IF(E1603="", "", XLOOKUP(E1603, 'MASTER ITEM LIST'!B:B, 'MASTER ITEM LIST'!A:A, "Code Not Found"))</f>
        <v/>
      </c>
      <c r="E1603" s="35"/>
      <c r="F1603" s="194"/>
      <c r="G1603" s="31"/>
      <c r="H1603" s="39" t="str">
        <f t="array" ref="H1603">IFERROR(XLOOKUP(D1603,'MASTER ITEM LIST'!A:A,'MASTER ITEM LIST'!D:D), "")</f>
        <v/>
      </c>
      <c r="I1603" s="40"/>
      <c r="J1603" s="41" t="str">
        <f t="shared" si="2"/>
        <v/>
      </c>
    </row>
    <row r="1604" ht="22.5" customHeight="1">
      <c r="A1604" s="29"/>
      <c r="B1604" s="31"/>
      <c r="C1604" s="193"/>
      <c r="D1604" s="190" t="str">
        <f t="array" ref="D1604">IF(E1604="", "", XLOOKUP(E1604, 'MASTER ITEM LIST'!B:B, 'MASTER ITEM LIST'!A:A, "Code Not Found"))</f>
        <v/>
      </c>
      <c r="E1604" s="35"/>
      <c r="F1604" s="194"/>
      <c r="G1604" s="31"/>
      <c r="H1604" s="39" t="str">
        <f t="array" ref="H1604">IFERROR(XLOOKUP(D1604,'MASTER ITEM LIST'!A:A,'MASTER ITEM LIST'!D:D), "")</f>
        <v/>
      </c>
      <c r="I1604" s="40"/>
      <c r="J1604" s="41" t="str">
        <f t="shared" si="2"/>
        <v/>
      </c>
    </row>
    <row r="1605" ht="22.5" customHeight="1">
      <c r="A1605" s="29"/>
      <c r="B1605" s="31"/>
      <c r="C1605" s="193"/>
      <c r="D1605" s="190" t="str">
        <f t="array" ref="D1605">IF(E1605="", "", XLOOKUP(E1605, 'MASTER ITEM LIST'!B:B, 'MASTER ITEM LIST'!A:A, "Code Not Found"))</f>
        <v/>
      </c>
      <c r="E1605" s="35"/>
      <c r="F1605" s="194"/>
      <c r="G1605" s="31"/>
      <c r="H1605" s="39" t="str">
        <f t="array" ref="H1605">IFERROR(XLOOKUP(D1605,'MASTER ITEM LIST'!A:A,'MASTER ITEM LIST'!D:D), "")</f>
        <v/>
      </c>
      <c r="I1605" s="40"/>
      <c r="J1605" s="41" t="str">
        <f t="shared" si="2"/>
        <v/>
      </c>
    </row>
    <row r="1606" ht="22.5" customHeight="1">
      <c r="A1606" s="29"/>
      <c r="B1606" s="31"/>
      <c r="C1606" s="193"/>
      <c r="D1606" s="190" t="str">
        <f t="array" ref="D1606">IF(E1606="", "", XLOOKUP(E1606, 'MASTER ITEM LIST'!B:B, 'MASTER ITEM LIST'!A:A, "Code Not Found"))</f>
        <v/>
      </c>
      <c r="E1606" s="35"/>
      <c r="F1606" s="194"/>
      <c r="G1606" s="31"/>
      <c r="H1606" s="39" t="str">
        <f t="array" ref="H1606">IFERROR(XLOOKUP(D1606,'MASTER ITEM LIST'!A:A,'MASTER ITEM LIST'!D:D), "")</f>
        <v/>
      </c>
      <c r="I1606" s="40"/>
      <c r="J1606" s="41" t="str">
        <f t="shared" si="2"/>
        <v/>
      </c>
    </row>
    <row r="1607" ht="22.5" customHeight="1">
      <c r="A1607" s="29"/>
      <c r="B1607" s="31"/>
      <c r="C1607" s="193"/>
      <c r="D1607" s="190" t="str">
        <f t="array" ref="D1607">IF(E1607="", "", XLOOKUP(E1607, 'MASTER ITEM LIST'!B:B, 'MASTER ITEM LIST'!A:A, "Code Not Found"))</f>
        <v/>
      </c>
      <c r="E1607" s="35"/>
      <c r="F1607" s="194"/>
      <c r="G1607" s="31"/>
      <c r="H1607" s="39" t="str">
        <f t="array" ref="H1607">IFERROR(XLOOKUP(D1607,'MASTER ITEM LIST'!A:A,'MASTER ITEM LIST'!D:D), "")</f>
        <v/>
      </c>
      <c r="I1607" s="40"/>
      <c r="J1607" s="41" t="str">
        <f t="shared" si="2"/>
        <v/>
      </c>
    </row>
    <row r="1608" ht="22.5" customHeight="1">
      <c r="A1608" s="29"/>
      <c r="B1608" s="31"/>
      <c r="C1608" s="193"/>
      <c r="D1608" s="190" t="str">
        <f t="array" ref="D1608">IF(E1608="", "", XLOOKUP(E1608, 'MASTER ITEM LIST'!B:B, 'MASTER ITEM LIST'!A:A, "Code Not Found"))</f>
        <v/>
      </c>
      <c r="E1608" s="35"/>
      <c r="F1608" s="194"/>
      <c r="G1608" s="31"/>
      <c r="H1608" s="39" t="str">
        <f t="array" ref="H1608">IFERROR(XLOOKUP(D1608,'MASTER ITEM LIST'!A:A,'MASTER ITEM LIST'!D:D), "")</f>
        <v/>
      </c>
      <c r="I1608" s="40"/>
      <c r="J1608" s="41" t="str">
        <f t="shared" si="2"/>
        <v/>
      </c>
    </row>
    <row r="1609" ht="22.5" customHeight="1">
      <c r="A1609" s="29"/>
      <c r="B1609" s="31"/>
      <c r="C1609" s="193"/>
      <c r="D1609" s="190" t="str">
        <f t="array" ref="D1609">IF(E1609="", "", XLOOKUP(E1609, 'MASTER ITEM LIST'!B:B, 'MASTER ITEM LIST'!A:A, "Code Not Found"))</f>
        <v/>
      </c>
      <c r="E1609" s="35"/>
      <c r="F1609" s="194"/>
      <c r="G1609" s="31"/>
      <c r="H1609" s="39" t="str">
        <f t="array" ref="H1609">IFERROR(XLOOKUP(D1609,'MASTER ITEM LIST'!A:A,'MASTER ITEM LIST'!D:D), "")</f>
        <v/>
      </c>
      <c r="I1609" s="40"/>
      <c r="J1609" s="41" t="str">
        <f t="shared" si="2"/>
        <v/>
      </c>
    </row>
    <row r="1610" ht="22.5" customHeight="1">
      <c r="A1610" s="29"/>
      <c r="B1610" s="31"/>
      <c r="C1610" s="193"/>
      <c r="D1610" s="190" t="str">
        <f t="array" ref="D1610">IF(E1610="", "", XLOOKUP(E1610, 'MASTER ITEM LIST'!B:B, 'MASTER ITEM LIST'!A:A, "Code Not Found"))</f>
        <v/>
      </c>
      <c r="E1610" s="35"/>
      <c r="F1610" s="194"/>
      <c r="G1610" s="31"/>
      <c r="H1610" s="39" t="str">
        <f t="array" ref="H1610">IFERROR(XLOOKUP(D1610,'MASTER ITEM LIST'!A:A,'MASTER ITEM LIST'!D:D), "")</f>
        <v/>
      </c>
      <c r="I1610" s="40"/>
      <c r="J1610" s="41" t="str">
        <f t="shared" si="2"/>
        <v/>
      </c>
    </row>
    <row r="1611" ht="22.5" customHeight="1">
      <c r="A1611" s="29"/>
      <c r="B1611" s="31"/>
      <c r="C1611" s="193"/>
      <c r="D1611" s="190" t="str">
        <f t="array" ref="D1611">IF(E1611="", "", XLOOKUP(E1611, 'MASTER ITEM LIST'!B:B, 'MASTER ITEM LIST'!A:A, "Code Not Found"))</f>
        <v/>
      </c>
      <c r="E1611" s="35"/>
      <c r="F1611" s="194"/>
      <c r="G1611" s="31"/>
      <c r="H1611" s="39" t="str">
        <f t="array" ref="H1611">IFERROR(XLOOKUP(D1611,'MASTER ITEM LIST'!A:A,'MASTER ITEM LIST'!D:D), "")</f>
        <v/>
      </c>
      <c r="I1611" s="40"/>
      <c r="J1611" s="41" t="str">
        <f t="shared" si="2"/>
        <v/>
      </c>
    </row>
    <row r="1612" ht="22.5" customHeight="1">
      <c r="A1612" s="29"/>
      <c r="B1612" s="31"/>
      <c r="C1612" s="193"/>
      <c r="D1612" s="190" t="str">
        <f t="array" ref="D1612">IF(E1612="", "", XLOOKUP(E1612, 'MASTER ITEM LIST'!B:B, 'MASTER ITEM LIST'!A:A, "Code Not Found"))</f>
        <v/>
      </c>
      <c r="E1612" s="35"/>
      <c r="F1612" s="194"/>
      <c r="G1612" s="31"/>
      <c r="H1612" s="39" t="str">
        <f t="array" ref="H1612">IFERROR(XLOOKUP(D1612,'MASTER ITEM LIST'!A:A,'MASTER ITEM LIST'!D:D), "")</f>
        <v/>
      </c>
      <c r="I1612" s="40"/>
      <c r="J1612" s="41" t="str">
        <f t="shared" si="2"/>
        <v/>
      </c>
    </row>
    <row r="1613" ht="22.5" customHeight="1">
      <c r="A1613" s="29"/>
      <c r="B1613" s="31"/>
      <c r="C1613" s="193"/>
      <c r="D1613" s="190" t="str">
        <f t="array" ref="D1613">IF(E1613="", "", XLOOKUP(E1613, 'MASTER ITEM LIST'!B:B, 'MASTER ITEM LIST'!A:A, "Code Not Found"))</f>
        <v/>
      </c>
      <c r="E1613" s="35"/>
      <c r="F1613" s="194"/>
      <c r="G1613" s="31"/>
      <c r="H1613" s="39" t="str">
        <f t="array" ref="H1613">IFERROR(XLOOKUP(D1613,'MASTER ITEM LIST'!A:A,'MASTER ITEM LIST'!D:D), "")</f>
        <v/>
      </c>
      <c r="I1613" s="40"/>
      <c r="J1613" s="41" t="str">
        <f t="shared" si="2"/>
        <v/>
      </c>
    </row>
    <row r="1614" ht="22.5" customHeight="1">
      <c r="A1614" s="29"/>
      <c r="B1614" s="31"/>
      <c r="C1614" s="193"/>
      <c r="D1614" s="190" t="str">
        <f t="array" ref="D1614">IF(E1614="", "", XLOOKUP(E1614, 'MASTER ITEM LIST'!B:B, 'MASTER ITEM LIST'!A:A, "Code Not Found"))</f>
        <v/>
      </c>
      <c r="E1614" s="35"/>
      <c r="F1614" s="194"/>
      <c r="G1614" s="31"/>
      <c r="H1614" s="39" t="str">
        <f t="array" ref="H1614">IFERROR(XLOOKUP(D1614,'MASTER ITEM LIST'!A:A,'MASTER ITEM LIST'!D:D), "")</f>
        <v/>
      </c>
      <c r="I1614" s="40"/>
      <c r="J1614" s="41" t="str">
        <f t="shared" si="2"/>
        <v/>
      </c>
    </row>
    <row r="1615" ht="22.5" customHeight="1">
      <c r="A1615" s="29"/>
      <c r="B1615" s="31"/>
      <c r="C1615" s="193"/>
      <c r="D1615" s="190" t="str">
        <f t="array" ref="D1615">IF(E1615="", "", XLOOKUP(E1615, 'MASTER ITEM LIST'!B:B, 'MASTER ITEM LIST'!A:A, "Code Not Found"))</f>
        <v/>
      </c>
      <c r="E1615" s="35"/>
      <c r="F1615" s="194"/>
      <c r="G1615" s="31"/>
      <c r="H1615" s="39" t="str">
        <f t="array" ref="H1615">IFERROR(XLOOKUP(D1615,'MASTER ITEM LIST'!A:A,'MASTER ITEM LIST'!D:D), "")</f>
        <v/>
      </c>
      <c r="I1615" s="40"/>
      <c r="J1615" s="41" t="str">
        <f t="shared" si="2"/>
        <v/>
      </c>
    </row>
    <row r="1616" ht="22.5" customHeight="1">
      <c r="A1616" s="29"/>
      <c r="B1616" s="31"/>
      <c r="C1616" s="193"/>
      <c r="D1616" s="190" t="str">
        <f t="array" ref="D1616">IF(E1616="", "", XLOOKUP(E1616, 'MASTER ITEM LIST'!B:B, 'MASTER ITEM LIST'!A:A, "Code Not Found"))</f>
        <v/>
      </c>
      <c r="E1616" s="35"/>
      <c r="F1616" s="194"/>
      <c r="G1616" s="31"/>
      <c r="H1616" s="39" t="str">
        <f t="array" ref="H1616">IFERROR(XLOOKUP(D1616,'MASTER ITEM LIST'!A:A,'MASTER ITEM LIST'!D:D), "")</f>
        <v/>
      </c>
      <c r="I1616" s="40"/>
      <c r="J1616" s="41" t="str">
        <f t="shared" si="2"/>
        <v/>
      </c>
    </row>
    <row r="1617" ht="22.5" customHeight="1">
      <c r="A1617" s="29"/>
      <c r="B1617" s="31"/>
      <c r="C1617" s="193"/>
      <c r="D1617" s="190" t="str">
        <f t="array" ref="D1617">IF(E1617="", "", XLOOKUP(E1617, 'MASTER ITEM LIST'!B:B, 'MASTER ITEM LIST'!A:A, "Code Not Found"))</f>
        <v/>
      </c>
      <c r="E1617" s="35"/>
      <c r="F1617" s="194"/>
      <c r="G1617" s="31"/>
      <c r="H1617" s="39" t="str">
        <f t="array" ref="H1617">IFERROR(XLOOKUP(D1617,'MASTER ITEM LIST'!A:A,'MASTER ITEM LIST'!D:D), "")</f>
        <v/>
      </c>
      <c r="I1617" s="40"/>
      <c r="J1617" s="41" t="str">
        <f t="shared" si="2"/>
        <v/>
      </c>
    </row>
    <row r="1618" ht="22.5" customHeight="1">
      <c r="A1618" s="29"/>
      <c r="B1618" s="31"/>
      <c r="C1618" s="193"/>
      <c r="D1618" s="190" t="str">
        <f t="array" ref="D1618">IF(E1618="", "", XLOOKUP(E1618, 'MASTER ITEM LIST'!B:B, 'MASTER ITEM LIST'!A:A, "Code Not Found"))</f>
        <v/>
      </c>
      <c r="E1618" s="35"/>
      <c r="F1618" s="194"/>
      <c r="G1618" s="31"/>
      <c r="H1618" s="39" t="str">
        <f t="array" ref="H1618">IFERROR(XLOOKUP(D1618,'MASTER ITEM LIST'!A:A,'MASTER ITEM LIST'!D:D), "")</f>
        <v/>
      </c>
      <c r="I1618" s="40"/>
      <c r="J1618" s="41" t="str">
        <f t="shared" si="2"/>
        <v/>
      </c>
    </row>
    <row r="1619" ht="22.5" customHeight="1">
      <c r="A1619" s="29"/>
      <c r="B1619" s="31"/>
      <c r="C1619" s="193"/>
      <c r="D1619" s="190" t="str">
        <f t="array" ref="D1619">IF(E1619="", "", XLOOKUP(E1619, 'MASTER ITEM LIST'!B:B, 'MASTER ITEM LIST'!A:A, "Code Not Found"))</f>
        <v/>
      </c>
      <c r="E1619" s="35"/>
      <c r="F1619" s="194"/>
      <c r="G1619" s="31"/>
      <c r="H1619" s="39" t="str">
        <f t="array" ref="H1619">IFERROR(XLOOKUP(D1619,'MASTER ITEM LIST'!A:A,'MASTER ITEM LIST'!D:D), "")</f>
        <v/>
      </c>
      <c r="I1619" s="40"/>
      <c r="J1619" s="41" t="str">
        <f t="shared" si="2"/>
        <v/>
      </c>
    </row>
    <row r="1620" ht="22.5" customHeight="1">
      <c r="A1620" s="29"/>
      <c r="B1620" s="31"/>
      <c r="C1620" s="193"/>
      <c r="D1620" s="190" t="str">
        <f t="array" ref="D1620">IF(E1620="", "", XLOOKUP(E1620, 'MASTER ITEM LIST'!B:B, 'MASTER ITEM LIST'!A:A, "Code Not Found"))</f>
        <v/>
      </c>
      <c r="E1620" s="35"/>
      <c r="F1620" s="194"/>
      <c r="G1620" s="31"/>
      <c r="H1620" s="39" t="str">
        <f t="array" ref="H1620">IFERROR(XLOOKUP(D1620,'MASTER ITEM LIST'!A:A,'MASTER ITEM LIST'!D:D), "")</f>
        <v/>
      </c>
      <c r="I1620" s="40"/>
      <c r="J1620" s="41" t="str">
        <f t="shared" si="2"/>
        <v/>
      </c>
    </row>
    <row r="1621" ht="22.5" customHeight="1">
      <c r="A1621" s="29"/>
      <c r="B1621" s="31"/>
      <c r="C1621" s="193"/>
      <c r="D1621" s="190" t="str">
        <f t="array" ref="D1621">IF(E1621="", "", XLOOKUP(E1621, 'MASTER ITEM LIST'!B:B, 'MASTER ITEM LIST'!A:A, "Code Not Found"))</f>
        <v/>
      </c>
      <c r="E1621" s="35"/>
      <c r="F1621" s="194"/>
      <c r="G1621" s="31"/>
      <c r="H1621" s="39" t="str">
        <f t="array" ref="H1621">IFERROR(XLOOKUP(D1621,'MASTER ITEM LIST'!A:A,'MASTER ITEM LIST'!D:D), "")</f>
        <v/>
      </c>
      <c r="I1621" s="40"/>
      <c r="J1621" s="41" t="str">
        <f t="shared" si="2"/>
        <v/>
      </c>
    </row>
    <row r="1622" ht="22.5" customHeight="1">
      <c r="A1622" s="29"/>
      <c r="B1622" s="31"/>
      <c r="C1622" s="193"/>
      <c r="D1622" s="190" t="str">
        <f t="array" ref="D1622">IF(E1622="", "", XLOOKUP(E1622, 'MASTER ITEM LIST'!B:B, 'MASTER ITEM LIST'!A:A, "Code Not Found"))</f>
        <v/>
      </c>
      <c r="E1622" s="35"/>
      <c r="F1622" s="194"/>
      <c r="G1622" s="31"/>
      <c r="H1622" s="39" t="str">
        <f t="array" ref="H1622">IFERROR(XLOOKUP(D1622,'MASTER ITEM LIST'!A:A,'MASTER ITEM LIST'!D:D), "")</f>
        <v/>
      </c>
      <c r="I1622" s="40"/>
      <c r="J1622" s="41" t="str">
        <f t="shared" si="2"/>
        <v/>
      </c>
    </row>
    <row r="1623" ht="22.5" customHeight="1">
      <c r="A1623" s="29"/>
      <c r="B1623" s="31"/>
      <c r="C1623" s="193"/>
      <c r="D1623" s="190" t="str">
        <f t="array" ref="D1623">IF(E1623="", "", XLOOKUP(E1623, 'MASTER ITEM LIST'!B:B, 'MASTER ITEM LIST'!A:A, "Code Not Found"))</f>
        <v/>
      </c>
      <c r="E1623" s="35"/>
      <c r="F1623" s="194"/>
      <c r="G1623" s="31"/>
      <c r="H1623" s="39" t="str">
        <f t="array" ref="H1623">IFERROR(XLOOKUP(D1623,'MASTER ITEM LIST'!A:A,'MASTER ITEM LIST'!D:D), "")</f>
        <v/>
      </c>
      <c r="I1623" s="40"/>
      <c r="J1623" s="41" t="str">
        <f t="shared" si="2"/>
        <v/>
      </c>
    </row>
    <row r="1624" ht="22.5" customHeight="1">
      <c r="A1624" s="29"/>
      <c r="B1624" s="31"/>
      <c r="C1624" s="193"/>
      <c r="D1624" s="190" t="str">
        <f t="array" ref="D1624">IF(E1624="", "", XLOOKUP(E1624, 'MASTER ITEM LIST'!B:B, 'MASTER ITEM LIST'!A:A, "Code Not Found"))</f>
        <v/>
      </c>
      <c r="E1624" s="35"/>
      <c r="F1624" s="194"/>
      <c r="G1624" s="31"/>
      <c r="H1624" s="39" t="str">
        <f t="array" ref="H1624">IFERROR(XLOOKUP(D1624,'MASTER ITEM LIST'!A:A,'MASTER ITEM LIST'!D:D), "")</f>
        <v/>
      </c>
      <c r="I1624" s="40"/>
      <c r="J1624" s="41" t="str">
        <f t="shared" si="2"/>
        <v/>
      </c>
    </row>
    <row r="1625" ht="22.5" customHeight="1">
      <c r="A1625" s="29"/>
      <c r="B1625" s="31"/>
      <c r="C1625" s="193"/>
      <c r="D1625" s="190" t="str">
        <f t="array" ref="D1625">IF(E1625="", "", XLOOKUP(E1625, 'MASTER ITEM LIST'!B:B, 'MASTER ITEM LIST'!A:A, "Code Not Found"))</f>
        <v/>
      </c>
      <c r="E1625" s="35"/>
      <c r="F1625" s="194"/>
      <c r="G1625" s="31"/>
      <c r="H1625" s="39" t="str">
        <f t="array" ref="H1625">IFERROR(XLOOKUP(D1625,'MASTER ITEM LIST'!A:A,'MASTER ITEM LIST'!D:D), "")</f>
        <v/>
      </c>
      <c r="I1625" s="40"/>
      <c r="J1625" s="41" t="str">
        <f t="shared" si="2"/>
        <v/>
      </c>
    </row>
    <row r="1626" ht="22.5" customHeight="1">
      <c r="A1626" s="29"/>
      <c r="B1626" s="31"/>
      <c r="C1626" s="193"/>
      <c r="D1626" s="190" t="str">
        <f t="array" ref="D1626">IF(E1626="", "", XLOOKUP(E1626, 'MASTER ITEM LIST'!B:B, 'MASTER ITEM LIST'!A:A, "Code Not Found"))</f>
        <v/>
      </c>
      <c r="E1626" s="35"/>
      <c r="F1626" s="194"/>
      <c r="G1626" s="31"/>
      <c r="H1626" s="39" t="str">
        <f t="array" ref="H1626">IFERROR(XLOOKUP(D1626,'MASTER ITEM LIST'!A:A,'MASTER ITEM LIST'!D:D), "")</f>
        <v/>
      </c>
      <c r="I1626" s="40"/>
      <c r="J1626" s="41" t="str">
        <f t="shared" si="2"/>
        <v/>
      </c>
    </row>
    <row r="1627" ht="22.5" customHeight="1">
      <c r="A1627" s="29"/>
      <c r="B1627" s="31"/>
      <c r="C1627" s="193"/>
      <c r="D1627" s="190" t="str">
        <f t="array" ref="D1627">IF(E1627="", "", XLOOKUP(E1627, 'MASTER ITEM LIST'!B:B, 'MASTER ITEM LIST'!A:A, "Code Not Found"))</f>
        <v/>
      </c>
      <c r="E1627" s="35"/>
      <c r="F1627" s="194"/>
      <c r="G1627" s="31"/>
      <c r="H1627" s="39" t="str">
        <f t="array" ref="H1627">IFERROR(XLOOKUP(D1627,'MASTER ITEM LIST'!A:A,'MASTER ITEM LIST'!D:D), "")</f>
        <v/>
      </c>
      <c r="I1627" s="40"/>
      <c r="J1627" s="41" t="str">
        <f t="shared" si="2"/>
        <v/>
      </c>
    </row>
    <row r="1628" ht="22.5" customHeight="1">
      <c r="A1628" s="29"/>
      <c r="B1628" s="31"/>
      <c r="C1628" s="193"/>
      <c r="D1628" s="190" t="str">
        <f t="array" ref="D1628">IF(E1628="", "", XLOOKUP(E1628, 'MASTER ITEM LIST'!B:B, 'MASTER ITEM LIST'!A:A, "Code Not Found"))</f>
        <v/>
      </c>
      <c r="E1628" s="35"/>
      <c r="F1628" s="194"/>
      <c r="G1628" s="31"/>
      <c r="H1628" s="39" t="str">
        <f t="array" ref="H1628">IFERROR(XLOOKUP(D1628,'MASTER ITEM LIST'!A:A,'MASTER ITEM LIST'!D:D), "")</f>
        <v/>
      </c>
      <c r="I1628" s="40"/>
      <c r="J1628" s="41" t="str">
        <f t="shared" si="2"/>
        <v/>
      </c>
    </row>
    <row r="1629" ht="22.5" customHeight="1">
      <c r="A1629" s="29"/>
      <c r="B1629" s="31"/>
      <c r="C1629" s="193"/>
      <c r="D1629" s="190" t="str">
        <f t="array" ref="D1629">IF(E1629="", "", XLOOKUP(E1629, 'MASTER ITEM LIST'!B:B, 'MASTER ITEM LIST'!A:A, "Code Not Found"))</f>
        <v/>
      </c>
      <c r="E1629" s="35"/>
      <c r="F1629" s="194"/>
      <c r="G1629" s="31"/>
      <c r="H1629" s="39" t="str">
        <f t="array" ref="H1629">IFERROR(XLOOKUP(D1629,'MASTER ITEM LIST'!A:A,'MASTER ITEM LIST'!D:D), "")</f>
        <v/>
      </c>
      <c r="I1629" s="40"/>
      <c r="J1629" s="41" t="str">
        <f t="shared" si="2"/>
        <v/>
      </c>
    </row>
    <row r="1630" ht="22.5" customHeight="1">
      <c r="A1630" s="29"/>
      <c r="B1630" s="31"/>
      <c r="C1630" s="193"/>
      <c r="D1630" s="190" t="str">
        <f t="array" ref="D1630">IF(E1630="", "", XLOOKUP(E1630, 'MASTER ITEM LIST'!B:B, 'MASTER ITEM LIST'!A:A, "Code Not Found"))</f>
        <v/>
      </c>
      <c r="E1630" s="35"/>
      <c r="F1630" s="194"/>
      <c r="G1630" s="31"/>
      <c r="H1630" s="39" t="str">
        <f t="array" ref="H1630">IFERROR(XLOOKUP(D1630,'MASTER ITEM LIST'!A:A,'MASTER ITEM LIST'!D:D), "")</f>
        <v/>
      </c>
      <c r="I1630" s="40"/>
      <c r="J1630" s="41" t="str">
        <f t="shared" si="2"/>
        <v/>
      </c>
    </row>
    <row r="1631" ht="22.5" customHeight="1">
      <c r="A1631" s="29"/>
      <c r="B1631" s="31"/>
      <c r="C1631" s="193"/>
      <c r="D1631" s="190" t="str">
        <f t="array" ref="D1631">IF(E1631="", "", XLOOKUP(E1631, 'MASTER ITEM LIST'!B:B, 'MASTER ITEM LIST'!A:A, "Code Not Found"))</f>
        <v/>
      </c>
      <c r="E1631" s="35"/>
      <c r="F1631" s="194"/>
      <c r="G1631" s="31"/>
      <c r="H1631" s="39" t="str">
        <f t="array" ref="H1631">IFERROR(XLOOKUP(D1631,'MASTER ITEM LIST'!A:A,'MASTER ITEM LIST'!D:D), "")</f>
        <v/>
      </c>
      <c r="I1631" s="40"/>
      <c r="J1631" s="41" t="str">
        <f t="shared" si="2"/>
        <v/>
      </c>
    </row>
    <row r="1632" ht="22.5" customHeight="1">
      <c r="A1632" s="29"/>
      <c r="B1632" s="31"/>
      <c r="C1632" s="193"/>
      <c r="D1632" s="190" t="str">
        <f t="array" ref="D1632">IF(E1632="", "", XLOOKUP(E1632, 'MASTER ITEM LIST'!B:B, 'MASTER ITEM LIST'!A:A, "Code Not Found"))</f>
        <v/>
      </c>
      <c r="E1632" s="35"/>
      <c r="F1632" s="194"/>
      <c r="G1632" s="31"/>
      <c r="H1632" s="39" t="str">
        <f t="array" ref="H1632">IFERROR(XLOOKUP(D1632,'MASTER ITEM LIST'!A:A,'MASTER ITEM LIST'!D:D), "")</f>
        <v/>
      </c>
      <c r="I1632" s="40"/>
      <c r="J1632" s="41" t="str">
        <f t="shared" si="2"/>
        <v/>
      </c>
    </row>
    <row r="1633" ht="22.5" customHeight="1">
      <c r="A1633" s="29"/>
      <c r="B1633" s="31"/>
      <c r="C1633" s="193"/>
      <c r="D1633" s="190" t="str">
        <f t="array" ref="D1633">IF(E1633="", "", XLOOKUP(E1633, 'MASTER ITEM LIST'!B:B, 'MASTER ITEM LIST'!A:A, "Code Not Found"))</f>
        <v/>
      </c>
      <c r="E1633" s="35"/>
      <c r="F1633" s="194"/>
      <c r="G1633" s="31"/>
      <c r="H1633" s="39" t="str">
        <f t="array" ref="H1633">IFERROR(XLOOKUP(D1633,'MASTER ITEM LIST'!A:A,'MASTER ITEM LIST'!D:D), "")</f>
        <v/>
      </c>
      <c r="I1633" s="40"/>
      <c r="J1633" s="41" t="str">
        <f t="shared" si="2"/>
        <v/>
      </c>
    </row>
    <row r="1634" ht="22.5" customHeight="1">
      <c r="A1634" s="29"/>
      <c r="B1634" s="31"/>
      <c r="C1634" s="193"/>
      <c r="D1634" s="190" t="str">
        <f t="array" ref="D1634">IF(E1634="", "", XLOOKUP(E1634, 'MASTER ITEM LIST'!B:B, 'MASTER ITEM LIST'!A:A, "Code Not Found"))</f>
        <v/>
      </c>
      <c r="E1634" s="35"/>
      <c r="F1634" s="194"/>
      <c r="G1634" s="31"/>
      <c r="H1634" s="39" t="str">
        <f t="array" ref="H1634">IFERROR(XLOOKUP(D1634,'MASTER ITEM LIST'!A:A,'MASTER ITEM LIST'!D:D), "")</f>
        <v/>
      </c>
      <c r="I1634" s="40"/>
      <c r="J1634" s="41" t="str">
        <f t="shared" si="2"/>
        <v/>
      </c>
    </row>
    <row r="1635" ht="22.5" customHeight="1">
      <c r="A1635" s="29"/>
      <c r="B1635" s="31"/>
      <c r="C1635" s="193"/>
      <c r="D1635" s="190" t="str">
        <f t="array" ref="D1635">IF(E1635="", "", XLOOKUP(E1635, 'MASTER ITEM LIST'!B:B, 'MASTER ITEM LIST'!A:A, "Code Not Found"))</f>
        <v/>
      </c>
      <c r="E1635" s="35"/>
      <c r="F1635" s="194"/>
      <c r="G1635" s="31"/>
      <c r="H1635" s="39" t="str">
        <f t="array" ref="H1635">IFERROR(XLOOKUP(D1635,'MASTER ITEM LIST'!A:A,'MASTER ITEM LIST'!D:D), "")</f>
        <v/>
      </c>
      <c r="I1635" s="40"/>
      <c r="J1635" s="41" t="str">
        <f t="shared" si="2"/>
        <v/>
      </c>
    </row>
    <row r="1636" ht="22.5" customHeight="1">
      <c r="A1636" s="29"/>
      <c r="B1636" s="31"/>
      <c r="C1636" s="193"/>
      <c r="D1636" s="190" t="str">
        <f t="array" ref="D1636">IF(E1636="", "", XLOOKUP(E1636, 'MASTER ITEM LIST'!B:B, 'MASTER ITEM LIST'!A:A, "Code Not Found"))</f>
        <v/>
      </c>
      <c r="E1636" s="35"/>
      <c r="F1636" s="194"/>
      <c r="G1636" s="31"/>
      <c r="H1636" s="39" t="str">
        <f t="array" ref="H1636">IFERROR(XLOOKUP(D1636,'MASTER ITEM LIST'!A:A,'MASTER ITEM LIST'!D:D), "")</f>
        <v/>
      </c>
      <c r="I1636" s="40"/>
      <c r="J1636" s="41" t="str">
        <f t="shared" si="2"/>
        <v/>
      </c>
    </row>
    <row r="1637" ht="22.5" customHeight="1">
      <c r="A1637" s="29"/>
      <c r="B1637" s="31"/>
      <c r="C1637" s="193"/>
      <c r="D1637" s="190" t="str">
        <f t="array" ref="D1637">IF(E1637="", "", XLOOKUP(E1637, 'MASTER ITEM LIST'!B:B, 'MASTER ITEM LIST'!A:A, "Code Not Found"))</f>
        <v/>
      </c>
      <c r="E1637" s="35"/>
      <c r="F1637" s="194"/>
      <c r="G1637" s="31"/>
      <c r="H1637" s="39" t="str">
        <f t="array" ref="H1637">IFERROR(XLOOKUP(D1637,'MASTER ITEM LIST'!A:A,'MASTER ITEM LIST'!D:D), "")</f>
        <v/>
      </c>
      <c r="I1637" s="40"/>
      <c r="J1637" s="41" t="str">
        <f t="shared" si="2"/>
        <v/>
      </c>
    </row>
    <row r="1638" ht="22.5" customHeight="1">
      <c r="A1638" s="29"/>
      <c r="B1638" s="31"/>
      <c r="C1638" s="193"/>
      <c r="D1638" s="190" t="str">
        <f t="array" ref="D1638">IF(E1638="", "", XLOOKUP(E1638, 'MASTER ITEM LIST'!B:B, 'MASTER ITEM LIST'!A:A, "Code Not Found"))</f>
        <v/>
      </c>
      <c r="E1638" s="35"/>
      <c r="F1638" s="194"/>
      <c r="G1638" s="31"/>
      <c r="H1638" s="39" t="str">
        <f t="array" ref="H1638">IFERROR(XLOOKUP(D1638,'MASTER ITEM LIST'!A:A,'MASTER ITEM LIST'!D:D), "")</f>
        <v/>
      </c>
      <c r="I1638" s="40"/>
      <c r="J1638" s="41" t="str">
        <f t="shared" si="2"/>
        <v/>
      </c>
    </row>
    <row r="1639" ht="22.5" customHeight="1">
      <c r="A1639" s="29"/>
      <c r="B1639" s="31"/>
      <c r="C1639" s="193"/>
      <c r="D1639" s="190" t="str">
        <f t="array" ref="D1639">IF(E1639="", "", XLOOKUP(E1639, 'MASTER ITEM LIST'!B:B, 'MASTER ITEM LIST'!A:A, "Code Not Found"))</f>
        <v/>
      </c>
      <c r="E1639" s="35"/>
      <c r="F1639" s="194"/>
      <c r="G1639" s="31"/>
      <c r="H1639" s="39" t="str">
        <f t="array" ref="H1639">IFERROR(XLOOKUP(D1639,'MASTER ITEM LIST'!A:A,'MASTER ITEM LIST'!D:D), "")</f>
        <v/>
      </c>
      <c r="I1639" s="40"/>
      <c r="J1639" s="41" t="str">
        <f t="shared" si="2"/>
        <v/>
      </c>
    </row>
    <row r="1640" ht="22.5" customHeight="1">
      <c r="A1640" s="29"/>
      <c r="B1640" s="31"/>
      <c r="C1640" s="193"/>
      <c r="D1640" s="190" t="str">
        <f t="array" ref="D1640">IF(E1640="", "", XLOOKUP(E1640, 'MASTER ITEM LIST'!B:B, 'MASTER ITEM LIST'!A:A, "Code Not Found"))</f>
        <v/>
      </c>
      <c r="E1640" s="35"/>
      <c r="F1640" s="194"/>
      <c r="G1640" s="31"/>
      <c r="H1640" s="39" t="str">
        <f t="array" ref="H1640">IFERROR(XLOOKUP(D1640,'MASTER ITEM LIST'!A:A,'MASTER ITEM LIST'!D:D), "")</f>
        <v/>
      </c>
      <c r="I1640" s="40"/>
      <c r="J1640" s="41" t="str">
        <f t="shared" si="2"/>
        <v/>
      </c>
    </row>
    <row r="1641" ht="22.5" customHeight="1">
      <c r="A1641" s="29"/>
      <c r="B1641" s="31"/>
      <c r="C1641" s="193"/>
      <c r="D1641" s="190" t="str">
        <f t="array" ref="D1641">IF(E1641="", "", XLOOKUP(E1641, 'MASTER ITEM LIST'!B:B, 'MASTER ITEM LIST'!A:A, "Code Not Found"))</f>
        <v/>
      </c>
      <c r="E1641" s="35"/>
      <c r="F1641" s="194"/>
      <c r="G1641" s="31"/>
      <c r="H1641" s="39" t="str">
        <f t="array" ref="H1641">IFERROR(XLOOKUP(D1641,'MASTER ITEM LIST'!A:A,'MASTER ITEM LIST'!D:D), "")</f>
        <v/>
      </c>
      <c r="I1641" s="40"/>
      <c r="J1641" s="41" t="str">
        <f t="shared" si="2"/>
        <v/>
      </c>
    </row>
    <row r="1642" ht="22.5" customHeight="1">
      <c r="A1642" s="29"/>
      <c r="B1642" s="31"/>
      <c r="C1642" s="193"/>
      <c r="D1642" s="190" t="str">
        <f t="array" ref="D1642">IF(E1642="", "", XLOOKUP(E1642, 'MASTER ITEM LIST'!B:B, 'MASTER ITEM LIST'!A:A, "Code Not Found"))</f>
        <v/>
      </c>
      <c r="E1642" s="35"/>
      <c r="F1642" s="194"/>
      <c r="G1642" s="31"/>
      <c r="H1642" s="39" t="str">
        <f t="array" ref="H1642">IFERROR(XLOOKUP(D1642,'MASTER ITEM LIST'!A:A,'MASTER ITEM LIST'!D:D), "")</f>
        <v/>
      </c>
      <c r="I1642" s="40"/>
      <c r="J1642" s="41" t="str">
        <f t="shared" si="2"/>
        <v/>
      </c>
    </row>
    <row r="1643" ht="22.5" customHeight="1">
      <c r="A1643" s="29"/>
      <c r="B1643" s="31"/>
      <c r="C1643" s="193"/>
      <c r="D1643" s="190" t="str">
        <f t="array" ref="D1643">IF(E1643="", "", XLOOKUP(E1643, 'MASTER ITEM LIST'!B:B, 'MASTER ITEM LIST'!A:A, "Code Not Found"))</f>
        <v/>
      </c>
      <c r="E1643" s="35"/>
      <c r="F1643" s="194"/>
      <c r="G1643" s="31"/>
      <c r="H1643" s="39" t="str">
        <f t="array" ref="H1643">IFERROR(XLOOKUP(D1643,'MASTER ITEM LIST'!A:A,'MASTER ITEM LIST'!D:D), "")</f>
        <v/>
      </c>
      <c r="I1643" s="40"/>
      <c r="J1643" s="41" t="str">
        <f t="shared" si="2"/>
        <v/>
      </c>
    </row>
    <row r="1644" ht="22.5" customHeight="1">
      <c r="A1644" s="29"/>
      <c r="B1644" s="31"/>
      <c r="C1644" s="193"/>
      <c r="D1644" s="190" t="str">
        <f t="array" ref="D1644">IF(E1644="", "", XLOOKUP(E1644, 'MASTER ITEM LIST'!B:B, 'MASTER ITEM LIST'!A:A, "Code Not Found"))</f>
        <v/>
      </c>
      <c r="E1644" s="35"/>
      <c r="F1644" s="194"/>
      <c r="G1644" s="31"/>
      <c r="H1644" s="39" t="str">
        <f t="array" ref="H1644">IFERROR(XLOOKUP(D1644,'MASTER ITEM LIST'!A:A,'MASTER ITEM LIST'!D:D), "")</f>
        <v/>
      </c>
      <c r="I1644" s="40"/>
      <c r="J1644" s="41" t="str">
        <f t="shared" si="2"/>
        <v/>
      </c>
    </row>
    <row r="1645" ht="22.5" customHeight="1">
      <c r="A1645" s="29"/>
      <c r="B1645" s="31"/>
      <c r="C1645" s="193"/>
      <c r="D1645" s="190" t="str">
        <f t="array" ref="D1645">IF(E1645="", "", XLOOKUP(E1645, 'MASTER ITEM LIST'!B:B, 'MASTER ITEM LIST'!A:A, "Code Not Found"))</f>
        <v/>
      </c>
      <c r="E1645" s="35"/>
      <c r="F1645" s="194"/>
      <c r="G1645" s="31"/>
      <c r="H1645" s="39" t="str">
        <f t="array" ref="H1645">IFERROR(XLOOKUP(D1645,'MASTER ITEM LIST'!A:A,'MASTER ITEM LIST'!D:D), "")</f>
        <v/>
      </c>
      <c r="I1645" s="40"/>
      <c r="J1645" s="41" t="str">
        <f t="shared" si="2"/>
        <v/>
      </c>
    </row>
    <row r="1646" ht="22.5" customHeight="1">
      <c r="A1646" s="29"/>
      <c r="B1646" s="31"/>
      <c r="C1646" s="193"/>
      <c r="D1646" s="190" t="str">
        <f t="array" ref="D1646">IF(E1646="", "", XLOOKUP(E1646, 'MASTER ITEM LIST'!B:B, 'MASTER ITEM LIST'!A:A, "Code Not Found"))</f>
        <v/>
      </c>
      <c r="E1646" s="35"/>
      <c r="F1646" s="194"/>
      <c r="G1646" s="31"/>
      <c r="H1646" s="39" t="str">
        <f t="array" ref="H1646">IFERROR(XLOOKUP(D1646,'MASTER ITEM LIST'!A:A,'MASTER ITEM LIST'!D:D), "")</f>
        <v/>
      </c>
      <c r="I1646" s="40"/>
      <c r="J1646" s="41" t="str">
        <f t="shared" si="2"/>
        <v/>
      </c>
    </row>
    <row r="1647" ht="22.5" customHeight="1">
      <c r="A1647" s="29"/>
      <c r="B1647" s="31"/>
      <c r="C1647" s="193"/>
      <c r="D1647" s="190" t="str">
        <f t="array" ref="D1647">IF(E1647="", "", XLOOKUP(E1647, 'MASTER ITEM LIST'!B:B, 'MASTER ITEM LIST'!A:A, "Code Not Found"))</f>
        <v/>
      </c>
      <c r="E1647" s="35"/>
      <c r="F1647" s="194"/>
      <c r="G1647" s="31"/>
      <c r="H1647" s="39" t="str">
        <f t="array" ref="H1647">IFERROR(XLOOKUP(D1647,'MASTER ITEM LIST'!A:A,'MASTER ITEM LIST'!D:D), "")</f>
        <v/>
      </c>
      <c r="I1647" s="40"/>
      <c r="J1647" s="41" t="str">
        <f t="shared" si="2"/>
        <v/>
      </c>
    </row>
    <row r="1648" ht="22.5" customHeight="1">
      <c r="A1648" s="29"/>
      <c r="B1648" s="31"/>
      <c r="C1648" s="193"/>
      <c r="D1648" s="190" t="str">
        <f t="array" ref="D1648">IF(E1648="", "", XLOOKUP(E1648, 'MASTER ITEM LIST'!B:B, 'MASTER ITEM LIST'!A:A, "Code Not Found"))</f>
        <v/>
      </c>
      <c r="E1648" s="35"/>
      <c r="F1648" s="194"/>
      <c r="G1648" s="31"/>
      <c r="H1648" s="39" t="str">
        <f t="array" ref="H1648">IFERROR(XLOOKUP(D1648,'MASTER ITEM LIST'!A:A,'MASTER ITEM LIST'!D:D), "")</f>
        <v/>
      </c>
      <c r="I1648" s="40"/>
      <c r="J1648" s="41" t="str">
        <f t="shared" si="2"/>
        <v/>
      </c>
    </row>
    <row r="1649" ht="22.5" customHeight="1">
      <c r="A1649" s="29"/>
      <c r="B1649" s="31"/>
      <c r="C1649" s="193"/>
      <c r="D1649" s="190" t="str">
        <f t="array" ref="D1649">IF(E1649="", "", XLOOKUP(E1649, 'MASTER ITEM LIST'!B:B, 'MASTER ITEM LIST'!A:A, "Code Not Found"))</f>
        <v/>
      </c>
      <c r="E1649" s="35"/>
      <c r="F1649" s="194"/>
      <c r="G1649" s="31"/>
      <c r="H1649" s="39" t="str">
        <f t="array" ref="H1649">IFERROR(XLOOKUP(D1649,'MASTER ITEM LIST'!A:A,'MASTER ITEM LIST'!D:D), "")</f>
        <v/>
      </c>
      <c r="I1649" s="40"/>
      <c r="J1649" s="41" t="str">
        <f t="shared" si="2"/>
        <v/>
      </c>
    </row>
    <row r="1650" ht="22.5" customHeight="1">
      <c r="A1650" s="29"/>
      <c r="B1650" s="31"/>
      <c r="C1650" s="193"/>
      <c r="D1650" s="190" t="str">
        <f t="array" ref="D1650">IF(E1650="", "", XLOOKUP(E1650, 'MASTER ITEM LIST'!B:B, 'MASTER ITEM LIST'!A:A, "Code Not Found"))</f>
        <v/>
      </c>
      <c r="E1650" s="35"/>
      <c r="F1650" s="194"/>
      <c r="G1650" s="31"/>
      <c r="H1650" s="39" t="str">
        <f t="array" ref="H1650">IFERROR(XLOOKUP(D1650,'MASTER ITEM LIST'!A:A,'MASTER ITEM LIST'!D:D), "")</f>
        <v/>
      </c>
      <c r="I1650" s="40"/>
      <c r="J1650" s="41" t="str">
        <f t="shared" si="2"/>
        <v/>
      </c>
    </row>
    <row r="1651" ht="22.5" customHeight="1">
      <c r="A1651" s="29"/>
      <c r="B1651" s="31"/>
      <c r="C1651" s="193"/>
      <c r="D1651" s="190" t="str">
        <f t="array" ref="D1651">IF(E1651="", "", XLOOKUP(E1651, 'MASTER ITEM LIST'!B:B, 'MASTER ITEM LIST'!A:A, "Code Not Found"))</f>
        <v/>
      </c>
      <c r="E1651" s="35"/>
      <c r="F1651" s="194"/>
      <c r="G1651" s="31"/>
      <c r="H1651" s="39" t="str">
        <f t="array" ref="H1651">IFERROR(XLOOKUP(D1651,'MASTER ITEM LIST'!A:A,'MASTER ITEM LIST'!D:D), "")</f>
        <v/>
      </c>
      <c r="I1651" s="40"/>
      <c r="J1651" s="41" t="str">
        <f t="shared" si="2"/>
        <v/>
      </c>
    </row>
    <row r="1652" ht="22.5" customHeight="1">
      <c r="A1652" s="29"/>
      <c r="B1652" s="31"/>
      <c r="C1652" s="193"/>
      <c r="D1652" s="190" t="str">
        <f t="array" ref="D1652">IF(E1652="", "", XLOOKUP(E1652, 'MASTER ITEM LIST'!B:B, 'MASTER ITEM LIST'!A:A, "Code Not Found"))</f>
        <v/>
      </c>
      <c r="E1652" s="35"/>
      <c r="F1652" s="194"/>
      <c r="G1652" s="31"/>
      <c r="H1652" s="39" t="str">
        <f t="array" ref="H1652">IFERROR(XLOOKUP(D1652,'MASTER ITEM LIST'!A:A,'MASTER ITEM LIST'!D:D), "")</f>
        <v/>
      </c>
      <c r="I1652" s="40"/>
      <c r="J1652" s="41" t="str">
        <f t="shared" si="2"/>
        <v/>
      </c>
    </row>
    <row r="1653" ht="22.5" customHeight="1">
      <c r="A1653" s="29"/>
      <c r="B1653" s="31"/>
      <c r="C1653" s="193"/>
      <c r="D1653" s="190" t="str">
        <f t="array" ref="D1653">IF(E1653="", "", XLOOKUP(E1653, 'MASTER ITEM LIST'!B:B, 'MASTER ITEM LIST'!A:A, "Code Not Found"))</f>
        <v/>
      </c>
      <c r="E1653" s="35"/>
      <c r="F1653" s="194"/>
      <c r="G1653" s="31"/>
      <c r="H1653" s="39" t="str">
        <f t="array" ref="H1653">IFERROR(XLOOKUP(D1653,'MASTER ITEM LIST'!A:A,'MASTER ITEM LIST'!D:D), "")</f>
        <v/>
      </c>
      <c r="I1653" s="40"/>
      <c r="J1653" s="41" t="str">
        <f t="shared" si="2"/>
        <v/>
      </c>
    </row>
    <row r="1654" ht="22.5" customHeight="1">
      <c r="A1654" s="29"/>
      <c r="B1654" s="31"/>
      <c r="C1654" s="193"/>
      <c r="D1654" s="190" t="str">
        <f t="array" ref="D1654">IF(E1654="", "", XLOOKUP(E1654, 'MASTER ITEM LIST'!B:B, 'MASTER ITEM LIST'!A:A, "Code Not Found"))</f>
        <v/>
      </c>
      <c r="E1654" s="35"/>
      <c r="F1654" s="194"/>
      <c r="G1654" s="31"/>
      <c r="H1654" s="39" t="str">
        <f t="array" ref="H1654">IFERROR(XLOOKUP(D1654,'MASTER ITEM LIST'!A:A,'MASTER ITEM LIST'!D:D), "")</f>
        <v/>
      </c>
      <c r="I1654" s="40"/>
      <c r="J1654" s="41" t="str">
        <f t="shared" si="2"/>
        <v/>
      </c>
    </row>
    <row r="1655" ht="22.5" customHeight="1">
      <c r="A1655" s="29"/>
      <c r="B1655" s="31"/>
      <c r="C1655" s="193"/>
      <c r="D1655" s="190" t="str">
        <f t="array" ref="D1655">IF(E1655="", "", XLOOKUP(E1655, 'MASTER ITEM LIST'!B:B, 'MASTER ITEM LIST'!A:A, "Code Not Found"))</f>
        <v/>
      </c>
      <c r="E1655" s="35"/>
      <c r="F1655" s="194"/>
      <c r="G1655" s="31"/>
      <c r="H1655" s="39" t="str">
        <f t="array" ref="H1655">IFERROR(XLOOKUP(D1655,'MASTER ITEM LIST'!A:A,'MASTER ITEM LIST'!D:D), "")</f>
        <v/>
      </c>
      <c r="I1655" s="40"/>
      <c r="J1655" s="41" t="str">
        <f t="shared" si="2"/>
        <v/>
      </c>
    </row>
    <row r="1656" ht="22.5" customHeight="1">
      <c r="A1656" s="29"/>
      <c r="B1656" s="31"/>
      <c r="C1656" s="193"/>
      <c r="D1656" s="190" t="str">
        <f t="array" ref="D1656">IF(E1656="", "", XLOOKUP(E1656, 'MASTER ITEM LIST'!B:B, 'MASTER ITEM LIST'!A:A, "Code Not Found"))</f>
        <v/>
      </c>
      <c r="E1656" s="35"/>
      <c r="F1656" s="194"/>
      <c r="G1656" s="31"/>
      <c r="H1656" s="39" t="str">
        <f t="array" ref="H1656">IFERROR(XLOOKUP(D1656,'MASTER ITEM LIST'!A:A,'MASTER ITEM LIST'!D:D), "")</f>
        <v/>
      </c>
      <c r="I1656" s="40"/>
      <c r="J1656" s="41" t="str">
        <f t="shared" si="2"/>
        <v/>
      </c>
    </row>
    <row r="1657" ht="22.5" customHeight="1">
      <c r="A1657" s="29"/>
      <c r="B1657" s="31"/>
      <c r="C1657" s="193"/>
      <c r="D1657" s="190" t="str">
        <f t="array" ref="D1657">IF(E1657="", "", XLOOKUP(E1657, 'MASTER ITEM LIST'!B:B, 'MASTER ITEM LIST'!A:A, "Code Not Found"))</f>
        <v/>
      </c>
      <c r="E1657" s="35"/>
      <c r="F1657" s="194"/>
      <c r="G1657" s="31"/>
      <c r="H1657" s="39" t="str">
        <f t="array" ref="H1657">IFERROR(XLOOKUP(D1657,'MASTER ITEM LIST'!A:A,'MASTER ITEM LIST'!D:D), "")</f>
        <v/>
      </c>
      <c r="I1657" s="40"/>
      <c r="J1657" s="41" t="str">
        <f t="shared" si="2"/>
        <v/>
      </c>
    </row>
    <row r="1658" ht="22.5" customHeight="1">
      <c r="A1658" s="29"/>
      <c r="B1658" s="31"/>
      <c r="C1658" s="193"/>
      <c r="D1658" s="190" t="str">
        <f t="array" ref="D1658">IF(E1658="", "", XLOOKUP(E1658, 'MASTER ITEM LIST'!B:B, 'MASTER ITEM LIST'!A:A, "Code Not Found"))</f>
        <v/>
      </c>
      <c r="E1658" s="35"/>
      <c r="F1658" s="194"/>
      <c r="G1658" s="31"/>
      <c r="H1658" s="39" t="str">
        <f t="array" ref="H1658">IFERROR(XLOOKUP(D1658,'MASTER ITEM LIST'!A:A,'MASTER ITEM LIST'!D:D), "")</f>
        <v/>
      </c>
      <c r="I1658" s="40"/>
      <c r="J1658" s="41" t="str">
        <f t="shared" si="2"/>
        <v/>
      </c>
    </row>
    <row r="1659" ht="22.5" customHeight="1">
      <c r="A1659" s="29"/>
      <c r="B1659" s="31"/>
      <c r="C1659" s="193"/>
      <c r="D1659" s="190" t="str">
        <f t="array" ref="D1659">IF(E1659="", "", XLOOKUP(E1659, 'MASTER ITEM LIST'!B:B, 'MASTER ITEM LIST'!A:A, "Code Not Found"))</f>
        <v/>
      </c>
      <c r="E1659" s="35"/>
      <c r="F1659" s="194"/>
      <c r="G1659" s="31"/>
      <c r="H1659" s="39" t="str">
        <f t="array" ref="H1659">IFERROR(XLOOKUP(D1659,'MASTER ITEM LIST'!A:A,'MASTER ITEM LIST'!D:D), "")</f>
        <v/>
      </c>
      <c r="I1659" s="40"/>
      <c r="J1659" s="41" t="str">
        <f t="shared" si="2"/>
        <v/>
      </c>
    </row>
    <row r="1660" ht="22.5" customHeight="1">
      <c r="A1660" s="29"/>
      <c r="B1660" s="31"/>
      <c r="C1660" s="193"/>
      <c r="D1660" s="190" t="str">
        <f t="array" ref="D1660">IF(E1660="", "", XLOOKUP(E1660, 'MASTER ITEM LIST'!B:B, 'MASTER ITEM LIST'!A:A, "Code Not Found"))</f>
        <v/>
      </c>
      <c r="E1660" s="35"/>
      <c r="F1660" s="194"/>
      <c r="G1660" s="31"/>
      <c r="H1660" s="39" t="str">
        <f t="array" ref="H1660">IFERROR(XLOOKUP(D1660,'MASTER ITEM LIST'!A:A,'MASTER ITEM LIST'!D:D), "")</f>
        <v/>
      </c>
      <c r="I1660" s="40"/>
      <c r="J1660" s="41" t="str">
        <f t="shared" si="2"/>
        <v/>
      </c>
    </row>
    <row r="1661" ht="22.5" customHeight="1">
      <c r="A1661" s="29"/>
      <c r="B1661" s="31"/>
      <c r="C1661" s="193"/>
      <c r="D1661" s="190" t="str">
        <f t="array" ref="D1661">IF(E1661="", "", XLOOKUP(E1661, 'MASTER ITEM LIST'!B:B, 'MASTER ITEM LIST'!A:A, "Code Not Found"))</f>
        <v/>
      </c>
      <c r="E1661" s="35"/>
      <c r="F1661" s="194"/>
      <c r="G1661" s="31"/>
      <c r="H1661" s="39" t="str">
        <f t="array" ref="H1661">IFERROR(XLOOKUP(D1661,'MASTER ITEM LIST'!A:A,'MASTER ITEM LIST'!D:D), "")</f>
        <v/>
      </c>
      <c r="I1661" s="40"/>
      <c r="J1661" s="41" t="str">
        <f t="shared" si="2"/>
        <v/>
      </c>
    </row>
    <row r="1662" ht="22.5" customHeight="1">
      <c r="A1662" s="29"/>
      <c r="B1662" s="31"/>
      <c r="C1662" s="193"/>
      <c r="D1662" s="190" t="str">
        <f t="array" ref="D1662">IF(E1662="", "", XLOOKUP(E1662, 'MASTER ITEM LIST'!B:B, 'MASTER ITEM LIST'!A:A, "Code Not Found"))</f>
        <v/>
      </c>
      <c r="E1662" s="35"/>
      <c r="F1662" s="194"/>
      <c r="G1662" s="31"/>
      <c r="H1662" s="39" t="str">
        <f t="array" ref="H1662">IFERROR(XLOOKUP(D1662,'MASTER ITEM LIST'!A:A,'MASTER ITEM LIST'!D:D), "")</f>
        <v/>
      </c>
      <c r="I1662" s="40"/>
      <c r="J1662" s="41" t="str">
        <f t="shared" si="2"/>
        <v/>
      </c>
    </row>
    <row r="1663" ht="22.5" customHeight="1">
      <c r="A1663" s="29"/>
      <c r="B1663" s="31"/>
      <c r="C1663" s="193"/>
      <c r="D1663" s="190" t="str">
        <f t="array" ref="D1663">IF(E1663="", "", XLOOKUP(E1663, 'MASTER ITEM LIST'!B:B, 'MASTER ITEM LIST'!A:A, "Code Not Found"))</f>
        <v/>
      </c>
      <c r="E1663" s="35"/>
      <c r="F1663" s="194"/>
      <c r="G1663" s="31"/>
      <c r="H1663" s="39" t="str">
        <f t="array" ref="H1663">IFERROR(XLOOKUP(D1663,'MASTER ITEM LIST'!A:A,'MASTER ITEM LIST'!D:D), "")</f>
        <v/>
      </c>
      <c r="I1663" s="40"/>
      <c r="J1663" s="41" t="str">
        <f t="shared" si="2"/>
        <v/>
      </c>
    </row>
    <row r="1664" ht="22.5" customHeight="1">
      <c r="A1664" s="29"/>
      <c r="B1664" s="31"/>
      <c r="C1664" s="193"/>
      <c r="D1664" s="190" t="str">
        <f t="array" ref="D1664">IF(E1664="", "", XLOOKUP(E1664, 'MASTER ITEM LIST'!B:B, 'MASTER ITEM LIST'!A:A, "Code Not Found"))</f>
        <v/>
      </c>
      <c r="E1664" s="35"/>
      <c r="F1664" s="194"/>
      <c r="G1664" s="31"/>
      <c r="H1664" s="39" t="str">
        <f t="array" ref="H1664">IFERROR(XLOOKUP(D1664,'MASTER ITEM LIST'!A:A,'MASTER ITEM LIST'!D:D), "")</f>
        <v/>
      </c>
      <c r="I1664" s="40"/>
      <c r="J1664" s="41" t="str">
        <f t="shared" si="2"/>
        <v/>
      </c>
    </row>
    <row r="1665" ht="22.5" customHeight="1">
      <c r="A1665" s="29"/>
      <c r="B1665" s="31"/>
      <c r="C1665" s="193"/>
      <c r="D1665" s="190" t="str">
        <f t="array" ref="D1665">IF(E1665="", "", XLOOKUP(E1665, 'MASTER ITEM LIST'!B:B, 'MASTER ITEM LIST'!A:A, "Code Not Found"))</f>
        <v/>
      </c>
      <c r="E1665" s="35"/>
      <c r="F1665" s="194"/>
      <c r="G1665" s="31"/>
      <c r="H1665" s="39" t="str">
        <f t="array" ref="H1665">IFERROR(XLOOKUP(D1665,'MASTER ITEM LIST'!A:A,'MASTER ITEM LIST'!D:D), "")</f>
        <v/>
      </c>
      <c r="I1665" s="40"/>
      <c r="J1665" s="41" t="str">
        <f t="shared" si="2"/>
        <v/>
      </c>
    </row>
    <row r="1666" ht="22.5" customHeight="1">
      <c r="A1666" s="29"/>
      <c r="B1666" s="31"/>
      <c r="C1666" s="193"/>
      <c r="D1666" s="190" t="str">
        <f t="array" ref="D1666">IF(E1666="", "", XLOOKUP(E1666, 'MASTER ITEM LIST'!B:B, 'MASTER ITEM LIST'!A:A, "Code Not Found"))</f>
        <v/>
      </c>
      <c r="E1666" s="35"/>
      <c r="F1666" s="194"/>
      <c r="G1666" s="31"/>
      <c r="H1666" s="39" t="str">
        <f t="array" ref="H1666">IFERROR(XLOOKUP(D1666,'MASTER ITEM LIST'!A:A,'MASTER ITEM LIST'!D:D), "")</f>
        <v/>
      </c>
      <c r="I1666" s="40"/>
      <c r="J1666" s="41" t="str">
        <f t="shared" si="2"/>
        <v/>
      </c>
    </row>
    <row r="1667" ht="22.5" customHeight="1">
      <c r="A1667" s="29"/>
      <c r="B1667" s="31"/>
      <c r="C1667" s="193"/>
      <c r="D1667" s="190" t="str">
        <f t="array" ref="D1667">IF(E1667="", "", XLOOKUP(E1667, 'MASTER ITEM LIST'!B:B, 'MASTER ITEM LIST'!A:A, "Code Not Found"))</f>
        <v/>
      </c>
      <c r="E1667" s="35"/>
      <c r="F1667" s="194"/>
      <c r="G1667" s="31"/>
      <c r="H1667" s="39" t="str">
        <f t="array" ref="H1667">IFERROR(XLOOKUP(D1667,'MASTER ITEM LIST'!A:A,'MASTER ITEM LIST'!D:D), "")</f>
        <v/>
      </c>
      <c r="I1667" s="40"/>
      <c r="J1667" s="41" t="str">
        <f t="shared" si="2"/>
        <v/>
      </c>
    </row>
    <row r="1668" ht="22.5" customHeight="1">
      <c r="A1668" s="29"/>
      <c r="B1668" s="31"/>
      <c r="C1668" s="193"/>
      <c r="D1668" s="190" t="str">
        <f t="array" ref="D1668">IF(E1668="", "", XLOOKUP(E1668, 'MASTER ITEM LIST'!B:B, 'MASTER ITEM LIST'!A:A, "Code Not Found"))</f>
        <v/>
      </c>
      <c r="E1668" s="35"/>
      <c r="F1668" s="194"/>
      <c r="G1668" s="31"/>
      <c r="H1668" s="39" t="str">
        <f t="array" ref="H1668">IFERROR(XLOOKUP(D1668,'MASTER ITEM LIST'!A:A,'MASTER ITEM LIST'!D:D), "")</f>
        <v/>
      </c>
      <c r="I1668" s="40"/>
      <c r="J1668" s="41" t="str">
        <f t="shared" si="2"/>
        <v/>
      </c>
    </row>
    <row r="1669" ht="22.5" customHeight="1">
      <c r="A1669" s="29"/>
      <c r="B1669" s="31"/>
      <c r="C1669" s="193"/>
      <c r="D1669" s="190" t="str">
        <f t="array" ref="D1669">IF(E1669="", "", XLOOKUP(E1669, 'MASTER ITEM LIST'!B:B, 'MASTER ITEM LIST'!A:A, "Code Not Found"))</f>
        <v/>
      </c>
      <c r="E1669" s="35"/>
      <c r="F1669" s="194"/>
      <c r="G1669" s="31"/>
      <c r="H1669" s="39" t="str">
        <f t="array" ref="H1669">IFERROR(XLOOKUP(D1669,'MASTER ITEM LIST'!A:A,'MASTER ITEM LIST'!D:D), "")</f>
        <v/>
      </c>
      <c r="I1669" s="40"/>
      <c r="J1669" s="41" t="str">
        <f t="shared" si="2"/>
        <v/>
      </c>
    </row>
    <row r="1670" ht="22.5" customHeight="1">
      <c r="A1670" s="29"/>
      <c r="B1670" s="31"/>
      <c r="C1670" s="193"/>
      <c r="D1670" s="190" t="str">
        <f t="array" ref="D1670">IF(E1670="", "", XLOOKUP(E1670, 'MASTER ITEM LIST'!B:B, 'MASTER ITEM LIST'!A:A, "Code Not Found"))</f>
        <v/>
      </c>
      <c r="E1670" s="35"/>
      <c r="F1670" s="194"/>
      <c r="G1670" s="31"/>
      <c r="H1670" s="39" t="str">
        <f t="array" ref="H1670">IFERROR(XLOOKUP(D1670,'MASTER ITEM LIST'!A:A,'MASTER ITEM LIST'!D:D), "")</f>
        <v/>
      </c>
      <c r="I1670" s="40"/>
      <c r="J1670" s="41" t="str">
        <f t="shared" si="2"/>
        <v/>
      </c>
    </row>
    <row r="1671" ht="22.5" customHeight="1">
      <c r="A1671" s="29"/>
      <c r="B1671" s="31"/>
      <c r="C1671" s="193"/>
      <c r="D1671" s="190" t="str">
        <f t="array" ref="D1671">IF(E1671="", "", XLOOKUP(E1671, 'MASTER ITEM LIST'!B:B, 'MASTER ITEM LIST'!A:A, "Code Not Found"))</f>
        <v/>
      </c>
      <c r="E1671" s="35"/>
      <c r="F1671" s="194"/>
      <c r="G1671" s="31"/>
      <c r="H1671" s="39" t="str">
        <f t="array" ref="H1671">IFERROR(XLOOKUP(D1671,'MASTER ITEM LIST'!A:A,'MASTER ITEM LIST'!D:D), "")</f>
        <v/>
      </c>
      <c r="I1671" s="40"/>
      <c r="J1671" s="41" t="str">
        <f t="shared" si="2"/>
        <v/>
      </c>
    </row>
    <row r="1672" ht="22.5" customHeight="1">
      <c r="A1672" s="29"/>
      <c r="B1672" s="31"/>
      <c r="C1672" s="193"/>
      <c r="D1672" s="190" t="str">
        <f t="array" ref="D1672">IF(E1672="", "", XLOOKUP(E1672, 'MASTER ITEM LIST'!B:B, 'MASTER ITEM LIST'!A:A, "Code Not Found"))</f>
        <v/>
      </c>
      <c r="E1672" s="35"/>
      <c r="F1672" s="194"/>
      <c r="G1672" s="31"/>
      <c r="H1672" s="39" t="str">
        <f t="array" ref="H1672">IFERROR(XLOOKUP(D1672,'MASTER ITEM LIST'!A:A,'MASTER ITEM LIST'!D:D), "")</f>
        <v/>
      </c>
      <c r="I1672" s="40"/>
      <c r="J1672" s="41" t="str">
        <f t="shared" si="2"/>
        <v/>
      </c>
    </row>
    <row r="1673" ht="22.5" customHeight="1">
      <c r="A1673" s="29"/>
      <c r="B1673" s="31"/>
      <c r="C1673" s="193"/>
      <c r="D1673" s="190" t="str">
        <f t="array" ref="D1673">IF(E1673="", "", XLOOKUP(E1673, 'MASTER ITEM LIST'!B:B, 'MASTER ITEM LIST'!A:A, "Code Not Found"))</f>
        <v/>
      </c>
      <c r="E1673" s="35"/>
      <c r="F1673" s="194"/>
      <c r="G1673" s="31"/>
      <c r="H1673" s="39" t="str">
        <f t="array" ref="H1673">IFERROR(XLOOKUP(D1673,'MASTER ITEM LIST'!A:A,'MASTER ITEM LIST'!D:D), "")</f>
        <v/>
      </c>
      <c r="I1673" s="40"/>
      <c r="J1673" s="41" t="str">
        <f t="shared" si="2"/>
        <v/>
      </c>
    </row>
    <row r="1674" ht="22.5" customHeight="1">
      <c r="A1674" s="29"/>
      <c r="B1674" s="31"/>
      <c r="C1674" s="193"/>
      <c r="D1674" s="190" t="str">
        <f t="array" ref="D1674">IF(E1674="", "", XLOOKUP(E1674, 'MASTER ITEM LIST'!B:B, 'MASTER ITEM LIST'!A:A, "Code Not Found"))</f>
        <v/>
      </c>
      <c r="E1674" s="35"/>
      <c r="F1674" s="194"/>
      <c r="G1674" s="31"/>
      <c r="H1674" s="39" t="str">
        <f t="array" ref="H1674">IFERROR(XLOOKUP(D1674,'MASTER ITEM LIST'!A:A,'MASTER ITEM LIST'!D:D), "")</f>
        <v/>
      </c>
      <c r="I1674" s="40"/>
      <c r="J1674" s="41" t="str">
        <f t="shared" si="2"/>
        <v/>
      </c>
    </row>
    <row r="1675" ht="22.5" customHeight="1">
      <c r="A1675" s="29"/>
      <c r="B1675" s="31"/>
      <c r="C1675" s="193"/>
      <c r="D1675" s="190" t="str">
        <f t="array" ref="D1675">IF(E1675="", "", XLOOKUP(E1675, 'MASTER ITEM LIST'!B:B, 'MASTER ITEM LIST'!A:A, "Code Not Found"))</f>
        <v/>
      </c>
      <c r="E1675" s="35"/>
      <c r="F1675" s="194"/>
      <c r="G1675" s="31"/>
      <c r="H1675" s="39" t="str">
        <f t="array" ref="H1675">IFERROR(XLOOKUP(D1675,'MASTER ITEM LIST'!A:A,'MASTER ITEM LIST'!D:D), "")</f>
        <v/>
      </c>
      <c r="I1675" s="40"/>
      <c r="J1675" s="41" t="str">
        <f t="shared" si="2"/>
        <v/>
      </c>
    </row>
    <row r="1676" ht="22.5" customHeight="1">
      <c r="A1676" s="29"/>
      <c r="B1676" s="31"/>
      <c r="C1676" s="193"/>
      <c r="D1676" s="190" t="str">
        <f t="array" ref="D1676">IF(E1676="", "", XLOOKUP(E1676, 'MASTER ITEM LIST'!B:B, 'MASTER ITEM LIST'!A:A, "Code Not Found"))</f>
        <v/>
      </c>
      <c r="E1676" s="35"/>
      <c r="F1676" s="194"/>
      <c r="G1676" s="31"/>
      <c r="H1676" s="39" t="str">
        <f t="array" ref="H1676">IFERROR(XLOOKUP(D1676,'MASTER ITEM LIST'!A:A,'MASTER ITEM LIST'!D:D), "")</f>
        <v/>
      </c>
      <c r="I1676" s="40"/>
      <c r="J1676" s="41" t="str">
        <f t="shared" si="2"/>
        <v/>
      </c>
    </row>
    <row r="1677" ht="22.5" customHeight="1">
      <c r="A1677" s="200"/>
      <c r="B1677" s="138"/>
      <c r="C1677" s="201"/>
      <c r="D1677" s="202" t="str">
        <f t="array" ref="D1677">IF(E1677="", "", XLOOKUP(E1677, 'MASTER ITEM LIST'!B:B, 'MASTER ITEM LIST'!A:A, "Code Not Found"))</f>
        <v/>
      </c>
      <c r="E1677" s="203"/>
      <c r="F1677" s="204"/>
      <c r="G1677" s="138"/>
      <c r="H1677" s="205" t="str">
        <f t="array" ref="H1677">IFERROR(XLOOKUP(D1677,'MASTER ITEM LIST'!A:A,'MASTER ITEM LIST'!D:D), "")</f>
        <v/>
      </c>
      <c r="I1677" s="206"/>
      <c r="J1677" s="207" t="str">
        <f t="shared" si="2"/>
        <v/>
      </c>
    </row>
    <row r="1678" ht="22.5" customHeight="1">
      <c r="A1678" s="200"/>
      <c r="B1678" s="138"/>
      <c r="C1678" s="201"/>
      <c r="D1678" s="202" t="str">
        <f t="array" ref="D1678">IF(E1678="", "", XLOOKUP(E1678, 'MASTER ITEM LIST'!B:B, 'MASTER ITEM LIST'!A:A, "Code Not Found"))</f>
        <v/>
      </c>
      <c r="E1678" s="203"/>
      <c r="F1678" s="204"/>
      <c r="G1678" s="138"/>
      <c r="H1678" s="205" t="str">
        <f t="array" ref="H1678">IFERROR(XLOOKUP(D1678,'MASTER ITEM LIST'!A:A,'MASTER ITEM LIST'!D:D), "")</f>
        <v/>
      </c>
      <c r="I1678" s="206"/>
      <c r="J1678" s="207" t="str">
        <f t="shared" si="2"/>
        <v/>
      </c>
    </row>
    <row r="1679" ht="22.5" customHeight="1">
      <c r="A1679" s="200"/>
      <c r="B1679" s="138"/>
      <c r="C1679" s="201"/>
      <c r="D1679" s="202" t="str">
        <f t="array" ref="D1679">IF(E1679="", "", XLOOKUP(E1679, 'MASTER ITEM LIST'!B:B, 'MASTER ITEM LIST'!A:A, "Code Not Found"))</f>
        <v/>
      </c>
      <c r="E1679" s="203"/>
      <c r="F1679" s="204"/>
      <c r="G1679" s="138"/>
      <c r="H1679" s="205" t="str">
        <f t="array" ref="H1679">IFERROR(XLOOKUP(D1679,'MASTER ITEM LIST'!A:A,'MASTER ITEM LIST'!D:D), "")</f>
        <v/>
      </c>
      <c r="I1679" s="206"/>
      <c r="J1679" s="207" t="str">
        <f t="shared" si="2"/>
        <v/>
      </c>
    </row>
    <row r="1680" ht="22.5" customHeight="1">
      <c r="A1680" s="200"/>
      <c r="B1680" s="138"/>
      <c r="C1680" s="201"/>
      <c r="D1680" s="202" t="str">
        <f t="array" ref="D1680">IF(E1680="", "", XLOOKUP(E1680, 'MASTER ITEM LIST'!B:B, 'MASTER ITEM LIST'!A:A, "Code Not Found"))</f>
        <v/>
      </c>
      <c r="E1680" s="203"/>
      <c r="F1680" s="204"/>
      <c r="G1680" s="138"/>
      <c r="H1680" s="205" t="str">
        <f t="array" ref="H1680">IFERROR(XLOOKUP(D1680,'MASTER ITEM LIST'!A:A,'MASTER ITEM LIST'!D:D), "")</f>
        <v/>
      </c>
      <c r="I1680" s="206"/>
      <c r="J1680" s="207" t="str">
        <f t="shared" si="2"/>
        <v/>
      </c>
    </row>
    <row r="1681" ht="22.5" customHeight="1">
      <c r="A1681" s="200"/>
      <c r="B1681" s="138"/>
      <c r="C1681" s="201"/>
      <c r="D1681" s="202" t="str">
        <f t="array" ref="D1681">IF(E1681="", "", XLOOKUP(E1681, 'MASTER ITEM LIST'!B:B, 'MASTER ITEM LIST'!A:A, "Code Not Found"))</f>
        <v/>
      </c>
      <c r="E1681" s="203"/>
      <c r="F1681" s="204"/>
      <c r="G1681" s="138"/>
      <c r="H1681" s="205" t="str">
        <f t="array" ref="H1681">IFERROR(XLOOKUP(D1681,'MASTER ITEM LIST'!A:A,'MASTER ITEM LIST'!D:D), "")</f>
        <v/>
      </c>
      <c r="I1681" s="206"/>
      <c r="J1681" s="207" t="str">
        <f t="shared" si="2"/>
        <v/>
      </c>
    </row>
    <row r="1682" ht="22.5" customHeight="1">
      <c r="A1682" s="200"/>
      <c r="B1682" s="138"/>
      <c r="C1682" s="201"/>
      <c r="D1682" s="202" t="str">
        <f t="array" ref="D1682">IF(E1682="", "", XLOOKUP(E1682, 'MASTER ITEM LIST'!B:B, 'MASTER ITEM LIST'!A:A, "Code Not Found"))</f>
        <v/>
      </c>
      <c r="E1682" s="203"/>
      <c r="F1682" s="204"/>
      <c r="G1682" s="138"/>
      <c r="H1682" s="205" t="str">
        <f t="array" ref="H1682">IFERROR(XLOOKUP(D1682,'MASTER ITEM LIST'!A:A,'MASTER ITEM LIST'!D:D), "")</f>
        <v/>
      </c>
      <c r="I1682" s="206"/>
      <c r="J1682" s="207" t="str">
        <f t="shared" si="2"/>
        <v/>
      </c>
    </row>
    <row r="1683" ht="22.5" customHeight="1">
      <c r="A1683" s="200"/>
      <c r="B1683" s="138"/>
      <c r="C1683" s="201"/>
      <c r="D1683" s="202" t="str">
        <f t="array" ref="D1683">IF(E1683="", "", XLOOKUP(E1683, 'MASTER ITEM LIST'!B:B, 'MASTER ITEM LIST'!A:A, "Code Not Found"))</f>
        <v/>
      </c>
      <c r="E1683" s="203"/>
      <c r="F1683" s="204"/>
      <c r="G1683" s="138"/>
      <c r="H1683" s="205" t="str">
        <f t="array" ref="H1683">IFERROR(XLOOKUP(D1683,'MASTER ITEM LIST'!A:A,'MASTER ITEM LIST'!D:D), "")</f>
        <v/>
      </c>
      <c r="I1683" s="206"/>
      <c r="J1683" s="207" t="str">
        <f t="shared" si="2"/>
        <v/>
      </c>
    </row>
    <row r="1684" ht="22.5" customHeight="1">
      <c r="A1684" s="200"/>
      <c r="B1684" s="138"/>
      <c r="C1684" s="201"/>
      <c r="D1684" s="202" t="str">
        <f t="array" ref="D1684">IF(E1684="", "", XLOOKUP(E1684, 'MASTER ITEM LIST'!B:B, 'MASTER ITEM LIST'!A:A, "Code Not Found"))</f>
        <v/>
      </c>
      <c r="E1684" s="203"/>
      <c r="F1684" s="204"/>
      <c r="G1684" s="138"/>
      <c r="H1684" s="205" t="str">
        <f t="array" ref="H1684">IFERROR(XLOOKUP(D1684,'MASTER ITEM LIST'!A:A,'MASTER ITEM LIST'!D:D), "")</f>
        <v/>
      </c>
      <c r="I1684" s="206"/>
      <c r="J1684" s="207" t="str">
        <f t="shared" si="2"/>
        <v/>
      </c>
    </row>
    <row r="1685" ht="22.5" customHeight="1">
      <c r="A1685" s="200"/>
      <c r="B1685" s="138"/>
      <c r="C1685" s="201"/>
      <c r="D1685" s="202" t="str">
        <f t="array" ref="D1685">IF(E1685="", "", XLOOKUP(E1685, 'MASTER ITEM LIST'!B:B, 'MASTER ITEM LIST'!A:A, "Code Not Found"))</f>
        <v/>
      </c>
      <c r="E1685" s="203"/>
      <c r="F1685" s="204"/>
      <c r="G1685" s="138"/>
      <c r="H1685" s="205" t="str">
        <f t="array" ref="H1685">IFERROR(XLOOKUP(D1685,'MASTER ITEM LIST'!A:A,'MASTER ITEM LIST'!D:D), "")</f>
        <v/>
      </c>
      <c r="I1685" s="206"/>
      <c r="J1685" s="207" t="str">
        <f t="shared" si="2"/>
        <v/>
      </c>
    </row>
    <row r="1686" ht="22.5" customHeight="1">
      <c r="A1686" s="200"/>
      <c r="B1686" s="138"/>
      <c r="C1686" s="201"/>
      <c r="D1686" s="202" t="str">
        <f t="array" ref="D1686">IF(E1686="", "", XLOOKUP(E1686, 'MASTER ITEM LIST'!B:B, 'MASTER ITEM LIST'!A:A, "Code Not Found"))</f>
        <v/>
      </c>
      <c r="E1686" s="203"/>
      <c r="F1686" s="204"/>
      <c r="G1686" s="138"/>
      <c r="H1686" s="205" t="str">
        <f t="array" ref="H1686">IFERROR(XLOOKUP(D1686,'MASTER ITEM LIST'!A:A,'MASTER ITEM LIST'!D:D), "")</f>
        <v/>
      </c>
      <c r="I1686" s="206"/>
      <c r="J1686" s="207" t="str">
        <f t="shared" si="2"/>
        <v/>
      </c>
    </row>
    <row r="1687" ht="22.5" customHeight="1">
      <c r="A1687" s="200"/>
      <c r="B1687" s="138"/>
      <c r="C1687" s="201"/>
      <c r="D1687" s="202" t="str">
        <f t="array" ref="D1687">IF(E1687="", "", XLOOKUP(E1687, 'MASTER ITEM LIST'!B:B, 'MASTER ITEM LIST'!A:A, "Code Not Found"))</f>
        <v/>
      </c>
      <c r="E1687" s="203"/>
      <c r="F1687" s="204"/>
      <c r="G1687" s="138"/>
      <c r="H1687" s="205" t="str">
        <f t="array" ref="H1687">IFERROR(XLOOKUP(D1687,'MASTER ITEM LIST'!A:A,'MASTER ITEM LIST'!D:D), "")</f>
        <v/>
      </c>
      <c r="I1687" s="206"/>
      <c r="J1687" s="207" t="str">
        <f t="shared" si="2"/>
        <v/>
      </c>
    </row>
    <row r="1688" ht="22.5" customHeight="1">
      <c r="A1688" s="200"/>
      <c r="B1688" s="138"/>
      <c r="C1688" s="201"/>
      <c r="D1688" s="202" t="str">
        <f t="array" ref="D1688">IF(E1688="", "", XLOOKUP(E1688, 'MASTER ITEM LIST'!B:B, 'MASTER ITEM LIST'!A:A, "Code Not Found"))</f>
        <v/>
      </c>
      <c r="E1688" s="203"/>
      <c r="F1688" s="204"/>
      <c r="G1688" s="138"/>
      <c r="H1688" s="205" t="str">
        <f t="array" ref="H1688">IFERROR(XLOOKUP(D1688,'MASTER ITEM LIST'!A:A,'MASTER ITEM LIST'!D:D), "")</f>
        <v/>
      </c>
      <c r="I1688" s="206"/>
      <c r="J1688" s="207" t="str">
        <f t="shared" si="2"/>
        <v/>
      </c>
    </row>
    <row r="1689" ht="22.5" customHeight="1">
      <c r="A1689" s="200"/>
      <c r="B1689" s="138"/>
      <c r="C1689" s="201"/>
      <c r="D1689" s="202" t="str">
        <f t="array" ref="D1689">IF(E1689="", "", XLOOKUP(E1689, 'MASTER ITEM LIST'!B:B, 'MASTER ITEM LIST'!A:A, "Code Not Found"))</f>
        <v/>
      </c>
      <c r="E1689" s="203"/>
      <c r="F1689" s="204"/>
      <c r="G1689" s="138"/>
      <c r="H1689" s="205" t="str">
        <f t="array" ref="H1689">IFERROR(XLOOKUP(D1689,'MASTER ITEM LIST'!A:A,'MASTER ITEM LIST'!D:D), "")</f>
        <v/>
      </c>
      <c r="I1689" s="206"/>
      <c r="J1689" s="207" t="str">
        <f t="shared" si="2"/>
        <v/>
      </c>
    </row>
    <row r="1690" ht="22.5" customHeight="1">
      <c r="A1690" s="200"/>
      <c r="B1690" s="138"/>
      <c r="C1690" s="201"/>
      <c r="D1690" s="202" t="str">
        <f t="array" ref="D1690">IF(E1690="", "", XLOOKUP(E1690, 'MASTER ITEM LIST'!B:B, 'MASTER ITEM LIST'!A:A, "Code Not Found"))</f>
        <v/>
      </c>
      <c r="E1690" s="203"/>
      <c r="F1690" s="204"/>
      <c r="G1690" s="138"/>
      <c r="H1690" s="205" t="str">
        <f t="array" ref="H1690">IFERROR(XLOOKUP(D1690,'MASTER ITEM LIST'!A:A,'MASTER ITEM LIST'!D:D), "")</f>
        <v/>
      </c>
      <c r="I1690" s="206"/>
      <c r="J1690" s="207" t="str">
        <f t="shared" si="2"/>
        <v/>
      </c>
    </row>
    <row r="1691" ht="22.5" customHeight="1">
      <c r="A1691" s="200"/>
      <c r="B1691" s="138"/>
      <c r="C1691" s="201"/>
      <c r="D1691" s="202" t="str">
        <f t="array" ref="D1691">IF(E1691="", "", XLOOKUP(E1691, 'MASTER ITEM LIST'!B:B, 'MASTER ITEM LIST'!A:A, "Code Not Found"))</f>
        <v/>
      </c>
      <c r="E1691" s="203"/>
      <c r="F1691" s="204"/>
      <c r="G1691" s="138"/>
      <c r="H1691" s="205" t="str">
        <f t="array" ref="H1691">IFERROR(XLOOKUP(D1691,'MASTER ITEM LIST'!A:A,'MASTER ITEM LIST'!D:D), "")</f>
        <v/>
      </c>
      <c r="I1691" s="206"/>
      <c r="J1691" s="207" t="str">
        <f t="shared" si="2"/>
        <v/>
      </c>
    </row>
    <row r="1692" ht="22.5" customHeight="1">
      <c r="A1692" s="200"/>
      <c r="B1692" s="138"/>
      <c r="C1692" s="201"/>
      <c r="D1692" s="202" t="str">
        <f t="array" ref="D1692">IF(E1692="", "", XLOOKUP(E1692, 'MASTER ITEM LIST'!B:B, 'MASTER ITEM LIST'!A:A, "Code Not Found"))</f>
        <v/>
      </c>
      <c r="E1692" s="203"/>
      <c r="F1692" s="204"/>
      <c r="G1692" s="138"/>
      <c r="H1692" s="205" t="str">
        <f t="array" ref="H1692">IFERROR(XLOOKUP(D1692,'MASTER ITEM LIST'!A:A,'MASTER ITEM LIST'!D:D), "")</f>
        <v/>
      </c>
      <c r="I1692" s="206"/>
      <c r="J1692" s="207" t="str">
        <f t="shared" si="2"/>
        <v/>
      </c>
    </row>
    <row r="1693" ht="22.5" customHeight="1">
      <c r="A1693" s="200"/>
      <c r="B1693" s="138"/>
      <c r="C1693" s="201"/>
      <c r="D1693" s="202" t="str">
        <f t="array" ref="D1693">IF(E1693="", "", XLOOKUP(E1693, 'MASTER ITEM LIST'!B:B, 'MASTER ITEM LIST'!A:A, "Code Not Found"))</f>
        <v/>
      </c>
      <c r="E1693" s="203"/>
      <c r="F1693" s="204"/>
      <c r="G1693" s="138"/>
      <c r="H1693" s="205" t="str">
        <f t="array" ref="H1693">IFERROR(XLOOKUP(D1693,'MASTER ITEM LIST'!A:A,'MASTER ITEM LIST'!D:D), "")</f>
        <v/>
      </c>
      <c r="I1693" s="206"/>
      <c r="J1693" s="207" t="str">
        <f t="shared" si="2"/>
        <v/>
      </c>
    </row>
    <row r="1694" ht="22.5" customHeight="1">
      <c r="A1694" s="200"/>
      <c r="B1694" s="138"/>
      <c r="C1694" s="201"/>
      <c r="D1694" s="202" t="str">
        <f t="array" ref="D1694">IF(E1694="", "", XLOOKUP(E1694, 'MASTER ITEM LIST'!B:B, 'MASTER ITEM LIST'!A:A, "Code Not Found"))</f>
        <v/>
      </c>
      <c r="E1694" s="203"/>
      <c r="F1694" s="204"/>
      <c r="G1694" s="138"/>
      <c r="H1694" s="205" t="str">
        <f t="array" ref="H1694">IFERROR(XLOOKUP(D1694,'MASTER ITEM LIST'!A:A,'MASTER ITEM LIST'!D:D), "")</f>
        <v/>
      </c>
      <c r="I1694" s="206"/>
      <c r="J1694" s="207" t="str">
        <f t="shared" si="2"/>
        <v/>
      </c>
    </row>
    <row r="1695" ht="22.5" customHeight="1">
      <c r="A1695" s="200"/>
      <c r="B1695" s="138"/>
      <c r="C1695" s="201"/>
      <c r="D1695" s="202" t="str">
        <f t="array" ref="D1695">IF(E1695="", "", XLOOKUP(E1695, 'MASTER ITEM LIST'!B:B, 'MASTER ITEM LIST'!A:A, "Code Not Found"))</f>
        <v/>
      </c>
      <c r="E1695" s="203"/>
      <c r="F1695" s="204"/>
      <c r="G1695" s="138"/>
      <c r="H1695" s="205" t="str">
        <f t="array" ref="H1695">IFERROR(XLOOKUP(D1695,'MASTER ITEM LIST'!A:A,'MASTER ITEM LIST'!D:D), "")</f>
        <v/>
      </c>
      <c r="I1695" s="206"/>
      <c r="J1695" s="207" t="str">
        <f t="shared" si="2"/>
        <v/>
      </c>
    </row>
    <row r="1696" ht="22.5" customHeight="1">
      <c r="A1696" s="200"/>
      <c r="B1696" s="138"/>
      <c r="C1696" s="201"/>
      <c r="D1696" s="202" t="str">
        <f t="array" ref="D1696">IF(E1696="", "", XLOOKUP(E1696, 'MASTER ITEM LIST'!B:B, 'MASTER ITEM LIST'!A:A, "Code Not Found"))</f>
        <v/>
      </c>
      <c r="E1696" s="203"/>
      <c r="F1696" s="204"/>
      <c r="G1696" s="138"/>
      <c r="H1696" s="205" t="str">
        <f t="array" ref="H1696">IFERROR(XLOOKUP(D1696,'MASTER ITEM LIST'!A:A,'MASTER ITEM LIST'!D:D), "")</f>
        <v/>
      </c>
      <c r="I1696" s="206"/>
      <c r="J1696" s="207" t="str">
        <f t="shared" si="2"/>
        <v/>
      </c>
    </row>
    <row r="1697" ht="22.5" customHeight="1">
      <c r="A1697" s="200"/>
      <c r="B1697" s="138"/>
      <c r="C1697" s="201"/>
      <c r="D1697" s="202" t="str">
        <f t="array" ref="D1697">IF(E1697="", "", XLOOKUP(E1697, 'MASTER ITEM LIST'!B:B, 'MASTER ITEM LIST'!A:A, "Code Not Found"))</f>
        <v/>
      </c>
      <c r="E1697" s="203"/>
      <c r="F1697" s="204"/>
      <c r="G1697" s="138"/>
      <c r="H1697" s="205" t="str">
        <f t="array" ref="H1697">IFERROR(XLOOKUP(D1697,'MASTER ITEM LIST'!A:A,'MASTER ITEM LIST'!D:D), "")</f>
        <v/>
      </c>
      <c r="I1697" s="206"/>
      <c r="J1697" s="207" t="str">
        <f t="shared" si="2"/>
        <v/>
      </c>
    </row>
    <row r="1698" ht="22.5" customHeight="1">
      <c r="A1698" s="200"/>
      <c r="B1698" s="138"/>
      <c r="C1698" s="201"/>
      <c r="D1698" s="202" t="str">
        <f t="array" ref="D1698">IF(E1698="", "", XLOOKUP(E1698, 'MASTER ITEM LIST'!B:B, 'MASTER ITEM LIST'!A:A, "Code Not Found"))</f>
        <v/>
      </c>
      <c r="E1698" s="203"/>
      <c r="F1698" s="204"/>
      <c r="G1698" s="138"/>
      <c r="H1698" s="205" t="str">
        <f t="array" ref="H1698">IFERROR(XLOOKUP(D1698,'MASTER ITEM LIST'!A:A,'MASTER ITEM LIST'!D:D), "")</f>
        <v/>
      </c>
      <c r="I1698" s="206"/>
      <c r="J1698" s="207" t="str">
        <f t="shared" si="2"/>
        <v/>
      </c>
    </row>
    <row r="1699" ht="22.5" customHeight="1">
      <c r="A1699" s="200"/>
      <c r="B1699" s="138"/>
      <c r="C1699" s="201"/>
      <c r="D1699" s="202" t="str">
        <f t="array" ref="D1699">IF(E1699="", "", XLOOKUP(E1699, 'MASTER ITEM LIST'!B:B, 'MASTER ITEM LIST'!A:A, "Code Not Found"))</f>
        <v/>
      </c>
      <c r="E1699" s="203"/>
      <c r="F1699" s="204"/>
      <c r="G1699" s="138"/>
      <c r="H1699" s="205" t="str">
        <f t="array" ref="H1699">IFERROR(XLOOKUP(D1699,'MASTER ITEM LIST'!A:A,'MASTER ITEM LIST'!D:D), "")</f>
        <v/>
      </c>
      <c r="I1699" s="206"/>
      <c r="J1699" s="207" t="str">
        <f t="shared" si="2"/>
        <v/>
      </c>
    </row>
    <row r="1700" ht="22.5" customHeight="1">
      <c r="A1700" s="200"/>
      <c r="B1700" s="138"/>
      <c r="C1700" s="201"/>
      <c r="D1700" s="202" t="str">
        <f t="array" ref="D1700">IF(E1700="", "", XLOOKUP(E1700, 'MASTER ITEM LIST'!B:B, 'MASTER ITEM LIST'!A:A, "Code Not Found"))</f>
        <v/>
      </c>
      <c r="E1700" s="203"/>
      <c r="F1700" s="204"/>
      <c r="G1700" s="138"/>
      <c r="H1700" s="205" t="str">
        <f t="array" ref="H1700">IFERROR(XLOOKUP(D1700,'MASTER ITEM LIST'!A:A,'MASTER ITEM LIST'!D:D), "")</f>
        <v/>
      </c>
      <c r="I1700" s="206"/>
      <c r="J1700" s="207" t="str">
        <f t="shared" si="2"/>
        <v/>
      </c>
    </row>
    <row r="1701" ht="22.5" customHeight="1">
      <c r="A1701" s="200"/>
      <c r="B1701" s="138"/>
      <c r="C1701" s="201"/>
      <c r="D1701" s="202" t="str">
        <f t="array" ref="D1701">IF(E1701="", "", XLOOKUP(E1701, 'MASTER ITEM LIST'!B:B, 'MASTER ITEM LIST'!A:A, "Code Not Found"))</f>
        <v/>
      </c>
      <c r="E1701" s="203"/>
      <c r="F1701" s="204"/>
      <c r="G1701" s="138"/>
      <c r="H1701" s="205" t="str">
        <f t="array" ref="H1701">IFERROR(XLOOKUP(D1701,'MASTER ITEM LIST'!A:A,'MASTER ITEM LIST'!D:D), "")</f>
        <v/>
      </c>
      <c r="I1701" s="206"/>
      <c r="J1701" s="207" t="str">
        <f t="shared" si="2"/>
        <v/>
      </c>
    </row>
    <row r="1702" ht="22.5" customHeight="1">
      <c r="A1702" s="200"/>
      <c r="B1702" s="138"/>
      <c r="C1702" s="201"/>
      <c r="D1702" s="202" t="str">
        <f t="array" ref="D1702">IF(E1702="", "", XLOOKUP(E1702, 'MASTER ITEM LIST'!B:B, 'MASTER ITEM LIST'!A:A, "Code Not Found"))</f>
        <v/>
      </c>
      <c r="E1702" s="203"/>
      <c r="F1702" s="204"/>
      <c r="G1702" s="138"/>
      <c r="H1702" s="205" t="str">
        <f t="array" ref="H1702">IFERROR(XLOOKUP(D1702,'MASTER ITEM LIST'!A:A,'MASTER ITEM LIST'!D:D), "")</f>
        <v/>
      </c>
      <c r="I1702" s="206"/>
      <c r="J1702" s="207" t="str">
        <f t="shared" si="2"/>
        <v/>
      </c>
    </row>
    <row r="1703" ht="22.5" customHeight="1">
      <c r="A1703" s="200"/>
      <c r="B1703" s="138"/>
      <c r="C1703" s="201"/>
      <c r="D1703" s="202" t="str">
        <f t="array" ref="D1703">IF(E1703="", "", XLOOKUP(E1703, 'MASTER ITEM LIST'!B:B, 'MASTER ITEM LIST'!A:A, "Code Not Found"))</f>
        <v/>
      </c>
      <c r="E1703" s="203"/>
      <c r="F1703" s="204"/>
      <c r="G1703" s="138"/>
      <c r="H1703" s="205" t="str">
        <f t="array" ref="H1703">IFERROR(XLOOKUP(D1703,'MASTER ITEM LIST'!A:A,'MASTER ITEM LIST'!D:D), "")</f>
        <v/>
      </c>
      <c r="I1703" s="206"/>
      <c r="J1703" s="207" t="str">
        <f t="shared" si="2"/>
        <v/>
      </c>
    </row>
    <row r="1704" ht="22.5" customHeight="1">
      <c r="A1704" s="200"/>
      <c r="B1704" s="138"/>
      <c r="C1704" s="201"/>
      <c r="D1704" s="202" t="str">
        <f t="array" ref="D1704">IF(E1704="", "", XLOOKUP(E1704, 'MASTER ITEM LIST'!B:B, 'MASTER ITEM LIST'!A:A, "Code Not Found"))</f>
        <v/>
      </c>
      <c r="E1704" s="203"/>
      <c r="F1704" s="204"/>
      <c r="G1704" s="138"/>
      <c r="H1704" s="205" t="str">
        <f t="array" ref="H1704">IFERROR(XLOOKUP(D1704,'MASTER ITEM LIST'!A:A,'MASTER ITEM LIST'!D:D), "")</f>
        <v/>
      </c>
      <c r="I1704" s="206"/>
      <c r="J1704" s="207" t="str">
        <f t="shared" si="2"/>
        <v/>
      </c>
    </row>
    <row r="1705" ht="22.5" customHeight="1">
      <c r="A1705" s="200"/>
      <c r="B1705" s="138"/>
      <c r="C1705" s="201"/>
      <c r="D1705" s="202" t="str">
        <f t="array" ref="D1705">IF(E1705="", "", XLOOKUP(E1705, 'MASTER ITEM LIST'!B:B, 'MASTER ITEM LIST'!A:A, "Code Not Found"))</f>
        <v/>
      </c>
      <c r="E1705" s="203"/>
      <c r="F1705" s="204"/>
      <c r="G1705" s="138"/>
      <c r="H1705" s="205" t="str">
        <f t="array" ref="H1705">IFERROR(XLOOKUP(D1705,'MASTER ITEM LIST'!A:A,'MASTER ITEM LIST'!D:D), "")</f>
        <v/>
      </c>
      <c r="I1705" s="206"/>
      <c r="J1705" s="207" t="str">
        <f t="shared" si="2"/>
        <v/>
      </c>
    </row>
    <row r="1706" ht="22.5" customHeight="1">
      <c r="A1706" s="200"/>
      <c r="B1706" s="138"/>
      <c r="C1706" s="201"/>
      <c r="D1706" s="202" t="str">
        <f t="array" ref="D1706">IF(E1706="", "", XLOOKUP(E1706, 'MASTER ITEM LIST'!B:B, 'MASTER ITEM LIST'!A:A, "Code Not Found"))</f>
        <v/>
      </c>
      <c r="E1706" s="203"/>
      <c r="F1706" s="204"/>
      <c r="G1706" s="138"/>
      <c r="H1706" s="205" t="str">
        <f t="array" ref="H1706">IFERROR(XLOOKUP(D1706,'MASTER ITEM LIST'!A:A,'MASTER ITEM LIST'!D:D), "")</f>
        <v/>
      </c>
      <c r="I1706" s="206"/>
      <c r="J1706" s="207" t="str">
        <f t="shared" si="2"/>
        <v/>
      </c>
    </row>
    <row r="1707" ht="22.5" customHeight="1">
      <c r="A1707" s="200"/>
      <c r="B1707" s="138"/>
      <c r="C1707" s="201"/>
      <c r="D1707" s="202" t="str">
        <f t="array" ref="D1707">IF(E1707="", "", XLOOKUP(E1707, 'MASTER ITEM LIST'!B:B, 'MASTER ITEM LIST'!A:A, "Code Not Found"))</f>
        <v/>
      </c>
      <c r="E1707" s="203"/>
      <c r="F1707" s="204"/>
      <c r="G1707" s="138"/>
      <c r="H1707" s="205" t="str">
        <f t="array" ref="H1707">IFERROR(XLOOKUP(D1707,'MASTER ITEM LIST'!A:A,'MASTER ITEM LIST'!D:D), "")</f>
        <v/>
      </c>
      <c r="I1707" s="206"/>
      <c r="J1707" s="207" t="str">
        <f t="shared" si="2"/>
        <v/>
      </c>
    </row>
    <row r="1708" ht="22.5" customHeight="1">
      <c r="A1708" s="200"/>
      <c r="B1708" s="138"/>
      <c r="C1708" s="201"/>
      <c r="D1708" s="202" t="str">
        <f t="array" ref="D1708">IF(E1708="", "", XLOOKUP(E1708, 'MASTER ITEM LIST'!B:B, 'MASTER ITEM LIST'!A:A, "Code Not Found"))</f>
        <v/>
      </c>
      <c r="E1708" s="203"/>
      <c r="F1708" s="204"/>
      <c r="G1708" s="138"/>
      <c r="H1708" s="205" t="str">
        <f t="array" ref="H1708">IFERROR(XLOOKUP(D1708,'MASTER ITEM LIST'!A:A,'MASTER ITEM LIST'!D:D), "")</f>
        <v/>
      </c>
      <c r="I1708" s="206"/>
      <c r="J1708" s="207" t="str">
        <f t="shared" si="2"/>
        <v/>
      </c>
    </row>
    <row r="1709" ht="22.5" customHeight="1">
      <c r="A1709" s="200"/>
      <c r="B1709" s="138"/>
      <c r="C1709" s="201"/>
      <c r="D1709" s="202" t="str">
        <f t="array" ref="D1709">IF(E1709="", "", XLOOKUP(E1709, 'MASTER ITEM LIST'!B:B, 'MASTER ITEM LIST'!A:A, "Code Not Found"))</f>
        <v/>
      </c>
      <c r="E1709" s="203"/>
      <c r="F1709" s="204"/>
      <c r="G1709" s="138"/>
      <c r="H1709" s="205" t="str">
        <f t="array" ref="H1709">IFERROR(XLOOKUP(D1709,'MASTER ITEM LIST'!A:A,'MASTER ITEM LIST'!D:D), "")</f>
        <v/>
      </c>
      <c r="I1709" s="206"/>
      <c r="J1709" s="207" t="str">
        <f t="shared" si="2"/>
        <v/>
      </c>
    </row>
    <row r="1710" ht="22.5" customHeight="1">
      <c r="A1710" s="200"/>
      <c r="B1710" s="138"/>
      <c r="C1710" s="201"/>
      <c r="D1710" s="202" t="str">
        <f t="array" ref="D1710">IF(E1710="", "", XLOOKUP(E1710, 'MASTER ITEM LIST'!B:B, 'MASTER ITEM LIST'!A:A, "Code Not Found"))</f>
        <v/>
      </c>
      <c r="E1710" s="203"/>
      <c r="F1710" s="204"/>
      <c r="G1710" s="138"/>
      <c r="H1710" s="205" t="str">
        <f t="array" ref="H1710">IFERROR(XLOOKUP(D1710,'MASTER ITEM LIST'!A:A,'MASTER ITEM LIST'!D:D), "")</f>
        <v/>
      </c>
      <c r="I1710" s="206"/>
      <c r="J1710" s="207" t="str">
        <f t="shared" si="2"/>
        <v/>
      </c>
    </row>
    <row r="1711" ht="22.5" customHeight="1">
      <c r="A1711" s="200"/>
      <c r="B1711" s="138"/>
      <c r="C1711" s="201"/>
      <c r="D1711" s="202" t="str">
        <f t="array" ref="D1711">IF(E1711="", "", XLOOKUP(E1711, 'MASTER ITEM LIST'!B:B, 'MASTER ITEM LIST'!A:A, "Code Not Found"))</f>
        <v/>
      </c>
      <c r="E1711" s="203"/>
      <c r="F1711" s="204"/>
      <c r="G1711" s="138"/>
      <c r="H1711" s="205" t="str">
        <f t="array" ref="H1711">IFERROR(XLOOKUP(D1711,'MASTER ITEM LIST'!A:A,'MASTER ITEM LIST'!D:D), "")</f>
        <v/>
      </c>
      <c r="I1711" s="206"/>
      <c r="J1711" s="207" t="str">
        <f t="shared" si="2"/>
        <v/>
      </c>
    </row>
    <row r="1712" ht="22.5" customHeight="1">
      <c r="A1712" s="200"/>
      <c r="B1712" s="138"/>
      <c r="C1712" s="201"/>
      <c r="D1712" s="202" t="str">
        <f t="array" ref="D1712">IF(E1712="", "", XLOOKUP(E1712, 'MASTER ITEM LIST'!B:B, 'MASTER ITEM LIST'!A:A, "Code Not Found"))</f>
        <v/>
      </c>
      <c r="E1712" s="203"/>
      <c r="F1712" s="204"/>
      <c r="G1712" s="138"/>
      <c r="H1712" s="205" t="str">
        <f t="array" ref="H1712">IFERROR(XLOOKUP(D1712,'MASTER ITEM LIST'!A:A,'MASTER ITEM LIST'!D:D), "")</f>
        <v/>
      </c>
      <c r="I1712" s="206"/>
      <c r="J1712" s="207" t="str">
        <f t="shared" si="2"/>
        <v/>
      </c>
    </row>
    <row r="1713" ht="22.5" customHeight="1">
      <c r="A1713" s="200"/>
      <c r="B1713" s="138"/>
      <c r="C1713" s="201"/>
      <c r="D1713" s="202" t="str">
        <f t="array" ref="D1713">IF(E1713="", "", XLOOKUP(E1713, 'MASTER ITEM LIST'!B:B, 'MASTER ITEM LIST'!A:A, "Code Not Found"))</f>
        <v/>
      </c>
      <c r="E1713" s="203"/>
      <c r="F1713" s="204"/>
      <c r="G1713" s="138"/>
      <c r="H1713" s="205" t="str">
        <f t="array" ref="H1713">IFERROR(XLOOKUP(D1713,'MASTER ITEM LIST'!A:A,'MASTER ITEM LIST'!D:D), "")</f>
        <v/>
      </c>
      <c r="I1713" s="206"/>
      <c r="J1713" s="207" t="str">
        <f t="shared" si="2"/>
        <v/>
      </c>
    </row>
    <row r="1714" ht="22.5" customHeight="1">
      <c r="A1714" s="200"/>
      <c r="B1714" s="138"/>
      <c r="C1714" s="201"/>
      <c r="D1714" s="202" t="str">
        <f t="array" ref="D1714">IF(E1714="", "", XLOOKUP(E1714, 'MASTER ITEM LIST'!B:B, 'MASTER ITEM LIST'!A:A, "Code Not Found"))</f>
        <v/>
      </c>
      <c r="E1714" s="203"/>
      <c r="F1714" s="204"/>
      <c r="G1714" s="138"/>
      <c r="H1714" s="205" t="str">
        <f t="array" ref="H1714">IFERROR(XLOOKUP(D1714,'MASTER ITEM LIST'!A:A,'MASTER ITEM LIST'!D:D), "")</f>
        <v/>
      </c>
      <c r="I1714" s="206"/>
      <c r="J1714" s="207" t="str">
        <f t="shared" si="2"/>
        <v/>
      </c>
    </row>
    <row r="1715" ht="22.5" customHeight="1">
      <c r="A1715" s="200"/>
      <c r="B1715" s="138"/>
      <c r="C1715" s="201"/>
      <c r="D1715" s="202" t="str">
        <f t="array" ref="D1715">IF(E1715="", "", XLOOKUP(E1715, 'MASTER ITEM LIST'!B:B, 'MASTER ITEM LIST'!A:A, "Code Not Found"))</f>
        <v/>
      </c>
      <c r="E1715" s="203"/>
      <c r="F1715" s="204"/>
      <c r="G1715" s="138"/>
      <c r="H1715" s="205" t="str">
        <f t="array" ref="H1715">IFERROR(XLOOKUP(D1715,'MASTER ITEM LIST'!A:A,'MASTER ITEM LIST'!D:D), "")</f>
        <v/>
      </c>
      <c r="I1715" s="206"/>
      <c r="J1715" s="207" t="str">
        <f t="shared" si="2"/>
        <v/>
      </c>
    </row>
    <row r="1716" ht="22.5" customHeight="1">
      <c r="A1716" s="200"/>
      <c r="B1716" s="138"/>
      <c r="C1716" s="201"/>
      <c r="D1716" s="202" t="str">
        <f t="array" ref="D1716">IF(E1716="", "", XLOOKUP(E1716, 'MASTER ITEM LIST'!B:B, 'MASTER ITEM LIST'!A:A, "Code Not Found"))</f>
        <v/>
      </c>
      <c r="E1716" s="203"/>
      <c r="F1716" s="204"/>
      <c r="G1716" s="138"/>
      <c r="H1716" s="205" t="str">
        <f t="array" ref="H1716">IFERROR(XLOOKUP(D1716,'MASTER ITEM LIST'!A:A,'MASTER ITEM LIST'!D:D), "")</f>
        <v/>
      </c>
      <c r="I1716" s="206"/>
      <c r="J1716" s="207" t="str">
        <f t="shared" si="2"/>
        <v/>
      </c>
    </row>
    <row r="1717" ht="22.5" customHeight="1">
      <c r="A1717" s="200"/>
      <c r="B1717" s="138"/>
      <c r="C1717" s="201"/>
      <c r="D1717" s="202" t="str">
        <f t="array" ref="D1717">IF(E1717="", "", XLOOKUP(E1717, 'MASTER ITEM LIST'!B:B, 'MASTER ITEM LIST'!A:A, "Code Not Found"))</f>
        <v/>
      </c>
      <c r="E1717" s="203"/>
      <c r="F1717" s="204"/>
      <c r="G1717" s="138"/>
      <c r="H1717" s="205" t="str">
        <f t="array" ref="H1717">IFERROR(XLOOKUP(D1717,'MASTER ITEM LIST'!A:A,'MASTER ITEM LIST'!D:D), "")</f>
        <v/>
      </c>
      <c r="I1717" s="206"/>
      <c r="J1717" s="207" t="str">
        <f t="shared" si="2"/>
        <v/>
      </c>
    </row>
    <row r="1718" ht="22.5" customHeight="1">
      <c r="A1718" s="200"/>
      <c r="B1718" s="138"/>
      <c r="C1718" s="201"/>
      <c r="D1718" s="202" t="str">
        <f t="array" ref="D1718">IF(E1718="", "", XLOOKUP(E1718, 'MASTER ITEM LIST'!B:B, 'MASTER ITEM LIST'!A:A, "Code Not Found"))</f>
        <v/>
      </c>
      <c r="E1718" s="203"/>
      <c r="F1718" s="204"/>
      <c r="G1718" s="138"/>
      <c r="H1718" s="205" t="str">
        <f t="array" ref="H1718">IFERROR(XLOOKUP(D1718,'MASTER ITEM LIST'!A:A,'MASTER ITEM LIST'!D:D), "")</f>
        <v/>
      </c>
      <c r="I1718" s="206"/>
      <c r="J1718" s="207" t="str">
        <f t="shared" si="2"/>
        <v/>
      </c>
    </row>
    <row r="1719" ht="22.5" customHeight="1">
      <c r="A1719" s="200"/>
      <c r="B1719" s="138"/>
      <c r="C1719" s="201"/>
      <c r="D1719" s="202" t="str">
        <f t="array" ref="D1719">IF(E1719="", "", XLOOKUP(E1719, 'MASTER ITEM LIST'!B:B, 'MASTER ITEM LIST'!A:A, "Code Not Found"))</f>
        <v/>
      </c>
      <c r="E1719" s="203"/>
      <c r="F1719" s="204"/>
      <c r="G1719" s="138"/>
      <c r="H1719" s="205" t="str">
        <f t="array" ref="H1719">IFERROR(XLOOKUP(D1719,'MASTER ITEM LIST'!A:A,'MASTER ITEM LIST'!D:D), "")</f>
        <v/>
      </c>
      <c r="I1719" s="206"/>
      <c r="J1719" s="207" t="str">
        <f t="shared" si="2"/>
        <v/>
      </c>
    </row>
    <row r="1720" ht="22.5" customHeight="1">
      <c r="A1720" s="200"/>
      <c r="B1720" s="138"/>
      <c r="C1720" s="201"/>
      <c r="D1720" s="202" t="str">
        <f t="array" ref="D1720">IF(E1720="", "", XLOOKUP(E1720, 'MASTER ITEM LIST'!B:B, 'MASTER ITEM LIST'!A:A, "Code Not Found"))</f>
        <v/>
      </c>
      <c r="E1720" s="203"/>
      <c r="F1720" s="204"/>
      <c r="G1720" s="138"/>
      <c r="H1720" s="205" t="str">
        <f t="array" ref="H1720">IFERROR(XLOOKUP(D1720,'MASTER ITEM LIST'!A:A,'MASTER ITEM LIST'!D:D), "")</f>
        <v/>
      </c>
      <c r="I1720" s="206"/>
      <c r="J1720" s="207" t="str">
        <f t="shared" si="2"/>
        <v/>
      </c>
    </row>
    <row r="1721" ht="22.5" customHeight="1">
      <c r="A1721" s="200"/>
      <c r="B1721" s="138"/>
      <c r="C1721" s="201"/>
      <c r="D1721" s="202" t="str">
        <f t="array" ref="D1721">IF(E1721="", "", XLOOKUP(E1721, 'MASTER ITEM LIST'!B:B, 'MASTER ITEM LIST'!A:A, "Code Not Found"))</f>
        <v/>
      </c>
      <c r="E1721" s="203"/>
      <c r="F1721" s="204"/>
      <c r="G1721" s="138"/>
      <c r="H1721" s="205" t="str">
        <f t="array" ref="H1721">IFERROR(XLOOKUP(D1721,'MASTER ITEM LIST'!A:A,'MASTER ITEM LIST'!D:D), "")</f>
        <v/>
      </c>
      <c r="I1721" s="206"/>
      <c r="J1721" s="207" t="str">
        <f t="shared" si="2"/>
        <v/>
      </c>
    </row>
    <row r="1722" ht="22.5" customHeight="1">
      <c r="A1722" s="200"/>
      <c r="B1722" s="138"/>
      <c r="C1722" s="201"/>
      <c r="D1722" s="202" t="str">
        <f t="array" ref="D1722">IF(E1722="", "", XLOOKUP(E1722, 'MASTER ITEM LIST'!B:B, 'MASTER ITEM LIST'!A:A, "Code Not Found"))</f>
        <v/>
      </c>
      <c r="E1722" s="203"/>
      <c r="F1722" s="204"/>
      <c r="G1722" s="138"/>
      <c r="H1722" s="205" t="str">
        <f t="array" ref="H1722">IFERROR(XLOOKUP(D1722,'MASTER ITEM LIST'!A:A,'MASTER ITEM LIST'!D:D), "")</f>
        <v/>
      </c>
      <c r="I1722" s="206"/>
      <c r="J1722" s="207" t="str">
        <f t="shared" si="2"/>
        <v/>
      </c>
    </row>
    <row r="1723" ht="22.5" customHeight="1">
      <c r="A1723" s="200"/>
      <c r="B1723" s="138"/>
      <c r="C1723" s="201"/>
      <c r="D1723" s="202" t="str">
        <f t="array" ref="D1723">IF(E1723="", "", XLOOKUP(E1723, 'MASTER ITEM LIST'!B:B, 'MASTER ITEM LIST'!A:A, "Code Not Found"))</f>
        <v/>
      </c>
      <c r="E1723" s="203"/>
      <c r="F1723" s="204"/>
      <c r="G1723" s="138"/>
      <c r="H1723" s="205" t="str">
        <f t="array" ref="H1723">IFERROR(XLOOKUP(D1723,'MASTER ITEM LIST'!A:A,'MASTER ITEM LIST'!D:D), "")</f>
        <v/>
      </c>
      <c r="I1723" s="206"/>
      <c r="J1723" s="207" t="str">
        <f t="shared" si="2"/>
        <v/>
      </c>
    </row>
    <row r="1724" ht="22.5" customHeight="1">
      <c r="A1724" s="200"/>
      <c r="B1724" s="138"/>
      <c r="C1724" s="201"/>
      <c r="D1724" s="202" t="str">
        <f t="array" ref="D1724">IF(E1724="", "", XLOOKUP(E1724, 'MASTER ITEM LIST'!B:B, 'MASTER ITEM LIST'!A:A, "Code Not Found"))</f>
        <v/>
      </c>
      <c r="E1724" s="203"/>
      <c r="F1724" s="204"/>
      <c r="G1724" s="138"/>
      <c r="H1724" s="205" t="str">
        <f t="array" ref="H1724">IFERROR(XLOOKUP(D1724,'MASTER ITEM LIST'!A:A,'MASTER ITEM LIST'!D:D), "")</f>
        <v/>
      </c>
      <c r="I1724" s="206"/>
      <c r="J1724" s="207" t="str">
        <f t="shared" si="2"/>
        <v/>
      </c>
    </row>
    <row r="1725" ht="22.5" customHeight="1">
      <c r="A1725" s="200"/>
      <c r="B1725" s="138"/>
      <c r="C1725" s="201"/>
      <c r="D1725" s="202" t="str">
        <f t="array" ref="D1725">IF(E1725="", "", XLOOKUP(E1725, 'MASTER ITEM LIST'!B:B, 'MASTER ITEM LIST'!A:A, "Code Not Found"))</f>
        <v/>
      </c>
      <c r="E1725" s="203"/>
      <c r="F1725" s="204"/>
      <c r="G1725" s="138"/>
      <c r="H1725" s="205" t="str">
        <f t="array" ref="H1725">IFERROR(XLOOKUP(D1725,'MASTER ITEM LIST'!A:A,'MASTER ITEM LIST'!D:D), "")</f>
        <v/>
      </c>
      <c r="I1725" s="206"/>
      <c r="J1725" s="207" t="str">
        <f t="shared" si="2"/>
        <v/>
      </c>
    </row>
    <row r="1726" ht="22.5" customHeight="1">
      <c r="A1726" s="200"/>
      <c r="B1726" s="138"/>
      <c r="C1726" s="201"/>
      <c r="D1726" s="202" t="str">
        <f t="array" ref="D1726">IF(E1726="", "", XLOOKUP(E1726, 'MASTER ITEM LIST'!B:B, 'MASTER ITEM LIST'!A:A, "Code Not Found"))</f>
        <v/>
      </c>
      <c r="E1726" s="203"/>
      <c r="F1726" s="204"/>
      <c r="G1726" s="138"/>
      <c r="H1726" s="205" t="str">
        <f t="array" ref="H1726">IFERROR(XLOOKUP(D1726,'MASTER ITEM LIST'!A:A,'MASTER ITEM LIST'!D:D), "")</f>
        <v/>
      </c>
      <c r="I1726" s="206"/>
      <c r="J1726" s="207" t="str">
        <f t="shared" si="2"/>
        <v/>
      </c>
    </row>
    <row r="1727" ht="22.5" customHeight="1">
      <c r="A1727" s="200"/>
      <c r="B1727" s="138"/>
      <c r="C1727" s="201"/>
      <c r="D1727" s="202" t="str">
        <f t="array" ref="D1727">IF(E1727="", "", XLOOKUP(E1727, 'MASTER ITEM LIST'!B:B, 'MASTER ITEM LIST'!A:A, "Code Not Found"))</f>
        <v/>
      </c>
      <c r="E1727" s="203"/>
      <c r="F1727" s="204"/>
      <c r="G1727" s="138"/>
      <c r="H1727" s="205" t="str">
        <f t="array" ref="H1727">IFERROR(XLOOKUP(D1727,'MASTER ITEM LIST'!A:A,'MASTER ITEM LIST'!D:D), "")</f>
        <v/>
      </c>
      <c r="I1727" s="206"/>
      <c r="J1727" s="207" t="str">
        <f t="shared" si="2"/>
        <v/>
      </c>
    </row>
    <row r="1728" ht="22.5" customHeight="1">
      <c r="A1728" s="200"/>
      <c r="B1728" s="138"/>
      <c r="C1728" s="201"/>
      <c r="D1728" s="202" t="str">
        <f t="array" ref="D1728">IF(E1728="", "", XLOOKUP(E1728, 'MASTER ITEM LIST'!B:B, 'MASTER ITEM LIST'!A:A, "Code Not Found"))</f>
        <v/>
      </c>
      <c r="E1728" s="203"/>
      <c r="F1728" s="204"/>
      <c r="G1728" s="138"/>
      <c r="H1728" s="205" t="str">
        <f t="array" ref="H1728">IFERROR(XLOOKUP(D1728,'MASTER ITEM LIST'!A:A,'MASTER ITEM LIST'!D:D), "")</f>
        <v/>
      </c>
      <c r="I1728" s="206"/>
      <c r="J1728" s="207" t="str">
        <f t="shared" si="2"/>
        <v/>
      </c>
    </row>
    <row r="1729" ht="22.5" customHeight="1">
      <c r="A1729" s="200"/>
      <c r="B1729" s="138"/>
      <c r="C1729" s="201"/>
      <c r="D1729" s="202" t="str">
        <f t="array" ref="D1729">IF(E1729="", "", XLOOKUP(E1729, 'MASTER ITEM LIST'!B:B, 'MASTER ITEM LIST'!A:A, "Code Not Found"))</f>
        <v/>
      </c>
      <c r="E1729" s="203"/>
      <c r="F1729" s="204"/>
      <c r="G1729" s="138"/>
      <c r="H1729" s="205" t="str">
        <f t="array" ref="H1729">IFERROR(XLOOKUP(D1729,'MASTER ITEM LIST'!A:A,'MASTER ITEM LIST'!D:D), "")</f>
        <v/>
      </c>
      <c r="I1729" s="206"/>
      <c r="J1729" s="207" t="str">
        <f t="shared" si="2"/>
        <v/>
      </c>
    </row>
    <row r="1730" ht="22.5" customHeight="1">
      <c r="A1730" s="200"/>
      <c r="B1730" s="138"/>
      <c r="C1730" s="201"/>
      <c r="D1730" s="202" t="str">
        <f t="array" ref="D1730">IF(E1730="", "", XLOOKUP(E1730, 'MASTER ITEM LIST'!B:B, 'MASTER ITEM LIST'!A:A, "Code Not Found"))</f>
        <v/>
      </c>
      <c r="E1730" s="203"/>
      <c r="F1730" s="204"/>
      <c r="G1730" s="138"/>
      <c r="H1730" s="205" t="str">
        <f t="array" ref="H1730">IFERROR(XLOOKUP(D1730,'MASTER ITEM LIST'!A:A,'MASTER ITEM LIST'!D:D), "")</f>
        <v/>
      </c>
      <c r="I1730" s="206"/>
      <c r="J1730" s="207" t="str">
        <f t="shared" si="2"/>
        <v/>
      </c>
    </row>
    <row r="1731" ht="22.5" customHeight="1">
      <c r="A1731" s="200"/>
      <c r="B1731" s="138"/>
      <c r="C1731" s="201"/>
      <c r="D1731" s="202" t="str">
        <f t="array" ref="D1731">IF(E1731="", "", XLOOKUP(E1731, 'MASTER ITEM LIST'!B:B, 'MASTER ITEM LIST'!A:A, "Code Not Found"))</f>
        <v/>
      </c>
      <c r="E1731" s="203"/>
      <c r="F1731" s="204"/>
      <c r="G1731" s="138"/>
      <c r="H1731" s="205" t="str">
        <f t="array" ref="H1731">IFERROR(XLOOKUP(D1731,'MASTER ITEM LIST'!A:A,'MASTER ITEM LIST'!D:D), "")</f>
        <v/>
      </c>
      <c r="I1731" s="206"/>
      <c r="J1731" s="207" t="str">
        <f t="shared" si="2"/>
        <v/>
      </c>
    </row>
    <row r="1732" ht="22.5" customHeight="1">
      <c r="A1732" s="200"/>
      <c r="B1732" s="138"/>
      <c r="C1732" s="201"/>
      <c r="D1732" s="202" t="str">
        <f t="array" ref="D1732">IF(E1732="", "", XLOOKUP(E1732, 'MASTER ITEM LIST'!B:B, 'MASTER ITEM LIST'!A:A, "Code Not Found"))</f>
        <v/>
      </c>
      <c r="E1732" s="203"/>
      <c r="F1732" s="204"/>
      <c r="G1732" s="138"/>
      <c r="H1732" s="205" t="str">
        <f t="array" ref="H1732">IFERROR(XLOOKUP(D1732,'MASTER ITEM LIST'!A:A,'MASTER ITEM LIST'!D:D), "")</f>
        <v/>
      </c>
      <c r="I1732" s="206"/>
      <c r="J1732" s="207" t="str">
        <f t="shared" si="2"/>
        <v/>
      </c>
    </row>
    <row r="1733" ht="22.5" customHeight="1">
      <c r="A1733" s="200"/>
      <c r="B1733" s="138"/>
      <c r="C1733" s="201"/>
      <c r="D1733" s="202" t="str">
        <f t="array" ref="D1733">IF(E1733="", "", XLOOKUP(E1733, 'MASTER ITEM LIST'!B:B, 'MASTER ITEM LIST'!A:A, "Code Not Found"))</f>
        <v/>
      </c>
      <c r="E1733" s="203"/>
      <c r="F1733" s="204"/>
      <c r="G1733" s="138"/>
      <c r="H1733" s="205" t="str">
        <f t="array" ref="H1733">IFERROR(XLOOKUP(D1733,'MASTER ITEM LIST'!A:A,'MASTER ITEM LIST'!D:D), "")</f>
        <v/>
      </c>
      <c r="I1733" s="206"/>
      <c r="J1733" s="207" t="str">
        <f t="shared" si="2"/>
        <v/>
      </c>
    </row>
    <row r="1734" ht="22.5" customHeight="1">
      <c r="A1734" s="200"/>
      <c r="B1734" s="138"/>
      <c r="C1734" s="201"/>
      <c r="D1734" s="202" t="str">
        <f t="array" ref="D1734">IF(E1734="", "", XLOOKUP(E1734, 'MASTER ITEM LIST'!B:B, 'MASTER ITEM LIST'!A:A, "Code Not Found"))</f>
        <v/>
      </c>
      <c r="E1734" s="203"/>
      <c r="F1734" s="204"/>
      <c r="G1734" s="138"/>
      <c r="H1734" s="205" t="str">
        <f t="array" ref="H1734">IFERROR(XLOOKUP(D1734,'MASTER ITEM LIST'!A:A,'MASTER ITEM LIST'!D:D), "")</f>
        <v/>
      </c>
      <c r="I1734" s="206"/>
      <c r="J1734" s="207" t="str">
        <f t="shared" si="2"/>
        <v/>
      </c>
    </row>
    <row r="1735" ht="22.5" customHeight="1">
      <c r="A1735" s="200"/>
      <c r="B1735" s="138"/>
      <c r="C1735" s="201"/>
      <c r="D1735" s="202" t="str">
        <f t="array" ref="D1735">IF(E1735="", "", XLOOKUP(E1735, 'MASTER ITEM LIST'!B:B, 'MASTER ITEM LIST'!A:A, "Code Not Found"))</f>
        <v/>
      </c>
      <c r="E1735" s="203"/>
      <c r="F1735" s="204"/>
      <c r="G1735" s="138"/>
      <c r="H1735" s="205" t="str">
        <f t="array" ref="H1735">IFERROR(XLOOKUP(D1735,'MASTER ITEM LIST'!A:A,'MASTER ITEM LIST'!D:D), "")</f>
        <v/>
      </c>
      <c r="I1735" s="206"/>
      <c r="J1735" s="207" t="str">
        <f t="shared" si="2"/>
        <v/>
      </c>
    </row>
    <row r="1736" ht="22.5" customHeight="1">
      <c r="A1736" s="200"/>
      <c r="B1736" s="138"/>
      <c r="C1736" s="201"/>
      <c r="D1736" s="202" t="str">
        <f t="array" ref="D1736">IF(E1736="", "", XLOOKUP(E1736, 'MASTER ITEM LIST'!B:B, 'MASTER ITEM LIST'!A:A, "Code Not Found"))</f>
        <v/>
      </c>
      <c r="E1736" s="203"/>
      <c r="F1736" s="204"/>
      <c r="G1736" s="138"/>
      <c r="H1736" s="205" t="str">
        <f t="array" ref="H1736">IFERROR(XLOOKUP(D1736,'MASTER ITEM LIST'!A:A,'MASTER ITEM LIST'!D:D), "")</f>
        <v/>
      </c>
      <c r="I1736" s="206"/>
      <c r="J1736" s="207" t="str">
        <f t="shared" si="2"/>
        <v/>
      </c>
    </row>
    <row r="1737" ht="22.5" customHeight="1">
      <c r="A1737" s="200"/>
      <c r="B1737" s="138"/>
      <c r="C1737" s="201"/>
      <c r="D1737" s="202" t="str">
        <f t="array" ref="D1737">IF(E1737="", "", XLOOKUP(E1737, 'MASTER ITEM LIST'!B:B, 'MASTER ITEM LIST'!A:A, "Code Not Found"))</f>
        <v/>
      </c>
      <c r="E1737" s="203"/>
      <c r="F1737" s="204"/>
      <c r="G1737" s="138"/>
      <c r="H1737" s="205" t="str">
        <f t="array" ref="H1737">IFERROR(XLOOKUP(D1737,'MASTER ITEM LIST'!A:A,'MASTER ITEM LIST'!D:D), "")</f>
        <v/>
      </c>
      <c r="I1737" s="206"/>
      <c r="J1737" s="207" t="str">
        <f t="shared" si="2"/>
        <v/>
      </c>
    </row>
    <row r="1738" ht="22.5" customHeight="1">
      <c r="A1738" s="200"/>
      <c r="B1738" s="138"/>
      <c r="C1738" s="201"/>
      <c r="D1738" s="202" t="str">
        <f t="array" ref="D1738">IF(E1738="", "", XLOOKUP(E1738, 'MASTER ITEM LIST'!B:B, 'MASTER ITEM LIST'!A:A, "Code Not Found"))</f>
        <v/>
      </c>
      <c r="E1738" s="203"/>
      <c r="F1738" s="204"/>
      <c r="G1738" s="138"/>
      <c r="H1738" s="205" t="str">
        <f t="array" ref="H1738">IFERROR(XLOOKUP(D1738,'MASTER ITEM LIST'!A:A,'MASTER ITEM LIST'!D:D), "")</f>
        <v/>
      </c>
      <c r="I1738" s="206"/>
      <c r="J1738" s="207" t="str">
        <f t="shared" si="2"/>
        <v/>
      </c>
    </row>
    <row r="1739" ht="22.5" customHeight="1">
      <c r="A1739" s="200"/>
      <c r="B1739" s="138"/>
      <c r="C1739" s="201"/>
      <c r="D1739" s="202" t="str">
        <f t="array" ref="D1739">IF(E1739="", "", XLOOKUP(E1739, 'MASTER ITEM LIST'!B:B, 'MASTER ITEM LIST'!A:A, "Code Not Found"))</f>
        <v/>
      </c>
      <c r="E1739" s="203"/>
      <c r="F1739" s="204"/>
      <c r="G1739" s="138"/>
      <c r="H1739" s="205" t="str">
        <f t="array" ref="H1739">IFERROR(XLOOKUP(D1739,'MASTER ITEM LIST'!A:A,'MASTER ITEM LIST'!D:D), "")</f>
        <v/>
      </c>
      <c r="I1739" s="206"/>
      <c r="J1739" s="207" t="str">
        <f t="shared" si="2"/>
        <v/>
      </c>
    </row>
    <row r="1740" ht="22.5" customHeight="1">
      <c r="A1740" s="200"/>
      <c r="B1740" s="138"/>
      <c r="C1740" s="201"/>
      <c r="D1740" s="202" t="str">
        <f t="array" ref="D1740">IF(E1740="", "", XLOOKUP(E1740, 'MASTER ITEM LIST'!B:B, 'MASTER ITEM LIST'!A:A, "Code Not Found"))</f>
        <v/>
      </c>
      <c r="E1740" s="203"/>
      <c r="F1740" s="204"/>
      <c r="G1740" s="138"/>
      <c r="H1740" s="205" t="str">
        <f t="array" ref="H1740">IFERROR(XLOOKUP(D1740,'MASTER ITEM LIST'!A:A,'MASTER ITEM LIST'!D:D), "")</f>
        <v/>
      </c>
      <c r="I1740" s="206"/>
      <c r="J1740" s="207" t="str">
        <f t="shared" si="2"/>
        <v/>
      </c>
    </row>
    <row r="1741" ht="22.5" customHeight="1">
      <c r="A1741" s="200"/>
      <c r="B1741" s="138"/>
      <c r="C1741" s="201"/>
      <c r="D1741" s="202" t="str">
        <f t="array" ref="D1741">IF(E1741="", "", XLOOKUP(E1741, 'MASTER ITEM LIST'!B:B, 'MASTER ITEM LIST'!A:A, "Code Not Found"))</f>
        <v/>
      </c>
      <c r="E1741" s="203"/>
      <c r="F1741" s="204"/>
      <c r="G1741" s="138"/>
      <c r="H1741" s="205" t="str">
        <f t="array" ref="H1741">IFERROR(XLOOKUP(D1741,'MASTER ITEM LIST'!A:A,'MASTER ITEM LIST'!D:D), "")</f>
        <v/>
      </c>
      <c r="I1741" s="206"/>
      <c r="J1741" s="207" t="str">
        <f t="shared" si="2"/>
        <v/>
      </c>
    </row>
    <row r="1742" ht="22.5" customHeight="1">
      <c r="A1742" s="200"/>
      <c r="B1742" s="138"/>
      <c r="C1742" s="201"/>
      <c r="D1742" s="202" t="str">
        <f t="array" ref="D1742">IF(E1742="", "", XLOOKUP(E1742, 'MASTER ITEM LIST'!B:B, 'MASTER ITEM LIST'!A:A, "Code Not Found"))</f>
        <v/>
      </c>
      <c r="E1742" s="203"/>
      <c r="F1742" s="204"/>
      <c r="G1742" s="138"/>
      <c r="H1742" s="205" t="str">
        <f t="array" ref="H1742">IFERROR(XLOOKUP(D1742,'MASTER ITEM LIST'!A:A,'MASTER ITEM LIST'!D:D), "")</f>
        <v/>
      </c>
      <c r="I1742" s="206"/>
      <c r="J1742" s="207" t="str">
        <f t="shared" si="2"/>
        <v/>
      </c>
    </row>
    <row r="1743" ht="22.5" customHeight="1">
      <c r="A1743" s="200"/>
      <c r="B1743" s="138"/>
      <c r="C1743" s="201"/>
      <c r="D1743" s="202" t="str">
        <f t="array" ref="D1743">IF(E1743="", "", XLOOKUP(E1743, 'MASTER ITEM LIST'!B:B, 'MASTER ITEM LIST'!A:A, "Code Not Found"))</f>
        <v/>
      </c>
      <c r="E1743" s="203"/>
      <c r="F1743" s="204"/>
      <c r="G1743" s="138"/>
      <c r="H1743" s="205" t="str">
        <f t="array" ref="H1743">IFERROR(XLOOKUP(D1743,'MASTER ITEM LIST'!A:A,'MASTER ITEM LIST'!D:D), "")</f>
        <v/>
      </c>
      <c r="I1743" s="206"/>
      <c r="J1743" s="207" t="str">
        <f t="shared" si="2"/>
        <v/>
      </c>
    </row>
    <row r="1744" ht="22.5" customHeight="1">
      <c r="A1744" s="200"/>
      <c r="B1744" s="138"/>
      <c r="C1744" s="201"/>
      <c r="D1744" s="202" t="str">
        <f t="array" ref="D1744">IF(E1744="", "", XLOOKUP(E1744, 'MASTER ITEM LIST'!B:B, 'MASTER ITEM LIST'!A:A, "Code Not Found"))</f>
        <v/>
      </c>
      <c r="E1744" s="203"/>
      <c r="F1744" s="204"/>
      <c r="G1744" s="138"/>
      <c r="H1744" s="205" t="str">
        <f t="array" ref="H1744">IFERROR(XLOOKUP(D1744,'MASTER ITEM LIST'!A:A,'MASTER ITEM LIST'!D:D), "")</f>
        <v/>
      </c>
      <c r="I1744" s="206"/>
      <c r="J1744" s="207" t="str">
        <f t="shared" si="2"/>
        <v/>
      </c>
    </row>
    <row r="1745" ht="22.5" customHeight="1">
      <c r="A1745" s="200"/>
      <c r="B1745" s="138"/>
      <c r="C1745" s="201"/>
      <c r="D1745" s="202" t="str">
        <f t="array" ref="D1745">IF(E1745="", "", XLOOKUP(E1745, 'MASTER ITEM LIST'!B:B, 'MASTER ITEM LIST'!A:A, "Code Not Found"))</f>
        <v/>
      </c>
      <c r="E1745" s="203"/>
      <c r="F1745" s="204"/>
      <c r="G1745" s="138"/>
      <c r="H1745" s="205" t="str">
        <f t="array" ref="H1745">IFERROR(XLOOKUP(D1745,'MASTER ITEM LIST'!A:A,'MASTER ITEM LIST'!D:D), "")</f>
        <v/>
      </c>
      <c r="I1745" s="206"/>
      <c r="J1745" s="207" t="str">
        <f t="shared" si="2"/>
        <v/>
      </c>
    </row>
    <row r="1746" ht="22.5" customHeight="1">
      <c r="A1746" s="200"/>
      <c r="B1746" s="138"/>
      <c r="C1746" s="201"/>
      <c r="D1746" s="202" t="str">
        <f t="array" ref="D1746">IF(E1746="", "", XLOOKUP(E1746, 'MASTER ITEM LIST'!B:B, 'MASTER ITEM LIST'!A:A, "Code Not Found"))</f>
        <v/>
      </c>
      <c r="E1746" s="203"/>
      <c r="F1746" s="204"/>
      <c r="G1746" s="138"/>
      <c r="H1746" s="205" t="str">
        <f t="array" ref="H1746">IFERROR(XLOOKUP(D1746,'MASTER ITEM LIST'!A:A,'MASTER ITEM LIST'!D:D), "")</f>
        <v/>
      </c>
      <c r="I1746" s="206"/>
      <c r="J1746" s="207" t="str">
        <f t="shared" si="2"/>
        <v/>
      </c>
    </row>
    <row r="1747" ht="22.5" customHeight="1">
      <c r="A1747" s="200"/>
      <c r="B1747" s="138"/>
      <c r="C1747" s="201"/>
      <c r="D1747" s="202" t="str">
        <f t="array" ref="D1747">IF(E1747="", "", XLOOKUP(E1747, 'MASTER ITEM LIST'!B:B, 'MASTER ITEM LIST'!A:A, "Code Not Found"))</f>
        <v/>
      </c>
      <c r="E1747" s="203"/>
      <c r="F1747" s="204"/>
      <c r="G1747" s="138"/>
      <c r="H1747" s="205" t="str">
        <f t="array" ref="H1747">IFERROR(XLOOKUP(D1747,'MASTER ITEM LIST'!A:A,'MASTER ITEM LIST'!D:D), "")</f>
        <v/>
      </c>
      <c r="I1747" s="206"/>
      <c r="J1747" s="207" t="str">
        <f t="shared" si="2"/>
        <v/>
      </c>
    </row>
    <row r="1748" ht="22.5" customHeight="1">
      <c r="A1748" s="200"/>
      <c r="B1748" s="138"/>
      <c r="C1748" s="201"/>
      <c r="D1748" s="202" t="str">
        <f t="array" ref="D1748">IF(E1748="", "", XLOOKUP(E1748, 'MASTER ITEM LIST'!B:B, 'MASTER ITEM LIST'!A:A, "Code Not Found"))</f>
        <v/>
      </c>
      <c r="E1748" s="203"/>
      <c r="F1748" s="204"/>
      <c r="G1748" s="138"/>
      <c r="H1748" s="205" t="str">
        <f t="array" ref="H1748">IFERROR(XLOOKUP(D1748,'MASTER ITEM LIST'!A:A,'MASTER ITEM LIST'!D:D), "")</f>
        <v/>
      </c>
      <c r="I1748" s="206"/>
      <c r="J1748" s="207" t="str">
        <f t="shared" si="2"/>
        <v/>
      </c>
    </row>
    <row r="1749" ht="22.5" customHeight="1">
      <c r="A1749" s="200"/>
      <c r="B1749" s="138"/>
      <c r="C1749" s="201"/>
      <c r="D1749" s="202" t="str">
        <f t="array" ref="D1749">IF(E1749="", "", XLOOKUP(E1749, 'MASTER ITEM LIST'!B:B, 'MASTER ITEM LIST'!A:A, "Code Not Found"))</f>
        <v/>
      </c>
      <c r="E1749" s="203"/>
      <c r="F1749" s="204"/>
      <c r="G1749" s="138"/>
      <c r="H1749" s="205" t="str">
        <f t="array" ref="H1749">IFERROR(XLOOKUP(D1749,'MASTER ITEM LIST'!A:A,'MASTER ITEM LIST'!D:D), "")</f>
        <v/>
      </c>
      <c r="I1749" s="206"/>
      <c r="J1749" s="207" t="str">
        <f t="shared" si="2"/>
        <v/>
      </c>
    </row>
    <row r="1750" ht="22.5" customHeight="1">
      <c r="A1750" s="200"/>
      <c r="B1750" s="138"/>
      <c r="C1750" s="201"/>
      <c r="D1750" s="202" t="str">
        <f t="array" ref="D1750">IF(E1750="", "", XLOOKUP(E1750, 'MASTER ITEM LIST'!B:B, 'MASTER ITEM LIST'!A:A, "Code Not Found"))</f>
        <v/>
      </c>
      <c r="E1750" s="203"/>
      <c r="F1750" s="204"/>
      <c r="G1750" s="138"/>
      <c r="H1750" s="205" t="str">
        <f t="array" ref="H1750">IFERROR(XLOOKUP(D1750,'MASTER ITEM LIST'!A:A,'MASTER ITEM LIST'!D:D), "")</f>
        <v/>
      </c>
      <c r="I1750" s="206"/>
      <c r="J1750" s="207" t="str">
        <f t="shared" si="2"/>
        <v/>
      </c>
    </row>
    <row r="1751" ht="22.5" customHeight="1">
      <c r="A1751" s="200"/>
      <c r="B1751" s="138"/>
      <c r="C1751" s="201"/>
      <c r="D1751" s="202" t="str">
        <f t="array" ref="D1751">IF(E1751="", "", XLOOKUP(E1751, 'MASTER ITEM LIST'!B:B, 'MASTER ITEM LIST'!A:A, "Code Not Found"))</f>
        <v/>
      </c>
      <c r="E1751" s="203"/>
      <c r="F1751" s="204"/>
      <c r="G1751" s="138"/>
      <c r="H1751" s="205" t="str">
        <f t="array" ref="H1751">IFERROR(XLOOKUP(D1751,'MASTER ITEM LIST'!A:A,'MASTER ITEM LIST'!D:D), "")</f>
        <v/>
      </c>
      <c r="I1751" s="206"/>
      <c r="J1751" s="207" t="str">
        <f t="shared" si="2"/>
        <v/>
      </c>
    </row>
    <row r="1752" ht="22.5" customHeight="1">
      <c r="A1752" s="200"/>
      <c r="B1752" s="138"/>
      <c r="C1752" s="201"/>
      <c r="D1752" s="202" t="str">
        <f t="array" ref="D1752">IF(E1752="", "", XLOOKUP(E1752, 'MASTER ITEM LIST'!B:B, 'MASTER ITEM LIST'!A:A, "Code Not Found"))</f>
        <v/>
      </c>
      <c r="E1752" s="203"/>
      <c r="F1752" s="204"/>
      <c r="G1752" s="138"/>
      <c r="H1752" s="205" t="str">
        <f t="array" ref="H1752">IFERROR(XLOOKUP(D1752,'MASTER ITEM LIST'!A:A,'MASTER ITEM LIST'!D:D), "")</f>
        <v/>
      </c>
      <c r="I1752" s="206"/>
      <c r="J1752" s="207" t="str">
        <f t="shared" si="2"/>
        <v/>
      </c>
    </row>
    <row r="1753" ht="22.5" customHeight="1">
      <c r="A1753" s="200"/>
      <c r="B1753" s="138"/>
      <c r="C1753" s="201"/>
      <c r="D1753" s="202" t="str">
        <f t="array" ref="D1753">IF(E1753="", "", XLOOKUP(E1753, 'MASTER ITEM LIST'!B:B, 'MASTER ITEM LIST'!A:A, "Code Not Found"))</f>
        <v/>
      </c>
      <c r="E1753" s="203"/>
      <c r="F1753" s="204"/>
      <c r="G1753" s="138"/>
      <c r="H1753" s="205" t="str">
        <f t="array" ref="H1753">IFERROR(XLOOKUP(D1753,'MASTER ITEM LIST'!A:A,'MASTER ITEM LIST'!D:D), "")</f>
        <v/>
      </c>
      <c r="I1753" s="206"/>
      <c r="J1753" s="207" t="str">
        <f t="shared" si="2"/>
        <v/>
      </c>
    </row>
    <row r="1754" ht="22.5" customHeight="1">
      <c r="A1754" s="200"/>
      <c r="B1754" s="138"/>
      <c r="C1754" s="201"/>
      <c r="D1754" s="202" t="str">
        <f t="array" ref="D1754">IF(E1754="", "", XLOOKUP(E1754, 'MASTER ITEM LIST'!B:B, 'MASTER ITEM LIST'!A:A, "Code Not Found"))</f>
        <v/>
      </c>
      <c r="E1754" s="203"/>
      <c r="F1754" s="204"/>
      <c r="G1754" s="138"/>
      <c r="H1754" s="205" t="str">
        <f t="array" ref="H1754">IFERROR(XLOOKUP(D1754,'MASTER ITEM LIST'!A:A,'MASTER ITEM LIST'!D:D), "")</f>
        <v/>
      </c>
      <c r="I1754" s="206"/>
      <c r="J1754" s="207" t="str">
        <f t="shared" si="2"/>
        <v/>
      </c>
    </row>
    <row r="1755" ht="22.5" customHeight="1">
      <c r="A1755" s="200"/>
      <c r="B1755" s="138"/>
      <c r="C1755" s="201"/>
      <c r="D1755" s="202" t="str">
        <f t="array" ref="D1755">IF(E1755="", "", XLOOKUP(E1755, 'MASTER ITEM LIST'!B:B, 'MASTER ITEM LIST'!A:A, "Code Not Found"))</f>
        <v/>
      </c>
      <c r="E1755" s="203"/>
      <c r="F1755" s="204"/>
      <c r="G1755" s="138"/>
      <c r="H1755" s="205" t="str">
        <f t="array" ref="H1755">IFERROR(XLOOKUP(D1755,'MASTER ITEM LIST'!A:A,'MASTER ITEM LIST'!D:D), "")</f>
        <v/>
      </c>
      <c r="I1755" s="206"/>
      <c r="J1755" s="207" t="str">
        <f t="shared" si="2"/>
        <v/>
      </c>
    </row>
    <row r="1756" ht="22.5" customHeight="1">
      <c r="A1756" s="200"/>
      <c r="B1756" s="138"/>
      <c r="C1756" s="201"/>
      <c r="D1756" s="202" t="str">
        <f t="array" ref="D1756">IF(E1756="", "", XLOOKUP(E1756, 'MASTER ITEM LIST'!B:B, 'MASTER ITEM LIST'!A:A, "Code Not Found"))</f>
        <v/>
      </c>
      <c r="E1756" s="203"/>
      <c r="F1756" s="204"/>
      <c r="G1756" s="138"/>
      <c r="H1756" s="205" t="str">
        <f t="array" ref="H1756">IFERROR(XLOOKUP(D1756,'MASTER ITEM LIST'!A:A,'MASTER ITEM LIST'!D:D), "")</f>
        <v/>
      </c>
      <c r="I1756" s="206"/>
      <c r="J1756" s="207" t="str">
        <f t="shared" si="2"/>
        <v/>
      </c>
    </row>
    <row r="1757" ht="22.5" customHeight="1">
      <c r="A1757" s="200"/>
      <c r="B1757" s="138"/>
      <c r="C1757" s="201"/>
      <c r="D1757" s="202" t="str">
        <f t="array" ref="D1757">IF(E1757="", "", XLOOKUP(E1757, 'MASTER ITEM LIST'!B:B, 'MASTER ITEM LIST'!A:A, "Code Not Found"))</f>
        <v/>
      </c>
      <c r="E1757" s="203"/>
      <c r="F1757" s="204"/>
      <c r="G1757" s="138"/>
      <c r="H1757" s="205" t="str">
        <f t="array" ref="H1757">IFERROR(XLOOKUP(D1757,'MASTER ITEM LIST'!A:A,'MASTER ITEM LIST'!D:D), "")</f>
        <v/>
      </c>
      <c r="I1757" s="206"/>
      <c r="J1757" s="207" t="str">
        <f t="shared" si="2"/>
        <v/>
      </c>
    </row>
    <row r="1758" ht="22.5" customHeight="1">
      <c r="A1758" s="200"/>
      <c r="B1758" s="138"/>
      <c r="C1758" s="201"/>
      <c r="D1758" s="202" t="str">
        <f t="array" ref="D1758">IF(E1758="", "", XLOOKUP(E1758, 'MASTER ITEM LIST'!B:B, 'MASTER ITEM LIST'!A:A, "Code Not Found"))</f>
        <v/>
      </c>
      <c r="E1758" s="203"/>
      <c r="F1758" s="204"/>
      <c r="G1758" s="138"/>
      <c r="H1758" s="205" t="str">
        <f t="array" ref="H1758">IFERROR(XLOOKUP(D1758,'MASTER ITEM LIST'!A:A,'MASTER ITEM LIST'!D:D), "")</f>
        <v/>
      </c>
      <c r="I1758" s="206"/>
      <c r="J1758" s="207" t="str">
        <f t="shared" si="2"/>
        <v/>
      </c>
    </row>
    <row r="1759" ht="22.5" customHeight="1">
      <c r="A1759" s="200"/>
      <c r="B1759" s="138"/>
      <c r="C1759" s="201"/>
      <c r="D1759" s="202" t="str">
        <f t="array" ref="D1759">IF(E1759="", "", XLOOKUP(E1759, 'MASTER ITEM LIST'!B:B, 'MASTER ITEM LIST'!A:A, "Code Not Found"))</f>
        <v/>
      </c>
      <c r="E1759" s="203"/>
      <c r="F1759" s="204"/>
      <c r="G1759" s="138"/>
      <c r="H1759" s="205" t="str">
        <f t="array" ref="H1759">IFERROR(XLOOKUP(D1759,'MASTER ITEM LIST'!A:A,'MASTER ITEM LIST'!D:D), "")</f>
        <v/>
      </c>
      <c r="I1759" s="206"/>
      <c r="J1759" s="207" t="str">
        <f t="shared" si="2"/>
        <v/>
      </c>
    </row>
    <row r="1760" ht="22.5" customHeight="1">
      <c r="A1760" s="200"/>
      <c r="B1760" s="138"/>
      <c r="C1760" s="201"/>
      <c r="D1760" s="202" t="str">
        <f t="array" ref="D1760">IF(E1760="", "", XLOOKUP(E1760, 'MASTER ITEM LIST'!B:B, 'MASTER ITEM LIST'!A:A, "Code Not Found"))</f>
        <v/>
      </c>
      <c r="E1760" s="203"/>
      <c r="F1760" s="204"/>
      <c r="G1760" s="138"/>
      <c r="H1760" s="205" t="str">
        <f t="array" ref="H1760">IFERROR(XLOOKUP(D1760,'MASTER ITEM LIST'!A:A,'MASTER ITEM LIST'!D:D), "")</f>
        <v/>
      </c>
      <c r="I1760" s="206"/>
      <c r="J1760" s="207" t="str">
        <f t="shared" si="2"/>
        <v/>
      </c>
    </row>
    <row r="1761" ht="22.5" customHeight="1">
      <c r="A1761" s="200"/>
      <c r="B1761" s="138"/>
      <c r="C1761" s="201"/>
      <c r="D1761" s="202" t="str">
        <f t="array" ref="D1761">IF(E1761="", "", XLOOKUP(E1761, 'MASTER ITEM LIST'!B:B, 'MASTER ITEM LIST'!A:A, "Code Not Found"))</f>
        <v/>
      </c>
      <c r="E1761" s="203"/>
      <c r="F1761" s="204"/>
      <c r="G1761" s="138"/>
      <c r="H1761" s="205" t="str">
        <f t="array" ref="H1761">IFERROR(XLOOKUP(D1761,'MASTER ITEM LIST'!A:A,'MASTER ITEM LIST'!D:D), "")</f>
        <v/>
      </c>
      <c r="I1761" s="206"/>
      <c r="J1761" s="207" t="str">
        <f t="shared" si="2"/>
        <v/>
      </c>
    </row>
    <row r="1762" ht="22.5" customHeight="1">
      <c r="A1762" s="200"/>
      <c r="B1762" s="138"/>
      <c r="C1762" s="201"/>
      <c r="D1762" s="202" t="str">
        <f t="array" ref="D1762">IF(E1762="", "", XLOOKUP(E1762, 'MASTER ITEM LIST'!B:B, 'MASTER ITEM LIST'!A:A, "Code Not Found"))</f>
        <v/>
      </c>
      <c r="E1762" s="203"/>
      <c r="F1762" s="204"/>
      <c r="G1762" s="138"/>
      <c r="H1762" s="205" t="str">
        <f t="array" ref="H1762">IFERROR(XLOOKUP(D1762,'MASTER ITEM LIST'!A:A,'MASTER ITEM LIST'!D:D), "")</f>
        <v/>
      </c>
      <c r="I1762" s="206"/>
      <c r="J1762" s="207" t="str">
        <f t="shared" si="2"/>
        <v/>
      </c>
    </row>
    <row r="1763" ht="22.5" customHeight="1">
      <c r="A1763" s="200"/>
      <c r="B1763" s="138"/>
      <c r="C1763" s="201"/>
      <c r="D1763" s="202" t="str">
        <f t="array" ref="D1763">IF(E1763="", "", XLOOKUP(E1763, 'MASTER ITEM LIST'!B:B, 'MASTER ITEM LIST'!A:A, "Code Not Found"))</f>
        <v/>
      </c>
      <c r="E1763" s="203"/>
      <c r="F1763" s="204"/>
      <c r="G1763" s="138"/>
      <c r="H1763" s="205" t="str">
        <f t="array" ref="H1763">IFERROR(XLOOKUP(D1763,'MASTER ITEM LIST'!A:A,'MASTER ITEM LIST'!D:D), "")</f>
        <v/>
      </c>
      <c r="I1763" s="206"/>
      <c r="J1763" s="207" t="str">
        <f t="shared" si="2"/>
        <v/>
      </c>
    </row>
    <row r="1764" ht="22.5" customHeight="1">
      <c r="A1764" s="200"/>
      <c r="B1764" s="138"/>
      <c r="C1764" s="201"/>
      <c r="D1764" s="202" t="str">
        <f t="array" ref="D1764">IF(E1764="", "", XLOOKUP(E1764, 'MASTER ITEM LIST'!B:B, 'MASTER ITEM LIST'!A:A, "Code Not Found"))</f>
        <v/>
      </c>
      <c r="E1764" s="203"/>
      <c r="F1764" s="204"/>
      <c r="G1764" s="138"/>
      <c r="H1764" s="205" t="str">
        <f t="array" ref="H1764">IFERROR(XLOOKUP(D1764,'MASTER ITEM LIST'!A:A,'MASTER ITEM LIST'!D:D), "")</f>
        <v/>
      </c>
      <c r="I1764" s="206"/>
      <c r="J1764" s="207" t="str">
        <f t="shared" si="2"/>
        <v/>
      </c>
    </row>
    <row r="1765" ht="22.5" customHeight="1">
      <c r="A1765" s="200"/>
      <c r="B1765" s="138"/>
      <c r="C1765" s="201"/>
      <c r="D1765" s="202" t="str">
        <f t="array" ref="D1765">IF(E1765="", "", XLOOKUP(E1765, 'MASTER ITEM LIST'!B:B, 'MASTER ITEM LIST'!A:A, "Code Not Found"))</f>
        <v/>
      </c>
      <c r="E1765" s="203"/>
      <c r="F1765" s="204"/>
      <c r="G1765" s="138"/>
      <c r="H1765" s="205" t="str">
        <f t="array" ref="H1765">IFERROR(XLOOKUP(D1765,'MASTER ITEM LIST'!A:A,'MASTER ITEM LIST'!D:D), "")</f>
        <v/>
      </c>
      <c r="I1765" s="206"/>
      <c r="J1765" s="207" t="str">
        <f t="shared" si="2"/>
        <v/>
      </c>
    </row>
    <row r="1766" ht="22.5" customHeight="1">
      <c r="A1766" s="200"/>
      <c r="B1766" s="138"/>
      <c r="C1766" s="201"/>
      <c r="D1766" s="202" t="str">
        <f t="array" ref="D1766">IF(E1766="", "", XLOOKUP(E1766, 'MASTER ITEM LIST'!B:B, 'MASTER ITEM LIST'!A:A, "Code Not Found"))</f>
        <v/>
      </c>
      <c r="E1766" s="203"/>
      <c r="F1766" s="204"/>
      <c r="G1766" s="138"/>
      <c r="H1766" s="205" t="str">
        <f t="array" ref="H1766">IFERROR(XLOOKUP(D1766,'MASTER ITEM LIST'!A:A,'MASTER ITEM LIST'!D:D), "")</f>
        <v/>
      </c>
      <c r="I1766" s="206"/>
      <c r="J1766" s="207" t="str">
        <f t="shared" si="2"/>
        <v/>
      </c>
    </row>
    <row r="1767" ht="22.5" customHeight="1">
      <c r="A1767" s="200"/>
      <c r="B1767" s="138"/>
      <c r="C1767" s="201"/>
      <c r="D1767" s="202" t="str">
        <f t="array" ref="D1767">IF(E1767="", "", XLOOKUP(E1767, 'MASTER ITEM LIST'!B:B, 'MASTER ITEM LIST'!A:A, "Code Not Found"))</f>
        <v/>
      </c>
      <c r="E1767" s="203"/>
      <c r="F1767" s="204"/>
      <c r="G1767" s="138"/>
      <c r="H1767" s="205" t="str">
        <f t="array" ref="H1767">IFERROR(XLOOKUP(D1767,'MASTER ITEM LIST'!A:A,'MASTER ITEM LIST'!D:D), "")</f>
        <v/>
      </c>
      <c r="I1767" s="206"/>
      <c r="J1767" s="207" t="str">
        <f t="shared" si="2"/>
        <v/>
      </c>
    </row>
    <row r="1768" ht="22.5" customHeight="1">
      <c r="A1768" s="200"/>
      <c r="B1768" s="138"/>
      <c r="C1768" s="201"/>
      <c r="D1768" s="202" t="str">
        <f t="array" ref="D1768">IF(E1768="", "", XLOOKUP(E1768, 'MASTER ITEM LIST'!B:B, 'MASTER ITEM LIST'!A:A, "Code Not Found"))</f>
        <v/>
      </c>
      <c r="E1768" s="203"/>
      <c r="F1768" s="204"/>
      <c r="G1768" s="138"/>
      <c r="H1768" s="205" t="str">
        <f t="array" ref="H1768">IFERROR(XLOOKUP(D1768,'MASTER ITEM LIST'!A:A,'MASTER ITEM LIST'!D:D), "")</f>
        <v/>
      </c>
      <c r="I1768" s="206"/>
      <c r="J1768" s="207" t="str">
        <f t="shared" si="2"/>
        <v/>
      </c>
    </row>
    <row r="1769" ht="22.5" customHeight="1">
      <c r="A1769" s="200"/>
      <c r="B1769" s="138"/>
      <c r="C1769" s="201"/>
      <c r="D1769" s="202" t="str">
        <f t="array" ref="D1769">IF(E1769="", "", XLOOKUP(E1769, 'MASTER ITEM LIST'!B:B, 'MASTER ITEM LIST'!A:A, "Code Not Found"))</f>
        <v/>
      </c>
      <c r="E1769" s="203"/>
      <c r="F1769" s="204"/>
      <c r="G1769" s="138"/>
      <c r="H1769" s="205" t="str">
        <f t="array" ref="H1769">IFERROR(XLOOKUP(D1769,'MASTER ITEM LIST'!A:A,'MASTER ITEM LIST'!D:D), "")</f>
        <v/>
      </c>
      <c r="I1769" s="206"/>
      <c r="J1769" s="207" t="str">
        <f t="shared" si="2"/>
        <v/>
      </c>
    </row>
    <row r="1770" ht="22.5" customHeight="1">
      <c r="A1770" s="200"/>
      <c r="B1770" s="138"/>
      <c r="C1770" s="201"/>
      <c r="D1770" s="202" t="str">
        <f t="array" ref="D1770">IF(E1770="", "", XLOOKUP(E1770, 'MASTER ITEM LIST'!B:B, 'MASTER ITEM LIST'!A:A, "Code Not Found"))</f>
        <v/>
      </c>
      <c r="E1770" s="203"/>
      <c r="F1770" s="204"/>
      <c r="G1770" s="138"/>
      <c r="H1770" s="205" t="str">
        <f t="array" ref="H1770">IFERROR(XLOOKUP(D1770,'MASTER ITEM LIST'!A:A,'MASTER ITEM LIST'!D:D), "")</f>
        <v/>
      </c>
      <c r="I1770" s="206"/>
      <c r="J1770" s="207" t="str">
        <f t="shared" si="2"/>
        <v/>
      </c>
    </row>
    <row r="1771" ht="22.5" customHeight="1">
      <c r="A1771" s="200"/>
      <c r="B1771" s="138"/>
      <c r="C1771" s="201"/>
      <c r="D1771" s="202" t="str">
        <f t="array" ref="D1771">IF(E1771="", "", XLOOKUP(E1771, 'MASTER ITEM LIST'!B:B, 'MASTER ITEM LIST'!A:A, "Code Not Found"))</f>
        <v/>
      </c>
      <c r="E1771" s="203"/>
      <c r="F1771" s="204"/>
      <c r="G1771" s="138"/>
      <c r="H1771" s="205" t="str">
        <f t="array" ref="H1771">IFERROR(XLOOKUP(D1771,'MASTER ITEM LIST'!A:A,'MASTER ITEM LIST'!D:D), "")</f>
        <v/>
      </c>
      <c r="I1771" s="206"/>
      <c r="J1771" s="207" t="str">
        <f t="shared" si="2"/>
        <v/>
      </c>
    </row>
    <row r="1772" ht="22.5" customHeight="1">
      <c r="A1772" s="200"/>
      <c r="B1772" s="138"/>
      <c r="C1772" s="201"/>
      <c r="D1772" s="202" t="str">
        <f t="array" ref="D1772">IF(E1772="", "", XLOOKUP(E1772, 'MASTER ITEM LIST'!B:B, 'MASTER ITEM LIST'!A:A, "Code Not Found"))</f>
        <v/>
      </c>
      <c r="E1772" s="203"/>
      <c r="F1772" s="204"/>
      <c r="G1772" s="138"/>
      <c r="H1772" s="205" t="str">
        <f t="array" ref="H1772">IFERROR(XLOOKUP(D1772,'MASTER ITEM LIST'!A:A,'MASTER ITEM LIST'!D:D), "")</f>
        <v/>
      </c>
      <c r="I1772" s="206"/>
      <c r="J1772" s="207" t="str">
        <f t="shared" si="2"/>
        <v/>
      </c>
    </row>
    <row r="1773" ht="22.5" customHeight="1">
      <c r="A1773" s="200"/>
      <c r="B1773" s="138"/>
      <c r="C1773" s="201"/>
      <c r="D1773" s="202" t="str">
        <f t="array" ref="D1773">IF(E1773="", "", XLOOKUP(E1773, 'MASTER ITEM LIST'!B:B, 'MASTER ITEM LIST'!A:A, "Code Not Found"))</f>
        <v/>
      </c>
      <c r="E1773" s="203"/>
      <c r="F1773" s="204"/>
      <c r="G1773" s="138"/>
      <c r="H1773" s="205" t="str">
        <f t="array" ref="H1773">IFERROR(XLOOKUP(D1773,'MASTER ITEM LIST'!A:A,'MASTER ITEM LIST'!D:D), "")</f>
        <v/>
      </c>
      <c r="I1773" s="206"/>
      <c r="J1773" s="207" t="str">
        <f t="shared" si="2"/>
        <v/>
      </c>
    </row>
    <row r="1774" ht="22.5" customHeight="1">
      <c r="A1774" s="200"/>
      <c r="B1774" s="138"/>
      <c r="C1774" s="201"/>
      <c r="D1774" s="202" t="str">
        <f t="array" ref="D1774">IF(E1774="", "", XLOOKUP(E1774, 'MASTER ITEM LIST'!B:B, 'MASTER ITEM LIST'!A:A, "Code Not Found"))</f>
        <v/>
      </c>
      <c r="E1774" s="203"/>
      <c r="F1774" s="204"/>
      <c r="G1774" s="138"/>
      <c r="H1774" s="205" t="str">
        <f t="array" ref="H1774">IFERROR(XLOOKUP(D1774,'MASTER ITEM LIST'!A:A,'MASTER ITEM LIST'!D:D), "")</f>
        <v/>
      </c>
      <c r="I1774" s="206"/>
      <c r="J1774" s="207" t="str">
        <f t="shared" si="2"/>
        <v/>
      </c>
    </row>
    <row r="1775" ht="22.5" customHeight="1">
      <c r="A1775" s="200"/>
      <c r="B1775" s="138"/>
      <c r="C1775" s="201"/>
      <c r="D1775" s="202" t="str">
        <f t="array" ref="D1775">IF(E1775="", "", XLOOKUP(E1775, 'MASTER ITEM LIST'!B:B, 'MASTER ITEM LIST'!A:A, "Code Not Found"))</f>
        <v/>
      </c>
      <c r="E1775" s="203"/>
      <c r="F1775" s="204"/>
      <c r="G1775" s="138"/>
      <c r="H1775" s="205" t="str">
        <f t="array" ref="H1775">IFERROR(XLOOKUP(D1775,'MASTER ITEM LIST'!A:A,'MASTER ITEM LIST'!D:D), "")</f>
        <v/>
      </c>
      <c r="I1775" s="206"/>
      <c r="J1775" s="207" t="str">
        <f t="shared" si="2"/>
        <v/>
      </c>
    </row>
    <row r="1776" ht="22.5" customHeight="1">
      <c r="A1776" s="200"/>
      <c r="B1776" s="138"/>
      <c r="C1776" s="201"/>
      <c r="D1776" s="202" t="str">
        <f t="array" ref="D1776">IF(E1776="", "", XLOOKUP(E1776, 'MASTER ITEM LIST'!B:B, 'MASTER ITEM LIST'!A:A, "Code Not Found"))</f>
        <v/>
      </c>
      <c r="E1776" s="203"/>
      <c r="F1776" s="204"/>
      <c r="G1776" s="138"/>
      <c r="H1776" s="205" t="str">
        <f t="array" ref="H1776">IFERROR(XLOOKUP(D1776,'MASTER ITEM LIST'!A:A,'MASTER ITEM LIST'!D:D), "")</f>
        <v/>
      </c>
      <c r="I1776" s="206"/>
      <c r="J1776" s="207" t="str">
        <f t="shared" si="2"/>
        <v/>
      </c>
    </row>
    <row r="1777" ht="22.5" customHeight="1">
      <c r="A1777" s="200"/>
      <c r="B1777" s="138"/>
      <c r="C1777" s="201"/>
      <c r="D1777" s="202" t="str">
        <f t="array" ref="D1777">IF(E1777="", "", XLOOKUP(E1777, 'MASTER ITEM LIST'!B:B, 'MASTER ITEM LIST'!A:A, "Code Not Found"))</f>
        <v/>
      </c>
      <c r="E1777" s="203"/>
      <c r="F1777" s="204"/>
      <c r="G1777" s="138"/>
      <c r="H1777" s="205" t="str">
        <f t="array" ref="H1777">IFERROR(XLOOKUP(D1777,'MASTER ITEM LIST'!A:A,'MASTER ITEM LIST'!D:D), "")</f>
        <v/>
      </c>
      <c r="I1777" s="206"/>
      <c r="J1777" s="207" t="str">
        <f t="shared" si="2"/>
        <v/>
      </c>
    </row>
    <row r="1778" ht="22.5" customHeight="1">
      <c r="A1778" s="200"/>
      <c r="B1778" s="138"/>
      <c r="C1778" s="201"/>
      <c r="D1778" s="202" t="str">
        <f t="array" ref="D1778">IF(E1778="", "", XLOOKUP(E1778, 'MASTER ITEM LIST'!B:B, 'MASTER ITEM LIST'!A:A, "Code Not Found"))</f>
        <v/>
      </c>
      <c r="E1778" s="203"/>
      <c r="F1778" s="204"/>
      <c r="G1778" s="138"/>
      <c r="H1778" s="205" t="str">
        <f t="array" ref="H1778">IFERROR(XLOOKUP(D1778,'MASTER ITEM LIST'!A:A,'MASTER ITEM LIST'!D:D), "")</f>
        <v/>
      </c>
      <c r="I1778" s="206"/>
      <c r="J1778" s="207" t="str">
        <f t="shared" si="2"/>
        <v/>
      </c>
    </row>
    <row r="1779" ht="22.5" customHeight="1">
      <c r="A1779" s="200"/>
      <c r="B1779" s="138"/>
      <c r="C1779" s="201"/>
      <c r="D1779" s="202" t="str">
        <f t="array" ref="D1779">IF(E1779="", "", XLOOKUP(E1779, 'MASTER ITEM LIST'!B:B, 'MASTER ITEM LIST'!A:A, "Code Not Found"))</f>
        <v/>
      </c>
      <c r="E1779" s="203"/>
      <c r="F1779" s="204"/>
      <c r="G1779" s="138"/>
      <c r="H1779" s="205" t="str">
        <f t="array" ref="H1779">IFERROR(XLOOKUP(D1779,'MASTER ITEM LIST'!A:A,'MASTER ITEM LIST'!D:D), "")</f>
        <v/>
      </c>
      <c r="I1779" s="206"/>
      <c r="J1779" s="207" t="str">
        <f t="shared" si="2"/>
        <v/>
      </c>
    </row>
    <row r="1780" ht="22.5" customHeight="1">
      <c r="A1780" s="200"/>
      <c r="B1780" s="138"/>
      <c r="C1780" s="201"/>
      <c r="D1780" s="202" t="str">
        <f t="array" ref="D1780">IF(E1780="", "", XLOOKUP(E1780, 'MASTER ITEM LIST'!B:B, 'MASTER ITEM LIST'!A:A, "Code Not Found"))</f>
        <v/>
      </c>
      <c r="E1780" s="203"/>
      <c r="F1780" s="204"/>
      <c r="G1780" s="138"/>
      <c r="H1780" s="205" t="str">
        <f t="array" ref="H1780">IFERROR(XLOOKUP(D1780,'MASTER ITEM LIST'!A:A,'MASTER ITEM LIST'!D:D), "")</f>
        <v/>
      </c>
      <c r="I1780" s="206"/>
      <c r="J1780" s="207" t="str">
        <f t="shared" si="2"/>
        <v/>
      </c>
    </row>
    <row r="1781" ht="22.5" customHeight="1">
      <c r="A1781" s="200"/>
      <c r="B1781" s="138"/>
      <c r="C1781" s="201"/>
      <c r="D1781" s="202" t="str">
        <f t="array" ref="D1781">IF(E1781="", "", XLOOKUP(E1781, 'MASTER ITEM LIST'!B:B, 'MASTER ITEM LIST'!A:A, "Code Not Found"))</f>
        <v/>
      </c>
      <c r="E1781" s="203"/>
      <c r="F1781" s="204"/>
      <c r="G1781" s="138"/>
      <c r="H1781" s="205" t="str">
        <f t="array" ref="H1781">IFERROR(XLOOKUP(D1781,'MASTER ITEM LIST'!A:A,'MASTER ITEM LIST'!D:D), "")</f>
        <v/>
      </c>
      <c r="I1781" s="206"/>
      <c r="J1781" s="207" t="str">
        <f t="shared" si="2"/>
        <v/>
      </c>
    </row>
    <row r="1782" ht="22.5" customHeight="1">
      <c r="A1782" s="200"/>
      <c r="B1782" s="138"/>
      <c r="C1782" s="201"/>
      <c r="D1782" s="202" t="str">
        <f t="array" ref="D1782">IF(E1782="", "", XLOOKUP(E1782, 'MASTER ITEM LIST'!B:B, 'MASTER ITEM LIST'!A:A, "Code Not Found"))</f>
        <v/>
      </c>
      <c r="E1782" s="203"/>
      <c r="F1782" s="204"/>
      <c r="G1782" s="138"/>
      <c r="H1782" s="205" t="str">
        <f t="array" ref="H1782">IFERROR(XLOOKUP(D1782,'MASTER ITEM LIST'!A:A,'MASTER ITEM LIST'!D:D), "")</f>
        <v/>
      </c>
      <c r="I1782" s="206"/>
      <c r="J1782" s="207" t="str">
        <f t="shared" si="2"/>
        <v/>
      </c>
    </row>
    <row r="1783" ht="22.5" customHeight="1">
      <c r="A1783" s="200"/>
      <c r="B1783" s="138"/>
      <c r="C1783" s="201"/>
      <c r="D1783" s="202" t="str">
        <f t="array" ref="D1783">IF(E1783="", "", XLOOKUP(E1783, 'MASTER ITEM LIST'!B:B, 'MASTER ITEM LIST'!A:A, "Code Not Found"))</f>
        <v/>
      </c>
      <c r="E1783" s="203"/>
      <c r="F1783" s="204"/>
      <c r="G1783" s="138"/>
      <c r="H1783" s="205" t="str">
        <f t="array" ref="H1783">IFERROR(XLOOKUP(D1783,'MASTER ITEM LIST'!A:A,'MASTER ITEM LIST'!D:D), "")</f>
        <v/>
      </c>
      <c r="I1783" s="206"/>
      <c r="J1783" s="207" t="str">
        <f t="shared" si="2"/>
        <v/>
      </c>
    </row>
    <row r="1784" ht="22.5" customHeight="1">
      <c r="A1784" s="200"/>
      <c r="B1784" s="138"/>
      <c r="C1784" s="201"/>
      <c r="D1784" s="202" t="str">
        <f t="array" ref="D1784">IF(E1784="", "", XLOOKUP(E1784, 'MASTER ITEM LIST'!B:B, 'MASTER ITEM LIST'!A:A, "Code Not Found"))</f>
        <v/>
      </c>
      <c r="E1784" s="203"/>
      <c r="F1784" s="204"/>
      <c r="G1784" s="138"/>
      <c r="H1784" s="205" t="str">
        <f t="array" ref="H1784">IFERROR(XLOOKUP(D1784,'MASTER ITEM LIST'!A:A,'MASTER ITEM LIST'!D:D), "")</f>
        <v/>
      </c>
      <c r="I1784" s="206"/>
      <c r="J1784" s="207" t="str">
        <f t="shared" si="2"/>
        <v/>
      </c>
    </row>
    <row r="1785" ht="22.5" customHeight="1">
      <c r="A1785" s="200"/>
      <c r="B1785" s="138"/>
      <c r="C1785" s="201"/>
      <c r="D1785" s="202" t="str">
        <f t="array" ref="D1785">IF(E1785="", "", XLOOKUP(E1785, 'MASTER ITEM LIST'!B:B, 'MASTER ITEM LIST'!A:A, "Code Not Found"))</f>
        <v/>
      </c>
      <c r="E1785" s="203"/>
      <c r="F1785" s="204"/>
      <c r="G1785" s="138"/>
      <c r="H1785" s="205" t="str">
        <f t="array" ref="H1785">IFERROR(XLOOKUP(D1785,'MASTER ITEM LIST'!A:A,'MASTER ITEM LIST'!D:D), "")</f>
        <v/>
      </c>
      <c r="I1785" s="206"/>
      <c r="J1785" s="207" t="str">
        <f t="shared" si="2"/>
        <v/>
      </c>
    </row>
    <row r="1786" ht="22.5" customHeight="1">
      <c r="A1786" s="200"/>
      <c r="B1786" s="138"/>
      <c r="C1786" s="201"/>
      <c r="D1786" s="202" t="str">
        <f t="array" ref="D1786">IF(E1786="", "", XLOOKUP(E1786, 'MASTER ITEM LIST'!B:B, 'MASTER ITEM LIST'!A:A, "Code Not Found"))</f>
        <v/>
      </c>
      <c r="E1786" s="203"/>
      <c r="F1786" s="204"/>
      <c r="G1786" s="138"/>
      <c r="H1786" s="205" t="str">
        <f t="array" ref="H1786">IFERROR(XLOOKUP(D1786,'MASTER ITEM LIST'!A:A,'MASTER ITEM LIST'!D:D), "")</f>
        <v/>
      </c>
      <c r="I1786" s="206"/>
      <c r="J1786" s="207" t="str">
        <f t="shared" si="2"/>
        <v/>
      </c>
    </row>
    <row r="1787" ht="22.5" customHeight="1">
      <c r="A1787" s="200"/>
      <c r="B1787" s="138"/>
      <c r="C1787" s="201"/>
      <c r="D1787" s="202" t="str">
        <f t="array" ref="D1787">IF(E1787="", "", XLOOKUP(E1787, 'MASTER ITEM LIST'!B:B, 'MASTER ITEM LIST'!A:A, "Code Not Found"))</f>
        <v/>
      </c>
      <c r="E1787" s="203"/>
      <c r="F1787" s="204"/>
      <c r="G1787" s="138"/>
      <c r="H1787" s="205" t="str">
        <f t="array" ref="H1787">IFERROR(XLOOKUP(D1787,'MASTER ITEM LIST'!A:A,'MASTER ITEM LIST'!D:D), "")</f>
        <v/>
      </c>
      <c r="I1787" s="206"/>
      <c r="J1787" s="207" t="str">
        <f t="shared" si="2"/>
        <v/>
      </c>
    </row>
    <row r="1788" ht="22.5" customHeight="1">
      <c r="A1788" s="200"/>
      <c r="B1788" s="138"/>
      <c r="C1788" s="201"/>
      <c r="D1788" s="202" t="str">
        <f t="array" ref="D1788">IF(E1788="", "", XLOOKUP(E1788, 'MASTER ITEM LIST'!B:B, 'MASTER ITEM LIST'!A:A, "Code Not Found"))</f>
        <v/>
      </c>
      <c r="E1788" s="203"/>
      <c r="F1788" s="204"/>
      <c r="G1788" s="138"/>
      <c r="H1788" s="205" t="str">
        <f t="array" ref="H1788">IFERROR(XLOOKUP(D1788,'MASTER ITEM LIST'!A:A,'MASTER ITEM LIST'!D:D), "")</f>
        <v/>
      </c>
      <c r="I1788" s="206"/>
      <c r="J1788" s="207" t="str">
        <f t="shared" si="2"/>
        <v/>
      </c>
    </row>
    <row r="1789" ht="22.5" customHeight="1">
      <c r="A1789" s="200"/>
      <c r="B1789" s="138"/>
      <c r="C1789" s="201"/>
      <c r="D1789" s="202" t="str">
        <f t="array" ref="D1789">IF(E1789="", "", XLOOKUP(E1789, 'MASTER ITEM LIST'!B:B, 'MASTER ITEM LIST'!A:A, "Code Not Found"))</f>
        <v/>
      </c>
      <c r="E1789" s="203"/>
      <c r="F1789" s="204"/>
      <c r="G1789" s="138"/>
      <c r="H1789" s="205" t="str">
        <f t="array" ref="H1789">IFERROR(XLOOKUP(D1789,'MASTER ITEM LIST'!A:A,'MASTER ITEM LIST'!D:D), "")</f>
        <v/>
      </c>
      <c r="I1789" s="206"/>
      <c r="J1789" s="207" t="str">
        <f t="shared" si="2"/>
        <v/>
      </c>
    </row>
    <row r="1790" ht="22.5" customHeight="1">
      <c r="A1790" s="200"/>
      <c r="B1790" s="138"/>
      <c r="C1790" s="201"/>
      <c r="D1790" s="202" t="str">
        <f t="array" ref="D1790">IF(E1790="", "", XLOOKUP(E1790, 'MASTER ITEM LIST'!B:B, 'MASTER ITEM LIST'!A:A, "Code Not Found"))</f>
        <v/>
      </c>
      <c r="E1790" s="203"/>
      <c r="F1790" s="204"/>
      <c r="G1790" s="138"/>
      <c r="H1790" s="205" t="str">
        <f t="array" ref="H1790">IFERROR(XLOOKUP(D1790,'MASTER ITEM LIST'!A:A,'MASTER ITEM LIST'!D:D), "")</f>
        <v/>
      </c>
      <c r="I1790" s="206"/>
      <c r="J1790" s="207" t="str">
        <f t="shared" si="2"/>
        <v/>
      </c>
    </row>
    <row r="1791" ht="22.5" customHeight="1">
      <c r="A1791" s="200"/>
      <c r="B1791" s="138"/>
      <c r="C1791" s="201"/>
      <c r="D1791" s="202" t="str">
        <f t="array" ref="D1791">IF(E1791="", "", XLOOKUP(E1791, 'MASTER ITEM LIST'!B:B, 'MASTER ITEM LIST'!A:A, "Code Not Found"))</f>
        <v/>
      </c>
      <c r="E1791" s="203"/>
      <c r="F1791" s="204"/>
      <c r="G1791" s="138"/>
      <c r="H1791" s="205" t="str">
        <f t="array" ref="H1791">IFERROR(XLOOKUP(D1791,'MASTER ITEM LIST'!A:A,'MASTER ITEM LIST'!D:D), "")</f>
        <v/>
      </c>
      <c r="I1791" s="206"/>
      <c r="J1791" s="207" t="str">
        <f t="shared" si="2"/>
        <v/>
      </c>
    </row>
    <row r="1792" ht="22.5" customHeight="1">
      <c r="A1792" s="200"/>
      <c r="B1792" s="138"/>
      <c r="C1792" s="201"/>
      <c r="D1792" s="202" t="str">
        <f t="array" ref="D1792">IF(E1792="", "", XLOOKUP(E1792, 'MASTER ITEM LIST'!B:B, 'MASTER ITEM LIST'!A:A, "Code Not Found"))</f>
        <v/>
      </c>
      <c r="E1792" s="203"/>
      <c r="F1792" s="204"/>
      <c r="G1792" s="138"/>
      <c r="H1792" s="205" t="str">
        <f t="array" ref="H1792">IFERROR(XLOOKUP(D1792,'MASTER ITEM LIST'!A:A,'MASTER ITEM LIST'!D:D), "")</f>
        <v/>
      </c>
      <c r="I1792" s="206"/>
      <c r="J1792" s="207" t="str">
        <f t="shared" si="2"/>
        <v/>
      </c>
    </row>
    <row r="1793" ht="22.5" customHeight="1">
      <c r="A1793" s="200"/>
      <c r="B1793" s="138"/>
      <c r="C1793" s="201"/>
      <c r="D1793" s="202" t="str">
        <f t="array" ref="D1793">IF(E1793="", "", XLOOKUP(E1793, 'MASTER ITEM LIST'!B:B, 'MASTER ITEM LIST'!A:A, "Code Not Found"))</f>
        <v/>
      </c>
      <c r="E1793" s="203"/>
      <c r="F1793" s="204"/>
      <c r="G1793" s="138"/>
      <c r="H1793" s="205" t="str">
        <f t="array" ref="H1793">IFERROR(XLOOKUP(D1793,'MASTER ITEM LIST'!A:A,'MASTER ITEM LIST'!D:D), "")</f>
        <v/>
      </c>
      <c r="I1793" s="206"/>
      <c r="J1793" s="207" t="str">
        <f t="shared" si="2"/>
        <v/>
      </c>
    </row>
    <row r="1794" ht="22.5" customHeight="1">
      <c r="A1794" s="200"/>
      <c r="B1794" s="138"/>
      <c r="C1794" s="201"/>
      <c r="D1794" s="202" t="str">
        <f t="array" ref="D1794">IF(E1794="", "", XLOOKUP(E1794, 'MASTER ITEM LIST'!B:B, 'MASTER ITEM LIST'!A:A, "Code Not Found"))</f>
        <v/>
      </c>
      <c r="E1794" s="203"/>
      <c r="F1794" s="204"/>
      <c r="G1794" s="138"/>
      <c r="H1794" s="205" t="str">
        <f t="array" ref="H1794">IFERROR(XLOOKUP(D1794,'MASTER ITEM LIST'!A:A,'MASTER ITEM LIST'!D:D), "")</f>
        <v/>
      </c>
      <c r="I1794" s="206"/>
      <c r="J1794" s="207" t="str">
        <f t="shared" si="2"/>
        <v/>
      </c>
    </row>
    <row r="1795" ht="22.5" customHeight="1">
      <c r="A1795" s="200"/>
      <c r="B1795" s="138"/>
      <c r="C1795" s="201"/>
      <c r="D1795" s="202" t="str">
        <f t="array" ref="D1795">IF(E1795="", "", XLOOKUP(E1795, 'MASTER ITEM LIST'!B:B, 'MASTER ITEM LIST'!A:A, "Code Not Found"))</f>
        <v/>
      </c>
      <c r="E1795" s="203"/>
      <c r="F1795" s="204"/>
      <c r="G1795" s="138"/>
      <c r="H1795" s="205" t="str">
        <f t="array" ref="H1795">IFERROR(XLOOKUP(D1795,'MASTER ITEM LIST'!A:A,'MASTER ITEM LIST'!D:D), "")</f>
        <v/>
      </c>
      <c r="I1795" s="206"/>
      <c r="J1795" s="207" t="str">
        <f t="shared" si="2"/>
        <v/>
      </c>
    </row>
    <row r="1796" ht="22.5" customHeight="1">
      <c r="A1796" s="200"/>
      <c r="B1796" s="138"/>
      <c r="C1796" s="201"/>
      <c r="D1796" s="202" t="str">
        <f t="array" ref="D1796">IF(E1796="", "", XLOOKUP(E1796, 'MASTER ITEM LIST'!B:B, 'MASTER ITEM LIST'!A:A, "Code Not Found"))</f>
        <v/>
      </c>
      <c r="E1796" s="203"/>
      <c r="F1796" s="204"/>
      <c r="G1796" s="138"/>
      <c r="H1796" s="205" t="str">
        <f t="array" ref="H1796">IFERROR(XLOOKUP(D1796,'MASTER ITEM LIST'!A:A,'MASTER ITEM LIST'!D:D), "")</f>
        <v/>
      </c>
      <c r="I1796" s="206"/>
      <c r="J1796" s="207" t="str">
        <f t="shared" si="2"/>
        <v/>
      </c>
    </row>
    <row r="1797" ht="22.5" customHeight="1">
      <c r="A1797" s="200"/>
      <c r="B1797" s="138"/>
      <c r="C1797" s="201"/>
      <c r="D1797" s="202" t="str">
        <f t="array" ref="D1797">IF(E1797="", "", XLOOKUP(E1797, 'MASTER ITEM LIST'!B:B, 'MASTER ITEM LIST'!A:A, "Code Not Found"))</f>
        <v/>
      </c>
      <c r="E1797" s="203"/>
      <c r="F1797" s="204"/>
      <c r="G1797" s="138"/>
      <c r="H1797" s="205" t="str">
        <f t="array" ref="H1797">IFERROR(XLOOKUP(D1797,'MASTER ITEM LIST'!A:A,'MASTER ITEM LIST'!D:D), "")</f>
        <v/>
      </c>
      <c r="I1797" s="206"/>
      <c r="J1797" s="207" t="str">
        <f t="shared" si="2"/>
        <v/>
      </c>
    </row>
    <row r="1798" ht="22.5" customHeight="1">
      <c r="A1798" s="200"/>
      <c r="B1798" s="138"/>
      <c r="C1798" s="201"/>
      <c r="D1798" s="202" t="str">
        <f t="array" ref="D1798">IF(E1798="", "", XLOOKUP(E1798, 'MASTER ITEM LIST'!B:B, 'MASTER ITEM LIST'!A:A, "Code Not Found"))</f>
        <v/>
      </c>
      <c r="E1798" s="203"/>
      <c r="F1798" s="204"/>
      <c r="G1798" s="138"/>
      <c r="H1798" s="205" t="str">
        <f t="array" ref="H1798">IFERROR(XLOOKUP(D1798,'MASTER ITEM LIST'!A:A,'MASTER ITEM LIST'!D:D), "")</f>
        <v/>
      </c>
      <c r="I1798" s="206"/>
      <c r="J1798" s="207" t="str">
        <f t="shared" si="2"/>
        <v/>
      </c>
    </row>
    <row r="1799" ht="22.5" customHeight="1">
      <c r="A1799" s="200"/>
      <c r="B1799" s="138"/>
      <c r="C1799" s="201"/>
      <c r="D1799" s="202" t="str">
        <f t="array" ref="D1799">IF(E1799="", "", XLOOKUP(E1799, 'MASTER ITEM LIST'!B:B, 'MASTER ITEM LIST'!A:A, "Code Not Found"))</f>
        <v/>
      </c>
      <c r="E1799" s="203"/>
      <c r="F1799" s="204"/>
      <c r="G1799" s="138"/>
      <c r="H1799" s="205" t="str">
        <f t="array" ref="H1799">IFERROR(XLOOKUP(D1799,'MASTER ITEM LIST'!A:A,'MASTER ITEM LIST'!D:D), "")</f>
        <v/>
      </c>
      <c r="I1799" s="206"/>
      <c r="J1799" s="207" t="str">
        <f t="shared" si="2"/>
        <v/>
      </c>
    </row>
    <row r="1800" ht="22.5" customHeight="1">
      <c r="A1800" s="200"/>
      <c r="B1800" s="138"/>
      <c r="C1800" s="201"/>
      <c r="D1800" s="202" t="str">
        <f t="array" ref="D1800">IF(E1800="", "", XLOOKUP(E1800, 'MASTER ITEM LIST'!B:B, 'MASTER ITEM LIST'!A:A, "Code Not Found"))</f>
        <v/>
      </c>
      <c r="E1800" s="203"/>
      <c r="F1800" s="204"/>
      <c r="G1800" s="138"/>
      <c r="H1800" s="205" t="str">
        <f t="array" ref="H1800">IFERROR(XLOOKUP(D1800,'MASTER ITEM LIST'!A:A,'MASTER ITEM LIST'!D:D), "")</f>
        <v/>
      </c>
      <c r="I1800" s="206"/>
      <c r="J1800" s="207" t="str">
        <f t="shared" si="2"/>
        <v/>
      </c>
    </row>
    <row r="1801" ht="22.5" customHeight="1">
      <c r="A1801" s="200"/>
      <c r="B1801" s="138"/>
      <c r="C1801" s="201"/>
      <c r="D1801" s="202" t="str">
        <f t="array" ref="D1801">IF(E1801="", "", XLOOKUP(E1801, 'MASTER ITEM LIST'!B:B, 'MASTER ITEM LIST'!A:A, "Code Not Found"))</f>
        <v/>
      </c>
      <c r="E1801" s="203"/>
      <c r="F1801" s="204"/>
      <c r="G1801" s="138"/>
      <c r="H1801" s="205" t="str">
        <f t="array" ref="H1801">IFERROR(XLOOKUP(D1801,'MASTER ITEM LIST'!A:A,'MASTER ITEM LIST'!D:D), "")</f>
        <v/>
      </c>
      <c r="I1801" s="206"/>
      <c r="J1801" s="207" t="str">
        <f t="shared" si="2"/>
        <v/>
      </c>
    </row>
    <row r="1802" ht="22.5" customHeight="1">
      <c r="A1802" s="200"/>
      <c r="B1802" s="138"/>
      <c r="C1802" s="201"/>
      <c r="D1802" s="202" t="str">
        <f t="array" ref="D1802">IF(E1802="", "", XLOOKUP(E1802, 'MASTER ITEM LIST'!B:B, 'MASTER ITEM LIST'!A:A, "Code Not Found"))</f>
        <v/>
      </c>
      <c r="E1802" s="203"/>
      <c r="F1802" s="204"/>
      <c r="G1802" s="138"/>
      <c r="H1802" s="205" t="str">
        <f t="array" ref="H1802">IFERROR(XLOOKUP(D1802,'MASTER ITEM LIST'!A:A,'MASTER ITEM LIST'!D:D), "")</f>
        <v/>
      </c>
      <c r="I1802" s="206"/>
      <c r="J1802" s="207" t="str">
        <f t="shared" si="2"/>
        <v/>
      </c>
    </row>
    <row r="1803" ht="22.5" customHeight="1">
      <c r="A1803" s="200"/>
      <c r="B1803" s="138"/>
      <c r="C1803" s="201"/>
      <c r="D1803" s="202" t="str">
        <f t="array" ref="D1803">IF(E1803="", "", XLOOKUP(E1803, 'MASTER ITEM LIST'!B:B, 'MASTER ITEM LIST'!A:A, "Code Not Found"))</f>
        <v/>
      </c>
      <c r="E1803" s="203"/>
      <c r="F1803" s="204"/>
      <c r="G1803" s="138"/>
      <c r="H1803" s="205" t="str">
        <f t="array" ref="H1803">IFERROR(XLOOKUP(D1803,'MASTER ITEM LIST'!A:A,'MASTER ITEM LIST'!D:D), "")</f>
        <v/>
      </c>
      <c r="I1803" s="206"/>
      <c r="J1803" s="207" t="str">
        <f t="shared" si="2"/>
        <v/>
      </c>
    </row>
    <row r="1804" ht="22.5" customHeight="1">
      <c r="A1804" s="200"/>
      <c r="B1804" s="138"/>
      <c r="C1804" s="201"/>
      <c r="D1804" s="202" t="str">
        <f t="array" ref="D1804">IF(E1804="", "", XLOOKUP(E1804, 'MASTER ITEM LIST'!B:B, 'MASTER ITEM LIST'!A:A, "Code Not Found"))</f>
        <v/>
      </c>
      <c r="E1804" s="203"/>
      <c r="F1804" s="204"/>
      <c r="G1804" s="138"/>
      <c r="H1804" s="205" t="str">
        <f t="array" ref="H1804">IFERROR(XLOOKUP(D1804,'MASTER ITEM LIST'!A:A,'MASTER ITEM LIST'!D:D), "")</f>
        <v/>
      </c>
      <c r="I1804" s="206"/>
      <c r="J1804" s="207" t="str">
        <f t="shared" si="2"/>
        <v/>
      </c>
    </row>
    <row r="1805" ht="22.5" customHeight="1">
      <c r="A1805" s="200"/>
      <c r="B1805" s="138"/>
      <c r="C1805" s="201"/>
      <c r="D1805" s="202" t="str">
        <f t="array" ref="D1805">IF(E1805="", "", XLOOKUP(E1805, 'MASTER ITEM LIST'!B:B, 'MASTER ITEM LIST'!A:A, "Code Not Found"))</f>
        <v/>
      </c>
      <c r="E1805" s="203"/>
      <c r="F1805" s="204"/>
      <c r="G1805" s="138"/>
      <c r="H1805" s="205" t="str">
        <f t="array" ref="H1805">IFERROR(XLOOKUP(D1805,'MASTER ITEM LIST'!A:A,'MASTER ITEM LIST'!D:D), "")</f>
        <v/>
      </c>
      <c r="I1805" s="206"/>
      <c r="J1805" s="207" t="str">
        <f t="shared" si="2"/>
        <v/>
      </c>
    </row>
    <row r="1806" ht="22.5" customHeight="1">
      <c r="A1806" s="200"/>
      <c r="B1806" s="138"/>
      <c r="C1806" s="201"/>
      <c r="D1806" s="202" t="str">
        <f t="array" ref="D1806">IF(E1806="", "", XLOOKUP(E1806, 'MASTER ITEM LIST'!B:B, 'MASTER ITEM LIST'!A:A, "Code Not Found"))</f>
        <v/>
      </c>
      <c r="E1806" s="203"/>
      <c r="F1806" s="204"/>
      <c r="G1806" s="138"/>
      <c r="H1806" s="205" t="str">
        <f t="array" ref="H1806">IFERROR(XLOOKUP(D1806,'MASTER ITEM LIST'!A:A,'MASTER ITEM LIST'!D:D), "")</f>
        <v/>
      </c>
      <c r="I1806" s="206"/>
      <c r="J1806" s="207" t="str">
        <f t="shared" si="2"/>
        <v/>
      </c>
    </row>
    <row r="1807" ht="22.5" customHeight="1">
      <c r="A1807" s="200"/>
      <c r="B1807" s="138"/>
      <c r="C1807" s="201"/>
      <c r="D1807" s="202" t="str">
        <f t="array" ref="D1807">IF(E1807="", "", XLOOKUP(E1807, 'MASTER ITEM LIST'!B:B, 'MASTER ITEM LIST'!A:A, "Code Not Found"))</f>
        <v/>
      </c>
      <c r="E1807" s="203"/>
      <c r="F1807" s="204"/>
      <c r="G1807" s="138"/>
      <c r="H1807" s="205" t="str">
        <f t="array" ref="H1807">IFERROR(XLOOKUP(D1807,'MASTER ITEM LIST'!A:A,'MASTER ITEM LIST'!D:D), "")</f>
        <v/>
      </c>
      <c r="I1807" s="206"/>
      <c r="J1807" s="207" t="str">
        <f t="shared" si="2"/>
        <v/>
      </c>
    </row>
    <row r="1808" ht="22.5" customHeight="1">
      <c r="A1808" s="200"/>
      <c r="B1808" s="138"/>
      <c r="C1808" s="201"/>
      <c r="D1808" s="202" t="str">
        <f t="array" ref="D1808">IF(E1808="", "", XLOOKUP(E1808, 'MASTER ITEM LIST'!B:B, 'MASTER ITEM LIST'!A:A, "Code Not Found"))</f>
        <v/>
      </c>
      <c r="E1808" s="203"/>
      <c r="F1808" s="204"/>
      <c r="G1808" s="138"/>
      <c r="H1808" s="205" t="str">
        <f t="array" ref="H1808">IFERROR(XLOOKUP(D1808,'MASTER ITEM LIST'!A:A,'MASTER ITEM LIST'!D:D), "")</f>
        <v/>
      </c>
      <c r="I1808" s="206"/>
      <c r="J1808" s="207" t="str">
        <f t="shared" si="2"/>
        <v/>
      </c>
    </row>
    <row r="1809" ht="22.5" customHeight="1">
      <c r="A1809" s="200"/>
      <c r="B1809" s="138"/>
      <c r="C1809" s="201"/>
      <c r="D1809" s="202" t="str">
        <f t="array" ref="D1809">IF(E1809="", "", XLOOKUP(E1809, 'MASTER ITEM LIST'!B:B, 'MASTER ITEM LIST'!A:A, "Code Not Found"))</f>
        <v/>
      </c>
      <c r="E1809" s="203"/>
      <c r="F1809" s="204"/>
      <c r="G1809" s="138"/>
      <c r="H1809" s="205" t="str">
        <f t="array" ref="H1809">IFERROR(XLOOKUP(D1809,'MASTER ITEM LIST'!A:A,'MASTER ITEM LIST'!D:D), "")</f>
        <v/>
      </c>
      <c r="I1809" s="206"/>
      <c r="J1809" s="207" t="str">
        <f t="shared" si="2"/>
        <v/>
      </c>
    </row>
    <row r="1810" ht="22.5" customHeight="1">
      <c r="A1810" s="200"/>
      <c r="B1810" s="138"/>
      <c r="C1810" s="201"/>
      <c r="D1810" s="202" t="str">
        <f t="array" ref="D1810">IF(E1810="", "", XLOOKUP(E1810, 'MASTER ITEM LIST'!B:B, 'MASTER ITEM LIST'!A:A, "Code Not Found"))</f>
        <v/>
      </c>
      <c r="E1810" s="203"/>
      <c r="F1810" s="204"/>
      <c r="G1810" s="138"/>
      <c r="H1810" s="205" t="str">
        <f t="array" ref="H1810">IFERROR(XLOOKUP(D1810,'MASTER ITEM LIST'!A:A,'MASTER ITEM LIST'!D:D), "")</f>
        <v/>
      </c>
      <c r="I1810" s="206"/>
      <c r="J1810" s="207" t="str">
        <f t="shared" si="2"/>
        <v/>
      </c>
    </row>
    <row r="1811" ht="22.5" customHeight="1">
      <c r="A1811" s="200"/>
      <c r="B1811" s="138"/>
      <c r="C1811" s="201"/>
      <c r="D1811" s="202" t="str">
        <f t="array" ref="D1811">IF(E1811="", "", XLOOKUP(E1811, 'MASTER ITEM LIST'!B:B, 'MASTER ITEM LIST'!A:A, "Code Not Found"))</f>
        <v/>
      </c>
      <c r="E1811" s="203"/>
      <c r="F1811" s="204"/>
      <c r="G1811" s="138"/>
      <c r="H1811" s="205" t="str">
        <f t="array" ref="H1811">IFERROR(XLOOKUP(D1811,'MASTER ITEM LIST'!A:A,'MASTER ITEM LIST'!D:D), "")</f>
        <v/>
      </c>
      <c r="I1811" s="206"/>
      <c r="J1811" s="207" t="str">
        <f t="shared" si="2"/>
        <v/>
      </c>
    </row>
    <row r="1812" ht="22.5" customHeight="1">
      <c r="A1812" s="200"/>
      <c r="B1812" s="138"/>
      <c r="C1812" s="201"/>
      <c r="D1812" s="202" t="str">
        <f t="array" ref="D1812">IF(E1812="", "", XLOOKUP(E1812, 'MASTER ITEM LIST'!B:B, 'MASTER ITEM LIST'!A:A, "Code Not Found"))</f>
        <v/>
      </c>
      <c r="E1812" s="203"/>
      <c r="F1812" s="204"/>
      <c r="G1812" s="138"/>
      <c r="H1812" s="205" t="str">
        <f t="array" ref="H1812">IFERROR(XLOOKUP(D1812,'MASTER ITEM LIST'!A:A,'MASTER ITEM LIST'!D:D), "")</f>
        <v/>
      </c>
      <c r="I1812" s="206"/>
      <c r="J1812" s="207" t="str">
        <f t="shared" si="2"/>
        <v/>
      </c>
    </row>
    <row r="1813" ht="22.5" customHeight="1">
      <c r="A1813" s="200"/>
      <c r="B1813" s="138"/>
      <c r="C1813" s="201"/>
      <c r="D1813" s="202" t="str">
        <f t="array" ref="D1813">IF(E1813="", "", XLOOKUP(E1813, 'MASTER ITEM LIST'!B:B, 'MASTER ITEM LIST'!A:A, "Code Not Found"))</f>
        <v/>
      </c>
      <c r="E1813" s="203"/>
      <c r="F1813" s="204"/>
      <c r="G1813" s="138"/>
      <c r="H1813" s="205" t="str">
        <f t="array" ref="H1813">IFERROR(XLOOKUP(D1813,'MASTER ITEM LIST'!A:A,'MASTER ITEM LIST'!D:D), "")</f>
        <v/>
      </c>
      <c r="I1813" s="206"/>
      <c r="J1813" s="207" t="str">
        <f t="shared" si="2"/>
        <v/>
      </c>
    </row>
    <row r="1814" ht="22.5" customHeight="1">
      <c r="A1814" s="200"/>
      <c r="B1814" s="138"/>
      <c r="C1814" s="201"/>
      <c r="D1814" s="202" t="str">
        <f t="array" ref="D1814">IF(E1814="", "", XLOOKUP(E1814, 'MASTER ITEM LIST'!B:B, 'MASTER ITEM LIST'!A:A, "Code Not Found"))</f>
        <v/>
      </c>
      <c r="E1814" s="203"/>
      <c r="F1814" s="204"/>
      <c r="G1814" s="138"/>
      <c r="H1814" s="205" t="str">
        <f t="array" ref="H1814">IFERROR(XLOOKUP(D1814,'MASTER ITEM LIST'!A:A,'MASTER ITEM LIST'!D:D), "")</f>
        <v/>
      </c>
      <c r="I1814" s="206"/>
      <c r="J1814" s="207" t="str">
        <f t="shared" si="2"/>
        <v/>
      </c>
    </row>
    <row r="1815" ht="22.5" customHeight="1">
      <c r="A1815" s="200"/>
      <c r="B1815" s="138"/>
      <c r="C1815" s="201"/>
      <c r="D1815" s="202" t="str">
        <f t="array" ref="D1815">IF(E1815="", "", XLOOKUP(E1815, 'MASTER ITEM LIST'!B:B, 'MASTER ITEM LIST'!A:A, "Code Not Found"))</f>
        <v/>
      </c>
      <c r="E1815" s="203"/>
      <c r="F1815" s="204"/>
      <c r="G1815" s="138"/>
      <c r="H1815" s="205" t="str">
        <f t="array" ref="H1815">IFERROR(XLOOKUP(D1815,'MASTER ITEM LIST'!A:A,'MASTER ITEM LIST'!D:D), "")</f>
        <v/>
      </c>
      <c r="I1815" s="206"/>
      <c r="J1815" s="207" t="str">
        <f t="shared" si="2"/>
        <v/>
      </c>
    </row>
    <row r="1816" ht="22.5" customHeight="1">
      <c r="A1816" s="200"/>
      <c r="B1816" s="138"/>
      <c r="C1816" s="201"/>
      <c r="D1816" s="202" t="str">
        <f t="array" ref="D1816">IF(E1816="", "", XLOOKUP(E1816, 'MASTER ITEM LIST'!B:B, 'MASTER ITEM LIST'!A:A, "Code Not Found"))</f>
        <v/>
      </c>
      <c r="E1816" s="203"/>
      <c r="F1816" s="204"/>
      <c r="G1816" s="138"/>
      <c r="H1816" s="205" t="str">
        <f t="array" ref="H1816">IFERROR(XLOOKUP(D1816,'MASTER ITEM LIST'!A:A,'MASTER ITEM LIST'!D:D), "")</f>
        <v/>
      </c>
      <c r="I1816" s="206"/>
      <c r="J1816" s="207" t="str">
        <f t="shared" si="2"/>
        <v/>
      </c>
    </row>
    <row r="1817" ht="22.5" customHeight="1">
      <c r="A1817" s="200"/>
      <c r="B1817" s="138"/>
      <c r="C1817" s="201"/>
      <c r="D1817" s="202" t="str">
        <f t="array" ref="D1817">IF(E1817="", "", XLOOKUP(E1817, 'MASTER ITEM LIST'!B:B, 'MASTER ITEM LIST'!A:A, "Code Not Found"))</f>
        <v/>
      </c>
      <c r="E1817" s="203"/>
      <c r="F1817" s="204"/>
      <c r="G1817" s="138"/>
      <c r="H1817" s="205" t="str">
        <f t="array" ref="H1817">IFERROR(XLOOKUP(D1817,'MASTER ITEM LIST'!A:A,'MASTER ITEM LIST'!D:D), "")</f>
        <v/>
      </c>
      <c r="I1817" s="206"/>
      <c r="J1817" s="207" t="str">
        <f t="shared" si="2"/>
        <v/>
      </c>
    </row>
    <row r="1818" ht="22.5" customHeight="1">
      <c r="A1818" s="200"/>
      <c r="B1818" s="138"/>
      <c r="C1818" s="201"/>
      <c r="D1818" s="202" t="str">
        <f t="array" ref="D1818">IF(E1818="", "", XLOOKUP(E1818, 'MASTER ITEM LIST'!B:B, 'MASTER ITEM LIST'!A:A, "Code Not Found"))</f>
        <v/>
      </c>
      <c r="E1818" s="203"/>
      <c r="F1818" s="204"/>
      <c r="G1818" s="138"/>
      <c r="H1818" s="205" t="str">
        <f t="array" ref="H1818">IFERROR(XLOOKUP(D1818,'MASTER ITEM LIST'!A:A,'MASTER ITEM LIST'!D:D), "")</f>
        <v/>
      </c>
      <c r="I1818" s="206"/>
      <c r="J1818" s="207" t="str">
        <f t="shared" si="2"/>
        <v/>
      </c>
    </row>
    <row r="1819" ht="22.5" customHeight="1">
      <c r="A1819" s="200"/>
      <c r="B1819" s="138"/>
      <c r="C1819" s="201"/>
      <c r="D1819" s="202" t="str">
        <f t="array" ref="D1819">IF(E1819="", "", XLOOKUP(E1819, 'MASTER ITEM LIST'!B:B, 'MASTER ITEM LIST'!A:A, "Code Not Found"))</f>
        <v/>
      </c>
      <c r="E1819" s="203"/>
      <c r="F1819" s="204"/>
      <c r="G1819" s="138"/>
      <c r="H1819" s="205" t="str">
        <f t="array" ref="H1819">IFERROR(XLOOKUP(D1819,'MASTER ITEM LIST'!A:A,'MASTER ITEM LIST'!D:D), "")</f>
        <v/>
      </c>
      <c r="I1819" s="206"/>
      <c r="J1819" s="207" t="str">
        <f t="shared" si="2"/>
        <v/>
      </c>
    </row>
    <row r="1820" ht="22.5" customHeight="1">
      <c r="A1820" s="200"/>
      <c r="B1820" s="138"/>
      <c r="C1820" s="201"/>
      <c r="D1820" s="202" t="str">
        <f t="array" ref="D1820">IF(E1820="", "", XLOOKUP(E1820, 'MASTER ITEM LIST'!B:B, 'MASTER ITEM LIST'!A:A, "Code Not Found"))</f>
        <v/>
      </c>
      <c r="E1820" s="203"/>
      <c r="F1820" s="204"/>
      <c r="G1820" s="138"/>
      <c r="H1820" s="205" t="str">
        <f t="array" ref="H1820">IFERROR(XLOOKUP(D1820,'MASTER ITEM LIST'!A:A,'MASTER ITEM LIST'!D:D), "")</f>
        <v/>
      </c>
      <c r="I1820" s="206"/>
      <c r="J1820" s="207" t="str">
        <f t="shared" si="2"/>
        <v/>
      </c>
    </row>
    <row r="1821" ht="22.5" customHeight="1">
      <c r="A1821" s="200"/>
      <c r="B1821" s="138"/>
      <c r="C1821" s="201"/>
      <c r="D1821" s="202" t="str">
        <f t="array" ref="D1821">IF(E1821="", "", XLOOKUP(E1821, 'MASTER ITEM LIST'!B:B, 'MASTER ITEM LIST'!A:A, "Code Not Found"))</f>
        <v/>
      </c>
      <c r="E1821" s="203"/>
      <c r="F1821" s="204"/>
      <c r="G1821" s="138"/>
      <c r="H1821" s="205" t="str">
        <f t="array" ref="H1821">IFERROR(XLOOKUP(D1821,'MASTER ITEM LIST'!A:A,'MASTER ITEM LIST'!D:D), "")</f>
        <v/>
      </c>
      <c r="I1821" s="206"/>
      <c r="J1821" s="207" t="str">
        <f t="shared" si="2"/>
        <v/>
      </c>
    </row>
    <row r="1822" ht="22.5" customHeight="1">
      <c r="A1822" s="200"/>
      <c r="B1822" s="138"/>
      <c r="C1822" s="201"/>
      <c r="D1822" s="202" t="str">
        <f t="array" ref="D1822">IF(E1822="", "", XLOOKUP(E1822, 'MASTER ITEM LIST'!B:B, 'MASTER ITEM LIST'!A:A, "Code Not Found"))</f>
        <v/>
      </c>
      <c r="E1822" s="203"/>
      <c r="F1822" s="204"/>
      <c r="G1822" s="138"/>
      <c r="H1822" s="205" t="str">
        <f t="array" ref="H1822">IFERROR(XLOOKUP(D1822,'MASTER ITEM LIST'!A:A,'MASTER ITEM LIST'!D:D), "")</f>
        <v/>
      </c>
      <c r="I1822" s="206"/>
      <c r="J1822" s="207" t="str">
        <f t="shared" si="2"/>
        <v/>
      </c>
    </row>
    <row r="1823" ht="22.5" customHeight="1">
      <c r="A1823" s="200"/>
      <c r="B1823" s="138"/>
      <c r="C1823" s="201"/>
      <c r="D1823" s="202" t="str">
        <f t="array" ref="D1823">IF(E1823="", "", XLOOKUP(E1823, 'MASTER ITEM LIST'!B:B, 'MASTER ITEM LIST'!A:A, "Code Not Found"))</f>
        <v/>
      </c>
      <c r="E1823" s="203"/>
      <c r="F1823" s="204"/>
      <c r="G1823" s="138"/>
      <c r="H1823" s="205" t="str">
        <f t="array" ref="H1823">IFERROR(XLOOKUP(D1823,'MASTER ITEM LIST'!A:A,'MASTER ITEM LIST'!D:D), "")</f>
        <v/>
      </c>
      <c r="I1823" s="206"/>
      <c r="J1823" s="207" t="str">
        <f t="shared" si="2"/>
        <v/>
      </c>
    </row>
    <row r="1824" ht="22.5" customHeight="1">
      <c r="A1824" s="200"/>
      <c r="B1824" s="138"/>
      <c r="C1824" s="201"/>
      <c r="D1824" s="202" t="str">
        <f t="array" ref="D1824">IF(E1824="", "", XLOOKUP(E1824, 'MASTER ITEM LIST'!B:B, 'MASTER ITEM LIST'!A:A, "Code Not Found"))</f>
        <v/>
      </c>
      <c r="E1824" s="203"/>
      <c r="F1824" s="204"/>
      <c r="G1824" s="138"/>
      <c r="H1824" s="205" t="str">
        <f t="array" ref="H1824">IFERROR(XLOOKUP(D1824,'MASTER ITEM LIST'!A:A,'MASTER ITEM LIST'!D:D), "")</f>
        <v/>
      </c>
      <c r="I1824" s="206"/>
      <c r="J1824" s="207" t="str">
        <f t="shared" si="2"/>
        <v/>
      </c>
    </row>
    <row r="1825" ht="22.5" customHeight="1">
      <c r="A1825" s="200"/>
      <c r="B1825" s="138"/>
      <c r="C1825" s="201"/>
      <c r="D1825" s="202" t="str">
        <f t="array" ref="D1825">IF(E1825="", "", XLOOKUP(E1825, 'MASTER ITEM LIST'!B:B, 'MASTER ITEM LIST'!A:A, "Code Not Found"))</f>
        <v/>
      </c>
      <c r="E1825" s="203"/>
      <c r="F1825" s="204"/>
      <c r="G1825" s="138"/>
      <c r="H1825" s="205" t="str">
        <f t="array" ref="H1825">IFERROR(XLOOKUP(D1825,'MASTER ITEM LIST'!A:A,'MASTER ITEM LIST'!D:D), "")</f>
        <v/>
      </c>
      <c r="I1825" s="206"/>
      <c r="J1825" s="207" t="str">
        <f t="shared" si="2"/>
        <v/>
      </c>
    </row>
    <row r="1826" ht="22.5" customHeight="1">
      <c r="A1826" s="200"/>
      <c r="B1826" s="138"/>
      <c r="C1826" s="201"/>
      <c r="D1826" s="202" t="str">
        <f t="array" ref="D1826">IF(E1826="", "", XLOOKUP(E1826, 'MASTER ITEM LIST'!B:B, 'MASTER ITEM LIST'!A:A, "Code Not Found"))</f>
        <v/>
      </c>
      <c r="E1826" s="203"/>
      <c r="F1826" s="204"/>
      <c r="G1826" s="138"/>
      <c r="H1826" s="205" t="str">
        <f t="array" ref="H1826">IFERROR(XLOOKUP(D1826,'MASTER ITEM LIST'!A:A,'MASTER ITEM LIST'!D:D), "")</f>
        <v/>
      </c>
      <c r="I1826" s="206"/>
      <c r="J1826" s="207" t="str">
        <f t="shared" si="2"/>
        <v/>
      </c>
    </row>
    <row r="1827" ht="22.5" customHeight="1">
      <c r="A1827" s="200"/>
      <c r="B1827" s="138"/>
      <c r="C1827" s="201"/>
      <c r="D1827" s="202" t="str">
        <f t="array" ref="D1827">IF(E1827="", "", XLOOKUP(E1827, 'MASTER ITEM LIST'!B:B, 'MASTER ITEM LIST'!A:A, "Code Not Found"))</f>
        <v/>
      </c>
      <c r="E1827" s="203"/>
      <c r="F1827" s="204"/>
      <c r="G1827" s="138"/>
      <c r="H1827" s="205" t="str">
        <f t="array" ref="H1827">IFERROR(XLOOKUP(D1827,'MASTER ITEM LIST'!A:A,'MASTER ITEM LIST'!D:D), "")</f>
        <v/>
      </c>
      <c r="I1827" s="206"/>
      <c r="J1827" s="207" t="str">
        <f t="shared" si="2"/>
        <v/>
      </c>
    </row>
    <row r="1828" ht="22.5" customHeight="1">
      <c r="A1828" s="200"/>
      <c r="B1828" s="138"/>
      <c r="C1828" s="201"/>
      <c r="D1828" s="202" t="str">
        <f t="array" ref="D1828">IF(E1828="", "", XLOOKUP(E1828, 'MASTER ITEM LIST'!B:B, 'MASTER ITEM LIST'!A:A, "Code Not Found"))</f>
        <v/>
      </c>
      <c r="E1828" s="203"/>
      <c r="F1828" s="204"/>
      <c r="G1828" s="138"/>
      <c r="H1828" s="205" t="str">
        <f t="array" ref="H1828">IFERROR(XLOOKUP(D1828,'MASTER ITEM LIST'!A:A,'MASTER ITEM LIST'!D:D), "")</f>
        <v/>
      </c>
      <c r="I1828" s="206"/>
      <c r="J1828" s="207" t="str">
        <f t="shared" si="2"/>
        <v/>
      </c>
    </row>
    <row r="1829" ht="22.5" customHeight="1">
      <c r="A1829" s="200"/>
      <c r="B1829" s="138"/>
      <c r="C1829" s="201"/>
      <c r="D1829" s="202" t="str">
        <f t="array" ref="D1829">IF(E1829="", "", XLOOKUP(E1829, 'MASTER ITEM LIST'!B:B, 'MASTER ITEM LIST'!A:A, "Code Not Found"))</f>
        <v/>
      </c>
      <c r="E1829" s="203"/>
      <c r="F1829" s="204"/>
      <c r="G1829" s="138"/>
      <c r="H1829" s="205" t="str">
        <f t="array" ref="H1829">IFERROR(XLOOKUP(D1829,'MASTER ITEM LIST'!A:A,'MASTER ITEM LIST'!D:D), "")</f>
        <v/>
      </c>
      <c r="I1829" s="206"/>
      <c r="J1829" s="207" t="str">
        <f t="shared" si="2"/>
        <v/>
      </c>
    </row>
    <row r="1830" ht="22.5" customHeight="1">
      <c r="A1830" s="200"/>
      <c r="B1830" s="138"/>
      <c r="C1830" s="201"/>
      <c r="D1830" s="202" t="str">
        <f t="array" ref="D1830">IF(E1830="", "", XLOOKUP(E1830, 'MASTER ITEM LIST'!B:B, 'MASTER ITEM LIST'!A:A, "Code Not Found"))</f>
        <v/>
      </c>
      <c r="E1830" s="203"/>
      <c r="F1830" s="204"/>
      <c r="G1830" s="138"/>
      <c r="H1830" s="205" t="str">
        <f t="array" ref="H1830">IFERROR(XLOOKUP(D1830,'MASTER ITEM LIST'!A:A,'MASTER ITEM LIST'!D:D), "")</f>
        <v/>
      </c>
      <c r="I1830" s="206"/>
      <c r="J1830" s="207" t="str">
        <f t="shared" si="2"/>
        <v/>
      </c>
    </row>
    <row r="1831" ht="22.5" customHeight="1">
      <c r="A1831" s="200"/>
      <c r="B1831" s="138"/>
      <c r="C1831" s="201"/>
      <c r="D1831" s="202" t="str">
        <f t="array" ref="D1831">IF(E1831="", "", XLOOKUP(E1831, 'MASTER ITEM LIST'!B:B, 'MASTER ITEM LIST'!A:A, "Code Not Found"))</f>
        <v/>
      </c>
      <c r="E1831" s="203"/>
      <c r="F1831" s="204"/>
      <c r="G1831" s="138"/>
      <c r="H1831" s="205" t="str">
        <f t="array" ref="H1831">IFERROR(XLOOKUP(D1831,'MASTER ITEM LIST'!A:A,'MASTER ITEM LIST'!D:D), "")</f>
        <v/>
      </c>
      <c r="I1831" s="206"/>
      <c r="J1831" s="207" t="str">
        <f t="shared" si="2"/>
        <v/>
      </c>
    </row>
    <row r="1832" ht="22.5" customHeight="1">
      <c r="A1832" s="200"/>
      <c r="B1832" s="138"/>
      <c r="C1832" s="201"/>
      <c r="D1832" s="202" t="str">
        <f t="array" ref="D1832">IF(E1832="", "", XLOOKUP(E1832, 'MASTER ITEM LIST'!B:B, 'MASTER ITEM LIST'!A:A, "Code Not Found"))</f>
        <v/>
      </c>
      <c r="E1832" s="203"/>
      <c r="F1832" s="204"/>
      <c r="G1832" s="138"/>
      <c r="H1832" s="205" t="str">
        <f t="array" ref="H1832">IFERROR(XLOOKUP(D1832,'MASTER ITEM LIST'!A:A,'MASTER ITEM LIST'!D:D), "")</f>
        <v/>
      </c>
      <c r="I1832" s="206"/>
      <c r="J1832" s="207" t="str">
        <f t="shared" si="2"/>
        <v/>
      </c>
    </row>
    <row r="1833" ht="22.5" customHeight="1">
      <c r="A1833" s="200"/>
      <c r="B1833" s="138"/>
      <c r="C1833" s="201"/>
      <c r="D1833" s="202" t="str">
        <f t="array" ref="D1833">IF(E1833="", "", XLOOKUP(E1833, 'MASTER ITEM LIST'!B:B, 'MASTER ITEM LIST'!A:A, "Code Not Found"))</f>
        <v/>
      </c>
      <c r="E1833" s="203"/>
      <c r="F1833" s="204"/>
      <c r="G1833" s="138"/>
      <c r="H1833" s="205" t="str">
        <f t="array" ref="H1833">IFERROR(XLOOKUP(D1833,'MASTER ITEM LIST'!A:A,'MASTER ITEM LIST'!D:D), "")</f>
        <v/>
      </c>
      <c r="I1833" s="206"/>
      <c r="J1833" s="207" t="str">
        <f t="shared" si="2"/>
        <v/>
      </c>
    </row>
    <row r="1834" ht="22.5" customHeight="1">
      <c r="A1834" s="200"/>
      <c r="B1834" s="138"/>
      <c r="C1834" s="201"/>
      <c r="D1834" s="202" t="str">
        <f t="array" ref="D1834">IF(E1834="", "", XLOOKUP(E1834, 'MASTER ITEM LIST'!B:B, 'MASTER ITEM LIST'!A:A, "Code Not Found"))</f>
        <v/>
      </c>
      <c r="E1834" s="203"/>
      <c r="F1834" s="204"/>
      <c r="G1834" s="138"/>
      <c r="H1834" s="205" t="str">
        <f t="array" ref="H1834">IFERROR(XLOOKUP(D1834,'MASTER ITEM LIST'!A:A,'MASTER ITEM LIST'!D:D), "")</f>
        <v/>
      </c>
      <c r="I1834" s="206"/>
      <c r="J1834" s="207" t="str">
        <f t="shared" si="2"/>
        <v/>
      </c>
    </row>
    <row r="1835" ht="22.5" customHeight="1">
      <c r="A1835" s="200"/>
      <c r="B1835" s="138"/>
      <c r="C1835" s="201"/>
      <c r="D1835" s="202" t="str">
        <f t="array" ref="D1835">IF(E1835="", "", XLOOKUP(E1835, 'MASTER ITEM LIST'!B:B, 'MASTER ITEM LIST'!A:A, "Code Not Found"))</f>
        <v/>
      </c>
      <c r="E1835" s="203"/>
      <c r="F1835" s="204"/>
      <c r="G1835" s="138"/>
      <c r="H1835" s="205" t="str">
        <f t="array" ref="H1835">IFERROR(XLOOKUP(D1835,'MASTER ITEM LIST'!A:A,'MASTER ITEM LIST'!D:D), "")</f>
        <v/>
      </c>
      <c r="I1835" s="206"/>
      <c r="J1835" s="207" t="str">
        <f t="shared" si="2"/>
        <v/>
      </c>
    </row>
    <row r="1836" ht="22.5" customHeight="1">
      <c r="A1836" s="200"/>
      <c r="B1836" s="138"/>
      <c r="C1836" s="201"/>
      <c r="D1836" s="202" t="str">
        <f t="array" ref="D1836">IF(E1836="", "", XLOOKUP(E1836, 'MASTER ITEM LIST'!B:B, 'MASTER ITEM LIST'!A:A, "Code Not Found"))</f>
        <v/>
      </c>
      <c r="E1836" s="203"/>
      <c r="F1836" s="204"/>
      <c r="G1836" s="138"/>
      <c r="H1836" s="205" t="str">
        <f t="array" ref="H1836">IFERROR(XLOOKUP(D1836,'MASTER ITEM LIST'!A:A,'MASTER ITEM LIST'!D:D), "")</f>
        <v/>
      </c>
      <c r="I1836" s="206"/>
      <c r="J1836" s="207" t="str">
        <f t="shared" si="2"/>
        <v/>
      </c>
    </row>
    <row r="1837" ht="22.5" customHeight="1">
      <c r="A1837" s="200"/>
      <c r="B1837" s="138"/>
      <c r="C1837" s="201"/>
      <c r="D1837" s="202" t="str">
        <f t="array" ref="D1837">IF(E1837="", "", XLOOKUP(E1837, 'MASTER ITEM LIST'!B:B, 'MASTER ITEM LIST'!A:A, "Code Not Found"))</f>
        <v/>
      </c>
      <c r="E1837" s="203"/>
      <c r="F1837" s="204"/>
      <c r="G1837" s="138"/>
      <c r="H1837" s="205" t="str">
        <f t="array" ref="H1837">IFERROR(XLOOKUP(D1837,'MASTER ITEM LIST'!A:A,'MASTER ITEM LIST'!D:D), "")</f>
        <v/>
      </c>
      <c r="I1837" s="206"/>
      <c r="J1837" s="207" t="str">
        <f t="shared" si="2"/>
        <v/>
      </c>
    </row>
    <row r="1838" ht="22.5" customHeight="1">
      <c r="A1838" s="200"/>
      <c r="B1838" s="138"/>
      <c r="C1838" s="201"/>
      <c r="D1838" s="202" t="str">
        <f t="array" ref="D1838">IF(E1838="", "", XLOOKUP(E1838, 'MASTER ITEM LIST'!B:B, 'MASTER ITEM LIST'!A:A, "Code Not Found"))</f>
        <v/>
      </c>
      <c r="E1838" s="203"/>
      <c r="F1838" s="204"/>
      <c r="G1838" s="138"/>
      <c r="H1838" s="205" t="str">
        <f t="array" ref="H1838">IFERROR(XLOOKUP(D1838,'MASTER ITEM LIST'!A:A,'MASTER ITEM LIST'!D:D), "")</f>
        <v/>
      </c>
      <c r="I1838" s="206"/>
      <c r="J1838" s="207" t="str">
        <f t="shared" si="2"/>
        <v/>
      </c>
    </row>
    <row r="1839" ht="22.5" customHeight="1">
      <c r="A1839" s="200"/>
      <c r="B1839" s="138"/>
      <c r="C1839" s="201"/>
      <c r="D1839" s="202" t="str">
        <f t="array" ref="D1839">IF(E1839="", "", XLOOKUP(E1839, 'MASTER ITEM LIST'!B:B, 'MASTER ITEM LIST'!A:A, "Code Not Found"))</f>
        <v/>
      </c>
      <c r="E1839" s="203"/>
      <c r="F1839" s="204"/>
      <c r="G1839" s="138"/>
      <c r="H1839" s="205" t="str">
        <f t="array" ref="H1839">IFERROR(XLOOKUP(D1839,'MASTER ITEM LIST'!A:A,'MASTER ITEM LIST'!D:D), "")</f>
        <v/>
      </c>
      <c r="I1839" s="206"/>
      <c r="J1839" s="207" t="str">
        <f t="shared" si="2"/>
        <v/>
      </c>
    </row>
    <row r="1840" ht="22.5" customHeight="1">
      <c r="A1840" s="200"/>
      <c r="B1840" s="138"/>
      <c r="C1840" s="201"/>
      <c r="D1840" s="202" t="str">
        <f t="array" ref="D1840">IF(E1840="", "", XLOOKUP(E1840, 'MASTER ITEM LIST'!B:B, 'MASTER ITEM LIST'!A:A, "Code Not Found"))</f>
        <v/>
      </c>
      <c r="E1840" s="203"/>
      <c r="F1840" s="204"/>
      <c r="G1840" s="138"/>
      <c r="H1840" s="205" t="str">
        <f t="array" ref="H1840">IFERROR(XLOOKUP(D1840,'MASTER ITEM LIST'!A:A,'MASTER ITEM LIST'!D:D), "")</f>
        <v/>
      </c>
      <c r="I1840" s="206"/>
      <c r="J1840" s="207" t="str">
        <f t="shared" si="2"/>
        <v/>
      </c>
    </row>
    <row r="1841" ht="22.5" customHeight="1">
      <c r="A1841" s="200"/>
      <c r="B1841" s="138"/>
      <c r="C1841" s="201"/>
      <c r="D1841" s="202" t="str">
        <f t="array" ref="D1841">IF(E1841="", "", XLOOKUP(E1841, 'MASTER ITEM LIST'!B:B, 'MASTER ITEM LIST'!A:A, "Code Not Found"))</f>
        <v/>
      </c>
      <c r="E1841" s="203"/>
      <c r="F1841" s="204"/>
      <c r="G1841" s="138"/>
      <c r="H1841" s="205" t="str">
        <f t="array" ref="H1841">IFERROR(XLOOKUP(D1841,'MASTER ITEM LIST'!A:A,'MASTER ITEM LIST'!D:D), "")</f>
        <v/>
      </c>
      <c r="I1841" s="206"/>
      <c r="J1841" s="207" t="str">
        <f t="shared" si="2"/>
        <v/>
      </c>
    </row>
    <row r="1842" ht="22.5" customHeight="1">
      <c r="A1842" s="200"/>
      <c r="B1842" s="138"/>
      <c r="C1842" s="201"/>
      <c r="D1842" s="202" t="str">
        <f t="array" ref="D1842">IF(E1842="", "", XLOOKUP(E1842, 'MASTER ITEM LIST'!B:B, 'MASTER ITEM LIST'!A:A, "Code Not Found"))</f>
        <v/>
      </c>
      <c r="E1842" s="203"/>
      <c r="F1842" s="204"/>
      <c r="G1842" s="138"/>
      <c r="H1842" s="205" t="str">
        <f t="array" ref="H1842">IFERROR(XLOOKUP(D1842,'MASTER ITEM LIST'!A:A,'MASTER ITEM LIST'!D:D), "")</f>
        <v/>
      </c>
      <c r="I1842" s="206"/>
      <c r="J1842" s="207" t="str">
        <f t="shared" si="2"/>
        <v/>
      </c>
    </row>
    <row r="1843" ht="22.5" customHeight="1">
      <c r="A1843" s="200"/>
      <c r="B1843" s="138"/>
      <c r="C1843" s="201"/>
      <c r="D1843" s="202" t="str">
        <f t="array" ref="D1843">IF(E1843="", "", XLOOKUP(E1843, 'MASTER ITEM LIST'!B:B, 'MASTER ITEM LIST'!A:A, "Code Not Found"))</f>
        <v/>
      </c>
      <c r="E1843" s="203"/>
      <c r="F1843" s="204"/>
      <c r="G1843" s="138"/>
      <c r="H1843" s="205" t="str">
        <f t="array" ref="H1843">IFERROR(XLOOKUP(D1843,'MASTER ITEM LIST'!A:A,'MASTER ITEM LIST'!D:D), "")</f>
        <v/>
      </c>
      <c r="I1843" s="206"/>
      <c r="J1843" s="207" t="str">
        <f t="shared" si="2"/>
        <v/>
      </c>
    </row>
    <row r="1844" ht="22.5" customHeight="1">
      <c r="A1844" s="200"/>
      <c r="B1844" s="138"/>
      <c r="C1844" s="201"/>
      <c r="D1844" s="202" t="str">
        <f t="array" ref="D1844">IF(E1844="", "", XLOOKUP(E1844, 'MASTER ITEM LIST'!B:B, 'MASTER ITEM LIST'!A:A, "Code Not Found"))</f>
        <v/>
      </c>
      <c r="E1844" s="203"/>
      <c r="F1844" s="204"/>
      <c r="G1844" s="138"/>
      <c r="H1844" s="205" t="str">
        <f t="array" ref="H1844">IFERROR(XLOOKUP(D1844,'MASTER ITEM LIST'!A:A,'MASTER ITEM LIST'!D:D), "")</f>
        <v/>
      </c>
      <c r="I1844" s="206"/>
      <c r="J1844" s="207" t="str">
        <f t="shared" si="2"/>
        <v/>
      </c>
    </row>
    <row r="1845" ht="22.5" customHeight="1">
      <c r="A1845" s="200"/>
      <c r="B1845" s="138"/>
      <c r="C1845" s="201"/>
      <c r="D1845" s="202" t="str">
        <f t="array" ref="D1845">IF(E1845="", "", XLOOKUP(E1845, 'MASTER ITEM LIST'!B:B, 'MASTER ITEM LIST'!A:A, "Code Not Found"))</f>
        <v/>
      </c>
      <c r="E1845" s="203"/>
      <c r="F1845" s="204"/>
      <c r="G1845" s="138"/>
      <c r="H1845" s="205" t="str">
        <f t="array" ref="H1845">IFERROR(XLOOKUP(D1845,'MASTER ITEM LIST'!A:A,'MASTER ITEM LIST'!D:D), "")</f>
        <v/>
      </c>
      <c r="I1845" s="206"/>
      <c r="J1845" s="207" t="str">
        <f t="shared" si="2"/>
        <v/>
      </c>
    </row>
    <row r="1846" ht="22.5" customHeight="1">
      <c r="A1846" s="200"/>
      <c r="B1846" s="138"/>
      <c r="C1846" s="201"/>
      <c r="D1846" s="202" t="str">
        <f t="array" ref="D1846">IF(E1846="", "", XLOOKUP(E1846, 'MASTER ITEM LIST'!B:B, 'MASTER ITEM LIST'!A:A, "Code Not Found"))</f>
        <v/>
      </c>
      <c r="E1846" s="203"/>
      <c r="F1846" s="204"/>
      <c r="G1846" s="138"/>
      <c r="H1846" s="205" t="str">
        <f t="array" ref="H1846">IFERROR(XLOOKUP(D1846,'MASTER ITEM LIST'!A:A,'MASTER ITEM LIST'!D:D), "")</f>
        <v/>
      </c>
      <c r="I1846" s="206"/>
      <c r="J1846" s="207" t="str">
        <f t="shared" si="2"/>
        <v/>
      </c>
    </row>
    <row r="1847" ht="22.5" customHeight="1">
      <c r="A1847" s="200"/>
      <c r="B1847" s="138"/>
      <c r="C1847" s="201"/>
      <c r="D1847" s="202" t="str">
        <f t="array" ref="D1847">IF(E1847="", "", XLOOKUP(E1847, 'MASTER ITEM LIST'!B:B, 'MASTER ITEM LIST'!A:A, "Code Not Found"))</f>
        <v/>
      </c>
      <c r="E1847" s="203"/>
      <c r="F1847" s="204"/>
      <c r="G1847" s="138"/>
      <c r="H1847" s="205" t="str">
        <f t="array" ref="H1847">IFERROR(XLOOKUP(D1847,'MASTER ITEM LIST'!A:A,'MASTER ITEM LIST'!D:D), "")</f>
        <v/>
      </c>
      <c r="I1847" s="206"/>
      <c r="J1847" s="207" t="str">
        <f t="shared" si="2"/>
        <v/>
      </c>
    </row>
    <row r="1848" ht="22.5" customHeight="1">
      <c r="A1848" s="200"/>
      <c r="B1848" s="138"/>
      <c r="C1848" s="201"/>
      <c r="D1848" s="202" t="str">
        <f t="array" ref="D1848">IF(E1848="", "", XLOOKUP(E1848, 'MASTER ITEM LIST'!B:B, 'MASTER ITEM LIST'!A:A, "Code Not Found"))</f>
        <v/>
      </c>
      <c r="E1848" s="203"/>
      <c r="F1848" s="204"/>
      <c r="G1848" s="138"/>
      <c r="H1848" s="205" t="str">
        <f t="array" ref="H1848">IFERROR(XLOOKUP(D1848,'MASTER ITEM LIST'!A:A,'MASTER ITEM LIST'!D:D), "")</f>
        <v/>
      </c>
      <c r="I1848" s="206"/>
      <c r="J1848" s="207" t="str">
        <f t="shared" si="2"/>
        <v/>
      </c>
    </row>
    <row r="1849" ht="22.5" customHeight="1">
      <c r="A1849" s="200"/>
      <c r="B1849" s="138"/>
      <c r="C1849" s="201"/>
      <c r="D1849" s="202" t="str">
        <f t="array" ref="D1849">IF(E1849="", "", XLOOKUP(E1849, 'MASTER ITEM LIST'!B:B, 'MASTER ITEM LIST'!A:A, "Code Not Found"))</f>
        <v/>
      </c>
      <c r="E1849" s="203"/>
      <c r="F1849" s="204"/>
      <c r="G1849" s="138"/>
      <c r="H1849" s="205" t="str">
        <f t="array" ref="H1849">IFERROR(XLOOKUP(D1849,'MASTER ITEM LIST'!A:A,'MASTER ITEM LIST'!D:D), "")</f>
        <v/>
      </c>
      <c r="I1849" s="206"/>
      <c r="J1849" s="207" t="str">
        <f t="shared" si="2"/>
        <v/>
      </c>
    </row>
    <row r="1850" ht="22.5" customHeight="1">
      <c r="A1850" s="200"/>
      <c r="B1850" s="138"/>
      <c r="C1850" s="201"/>
      <c r="D1850" s="202" t="str">
        <f t="array" ref="D1850">IF(E1850="", "", XLOOKUP(E1850, 'MASTER ITEM LIST'!B:B, 'MASTER ITEM LIST'!A:A, "Code Not Found"))</f>
        <v/>
      </c>
      <c r="E1850" s="203"/>
      <c r="F1850" s="204"/>
      <c r="G1850" s="138"/>
      <c r="H1850" s="205" t="str">
        <f t="array" ref="H1850">IFERROR(XLOOKUP(D1850,'MASTER ITEM LIST'!A:A,'MASTER ITEM LIST'!D:D), "")</f>
        <v/>
      </c>
      <c r="I1850" s="206"/>
      <c r="J1850" s="207" t="str">
        <f t="shared" si="2"/>
        <v/>
      </c>
    </row>
    <row r="1851" ht="22.5" customHeight="1">
      <c r="A1851" s="200"/>
      <c r="B1851" s="138"/>
      <c r="C1851" s="201"/>
      <c r="D1851" s="202" t="str">
        <f t="array" ref="D1851">IF(E1851="", "", XLOOKUP(E1851, 'MASTER ITEM LIST'!B:B, 'MASTER ITEM LIST'!A:A, "Code Not Found"))</f>
        <v/>
      </c>
      <c r="E1851" s="203"/>
      <c r="F1851" s="204"/>
      <c r="G1851" s="138"/>
      <c r="H1851" s="205" t="str">
        <f t="array" ref="H1851">IFERROR(XLOOKUP(D1851,'MASTER ITEM LIST'!A:A,'MASTER ITEM LIST'!D:D), "")</f>
        <v/>
      </c>
      <c r="I1851" s="206"/>
      <c r="J1851" s="207" t="str">
        <f t="shared" si="2"/>
        <v/>
      </c>
    </row>
    <row r="1852" ht="22.5" customHeight="1">
      <c r="A1852" s="200"/>
      <c r="B1852" s="138"/>
      <c r="C1852" s="201"/>
      <c r="D1852" s="202" t="str">
        <f t="array" ref="D1852">IF(E1852="", "", XLOOKUP(E1852, 'MASTER ITEM LIST'!B:B, 'MASTER ITEM LIST'!A:A, "Code Not Found"))</f>
        <v/>
      </c>
      <c r="E1852" s="203"/>
      <c r="F1852" s="204"/>
      <c r="G1852" s="138"/>
      <c r="H1852" s="205" t="str">
        <f t="array" ref="H1852">IFERROR(XLOOKUP(D1852,'MASTER ITEM LIST'!A:A,'MASTER ITEM LIST'!D:D), "")</f>
        <v/>
      </c>
      <c r="I1852" s="206"/>
      <c r="J1852" s="207" t="str">
        <f t="shared" si="2"/>
        <v/>
      </c>
    </row>
    <row r="1853" ht="22.5" customHeight="1">
      <c r="A1853" s="200"/>
      <c r="B1853" s="138"/>
      <c r="C1853" s="201"/>
      <c r="D1853" s="202" t="str">
        <f t="array" ref="D1853">IF(E1853="", "", XLOOKUP(E1853, 'MASTER ITEM LIST'!B:B, 'MASTER ITEM LIST'!A:A, "Code Not Found"))</f>
        <v/>
      </c>
      <c r="E1853" s="203"/>
      <c r="F1853" s="204"/>
      <c r="G1853" s="138"/>
      <c r="H1853" s="205" t="str">
        <f t="array" ref="H1853">IFERROR(XLOOKUP(D1853,'MASTER ITEM LIST'!A:A,'MASTER ITEM LIST'!D:D), "")</f>
        <v/>
      </c>
      <c r="I1853" s="206"/>
      <c r="J1853" s="207" t="str">
        <f t="shared" si="2"/>
        <v/>
      </c>
    </row>
    <row r="1854" ht="22.5" customHeight="1">
      <c r="A1854" s="200"/>
      <c r="B1854" s="138"/>
      <c r="C1854" s="201"/>
      <c r="D1854" s="202" t="str">
        <f t="array" ref="D1854">IF(E1854="", "", XLOOKUP(E1854, 'MASTER ITEM LIST'!B:B, 'MASTER ITEM LIST'!A:A, "Code Not Found"))</f>
        <v/>
      </c>
      <c r="E1854" s="203"/>
      <c r="F1854" s="204"/>
      <c r="G1854" s="138"/>
      <c r="H1854" s="205" t="str">
        <f t="array" ref="H1854">IFERROR(XLOOKUP(D1854,'MASTER ITEM LIST'!A:A,'MASTER ITEM LIST'!D:D), "")</f>
        <v/>
      </c>
      <c r="I1854" s="206"/>
      <c r="J1854" s="207" t="str">
        <f t="shared" si="2"/>
        <v/>
      </c>
    </row>
    <row r="1855" ht="22.5" customHeight="1">
      <c r="A1855" s="200"/>
      <c r="B1855" s="138"/>
      <c r="C1855" s="201"/>
      <c r="D1855" s="202" t="str">
        <f t="array" ref="D1855">IF(E1855="", "", XLOOKUP(E1855, 'MASTER ITEM LIST'!B:B, 'MASTER ITEM LIST'!A:A, "Code Not Found"))</f>
        <v/>
      </c>
      <c r="E1855" s="203"/>
      <c r="F1855" s="204"/>
      <c r="G1855" s="138"/>
      <c r="H1855" s="205" t="str">
        <f t="array" ref="H1855">IFERROR(XLOOKUP(D1855,'MASTER ITEM LIST'!A:A,'MASTER ITEM LIST'!D:D), "")</f>
        <v/>
      </c>
      <c r="I1855" s="206"/>
      <c r="J1855" s="207" t="str">
        <f t="shared" si="2"/>
        <v/>
      </c>
    </row>
    <row r="1856" ht="22.5" customHeight="1">
      <c r="A1856" s="200"/>
      <c r="B1856" s="138"/>
      <c r="C1856" s="201"/>
      <c r="D1856" s="202" t="str">
        <f t="array" ref="D1856">IF(E1856="", "", XLOOKUP(E1856, 'MASTER ITEM LIST'!B:B, 'MASTER ITEM LIST'!A:A, "Code Not Found"))</f>
        <v/>
      </c>
      <c r="E1856" s="203"/>
      <c r="F1856" s="204"/>
      <c r="G1856" s="138"/>
      <c r="H1856" s="205" t="str">
        <f t="array" ref="H1856">IFERROR(XLOOKUP(D1856,'MASTER ITEM LIST'!A:A,'MASTER ITEM LIST'!D:D), "")</f>
        <v/>
      </c>
      <c r="I1856" s="206"/>
      <c r="J1856" s="207" t="str">
        <f t="shared" si="2"/>
        <v/>
      </c>
    </row>
    <row r="1857" ht="22.5" customHeight="1">
      <c r="A1857" s="200"/>
      <c r="B1857" s="138"/>
      <c r="C1857" s="201"/>
      <c r="D1857" s="202" t="str">
        <f t="array" ref="D1857">IF(E1857="", "", XLOOKUP(E1857, 'MASTER ITEM LIST'!B:B, 'MASTER ITEM LIST'!A:A, "Code Not Found"))</f>
        <v/>
      </c>
      <c r="E1857" s="203"/>
      <c r="F1857" s="204"/>
      <c r="G1857" s="138"/>
      <c r="H1857" s="205" t="str">
        <f t="array" ref="H1857">IFERROR(XLOOKUP(D1857,'MASTER ITEM LIST'!A:A,'MASTER ITEM LIST'!D:D), "")</f>
        <v/>
      </c>
      <c r="I1857" s="206"/>
      <c r="J1857" s="207" t="str">
        <f t="shared" si="2"/>
        <v/>
      </c>
    </row>
    <row r="1858" ht="22.5" customHeight="1">
      <c r="A1858" s="200"/>
      <c r="B1858" s="138"/>
      <c r="C1858" s="201"/>
      <c r="D1858" s="202" t="str">
        <f t="array" ref="D1858">IF(E1858="", "", XLOOKUP(E1858, 'MASTER ITEM LIST'!B:B, 'MASTER ITEM LIST'!A:A, "Code Not Found"))</f>
        <v/>
      </c>
      <c r="E1858" s="203"/>
      <c r="F1858" s="204"/>
      <c r="G1858" s="138"/>
      <c r="H1858" s="205" t="str">
        <f t="array" ref="H1858">IFERROR(XLOOKUP(D1858,'MASTER ITEM LIST'!A:A,'MASTER ITEM LIST'!D:D), "")</f>
        <v/>
      </c>
      <c r="I1858" s="206"/>
      <c r="J1858" s="207" t="str">
        <f t="shared" si="2"/>
        <v/>
      </c>
    </row>
    <row r="1859" ht="22.5" customHeight="1">
      <c r="A1859" s="200"/>
      <c r="B1859" s="138"/>
      <c r="C1859" s="201"/>
      <c r="D1859" s="202" t="str">
        <f t="array" ref="D1859">IF(E1859="", "", XLOOKUP(E1859, 'MASTER ITEM LIST'!B:B, 'MASTER ITEM LIST'!A:A, "Code Not Found"))</f>
        <v/>
      </c>
      <c r="E1859" s="203"/>
      <c r="F1859" s="204"/>
      <c r="G1859" s="138"/>
      <c r="H1859" s="205" t="str">
        <f t="array" ref="H1859">IFERROR(XLOOKUP(D1859,'MASTER ITEM LIST'!A:A,'MASTER ITEM LIST'!D:D), "")</f>
        <v/>
      </c>
      <c r="I1859" s="206"/>
      <c r="J1859" s="207" t="str">
        <f t="shared" si="2"/>
        <v/>
      </c>
    </row>
    <row r="1860" ht="22.5" customHeight="1">
      <c r="A1860" s="200"/>
      <c r="B1860" s="138"/>
      <c r="C1860" s="201"/>
      <c r="D1860" s="202" t="str">
        <f t="array" ref="D1860">IF(E1860="", "", XLOOKUP(E1860, 'MASTER ITEM LIST'!B:B, 'MASTER ITEM LIST'!A:A, "Code Not Found"))</f>
        <v/>
      </c>
      <c r="E1860" s="203"/>
      <c r="F1860" s="204"/>
      <c r="G1860" s="138"/>
      <c r="H1860" s="205" t="str">
        <f t="array" ref="H1860">IFERROR(XLOOKUP(D1860,'MASTER ITEM LIST'!A:A,'MASTER ITEM LIST'!D:D), "")</f>
        <v/>
      </c>
      <c r="I1860" s="206"/>
      <c r="J1860" s="207" t="str">
        <f t="shared" si="2"/>
        <v/>
      </c>
    </row>
    <row r="1861" ht="22.5" customHeight="1">
      <c r="A1861" s="200"/>
      <c r="B1861" s="138"/>
      <c r="C1861" s="201"/>
      <c r="D1861" s="202" t="str">
        <f t="array" ref="D1861">IF(E1861="", "", XLOOKUP(E1861, 'MASTER ITEM LIST'!B:B, 'MASTER ITEM LIST'!A:A, "Code Not Found"))</f>
        <v/>
      </c>
      <c r="E1861" s="203"/>
      <c r="F1861" s="204"/>
      <c r="G1861" s="138"/>
      <c r="H1861" s="205" t="str">
        <f t="array" ref="H1861">IFERROR(XLOOKUP(D1861,'MASTER ITEM LIST'!A:A,'MASTER ITEM LIST'!D:D), "")</f>
        <v/>
      </c>
      <c r="I1861" s="206"/>
      <c r="J1861" s="207" t="str">
        <f t="shared" si="2"/>
        <v/>
      </c>
    </row>
    <row r="1862" ht="22.5" customHeight="1">
      <c r="A1862" s="200"/>
      <c r="B1862" s="138"/>
      <c r="C1862" s="201"/>
      <c r="D1862" s="202" t="str">
        <f t="array" ref="D1862">IF(E1862="", "", XLOOKUP(E1862, 'MASTER ITEM LIST'!B:B, 'MASTER ITEM LIST'!A:A, "Code Not Found"))</f>
        <v/>
      </c>
      <c r="E1862" s="203"/>
      <c r="F1862" s="204"/>
      <c r="G1862" s="138"/>
      <c r="H1862" s="205" t="str">
        <f t="array" ref="H1862">IFERROR(XLOOKUP(D1862,'MASTER ITEM LIST'!A:A,'MASTER ITEM LIST'!D:D), "")</f>
        <v/>
      </c>
      <c r="I1862" s="206"/>
      <c r="J1862" s="207" t="str">
        <f t="shared" si="2"/>
        <v/>
      </c>
    </row>
    <row r="1863" ht="22.5" customHeight="1">
      <c r="A1863" s="200"/>
      <c r="B1863" s="138"/>
      <c r="C1863" s="201"/>
      <c r="D1863" s="202" t="str">
        <f t="array" ref="D1863">IF(E1863="", "", XLOOKUP(E1863, 'MASTER ITEM LIST'!B:B, 'MASTER ITEM LIST'!A:A, "Code Not Found"))</f>
        <v/>
      </c>
      <c r="E1863" s="203"/>
      <c r="F1863" s="204"/>
      <c r="G1863" s="138"/>
      <c r="H1863" s="205" t="str">
        <f t="array" ref="H1863">IFERROR(XLOOKUP(D1863,'MASTER ITEM LIST'!A:A,'MASTER ITEM LIST'!D:D), "")</f>
        <v/>
      </c>
      <c r="I1863" s="206"/>
      <c r="J1863" s="207" t="str">
        <f t="shared" si="2"/>
        <v/>
      </c>
    </row>
    <row r="1864" ht="22.5" customHeight="1">
      <c r="A1864" s="200"/>
      <c r="B1864" s="138"/>
      <c r="C1864" s="201"/>
      <c r="D1864" s="202" t="str">
        <f t="array" ref="D1864">IF(E1864="", "", XLOOKUP(E1864, 'MASTER ITEM LIST'!B:B, 'MASTER ITEM LIST'!A:A, "Code Not Found"))</f>
        <v/>
      </c>
      <c r="E1864" s="203"/>
      <c r="F1864" s="204"/>
      <c r="G1864" s="138"/>
      <c r="H1864" s="205" t="str">
        <f t="array" ref="H1864">IFERROR(XLOOKUP(D1864,'MASTER ITEM LIST'!A:A,'MASTER ITEM LIST'!D:D), "")</f>
        <v/>
      </c>
      <c r="I1864" s="206"/>
      <c r="J1864" s="207" t="str">
        <f t="shared" si="2"/>
        <v/>
      </c>
    </row>
    <row r="1865" ht="22.5" customHeight="1">
      <c r="A1865" s="200"/>
      <c r="B1865" s="138"/>
      <c r="C1865" s="201"/>
      <c r="D1865" s="202" t="str">
        <f t="array" ref="D1865">IF(E1865="", "", XLOOKUP(E1865, 'MASTER ITEM LIST'!B:B, 'MASTER ITEM LIST'!A:A, "Code Not Found"))</f>
        <v/>
      </c>
      <c r="E1865" s="203"/>
      <c r="F1865" s="204"/>
      <c r="G1865" s="138"/>
      <c r="H1865" s="205" t="str">
        <f t="array" ref="H1865">IFERROR(XLOOKUP(D1865,'MASTER ITEM LIST'!A:A,'MASTER ITEM LIST'!D:D), "")</f>
        <v/>
      </c>
      <c r="I1865" s="206"/>
      <c r="J1865" s="207" t="str">
        <f t="shared" si="2"/>
        <v/>
      </c>
    </row>
    <row r="1866" ht="22.5" customHeight="1">
      <c r="A1866" s="200"/>
      <c r="B1866" s="138"/>
      <c r="C1866" s="201"/>
      <c r="D1866" s="202" t="str">
        <f t="array" ref="D1866">IF(E1866="", "", XLOOKUP(E1866, 'MASTER ITEM LIST'!B:B, 'MASTER ITEM LIST'!A:A, "Code Not Found"))</f>
        <v/>
      </c>
      <c r="E1866" s="203"/>
      <c r="F1866" s="204"/>
      <c r="G1866" s="138"/>
      <c r="H1866" s="205" t="str">
        <f t="array" ref="H1866">IFERROR(XLOOKUP(D1866,'MASTER ITEM LIST'!A:A,'MASTER ITEM LIST'!D:D), "")</f>
        <v/>
      </c>
      <c r="I1866" s="206"/>
      <c r="J1866" s="207" t="str">
        <f t="shared" si="2"/>
        <v/>
      </c>
    </row>
    <row r="1867" ht="22.5" customHeight="1">
      <c r="A1867" s="200"/>
      <c r="B1867" s="138"/>
      <c r="C1867" s="201"/>
      <c r="D1867" s="202" t="str">
        <f t="array" ref="D1867">IF(E1867="", "", XLOOKUP(E1867, 'MASTER ITEM LIST'!B:B, 'MASTER ITEM LIST'!A:A, "Code Not Found"))</f>
        <v/>
      </c>
      <c r="E1867" s="203"/>
      <c r="F1867" s="204"/>
      <c r="G1867" s="138"/>
      <c r="H1867" s="205" t="str">
        <f t="array" ref="H1867">IFERROR(XLOOKUP(D1867,'MASTER ITEM LIST'!A:A,'MASTER ITEM LIST'!D:D), "")</f>
        <v/>
      </c>
      <c r="I1867" s="206"/>
      <c r="J1867" s="207" t="str">
        <f t="shared" si="2"/>
        <v/>
      </c>
    </row>
    <row r="1868" ht="22.5" customHeight="1">
      <c r="A1868" s="200"/>
      <c r="B1868" s="138"/>
      <c r="C1868" s="201"/>
      <c r="D1868" s="202" t="str">
        <f t="array" ref="D1868">IF(E1868="", "", XLOOKUP(E1868, 'MASTER ITEM LIST'!B:B, 'MASTER ITEM LIST'!A:A, "Code Not Found"))</f>
        <v/>
      </c>
      <c r="E1868" s="203"/>
      <c r="F1868" s="204"/>
      <c r="G1868" s="138"/>
      <c r="H1868" s="205" t="str">
        <f t="array" ref="H1868">IFERROR(XLOOKUP(D1868,'MASTER ITEM LIST'!A:A,'MASTER ITEM LIST'!D:D), "")</f>
        <v/>
      </c>
      <c r="I1868" s="206"/>
      <c r="J1868" s="207" t="str">
        <f t="shared" si="2"/>
        <v/>
      </c>
    </row>
    <row r="1869" ht="22.5" customHeight="1">
      <c r="A1869" s="200"/>
      <c r="B1869" s="138"/>
      <c r="C1869" s="201"/>
      <c r="D1869" s="202" t="str">
        <f t="array" ref="D1869">IF(E1869="", "", XLOOKUP(E1869, 'MASTER ITEM LIST'!B:B, 'MASTER ITEM LIST'!A:A, "Code Not Found"))</f>
        <v/>
      </c>
      <c r="E1869" s="203"/>
      <c r="F1869" s="204"/>
      <c r="G1869" s="138"/>
      <c r="H1869" s="205" t="str">
        <f t="array" ref="H1869">IFERROR(XLOOKUP(D1869,'MASTER ITEM LIST'!A:A,'MASTER ITEM LIST'!D:D), "")</f>
        <v/>
      </c>
      <c r="I1869" s="206"/>
      <c r="J1869" s="207" t="str">
        <f t="shared" si="2"/>
        <v/>
      </c>
    </row>
    <row r="1870" ht="22.5" customHeight="1">
      <c r="A1870" s="200"/>
      <c r="B1870" s="138"/>
      <c r="C1870" s="201"/>
      <c r="D1870" s="202" t="str">
        <f t="array" ref="D1870">IF(E1870="", "", XLOOKUP(E1870, 'MASTER ITEM LIST'!B:B, 'MASTER ITEM LIST'!A:A, "Code Not Found"))</f>
        <v/>
      </c>
      <c r="E1870" s="203"/>
      <c r="F1870" s="204"/>
      <c r="G1870" s="138"/>
      <c r="H1870" s="205" t="str">
        <f t="array" ref="H1870">IFERROR(XLOOKUP(D1870,'MASTER ITEM LIST'!A:A,'MASTER ITEM LIST'!D:D), "")</f>
        <v/>
      </c>
      <c r="I1870" s="206"/>
      <c r="J1870" s="207" t="str">
        <f t="shared" si="2"/>
        <v/>
      </c>
    </row>
    <row r="1871" ht="22.5" customHeight="1">
      <c r="A1871" s="200"/>
      <c r="B1871" s="138"/>
      <c r="C1871" s="201"/>
      <c r="D1871" s="202" t="str">
        <f t="array" ref="D1871">IF(E1871="", "", XLOOKUP(E1871, 'MASTER ITEM LIST'!B:B, 'MASTER ITEM LIST'!A:A, "Code Not Found"))</f>
        <v/>
      </c>
      <c r="E1871" s="203"/>
      <c r="F1871" s="204"/>
      <c r="G1871" s="138"/>
      <c r="H1871" s="205" t="str">
        <f t="array" ref="H1871">IFERROR(XLOOKUP(D1871,'MASTER ITEM LIST'!A:A,'MASTER ITEM LIST'!D:D), "")</f>
        <v/>
      </c>
      <c r="I1871" s="206"/>
      <c r="J1871" s="207" t="str">
        <f t="shared" si="2"/>
        <v/>
      </c>
    </row>
    <row r="1872" ht="22.5" customHeight="1">
      <c r="A1872" s="200"/>
      <c r="B1872" s="138"/>
      <c r="C1872" s="201"/>
      <c r="D1872" s="202" t="str">
        <f t="array" ref="D1872">IF(E1872="", "", XLOOKUP(E1872, 'MASTER ITEM LIST'!B:B, 'MASTER ITEM LIST'!A:A, "Code Not Found"))</f>
        <v/>
      </c>
      <c r="E1872" s="203"/>
      <c r="F1872" s="204"/>
      <c r="G1872" s="138"/>
      <c r="H1872" s="205" t="str">
        <f t="array" ref="H1872">IFERROR(XLOOKUP(D1872,'MASTER ITEM LIST'!A:A,'MASTER ITEM LIST'!D:D), "")</f>
        <v/>
      </c>
      <c r="I1872" s="206"/>
      <c r="J1872" s="207" t="str">
        <f t="shared" si="2"/>
        <v/>
      </c>
    </row>
    <row r="1873" ht="22.5" customHeight="1">
      <c r="A1873" s="200"/>
      <c r="B1873" s="138"/>
      <c r="C1873" s="201"/>
      <c r="D1873" s="202" t="str">
        <f t="array" ref="D1873">IF(E1873="", "", XLOOKUP(E1873, 'MASTER ITEM LIST'!B:B, 'MASTER ITEM LIST'!A:A, "Code Not Found"))</f>
        <v/>
      </c>
      <c r="E1873" s="203"/>
      <c r="F1873" s="204"/>
      <c r="G1873" s="138"/>
      <c r="H1873" s="205" t="str">
        <f t="array" ref="H1873">IFERROR(XLOOKUP(D1873,'MASTER ITEM LIST'!A:A,'MASTER ITEM LIST'!D:D), "")</f>
        <v/>
      </c>
      <c r="I1873" s="206"/>
      <c r="J1873" s="207" t="str">
        <f t="shared" si="2"/>
        <v/>
      </c>
    </row>
    <row r="1874" ht="22.5" customHeight="1">
      <c r="A1874" s="200"/>
      <c r="B1874" s="138"/>
      <c r="C1874" s="201"/>
      <c r="D1874" s="202" t="str">
        <f t="array" ref="D1874">IF(E1874="", "", XLOOKUP(E1874, 'MASTER ITEM LIST'!B:B, 'MASTER ITEM LIST'!A:A, "Code Not Found"))</f>
        <v/>
      </c>
      <c r="E1874" s="203"/>
      <c r="F1874" s="204"/>
      <c r="G1874" s="138"/>
      <c r="H1874" s="205" t="str">
        <f t="array" ref="H1874">IFERROR(XLOOKUP(D1874,'MASTER ITEM LIST'!A:A,'MASTER ITEM LIST'!D:D), "")</f>
        <v/>
      </c>
      <c r="I1874" s="206"/>
      <c r="J1874" s="207" t="str">
        <f t="shared" si="2"/>
        <v/>
      </c>
    </row>
    <row r="1875" ht="22.5" customHeight="1">
      <c r="A1875" s="200"/>
      <c r="B1875" s="138"/>
      <c r="C1875" s="201"/>
      <c r="D1875" s="202" t="str">
        <f t="array" ref="D1875">IF(E1875="", "", XLOOKUP(E1875, 'MASTER ITEM LIST'!B:B, 'MASTER ITEM LIST'!A:A, "Code Not Found"))</f>
        <v/>
      </c>
      <c r="E1875" s="203"/>
      <c r="F1875" s="204"/>
      <c r="G1875" s="138"/>
      <c r="H1875" s="205" t="str">
        <f t="array" ref="H1875">IFERROR(XLOOKUP(D1875,'MASTER ITEM LIST'!A:A,'MASTER ITEM LIST'!D:D), "")</f>
        <v/>
      </c>
      <c r="I1875" s="206"/>
      <c r="J1875" s="207" t="str">
        <f t="shared" si="2"/>
        <v/>
      </c>
    </row>
    <row r="1876" ht="22.5" customHeight="1">
      <c r="A1876" s="200"/>
      <c r="B1876" s="138"/>
      <c r="C1876" s="201"/>
      <c r="D1876" s="202" t="str">
        <f t="array" ref="D1876">IF(E1876="", "", XLOOKUP(E1876, 'MASTER ITEM LIST'!B:B, 'MASTER ITEM LIST'!A:A, "Code Not Found"))</f>
        <v/>
      </c>
      <c r="E1876" s="203"/>
      <c r="F1876" s="204"/>
      <c r="G1876" s="138"/>
      <c r="H1876" s="205" t="str">
        <f t="array" ref="H1876">IFERROR(XLOOKUP(D1876,'MASTER ITEM LIST'!A:A,'MASTER ITEM LIST'!D:D), "")</f>
        <v/>
      </c>
      <c r="I1876" s="206"/>
      <c r="J1876" s="207" t="str">
        <f t="shared" si="2"/>
        <v/>
      </c>
    </row>
    <row r="1877" ht="22.5" customHeight="1">
      <c r="A1877" s="200"/>
      <c r="B1877" s="138"/>
      <c r="C1877" s="201"/>
      <c r="D1877" s="202" t="str">
        <f t="array" ref="D1877">IF(E1877="", "", XLOOKUP(E1877, 'MASTER ITEM LIST'!B:B, 'MASTER ITEM LIST'!A:A, "Code Not Found"))</f>
        <v/>
      </c>
      <c r="E1877" s="203"/>
      <c r="F1877" s="204"/>
      <c r="G1877" s="138"/>
      <c r="H1877" s="205" t="str">
        <f t="array" ref="H1877">IFERROR(XLOOKUP(D1877,'MASTER ITEM LIST'!A:A,'MASTER ITEM LIST'!D:D), "")</f>
        <v/>
      </c>
      <c r="I1877" s="206"/>
      <c r="J1877" s="207" t="str">
        <f t="shared" si="2"/>
        <v/>
      </c>
    </row>
    <row r="1878" ht="22.5" customHeight="1">
      <c r="A1878" s="200"/>
      <c r="B1878" s="138"/>
      <c r="C1878" s="201"/>
      <c r="D1878" s="202" t="str">
        <f t="array" ref="D1878">IF(E1878="", "", XLOOKUP(E1878, 'MASTER ITEM LIST'!B:B, 'MASTER ITEM LIST'!A:A, "Code Not Found"))</f>
        <v/>
      </c>
      <c r="E1878" s="203"/>
      <c r="F1878" s="204"/>
      <c r="G1878" s="138"/>
      <c r="H1878" s="205" t="str">
        <f t="array" ref="H1878">IFERROR(XLOOKUP(D1878,'MASTER ITEM LIST'!A:A,'MASTER ITEM LIST'!D:D), "")</f>
        <v/>
      </c>
      <c r="I1878" s="206"/>
      <c r="J1878" s="207" t="str">
        <f t="shared" si="2"/>
        <v/>
      </c>
    </row>
    <row r="1879" ht="22.5" customHeight="1">
      <c r="A1879" s="200"/>
      <c r="B1879" s="138"/>
      <c r="C1879" s="201"/>
      <c r="D1879" s="202" t="str">
        <f t="array" ref="D1879">IF(E1879="", "", XLOOKUP(E1879, 'MASTER ITEM LIST'!B:B, 'MASTER ITEM LIST'!A:A, "Code Not Found"))</f>
        <v/>
      </c>
      <c r="E1879" s="203"/>
      <c r="F1879" s="204"/>
      <c r="G1879" s="138"/>
      <c r="H1879" s="205" t="str">
        <f t="array" ref="H1879">IFERROR(XLOOKUP(D1879,'MASTER ITEM LIST'!A:A,'MASTER ITEM LIST'!D:D), "")</f>
        <v/>
      </c>
      <c r="I1879" s="206"/>
      <c r="J1879" s="207" t="str">
        <f t="shared" si="2"/>
        <v/>
      </c>
    </row>
    <row r="1880" ht="22.5" customHeight="1">
      <c r="A1880" s="200"/>
      <c r="B1880" s="138"/>
      <c r="C1880" s="201"/>
      <c r="D1880" s="202" t="str">
        <f t="array" ref="D1880">IF(E1880="", "", XLOOKUP(E1880, 'MASTER ITEM LIST'!B:B, 'MASTER ITEM LIST'!A:A, "Code Not Found"))</f>
        <v/>
      </c>
      <c r="E1880" s="203"/>
      <c r="F1880" s="204"/>
      <c r="G1880" s="138"/>
      <c r="H1880" s="205" t="str">
        <f t="array" ref="H1880">IFERROR(XLOOKUP(D1880,'MASTER ITEM LIST'!A:A,'MASTER ITEM LIST'!D:D), "")</f>
        <v/>
      </c>
      <c r="I1880" s="206"/>
      <c r="J1880" s="207" t="str">
        <f t="shared" si="2"/>
        <v/>
      </c>
    </row>
    <row r="1881" ht="22.5" customHeight="1">
      <c r="A1881" s="200"/>
      <c r="B1881" s="138"/>
      <c r="C1881" s="201"/>
      <c r="D1881" s="202" t="str">
        <f t="array" ref="D1881">IF(E1881="", "", XLOOKUP(E1881, 'MASTER ITEM LIST'!B:B, 'MASTER ITEM LIST'!A:A, "Code Not Found"))</f>
        <v/>
      </c>
      <c r="E1881" s="203"/>
      <c r="F1881" s="204"/>
      <c r="G1881" s="138"/>
      <c r="H1881" s="205" t="str">
        <f t="array" ref="H1881">IFERROR(XLOOKUP(D1881,'MASTER ITEM LIST'!A:A,'MASTER ITEM LIST'!D:D), "")</f>
        <v/>
      </c>
      <c r="I1881" s="206"/>
      <c r="J1881" s="207" t="str">
        <f t="shared" si="2"/>
        <v/>
      </c>
    </row>
    <row r="1882" ht="22.5" customHeight="1">
      <c r="A1882" s="200"/>
      <c r="B1882" s="138"/>
      <c r="C1882" s="201"/>
      <c r="D1882" s="202" t="str">
        <f t="array" ref="D1882">IF(E1882="", "", XLOOKUP(E1882, 'MASTER ITEM LIST'!B:B, 'MASTER ITEM LIST'!A:A, "Code Not Found"))</f>
        <v/>
      </c>
      <c r="E1882" s="203"/>
      <c r="F1882" s="204"/>
      <c r="G1882" s="138"/>
      <c r="H1882" s="205" t="str">
        <f t="array" ref="H1882">IFERROR(XLOOKUP(D1882,'MASTER ITEM LIST'!A:A,'MASTER ITEM LIST'!D:D), "")</f>
        <v/>
      </c>
      <c r="I1882" s="206"/>
      <c r="J1882" s="207" t="str">
        <f t="shared" si="2"/>
        <v/>
      </c>
    </row>
    <row r="1883" ht="22.5" customHeight="1">
      <c r="A1883" s="200"/>
      <c r="B1883" s="138"/>
      <c r="C1883" s="201"/>
      <c r="D1883" s="202" t="str">
        <f t="array" ref="D1883">IF(E1883="", "", XLOOKUP(E1883, 'MASTER ITEM LIST'!B:B, 'MASTER ITEM LIST'!A:A, "Code Not Found"))</f>
        <v/>
      </c>
      <c r="E1883" s="203"/>
      <c r="F1883" s="204"/>
      <c r="G1883" s="138"/>
      <c r="H1883" s="205" t="str">
        <f t="array" ref="H1883">IFERROR(XLOOKUP(D1883,'MASTER ITEM LIST'!A:A,'MASTER ITEM LIST'!D:D), "")</f>
        <v/>
      </c>
      <c r="I1883" s="206"/>
      <c r="J1883" s="207" t="str">
        <f t="shared" si="2"/>
        <v/>
      </c>
    </row>
    <row r="1884" ht="22.5" customHeight="1">
      <c r="A1884" s="200"/>
      <c r="B1884" s="138"/>
      <c r="C1884" s="201"/>
      <c r="D1884" s="202" t="str">
        <f t="array" ref="D1884">IF(E1884="", "", XLOOKUP(E1884, 'MASTER ITEM LIST'!B:B, 'MASTER ITEM LIST'!A:A, "Code Not Found"))</f>
        <v/>
      </c>
      <c r="E1884" s="203"/>
      <c r="F1884" s="204"/>
      <c r="G1884" s="138"/>
      <c r="H1884" s="205" t="str">
        <f t="array" ref="H1884">IFERROR(XLOOKUP(D1884,'MASTER ITEM LIST'!A:A,'MASTER ITEM LIST'!D:D), "")</f>
        <v/>
      </c>
      <c r="I1884" s="206"/>
      <c r="J1884" s="207" t="str">
        <f t="shared" si="2"/>
        <v/>
      </c>
    </row>
    <row r="1885" ht="22.5" customHeight="1">
      <c r="A1885" s="200"/>
      <c r="B1885" s="138"/>
      <c r="C1885" s="201"/>
      <c r="D1885" s="202" t="str">
        <f t="array" ref="D1885">IF(E1885="", "", XLOOKUP(E1885, 'MASTER ITEM LIST'!B:B, 'MASTER ITEM LIST'!A:A, "Code Not Found"))</f>
        <v/>
      </c>
      <c r="E1885" s="203"/>
      <c r="F1885" s="204"/>
      <c r="G1885" s="138"/>
      <c r="H1885" s="205" t="str">
        <f t="array" ref="H1885">IFERROR(XLOOKUP(D1885,'MASTER ITEM LIST'!A:A,'MASTER ITEM LIST'!D:D), "")</f>
        <v/>
      </c>
      <c r="I1885" s="206"/>
      <c r="J1885" s="207" t="str">
        <f t="shared" si="2"/>
        <v/>
      </c>
    </row>
    <row r="1886" ht="22.5" customHeight="1">
      <c r="A1886" s="200"/>
      <c r="B1886" s="138"/>
      <c r="C1886" s="201"/>
      <c r="D1886" s="202" t="str">
        <f t="array" ref="D1886">IF(E1886="", "", XLOOKUP(E1886, 'MASTER ITEM LIST'!B:B, 'MASTER ITEM LIST'!A:A, "Code Not Found"))</f>
        <v/>
      </c>
      <c r="E1886" s="203"/>
      <c r="F1886" s="204"/>
      <c r="G1886" s="138"/>
      <c r="H1886" s="205" t="str">
        <f t="array" ref="H1886">IFERROR(XLOOKUP(D1886,'MASTER ITEM LIST'!A:A,'MASTER ITEM LIST'!D:D), "")</f>
        <v/>
      </c>
      <c r="I1886" s="206"/>
      <c r="J1886" s="207" t="str">
        <f t="shared" si="2"/>
        <v/>
      </c>
    </row>
    <row r="1887" ht="22.5" customHeight="1">
      <c r="A1887" s="200"/>
      <c r="B1887" s="138"/>
      <c r="C1887" s="201"/>
      <c r="D1887" s="202" t="str">
        <f t="array" ref="D1887">IF(E1887="", "", XLOOKUP(E1887, 'MASTER ITEM LIST'!B:B, 'MASTER ITEM LIST'!A:A, "Code Not Found"))</f>
        <v/>
      </c>
      <c r="E1887" s="203"/>
      <c r="F1887" s="204"/>
      <c r="G1887" s="138"/>
      <c r="H1887" s="205" t="str">
        <f t="array" ref="H1887">IFERROR(XLOOKUP(D1887,'MASTER ITEM LIST'!A:A,'MASTER ITEM LIST'!D:D), "")</f>
        <v/>
      </c>
      <c r="I1887" s="206"/>
      <c r="J1887" s="207" t="str">
        <f t="shared" si="2"/>
        <v/>
      </c>
    </row>
    <row r="1888" ht="22.5" customHeight="1">
      <c r="A1888" s="200"/>
      <c r="B1888" s="138"/>
      <c r="C1888" s="201"/>
      <c r="D1888" s="202" t="str">
        <f t="array" ref="D1888">IF(E1888="", "", XLOOKUP(E1888, 'MASTER ITEM LIST'!B:B, 'MASTER ITEM LIST'!A:A, "Code Not Found"))</f>
        <v/>
      </c>
      <c r="E1888" s="203"/>
      <c r="F1888" s="204"/>
      <c r="G1888" s="138"/>
      <c r="H1888" s="205" t="str">
        <f t="array" ref="H1888">IFERROR(XLOOKUP(D1888,'MASTER ITEM LIST'!A:A,'MASTER ITEM LIST'!D:D), "")</f>
        <v/>
      </c>
      <c r="I1888" s="206"/>
      <c r="J1888" s="207" t="str">
        <f t="shared" si="2"/>
        <v/>
      </c>
    </row>
    <row r="1889" ht="22.5" customHeight="1">
      <c r="A1889" s="200"/>
      <c r="B1889" s="138"/>
      <c r="C1889" s="201"/>
      <c r="D1889" s="202" t="str">
        <f t="array" ref="D1889">IF(E1889="", "", XLOOKUP(E1889, 'MASTER ITEM LIST'!B:B, 'MASTER ITEM LIST'!A:A, "Code Not Found"))</f>
        <v/>
      </c>
      <c r="E1889" s="203"/>
      <c r="F1889" s="204"/>
      <c r="G1889" s="138"/>
      <c r="H1889" s="205" t="str">
        <f t="array" ref="H1889">IFERROR(XLOOKUP(D1889,'MASTER ITEM LIST'!A:A,'MASTER ITEM LIST'!D:D), "")</f>
        <v/>
      </c>
      <c r="I1889" s="206"/>
      <c r="J1889" s="207" t="str">
        <f t="shared" si="2"/>
        <v/>
      </c>
    </row>
    <row r="1890" ht="22.5" customHeight="1">
      <c r="A1890" s="200"/>
      <c r="B1890" s="138"/>
      <c r="C1890" s="201"/>
      <c r="D1890" s="202" t="str">
        <f t="array" ref="D1890">IF(E1890="", "", XLOOKUP(E1890, 'MASTER ITEM LIST'!B:B, 'MASTER ITEM LIST'!A:A, "Code Not Found"))</f>
        <v/>
      </c>
      <c r="E1890" s="203"/>
      <c r="F1890" s="204"/>
      <c r="G1890" s="138"/>
      <c r="H1890" s="205" t="str">
        <f t="array" ref="H1890">IFERROR(XLOOKUP(D1890,'MASTER ITEM LIST'!A:A,'MASTER ITEM LIST'!D:D), "")</f>
        <v/>
      </c>
      <c r="I1890" s="206"/>
      <c r="J1890" s="207" t="str">
        <f t="shared" si="2"/>
        <v/>
      </c>
    </row>
    <row r="1891" ht="22.5" customHeight="1">
      <c r="A1891" s="200"/>
      <c r="B1891" s="138"/>
      <c r="C1891" s="201"/>
      <c r="D1891" s="202" t="str">
        <f t="array" ref="D1891">IF(E1891="", "", XLOOKUP(E1891, 'MASTER ITEM LIST'!B:B, 'MASTER ITEM LIST'!A:A, "Code Not Found"))</f>
        <v/>
      </c>
      <c r="E1891" s="203"/>
      <c r="F1891" s="204"/>
      <c r="G1891" s="138"/>
      <c r="H1891" s="205" t="str">
        <f t="array" ref="H1891">IFERROR(XLOOKUP(D1891,'MASTER ITEM LIST'!A:A,'MASTER ITEM LIST'!D:D), "")</f>
        <v/>
      </c>
      <c r="I1891" s="206"/>
      <c r="J1891" s="207" t="str">
        <f t="shared" si="2"/>
        <v/>
      </c>
    </row>
    <row r="1892" ht="22.5" customHeight="1">
      <c r="A1892" s="200"/>
      <c r="B1892" s="138"/>
      <c r="C1892" s="201"/>
      <c r="D1892" s="202" t="str">
        <f t="array" ref="D1892">IF(E1892="", "", XLOOKUP(E1892, 'MASTER ITEM LIST'!B:B, 'MASTER ITEM LIST'!A:A, "Code Not Found"))</f>
        <v/>
      </c>
      <c r="E1892" s="203"/>
      <c r="F1892" s="204"/>
      <c r="G1892" s="138"/>
      <c r="H1892" s="205" t="str">
        <f t="array" ref="H1892">IFERROR(XLOOKUP(D1892,'MASTER ITEM LIST'!A:A,'MASTER ITEM LIST'!D:D), "")</f>
        <v/>
      </c>
      <c r="I1892" s="206"/>
      <c r="J1892" s="207" t="str">
        <f t="shared" si="2"/>
        <v/>
      </c>
    </row>
    <row r="1893" ht="22.5" customHeight="1">
      <c r="A1893" s="200"/>
      <c r="B1893" s="138"/>
      <c r="C1893" s="201"/>
      <c r="D1893" s="202" t="str">
        <f t="array" ref="D1893">IF(E1893="", "", XLOOKUP(E1893, 'MASTER ITEM LIST'!B:B, 'MASTER ITEM LIST'!A:A, "Code Not Found"))</f>
        <v/>
      </c>
      <c r="E1893" s="203"/>
      <c r="F1893" s="204"/>
      <c r="G1893" s="138"/>
      <c r="H1893" s="205" t="str">
        <f t="array" ref="H1893">IFERROR(XLOOKUP(D1893,'MASTER ITEM LIST'!A:A,'MASTER ITEM LIST'!D:D), "")</f>
        <v/>
      </c>
      <c r="I1893" s="206"/>
      <c r="J1893" s="207" t="str">
        <f t="shared" si="2"/>
        <v/>
      </c>
    </row>
    <row r="1894" ht="22.5" customHeight="1">
      <c r="A1894" s="200"/>
      <c r="B1894" s="138"/>
      <c r="C1894" s="201"/>
      <c r="D1894" s="202" t="str">
        <f t="array" ref="D1894">IF(E1894="", "", XLOOKUP(E1894, 'MASTER ITEM LIST'!B:B, 'MASTER ITEM LIST'!A:A, "Code Not Found"))</f>
        <v/>
      </c>
      <c r="E1894" s="203"/>
      <c r="F1894" s="204"/>
      <c r="G1894" s="138"/>
      <c r="H1894" s="205" t="str">
        <f t="array" ref="H1894">IFERROR(XLOOKUP(D1894,'MASTER ITEM LIST'!A:A,'MASTER ITEM LIST'!D:D), "")</f>
        <v/>
      </c>
      <c r="I1894" s="206"/>
      <c r="J1894" s="207" t="str">
        <f t="shared" si="2"/>
        <v/>
      </c>
    </row>
    <row r="1895" ht="22.5" customHeight="1">
      <c r="A1895" s="200"/>
      <c r="B1895" s="138"/>
      <c r="C1895" s="201"/>
      <c r="D1895" s="202" t="str">
        <f t="array" ref="D1895">IF(E1895="", "", XLOOKUP(E1895, 'MASTER ITEM LIST'!B:B, 'MASTER ITEM LIST'!A:A, "Code Not Found"))</f>
        <v/>
      </c>
      <c r="E1895" s="203"/>
      <c r="F1895" s="204"/>
      <c r="G1895" s="138"/>
      <c r="H1895" s="205" t="str">
        <f t="array" ref="H1895">IFERROR(XLOOKUP(D1895,'MASTER ITEM LIST'!A:A,'MASTER ITEM LIST'!D:D), "")</f>
        <v/>
      </c>
      <c r="I1895" s="206"/>
      <c r="J1895" s="207" t="str">
        <f t="shared" si="2"/>
        <v/>
      </c>
    </row>
    <row r="1896" ht="22.5" customHeight="1">
      <c r="A1896" s="200"/>
      <c r="B1896" s="138"/>
      <c r="C1896" s="201"/>
      <c r="D1896" s="202" t="str">
        <f t="array" ref="D1896">IF(E1896="", "", XLOOKUP(E1896, 'MASTER ITEM LIST'!B:B, 'MASTER ITEM LIST'!A:A, "Code Not Found"))</f>
        <v/>
      </c>
      <c r="E1896" s="203"/>
      <c r="F1896" s="204"/>
      <c r="G1896" s="138"/>
      <c r="H1896" s="205" t="str">
        <f t="array" ref="H1896">IFERROR(XLOOKUP(D1896,'MASTER ITEM LIST'!A:A,'MASTER ITEM LIST'!D:D), "")</f>
        <v/>
      </c>
      <c r="I1896" s="206"/>
      <c r="J1896" s="207" t="str">
        <f t="shared" si="2"/>
        <v/>
      </c>
    </row>
    <row r="1897" ht="22.5" customHeight="1">
      <c r="A1897" s="200"/>
      <c r="B1897" s="138"/>
      <c r="C1897" s="201"/>
      <c r="D1897" s="202" t="str">
        <f t="array" ref="D1897">IF(E1897="", "", XLOOKUP(E1897, 'MASTER ITEM LIST'!B:B, 'MASTER ITEM LIST'!A:A, "Code Not Found"))</f>
        <v/>
      </c>
      <c r="E1897" s="203"/>
      <c r="F1897" s="204"/>
      <c r="G1897" s="138"/>
      <c r="H1897" s="205" t="str">
        <f t="array" ref="H1897">IFERROR(XLOOKUP(D1897,'MASTER ITEM LIST'!A:A,'MASTER ITEM LIST'!D:D), "")</f>
        <v/>
      </c>
      <c r="I1897" s="206"/>
      <c r="J1897" s="207" t="str">
        <f t="shared" si="2"/>
        <v/>
      </c>
    </row>
    <row r="1898" ht="22.5" customHeight="1">
      <c r="A1898" s="200"/>
      <c r="B1898" s="138"/>
      <c r="C1898" s="201"/>
      <c r="D1898" s="202" t="str">
        <f t="array" ref="D1898">IF(E1898="", "", XLOOKUP(E1898, 'MASTER ITEM LIST'!B:B, 'MASTER ITEM LIST'!A:A, "Code Not Found"))</f>
        <v/>
      </c>
      <c r="E1898" s="203"/>
      <c r="F1898" s="204"/>
      <c r="G1898" s="138"/>
      <c r="H1898" s="205" t="str">
        <f t="array" ref="H1898">IFERROR(XLOOKUP(D1898,'MASTER ITEM LIST'!A:A,'MASTER ITEM LIST'!D:D), "")</f>
        <v/>
      </c>
      <c r="I1898" s="206"/>
      <c r="J1898" s="207" t="str">
        <f t="shared" si="2"/>
        <v/>
      </c>
    </row>
    <row r="1899" ht="22.5" customHeight="1">
      <c r="A1899" s="200"/>
      <c r="B1899" s="138"/>
      <c r="C1899" s="201"/>
      <c r="D1899" s="202" t="str">
        <f t="array" ref="D1899">IF(E1899="", "", XLOOKUP(E1899, 'MASTER ITEM LIST'!B:B, 'MASTER ITEM LIST'!A:A, "Code Not Found"))</f>
        <v/>
      </c>
      <c r="E1899" s="203"/>
      <c r="F1899" s="204"/>
      <c r="G1899" s="138"/>
      <c r="H1899" s="205" t="str">
        <f t="array" ref="H1899">IFERROR(XLOOKUP(D1899,'MASTER ITEM LIST'!A:A,'MASTER ITEM LIST'!D:D), "")</f>
        <v/>
      </c>
      <c r="I1899" s="206"/>
      <c r="J1899" s="207" t="str">
        <f t="shared" si="2"/>
        <v/>
      </c>
    </row>
    <row r="1900" ht="22.5" customHeight="1">
      <c r="A1900" s="200"/>
      <c r="B1900" s="138"/>
      <c r="C1900" s="201"/>
      <c r="D1900" s="202" t="str">
        <f t="array" ref="D1900">IF(E1900="", "", XLOOKUP(E1900, 'MASTER ITEM LIST'!B:B, 'MASTER ITEM LIST'!A:A, "Code Not Found"))</f>
        <v/>
      </c>
      <c r="E1900" s="203"/>
      <c r="F1900" s="204"/>
      <c r="G1900" s="138"/>
      <c r="H1900" s="205" t="str">
        <f t="array" ref="H1900">IFERROR(XLOOKUP(D1900,'MASTER ITEM LIST'!A:A,'MASTER ITEM LIST'!D:D), "")</f>
        <v/>
      </c>
      <c r="I1900" s="206"/>
      <c r="J1900" s="207" t="str">
        <f t="shared" si="2"/>
        <v/>
      </c>
    </row>
    <row r="1901" ht="22.5" customHeight="1">
      <c r="A1901" s="200"/>
      <c r="B1901" s="138"/>
      <c r="C1901" s="201"/>
      <c r="D1901" s="202" t="str">
        <f t="array" ref="D1901">IF(E1901="", "", XLOOKUP(E1901, 'MASTER ITEM LIST'!B:B, 'MASTER ITEM LIST'!A:A, "Code Not Found"))</f>
        <v/>
      </c>
      <c r="E1901" s="203"/>
      <c r="F1901" s="204"/>
      <c r="G1901" s="138"/>
      <c r="H1901" s="205" t="str">
        <f t="array" ref="H1901">IFERROR(XLOOKUP(D1901,'MASTER ITEM LIST'!A:A,'MASTER ITEM LIST'!D:D), "")</f>
        <v/>
      </c>
      <c r="I1901" s="206"/>
      <c r="J1901" s="207" t="str">
        <f t="shared" si="2"/>
        <v/>
      </c>
    </row>
    <row r="1902" ht="22.5" customHeight="1">
      <c r="A1902" s="200"/>
      <c r="B1902" s="138"/>
      <c r="C1902" s="201"/>
      <c r="D1902" s="202" t="str">
        <f t="array" ref="D1902">IF(E1902="", "", XLOOKUP(E1902, 'MASTER ITEM LIST'!B:B, 'MASTER ITEM LIST'!A:A, "Code Not Found"))</f>
        <v/>
      </c>
      <c r="E1902" s="203"/>
      <c r="F1902" s="204"/>
      <c r="G1902" s="138"/>
      <c r="H1902" s="205" t="str">
        <f t="array" ref="H1902">IFERROR(XLOOKUP(D1902,'MASTER ITEM LIST'!A:A,'MASTER ITEM LIST'!D:D), "")</f>
        <v/>
      </c>
      <c r="I1902" s="206"/>
      <c r="J1902" s="207" t="str">
        <f t="shared" si="2"/>
        <v/>
      </c>
    </row>
    <row r="1903" ht="22.5" customHeight="1">
      <c r="A1903" s="200"/>
      <c r="B1903" s="138"/>
      <c r="C1903" s="201"/>
      <c r="D1903" s="202" t="str">
        <f t="array" ref="D1903">IF(E1903="", "", XLOOKUP(E1903, 'MASTER ITEM LIST'!B:B, 'MASTER ITEM LIST'!A:A, "Code Not Found"))</f>
        <v/>
      </c>
      <c r="E1903" s="203"/>
      <c r="F1903" s="204"/>
      <c r="G1903" s="138"/>
      <c r="H1903" s="205" t="str">
        <f t="array" ref="H1903">IFERROR(XLOOKUP(D1903,'MASTER ITEM LIST'!A:A,'MASTER ITEM LIST'!D:D), "")</f>
        <v/>
      </c>
      <c r="I1903" s="206"/>
      <c r="J1903" s="207" t="str">
        <f t="shared" si="2"/>
        <v/>
      </c>
    </row>
    <row r="1904" ht="22.5" customHeight="1">
      <c r="A1904" s="200"/>
      <c r="B1904" s="138"/>
      <c r="C1904" s="201"/>
      <c r="D1904" s="202" t="str">
        <f t="array" ref="D1904">IF(E1904="", "", XLOOKUP(E1904, 'MASTER ITEM LIST'!B:B, 'MASTER ITEM LIST'!A:A, "Code Not Found"))</f>
        <v/>
      </c>
      <c r="E1904" s="203"/>
      <c r="F1904" s="204"/>
      <c r="G1904" s="138"/>
      <c r="H1904" s="205" t="str">
        <f t="array" ref="H1904">IFERROR(XLOOKUP(D1904,'MASTER ITEM LIST'!A:A,'MASTER ITEM LIST'!D:D), "")</f>
        <v/>
      </c>
      <c r="I1904" s="206"/>
      <c r="J1904" s="207" t="str">
        <f t="shared" si="2"/>
        <v/>
      </c>
    </row>
    <row r="1905" ht="22.5" customHeight="1">
      <c r="A1905" s="200"/>
      <c r="B1905" s="138"/>
      <c r="C1905" s="201"/>
      <c r="D1905" s="202" t="str">
        <f t="array" ref="D1905">IF(E1905="", "", XLOOKUP(E1905, 'MASTER ITEM LIST'!B:B, 'MASTER ITEM LIST'!A:A, "Code Not Found"))</f>
        <v/>
      </c>
      <c r="E1905" s="203"/>
      <c r="F1905" s="204"/>
      <c r="G1905" s="138"/>
      <c r="H1905" s="205" t="str">
        <f t="array" ref="H1905">IFERROR(XLOOKUP(D1905,'MASTER ITEM LIST'!A:A,'MASTER ITEM LIST'!D:D), "")</f>
        <v/>
      </c>
      <c r="I1905" s="206"/>
      <c r="J1905" s="207" t="str">
        <f t="shared" si="2"/>
        <v/>
      </c>
    </row>
    <row r="1906" ht="22.5" customHeight="1">
      <c r="A1906" s="200"/>
      <c r="B1906" s="138"/>
      <c r="C1906" s="201"/>
      <c r="D1906" s="202" t="str">
        <f t="array" ref="D1906">IF(E1906="", "", XLOOKUP(E1906, 'MASTER ITEM LIST'!B:B, 'MASTER ITEM LIST'!A:A, "Code Not Found"))</f>
        <v/>
      </c>
      <c r="E1906" s="203"/>
      <c r="F1906" s="204"/>
      <c r="G1906" s="138"/>
      <c r="H1906" s="205" t="str">
        <f t="array" ref="H1906">IFERROR(XLOOKUP(D1906,'MASTER ITEM LIST'!A:A,'MASTER ITEM LIST'!D:D), "")</f>
        <v/>
      </c>
      <c r="I1906" s="206"/>
      <c r="J1906" s="207" t="str">
        <f t="shared" si="2"/>
        <v/>
      </c>
    </row>
    <row r="1907" ht="22.5" customHeight="1">
      <c r="A1907" s="200"/>
      <c r="B1907" s="138"/>
      <c r="C1907" s="201"/>
      <c r="D1907" s="202" t="str">
        <f t="array" ref="D1907">IF(E1907="", "", XLOOKUP(E1907, 'MASTER ITEM LIST'!B:B, 'MASTER ITEM LIST'!A:A, "Code Not Found"))</f>
        <v/>
      </c>
      <c r="E1907" s="203"/>
      <c r="F1907" s="204"/>
      <c r="G1907" s="138"/>
      <c r="H1907" s="205" t="str">
        <f t="array" ref="H1907">IFERROR(XLOOKUP(D1907,'MASTER ITEM LIST'!A:A,'MASTER ITEM LIST'!D:D), "")</f>
        <v/>
      </c>
      <c r="I1907" s="206"/>
      <c r="J1907" s="207" t="str">
        <f t="shared" si="2"/>
        <v/>
      </c>
    </row>
    <row r="1908" ht="22.5" customHeight="1">
      <c r="A1908" s="200"/>
      <c r="B1908" s="138"/>
      <c r="C1908" s="201"/>
      <c r="D1908" s="202" t="str">
        <f t="array" ref="D1908">IF(E1908="", "", XLOOKUP(E1908, 'MASTER ITEM LIST'!B:B, 'MASTER ITEM LIST'!A:A, "Code Not Found"))</f>
        <v/>
      </c>
      <c r="E1908" s="203"/>
      <c r="F1908" s="204"/>
      <c r="G1908" s="138"/>
      <c r="H1908" s="205" t="str">
        <f t="array" ref="H1908">IFERROR(XLOOKUP(D1908,'MASTER ITEM LIST'!A:A,'MASTER ITEM LIST'!D:D), "")</f>
        <v/>
      </c>
      <c r="I1908" s="206"/>
      <c r="J1908" s="207" t="str">
        <f t="shared" si="2"/>
        <v/>
      </c>
    </row>
    <row r="1909" ht="22.5" customHeight="1">
      <c r="A1909" s="200"/>
      <c r="B1909" s="138"/>
      <c r="C1909" s="201"/>
      <c r="D1909" s="202" t="str">
        <f t="array" ref="D1909">IF(E1909="", "", XLOOKUP(E1909, 'MASTER ITEM LIST'!B:B, 'MASTER ITEM LIST'!A:A, "Code Not Found"))</f>
        <v/>
      </c>
      <c r="E1909" s="203"/>
      <c r="F1909" s="204"/>
      <c r="G1909" s="138"/>
      <c r="H1909" s="205" t="str">
        <f t="array" ref="H1909">IFERROR(XLOOKUP(D1909,'MASTER ITEM LIST'!A:A,'MASTER ITEM LIST'!D:D), "")</f>
        <v/>
      </c>
      <c r="I1909" s="206"/>
      <c r="J1909" s="207" t="str">
        <f t="shared" si="2"/>
        <v/>
      </c>
    </row>
    <row r="1910" ht="22.5" customHeight="1">
      <c r="A1910" s="200"/>
      <c r="B1910" s="138"/>
      <c r="C1910" s="201"/>
      <c r="D1910" s="202" t="str">
        <f t="array" ref="D1910">IF(E1910="", "", XLOOKUP(E1910, 'MASTER ITEM LIST'!B:B, 'MASTER ITEM LIST'!A:A, "Code Not Found"))</f>
        <v/>
      </c>
      <c r="E1910" s="203"/>
      <c r="F1910" s="204"/>
      <c r="G1910" s="138"/>
      <c r="H1910" s="205" t="str">
        <f t="array" ref="H1910">IFERROR(XLOOKUP(D1910,'MASTER ITEM LIST'!A:A,'MASTER ITEM LIST'!D:D), "")</f>
        <v/>
      </c>
      <c r="I1910" s="206"/>
      <c r="J1910" s="207" t="str">
        <f t="shared" si="2"/>
        <v/>
      </c>
    </row>
    <row r="1911" ht="22.5" customHeight="1">
      <c r="A1911" s="200"/>
      <c r="B1911" s="138"/>
      <c r="C1911" s="201"/>
      <c r="D1911" s="202" t="str">
        <f t="array" ref="D1911">IF(E1911="", "", XLOOKUP(E1911, 'MASTER ITEM LIST'!B:B, 'MASTER ITEM LIST'!A:A, "Code Not Found"))</f>
        <v/>
      </c>
      <c r="E1911" s="203"/>
      <c r="F1911" s="204"/>
      <c r="G1911" s="138"/>
      <c r="H1911" s="205" t="str">
        <f t="array" ref="H1911">IFERROR(XLOOKUP(D1911,'MASTER ITEM LIST'!A:A,'MASTER ITEM LIST'!D:D), "")</f>
        <v/>
      </c>
      <c r="I1911" s="206"/>
      <c r="J1911" s="207" t="str">
        <f t="shared" si="2"/>
        <v/>
      </c>
    </row>
    <row r="1912" ht="22.5" customHeight="1">
      <c r="A1912" s="200"/>
      <c r="B1912" s="138"/>
      <c r="C1912" s="201"/>
      <c r="D1912" s="202" t="str">
        <f t="array" ref="D1912">IF(E1912="", "", XLOOKUP(E1912, 'MASTER ITEM LIST'!B:B, 'MASTER ITEM LIST'!A:A, "Code Not Found"))</f>
        <v/>
      </c>
      <c r="E1912" s="203"/>
      <c r="F1912" s="204"/>
      <c r="G1912" s="138"/>
      <c r="H1912" s="205" t="str">
        <f t="array" ref="H1912">IFERROR(XLOOKUP(D1912,'MASTER ITEM LIST'!A:A,'MASTER ITEM LIST'!D:D), "")</f>
        <v/>
      </c>
      <c r="I1912" s="206"/>
      <c r="J1912" s="207" t="str">
        <f t="shared" si="2"/>
        <v/>
      </c>
    </row>
    <row r="1913" ht="22.5" customHeight="1">
      <c r="A1913" s="200"/>
      <c r="B1913" s="138"/>
      <c r="C1913" s="201"/>
      <c r="D1913" s="202" t="str">
        <f t="array" ref="D1913">IF(E1913="", "", XLOOKUP(E1913, 'MASTER ITEM LIST'!B:B, 'MASTER ITEM LIST'!A:A, "Code Not Found"))</f>
        <v/>
      </c>
      <c r="E1913" s="203"/>
      <c r="F1913" s="204"/>
      <c r="G1913" s="138"/>
      <c r="H1913" s="205" t="str">
        <f t="array" ref="H1913">IFERROR(XLOOKUP(D1913,'MASTER ITEM LIST'!A:A,'MASTER ITEM LIST'!D:D), "")</f>
        <v/>
      </c>
      <c r="I1913" s="206"/>
      <c r="J1913" s="207" t="str">
        <f t="shared" si="2"/>
        <v/>
      </c>
    </row>
    <row r="1914" ht="22.5" customHeight="1">
      <c r="A1914" s="200"/>
      <c r="B1914" s="138"/>
      <c r="C1914" s="201"/>
      <c r="D1914" s="202" t="str">
        <f t="array" ref="D1914">IF(E1914="", "", XLOOKUP(E1914, 'MASTER ITEM LIST'!B:B, 'MASTER ITEM LIST'!A:A, "Code Not Found"))</f>
        <v/>
      </c>
      <c r="E1914" s="203"/>
      <c r="F1914" s="204"/>
      <c r="G1914" s="138"/>
      <c r="H1914" s="205" t="str">
        <f t="array" ref="H1914">IFERROR(XLOOKUP(D1914,'MASTER ITEM LIST'!A:A,'MASTER ITEM LIST'!D:D), "")</f>
        <v/>
      </c>
      <c r="I1914" s="206"/>
      <c r="J1914" s="207" t="str">
        <f t="shared" si="2"/>
        <v/>
      </c>
    </row>
    <row r="1915" ht="22.5" customHeight="1">
      <c r="A1915" s="200"/>
      <c r="B1915" s="138"/>
      <c r="C1915" s="201"/>
      <c r="D1915" s="202" t="str">
        <f t="array" ref="D1915">IF(E1915="", "", XLOOKUP(E1915, 'MASTER ITEM LIST'!B:B, 'MASTER ITEM LIST'!A:A, "Code Not Found"))</f>
        <v/>
      </c>
      <c r="E1915" s="203"/>
      <c r="F1915" s="204"/>
      <c r="G1915" s="138"/>
      <c r="H1915" s="205" t="str">
        <f t="array" ref="H1915">IFERROR(XLOOKUP(D1915,'MASTER ITEM LIST'!A:A,'MASTER ITEM LIST'!D:D), "")</f>
        <v/>
      </c>
      <c r="I1915" s="206"/>
      <c r="J1915" s="207" t="str">
        <f t="shared" si="2"/>
        <v/>
      </c>
    </row>
    <row r="1916" ht="22.5" customHeight="1">
      <c r="A1916" s="200"/>
      <c r="B1916" s="138"/>
      <c r="C1916" s="201"/>
      <c r="D1916" s="202" t="str">
        <f t="array" ref="D1916">IF(E1916="", "", XLOOKUP(E1916, 'MASTER ITEM LIST'!B:B, 'MASTER ITEM LIST'!A:A, "Code Not Found"))</f>
        <v/>
      </c>
      <c r="E1916" s="203"/>
      <c r="F1916" s="204"/>
      <c r="G1916" s="138"/>
      <c r="H1916" s="205" t="str">
        <f t="array" ref="H1916">IFERROR(XLOOKUP(D1916,'MASTER ITEM LIST'!A:A,'MASTER ITEM LIST'!D:D), "")</f>
        <v/>
      </c>
      <c r="I1916" s="206"/>
      <c r="J1916" s="207" t="str">
        <f t="shared" si="2"/>
        <v/>
      </c>
    </row>
    <row r="1917" ht="22.5" customHeight="1">
      <c r="A1917" s="200"/>
      <c r="B1917" s="138"/>
      <c r="C1917" s="201"/>
      <c r="D1917" s="202" t="str">
        <f t="array" ref="D1917">IF(E1917="", "", XLOOKUP(E1917, 'MASTER ITEM LIST'!B:B, 'MASTER ITEM LIST'!A:A, "Code Not Found"))</f>
        <v/>
      </c>
      <c r="E1917" s="203"/>
      <c r="F1917" s="204"/>
      <c r="G1917" s="138"/>
      <c r="H1917" s="205" t="str">
        <f t="array" ref="H1917">IFERROR(XLOOKUP(D1917,'MASTER ITEM LIST'!A:A,'MASTER ITEM LIST'!D:D), "")</f>
        <v/>
      </c>
      <c r="I1917" s="206"/>
      <c r="J1917" s="207" t="str">
        <f t="shared" si="2"/>
        <v/>
      </c>
    </row>
    <row r="1918" ht="22.5" customHeight="1">
      <c r="A1918" s="200"/>
      <c r="B1918" s="138"/>
      <c r="C1918" s="201"/>
      <c r="D1918" s="202" t="str">
        <f t="array" ref="D1918">IF(E1918="", "", XLOOKUP(E1918, 'MASTER ITEM LIST'!B:B, 'MASTER ITEM LIST'!A:A, "Code Not Found"))</f>
        <v/>
      </c>
      <c r="E1918" s="203"/>
      <c r="F1918" s="204"/>
      <c r="G1918" s="138"/>
      <c r="H1918" s="205" t="str">
        <f t="array" ref="H1918">IFERROR(XLOOKUP(D1918,'MASTER ITEM LIST'!A:A,'MASTER ITEM LIST'!D:D), "")</f>
        <v/>
      </c>
      <c r="I1918" s="206"/>
      <c r="J1918" s="207" t="str">
        <f t="shared" si="2"/>
        <v/>
      </c>
    </row>
    <row r="1919" ht="22.5" customHeight="1">
      <c r="A1919" s="200"/>
      <c r="B1919" s="138"/>
      <c r="C1919" s="201"/>
      <c r="D1919" s="202" t="str">
        <f t="array" ref="D1919">IF(E1919="", "", XLOOKUP(E1919, 'MASTER ITEM LIST'!B:B, 'MASTER ITEM LIST'!A:A, "Code Not Found"))</f>
        <v/>
      </c>
      <c r="E1919" s="203"/>
      <c r="F1919" s="204"/>
      <c r="G1919" s="138"/>
      <c r="H1919" s="205" t="str">
        <f t="array" ref="H1919">IFERROR(XLOOKUP(D1919,'MASTER ITEM LIST'!A:A,'MASTER ITEM LIST'!D:D), "")</f>
        <v/>
      </c>
      <c r="I1919" s="206"/>
      <c r="J1919" s="207" t="str">
        <f t="shared" si="2"/>
        <v/>
      </c>
    </row>
    <row r="1920" ht="22.5" customHeight="1">
      <c r="A1920" s="200"/>
      <c r="B1920" s="138"/>
      <c r="C1920" s="201"/>
      <c r="D1920" s="202" t="str">
        <f t="array" ref="D1920">IF(E1920="", "", XLOOKUP(E1920, 'MASTER ITEM LIST'!B:B, 'MASTER ITEM LIST'!A:A, "Code Not Found"))</f>
        <v/>
      </c>
      <c r="E1920" s="203"/>
      <c r="F1920" s="204"/>
      <c r="G1920" s="138"/>
      <c r="H1920" s="205" t="str">
        <f t="array" ref="H1920">IFERROR(XLOOKUP(D1920,'MASTER ITEM LIST'!A:A,'MASTER ITEM LIST'!D:D), "")</f>
        <v/>
      </c>
      <c r="I1920" s="206"/>
      <c r="J1920" s="207" t="str">
        <f t="shared" si="2"/>
        <v/>
      </c>
    </row>
    <row r="1921" ht="22.5" customHeight="1">
      <c r="A1921" s="200"/>
      <c r="B1921" s="138"/>
      <c r="C1921" s="201"/>
      <c r="D1921" s="202" t="str">
        <f t="array" ref="D1921">IF(E1921="", "", XLOOKUP(E1921, 'MASTER ITEM LIST'!B:B, 'MASTER ITEM LIST'!A:A, "Code Not Found"))</f>
        <v/>
      </c>
      <c r="E1921" s="203"/>
      <c r="F1921" s="204"/>
      <c r="G1921" s="138"/>
      <c r="H1921" s="205" t="str">
        <f t="array" ref="H1921">IFERROR(XLOOKUP(D1921,'MASTER ITEM LIST'!A:A,'MASTER ITEM LIST'!D:D), "")</f>
        <v/>
      </c>
      <c r="I1921" s="206"/>
      <c r="J1921" s="207" t="str">
        <f t="shared" si="2"/>
        <v/>
      </c>
    </row>
    <row r="1922" ht="22.5" customHeight="1">
      <c r="A1922" s="200"/>
      <c r="B1922" s="138"/>
      <c r="C1922" s="201"/>
      <c r="D1922" s="202" t="str">
        <f t="array" ref="D1922">IF(E1922="", "", XLOOKUP(E1922, 'MASTER ITEM LIST'!B:B, 'MASTER ITEM LIST'!A:A, "Code Not Found"))</f>
        <v/>
      </c>
      <c r="E1922" s="203"/>
      <c r="F1922" s="204"/>
      <c r="G1922" s="138"/>
      <c r="H1922" s="205" t="str">
        <f t="array" ref="H1922">IFERROR(XLOOKUP(D1922,'MASTER ITEM LIST'!A:A,'MASTER ITEM LIST'!D:D), "")</f>
        <v/>
      </c>
      <c r="I1922" s="206"/>
      <c r="J1922" s="207" t="str">
        <f t="shared" si="2"/>
        <v/>
      </c>
    </row>
    <row r="1923" ht="22.5" customHeight="1">
      <c r="A1923" s="200"/>
      <c r="B1923" s="138"/>
      <c r="C1923" s="201"/>
      <c r="D1923" s="202" t="str">
        <f t="array" ref="D1923">IF(E1923="", "", XLOOKUP(E1923, 'MASTER ITEM LIST'!B:B, 'MASTER ITEM LIST'!A:A, "Code Not Found"))</f>
        <v/>
      </c>
      <c r="E1923" s="203"/>
      <c r="F1923" s="204"/>
      <c r="G1923" s="138"/>
      <c r="H1923" s="205" t="str">
        <f t="array" ref="H1923">IFERROR(XLOOKUP(D1923,'MASTER ITEM LIST'!A:A,'MASTER ITEM LIST'!D:D), "")</f>
        <v/>
      </c>
      <c r="I1923" s="206"/>
      <c r="J1923" s="207" t="str">
        <f t="shared" si="2"/>
        <v/>
      </c>
    </row>
    <row r="1924" ht="22.5" customHeight="1">
      <c r="A1924" s="200"/>
      <c r="B1924" s="138"/>
      <c r="C1924" s="201"/>
      <c r="D1924" s="202" t="str">
        <f t="array" ref="D1924">IF(E1924="", "", XLOOKUP(E1924, 'MASTER ITEM LIST'!B:B, 'MASTER ITEM LIST'!A:A, "Code Not Found"))</f>
        <v/>
      </c>
      <c r="E1924" s="203"/>
      <c r="F1924" s="204"/>
      <c r="G1924" s="138"/>
      <c r="H1924" s="205" t="str">
        <f t="array" ref="H1924">IFERROR(XLOOKUP(D1924,'MASTER ITEM LIST'!A:A,'MASTER ITEM LIST'!D:D), "")</f>
        <v/>
      </c>
      <c r="I1924" s="206"/>
      <c r="J1924" s="207" t="str">
        <f t="shared" si="2"/>
        <v/>
      </c>
    </row>
    <row r="1925" ht="22.5" customHeight="1">
      <c r="A1925" s="200"/>
      <c r="B1925" s="138"/>
      <c r="C1925" s="201"/>
      <c r="D1925" s="202" t="str">
        <f t="array" ref="D1925">IF(E1925="", "", XLOOKUP(E1925, 'MASTER ITEM LIST'!B:B, 'MASTER ITEM LIST'!A:A, "Code Not Found"))</f>
        <v/>
      </c>
      <c r="E1925" s="203"/>
      <c r="F1925" s="204"/>
      <c r="G1925" s="138"/>
      <c r="H1925" s="205" t="str">
        <f t="array" ref="H1925">IFERROR(XLOOKUP(D1925,'MASTER ITEM LIST'!A:A,'MASTER ITEM LIST'!D:D), "")</f>
        <v/>
      </c>
      <c r="I1925" s="206"/>
      <c r="J1925" s="207" t="str">
        <f t="shared" si="2"/>
        <v/>
      </c>
    </row>
    <row r="1926" ht="22.5" customHeight="1">
      <c r="A1926" s="200"/>
      <c r="B1926" s="138"/>
      <c r="C1926" s="201"/>
      <c r="D1926" s="202" t="str">
        <f t="array" ref="D1926">IF(E1926="", "", XLOOKUP(E1926, 'MASTER ITEM LIST'!B:B, 'MASTER ITEM LIST'!A:A, "Code Not Found"))</f>
        <v/>
      </c>
      <c r="E1926" s="203"/>
      <c r="F1926" s="204"/>
      <c r="G1926" s="138"/>
      <c r="H1926" s="205" t="str">
        <f t="array" ref="H1926">IFERROR(XLOOKUP(D1926,'MASTER ITEM LIST'!A:A,'MASTER ITEM LIST'!D:D), "")</f>
        <v/>
      </c>
      <c r="I1926" s="206"/>
      <c r="J1926" s="207" t="str">
        <f t="shared" si="2"/>
        <v/>
      </c>
    </row>
    <row r="1927" ht="22.5" customHeight="1">
      <c r="A1927" s="200"/>
      <c r="B1927" s="138"/>
      <c r="C1927" s="201"/>
      <c r="D1927" s="202" t="str">
        <f t="array" ref="D1927">IF(E1927="", "", XLOOKUP(E1927, 'MASTER ITEM LIST'!B:B, 'MASTER ITEM LIST'!A:A, "Code Not Found"))</f>
        <v/>
      </c>
      <c r="E1927" s="203"/>
      <c r="F1927" s="204"/>
      <c r="G1927" s="138"/>
      <c r="H1927" s="205" t="str">
        <f t="array" ref="H1927">IFERROR(XLOOKUP(D1927,'MASTER ITEM LIST'!A:A,'MASTER ITEM LIST'!D:D), "")</f>
        <v/>
      </c>
      <c r="I1927" s="206"/>
      <c r="J1927" s="207" t="str">
        <f t="shared" si="2"/>
        <v/>
      </c>
    </row>
    <row r="1928" ht="22.5" customHeight="1">
      <c r="A1928" s="200"/>
      <c r="B1928" s="138"/>
      <c r="C1928" s="201"/>
      <c r="D1928" s="202" t="str">
        <f t="array" ref="D1928">IF(E1928="", "", XLOOKUP(E1928, 'MASTER ITEM LIST'!B:B, 'MASTER ITEM LIST'!A:A, "Code Not Found"))</f>
        <v/>
      </c>
      <c r="E1928" s="203"/>
      <c r="F1928" s="204"/>
      <c r="G1928" s="138"/>
      <c r="H1928" s="205" t="str">
        <f t="array" ref="H1928">IFERROR(XLOOKUP(D1928,'MASTER ITEM LIST'!A:A,'MASTER ITEM LIST'!D:D), "")</f>
        <v/>
      </c>
      <c r="I1928" s="206"/>
      <c r="J1928" s="207" t="str">
        <f t="shared" si="2"/>
        <v/>
      </c>
    </row>
    <row r="1929" ht="22.5" customHeight="1">
      <c r="A1929" s="200"/>
      <c r="B1929" s="138"/>
      <c r="C1929" s="201"/>
      <c r="D1929" s="202" t="str">
        <f t="array" ref="D1929">IF(E1929="", "", XLOOKUP(E1929, 'MASTER ITEM LIST'!B:B, 'MASTER ITEM LIST'!A:A, "Code Not Found"))</f>
        <v/>
      </c>
      <c r="E1929" s="203"/>
      <c r="F1929" s="204"/>
      <c r="G1929" s="138"/>
      <c r="H1929" s="205" t="str">
        <f t="array" ref="H1929">IFERROR(XLOOKUP(D1929,'MASTER ITEM LIST'!A:A,'MASTER ITEM LIST'!D:D), "")</f>
        <v/>
      </c>
      <c r="I1929" s="206"/>
      <c r="J1929" s="207" t="str">
        <f t="shared" si="2"/>
        <v/>
      </c>
    </row>
    <row r="1930" ht="22.5" customHeight="1">
      <c r="A1930" s="200"/>
      <c r="B1930" s="138"/>
      <c r="C1930" s="201"/>
      <c r="D1930" s="202" t="str">
        <f t="array" ref="D1930">IF(E1930="", "", XLOOKUP(E1930, 'MASTER ITEM LIST'!B:B, 'MASTER ITEM LIST'!A:A, "Code Not Found"))</f>
        <v/>
      </c>
      <c r="E1930" s="203"/>
      <c r="F1930" s="204"/>
      <c r="G1930" s="138"/>
      <c r="H1930" s="205" t="str">
        <f t="array" ref="H1930">IFERROR(XLOOKUP(D1930,'MASTER ITEM LIST'!A:A,'MASTER ITEM LIST'!D:D), "")</f>
        <v/>
      </c>
      <c r="I1930" s="206"/>
      <c r="J1930" s="207" t="str">
        <f t="shared" si="2"/>
        <v/>
      </c>
    </row>
    <row r="1931" ht="22.5" customHeight="1">
      <c r="A1931" s="200"/>
      <c r="B1931" s="138"/>
      <c r="C1931" s="201"/>
      <c r="D1931" s="202" t="str">
        <f t="array" ref="D1931">IF(E1931="", "", XLOOKUP(E1931, 'MASTER ITEM LIST'!B:B, 'MASTER ITEM LIST'!A:A, "Code Not Found"))</f>
        <v/>
      </c>
      <c r="E1931" s="203"/>
      <c r="F1931" s="204"/>
      <c r="G1931" s="138"/>
      <c r="H1931" s="205" t="str">
        <f t="array" ref="H1931">IFERROR(XLOOKUP(D1931,'MASTER ITEM LIST'!A:A,'MASTER ITEM LIST'!D:D), "")</f>
        <v/>
      </c>
      <c r="I1931" s="206"/>
      <c r="J1931" s="207" t="str">
        <f t="shared" si="2"/>
        <v/>
      </c>
    </row>
    <row r="1932" ht="22.5" customHeight="1">
      <c r="A1932" s="200"/>
      <c r="B1932" s="138"/>
      <c r="C1932" s="201"/>
      <c r="D1932" s="202" t="str">
        <f t="array" ref="D1932">IF(E1932="", "", XLOOKUP(E1932, 'MASTER ITEM LIST'!B:B, 'MASTER ITEM LIST'!A:A, "Code Not Found"))</f>
        <v/>
      </c>
      <c r="E1932" s="203"/>
      <c r="F1932" s="204"/>
      <c r="G1932" s="138"/>
      <c r="H1932" s="205" t="str">
        <f t="array" ref="H1932">IFERROR(XLOOKUP(D1932,'MASTER ITEM LIST'!A:A,'MASTER ITEM LIST'!D:D), "")</f>
        <v/>
      </c>
      <c r="I1932" s="206"/>
      <c r="J1932" s="207" t="str">
        <f t="shared" si="2"/>
        <v/>
      </c>
    </row>
    <row r="1933" ht="22.5" customHeight="1">
      <c r="A1933" s="200"/>
      <c r="B1933" s="138"/>
      <c r="C1933" s="201"/>
      <c r="D1933" s="202" t="str">
        <f t="array" ref="D1933">IF(E1933="", "", XLOOKUP(E1933, 'MASTER ITEM LIST'!B:B, 'MASTER ITEM LIST'!A:A, "Code Not Found"))</f>
        <v/>
      </c>
      <c r="E1933" s="203"/>
      <c r="F1933" s="204"/>
      <c r="G1933" s="138"/>
      <c r="H1933" s="205" t="str">
        <f t="array" ref="H1933">IFERROR(XLOOKUP(D1933,'MASTER ITEM LIST'!A:A,'MASTER ITEM LIST'!D:D), "")</f>
        <v/>
      </c>
      <c r="I1933" s="206"/>
      <c r="J1933" s="207" t="str">
        <f t="shared" si="2"/>
        <v/>
      </c>
    </row>
    <row r="1934" ht="22.5" customHeight="1">
      <c r="A1934" s="200"/>
      <c r="B1934" s="138"/>
      <c r="C1934" s="201"/>
      <c r="D1934" s="202" t="str">
        <f t="array" ref="D1934">IF(E1934="", "", XLOOKUP(E1934, 'MASTER ITEM LIST'!B:B, 'MASTER ITEM LIST'!A:A, "Code Not Found"))</f>
        <v/>
      </c>
      <c r="E1934" s="203"/>
      <c r="F1934" s="204"/>
      <c r="G1934" s="138"/>
      <c r="H1934" s="205" t="str">
        <f t="array" ref="H1934">IFERROR(XLOOKUP(D1934,'MASTER ITEM LIST'!A:A,'MASTER ITEM LIST'!D:D), "")</f>
        <v/>
      </c>
      <c r="I1934" s="206"/>
      <c r="J1934" s="207" t="str">
        <f t="shared" si="2"/>
        <v/>
      </c>
    </row>
    <row r="1935" ht="22.5" customHeight="1">
      <c r="A1935" s="200"/>
      <c r="B1935" s="138"/>
      <c r="C1935" s="201"/>
      <c r="D1935" s="202" t="str">
        <f t="array" ref="D1935">IF(E1935="", "", XLOOKUP(E1935, 'MASTER ITEM LIST'!B:B, 'MASTER ITEM LIST'!A:A, "Code Not Found"))</f>
        <v/>
      </c>
      <c r="E1935" s="203"/>
      <c r="F1935" s="204"/>
      <c r="G1935" s="138"/>
      <c r="H1935" s="205" t="str">
        <f t="array" ref="H1935">IFERROR(XLOOKUP(D1935,'MASTER ITEM LIST'!A:A,'MASTER ITEM LIST'!D:D), "")</f>
        <v/>
      </c>
      <c r="I1935" s="206"/>
      <c r="J1935" s="207" t="str">
        <f t="shared" si="2"/>
        <v/>
      </c>
    </row>
    <row r="1936" ht="22.5" customHeight="1">
      <c r="A1936" s="200"/>
      <c r="B1936" s="138"/>
      <c r="C1936" s="201"/>
      <c r="D1936" s="202" t="str">
        <f t="array" ref="D1936">IF(E1936="", "", XLOOKUP(E1936, 'MASTER ITEM LIST'!B:B, 'MASTER ITEM LIST'!A:A, "Code Not Found"))</f>
        <v/>
      </c>
      <c r="E1936" s="203"/>
      <c r="F1936" s="204"/>
      <c r="G1936" s="138"/>
      <c r="H1936" s="205" t="str">
        <f t="array" ref="H1936">IFERROR(XLOOKUP(D1936,'MASTER ITEM LIST'!A:A,'MASTER ITEM LIST'!D:D), "")</f>
        <v/>
      </c>
      <c r="I1936" s="206"/>
      <c r="J1936" s="207" t="str">
        <f t="shared" si="2"/>
        <v/>
      </c>
    </row>
    <row r="1937" ht="22.5" customHeight="1">
      <c r="A1937" s="200"/>
      <c r="B1937" s="138"/>
      <c r="C1937" s="201"/>
      <c r="D1937" s="202" t="str">
        <f t="array" ref="D1937">IF(E1937="", "", XLOOKUP(E1937, 'MASTER ITEM LIST'!B:B, 'MASTER ITEM LIST'!A:A, "Code Not Found"))</f>
        <v/>
      </c>
      <c r="E1937" s="203"/>
      <c r="F1937" s="204"/>
      <c r="G1937" s="138"/>
      <c r="H1937" s="205" t="str">
        <f t="array" ref="H1937">IFERROR(XLOOKUP(D1937,'MASTER ITEM LIST'!A:A,'MASTER ITEM LIST'!D:D), "")</f>
        <v/>
      </c>
      <c r="I1937" s="206"/>
      <c r="J1937" s="207" t="str">
        <f t="shared" si="2"/>
        <v/>
      </c>
    </row>
    <row r="1938" ht="22.5" customHeight="1">
      <c r="A1938" s="200"/>
      <c r="B1938" s="138"/>
      <c r="C1938" s="201"/>
      <c r="D1938" s="202" t="str">
        <f t="array" ref="D1938">IF(E1938="", "", XLOOKUP(E1938, 'MASTER ITEM LIST'!B:B, 'MASTER ITEM LIST'!A:A, "Code Not Found"))</f>
        <v/>
      </c>
      <c r="E1938" s="203"/>
      <c r="F1938" s="204"/>
      <c r="G1938" s="138"/>
      <c r="H1938" s="205" t="str">
        <f t="array" ref="H1938">IFERROR(XLOOKUP(D1938,'MASTER ITEM LIST'!A:A,'MASTER ITEM LIST'!D:D), "")</f>
        <v/>
      </c>
      <c r="I1938" s="206"/>
      <c r="J1938" s="207" t="str">
        <f t="shared" si="2"/>
        <v/>
      </c>
    </row>
    <row r="1939" ht="22.5" customHeight="1">
      <c r="A1939" s="200"/>
      <c r="B1939" s="138"/>
      <c r="C1939" s="201"/>
      <c r="D1939" s="202" t="str">
        <f t="array" ref="D1939">IF(E1939="", "", XLOOKUP(E1939, 'MASTER ITEM LIST'!B:B, 'MASTER ITEM LIST'!A:A, "Code Not Found"))</f>
        <v/>
      </c>
      <c r="E1939" s="203"/>
      <c r="F1939" s="204"/>
      <c r="G1939" s="138"/>
      <c r="H1939" s="205" t="str">
        <f t="array" ref="H1939">IFERROR(XLOOKUP(D1939,'MASTER ITEM LIST'!A:A,'MASTER ITEM LIST'!D:D), "")</f>
        <v/>
      </c>
      <c r="I1939" s="206"/>
      <c r="J1939" s="207" t="str">
        <f t="shared" si="2"/>
        <v/>
      </c>
    </row>
    <row r="1940" ht="22.5" customHeight="1">
      <c r="A1940" s="200"/>
      <c r="B1940" s="138"/>
      <c r="C1940" s="201"/>
      <c r="D1940" s="202" t="str">
        <f t="array" ref="D1940">IF(E1940="", "", XLOOKUP(E1940, 'MASTER ITEM LIST'!B:B, 'MASTER ITEM LIST'!A:A, "Code Not Found"))</f>
        <v/>
      </c>
      <c r="E1940" s="203"/>
      <c r="F1940" s="204"/>
      <c r="G1940" s="138"/>
      <c r="H1940" s="205" t="str">
        <f t="array" ref="H1940">IFERROR(XLOOKUP(D1940,'MASTER ITEM LIST'!A:A,'MASTER ITEM LIST'!D:D), "")</f>
        <v/>
      </c>
      <c r="I1940" s="206"/>
      <c r="J1940" s="207" t="str">
        <f t="shared" si="2"/>
        <v/>
      </c>
    </row>
    <row r="1941" ht="22.5" customHeight="1">
      <c r="A1941" s="200"/>
      <c r="B1941" s="138"/>
      <c r="C1941" s="201"/>
      <c r="D1941" s="202" t="str">
        <f t="array" ref="D1941">IF(E1941="", "", XLOOKUP(E1941, 'MASTER ITEM LIST'!B:B, 'MASTER ITEM LIST'!A:A, "Code Not Found"))</f>
        <v/>
      </c>
      <c r="E1941" s="203"/>
      <c r="F1941" s="204"/>
      <c r="G1941" s="138"/>
      <c r="H1941" s="205" t="str">
        <f t="array" ref="H1941">IFERROR(XLOOKUP(D1941,'MASTER ITEM LIST'!A:A,'MASTER ITEM LIST'!D:D), "")</f>
        <v/>
      </c>
      <c r="I1941" s="206"/>
      <c r="J1941" s="207" t="str">
        <f t="shared" si="2"/>
        <v/>
      </c>
    </row>
    <row r="1942" ht="22.5" customHeight="1">
      <c r="A1942" s="200"/>
      <c r="B1942" s="138"/>
      <c r="C1942" s="201"/>
      <c r="D1942" s="202" t="str">
        <f t="array" ref="D1942">IF(E1942="", "", XLOOKUP(E1942, 'MASTER ITEM LIST'!B:B, 'MASTER ITEM LIST'!A:A, "Code Not Found"))</f>
        <v/>
      </c>
      <c r="E1942" s="203"/>
      <c r="F1942" s="204"/>
      <c r="G1942" s="138"/>
      <c r="H1942" s="205" t="str">
        <f t="array" ref="H1942">IFERROR(XLOOKUP(D1942,'MASTER ITEM LIST'!A:A,'MASTER ITEM LIST'!D:D), "")</f>
        <v/>
      </c>
      <c r="I1942" s="206"/>
      <c r="J1942" s="207" t="str">
        <f t="shared" si="2"/>
        <v/>
      </c>
    </row>
    <row r="1943" ht="22.5" customHeight="1">
      <c r="A1943" s="200"/>
      <c r="B1943" s="138"/>
      <c r="C1943" s="201"/>
      <c r="D1943" s="202" t="str">
        <f t="array" ref="D1943">IF(E1943="", "", XLOOKUP(E1943, 'MASTER ITEM LIST'!B:B, 'MASTER ITEM LIST'!A:A, "Code Not Found"))</f>
        <v/>
      </c>
      <c r="E1943" s="203"/>
      <c r="F1943" s="204"/>
      <c r="G1943" s="138"/>
      <c r="H1943" s="205" t="str">
        <f t="array" ref="H1943">IFERROR(XLOOKUP(D1943,'MASTER ITEM LIST'!A:A,'MASTER ITEM LIST'!D:D), "")</f>
        <v/>
      </c>
      <c r="I1943" s="206"/>
      <c r="J1943" s="207" t="str">
        <f t="shared" si="2"/>
        <v/>
      </c>
    </row>
    <row r="1944" ht="22.5" customHeight="1">
      <c r="A1944" s="200"/>
      <c r="B1944" s="138"/>
      <c r="C1944" s="201"/>
      <c r="D1944" s="202" t="str">
        <f t="array" ref="D1944">IF(E1944="", "", XLOOKUP(E1944, 'MASTER ITEM LIST'!B:B, 'MASTER ITEM LIST'!A:A, "Code Not Found"))</f>
        <v/>
      </c>
      <c r="E1944" s="203"/>
      <c r="F1944" s="204"/>
      <c r="G1944" s="138"/>
      <c r="H1944" s="205" t="str">
        <f t="array" ref="H1944">IFERROR(XLOOKUP(D1944,'MASTER ITEM LIST'!A:A,'MASTER ITEM LIST'!D:D), "")</f>
        <v/>
      </c>
      <c r="I1944" s="206"/>
      <c r="J1944" s="207" t="str">
        <f t="shared" si="2"/>
        <v/>
      </c>
    </row>
    <row r="1945" ht="22.5" customHeight="1">
      <c r="A1945" s="200"/>
      <c r="B1945" s="138"/>
      <c r="C1945" s="201"/>
      <c r="D1945" s="202" t="str">
        <f t="array" ref="D1945">IF(E1945="", "", XLOOKUP(E1945, 'MASTER ITEM LIST'!B:B, 'MASTER ITEM LIST'!A:A, "Code Not Found"))</f>
        <v/>
      </c>
      <c r="E1945" s="203"/>
      <c r="F1945" s="204"/>
      <c r="G1945" s="138"/>
      <c r="H1945" s="205" t="str">
        <f t="array" ref="H1945">IFERROR(XLOOKUP(D1945,'MASTER ITEM LIST'!A:A,'MASTER ITEM LIST'!D:D), "")</f>
        <v/>
      </c>
      <c r="I1945" s="206"/>
      <c r="J1945" s="207" t="str">
        <f t="shared" si="2"/>
        <v/>
      </c>
    </row>
    <row r="1946" ht="22.5" customHeight="1">
      <c r="A1946" s="200"/>
      <c r="B1946" s="138"/>
      <c r="C1946" s="201"/>
      <c r="D1946" s="202" t="str">
        <f t="array" ref="D1946">IF(E1946="", "", XLOOKUP(E1946, 'MASTER ITEM LIST'!B:B, 'MASTER ITEM LIST'!A:A, "Code Not Found"))</f>
        <v/>
      </c>
      <c r="E1946" s="203"/>
      <c r="F1946" s="204"/>
      <c r="G1946" s="138"/>
      <c r="H1946" s="205" t="str">
        <f t="array" ref="H1946">IFERROR(XLOOKUP(D1946,'MASTER ITEM LIST'!A:A,'MASTER ITEM LIST'!D:D), "")</f>
        <v/>
      </c>
      <c r="I1946" s="206"/>
      <c r="J1946" s="207" t="str">
        <f t="shared" si="2"/>
        <v/>
      </c>
    </row>
    <row r="1947" ht="22.5" customHeight="1">
      <c r="A1947" s="200"/>
      <c r="B1947" s="138"/>
      <c r="C1947" s="201"/>
      <c r="D1947" s="202" t="str">
        <f t="array" ref="D1947">IF(E1947="", "", XLOOKUP(E1947, 'MASTER ITEM LIST'!B:B, 'MASTER ITEM LIST'!A:A, "Code Not Found"))</f>
        <v/>
      </c>
      <c r="E1947" s="203"/>
      <c r="F1947" s="204"/>
      <c r="G1947" s="138"/>
      <c r="H1947" s="205" t="str">
        <f t="array" ref="H1947">IFERROR(XLOOKUP(D1947,'MASTER ITEM LIST'!A:A,'MASTER ITEM LIST'!D:D), "")</f>
        <v/>
      </c>
      <c r="I1947" s="206"/>
      <c r="J1947" s="207" t="str">
        <f t="shared" si="2"/>
        <v/>
      </c>
    </row>
    <row r="1948" ht="22.5" customHeight="1">
      <c r="A1948" s="200"/>
      <c r="B1948" s="138"/>
      <c r="C1948" s="201"/>
      <c r="D1948" s="202" t="str">
        <f t="array" ref="D1948">IF(E1948="", "", XLOOKUP(E1948, 'MASTER ITEM LIST'!B:B, 'MASTER ITEM LIST'!A:A, "Code Not Found"))</f>
        <v/>
      </c>
      <c r="E1948" s="203"/>
      <c r="F1948" s="204"/>
      <c r="G1948" s="138"/>
      <c r="H1948" s="205" t="str">
        <f t="array" ref="H1948">IFERROR(XLOOKUP(D1948,'MASTER ITEM LIST'!A:A,'MASTER ITEM LIST'!D:D), "")</f>
        <v/>
      </c>
      <c r="I1948" s="206"/>
      <c r="J1948" s="207" t="str">
        <f t="shared" si="2"/>
        <v/>
      </c>
    </row>
    <row r="1949" ht="22.5" customHeight="1">
      <c r="A1949" s="200"/>
      <c r="B1949" s="138"/>
      <c r="C1949" s="201"/>
      <c r="D1949" s="202" t="str">
        <f t="array" ref="D1949">IF(E1949="", "", XLOOKUP(E1949, 'MASTER ITEM LIST'!B:B, 'MASTER ITEM LIST'!A:A, "Code Not Found"))</f>
        <v/>
      </c>
      <c r="E1949" s="203"/>
      <c r="F1949" s="204"/>
      <c r="G1949" s="138"/>
      <c r="H1949" s="205" t="str">
        <f t="array" ref="H1949">IFERROR(XLOOKUP(D1949,'MASTER ITEM LIST'!A:A,'MASTER ITEM LIST'!D:D), "")</f>
        <v/>
      </c>
      <c r="I1949" s="206"/>
      <c r="J1949" s="207" t="str">
        <f t="shared" si="2"/>
        <v/>
      </c>
    </row>
    <row r="1950" ht="22.5" customHeight="1">
      <c r="A1950" s="200"/>
      <c r="B1950" s="138"/>
      <c r="C1950" s="201"/>
      <c r="D1950" s="202" t="str">
        <f t="array" ref="D1950">IF(E1950="", "", XLOOKUP(E1950, 'MASTER ITEM LIST'!B:B, 'MASTER ITEM LIST'!A:A, "Code Not Found"))</f>
        <v/>
      </c>
      <c r="E1950" s="203"/>
      <c r="F1950" s="204"/>
      <c r="G1950" s="138"/>
      <c r="H1950" s="205" t="str">
        <f t="array" ref="H1950">IFERROR(XLOOKUP(D1950,'MASTER ITEM LIST'!A:A,'MASTER ITEM LIST'!D:D), "")</f>
        <v/>
      </c>
      <c r="I1950" s="206"/>
      <c r="J1950" s="207" t="str">
        <f t="shared" si="2"/>
        <v/>
      </c>
    </row>
    <row r="1951" ht="22.5" customHeight="1">
      <c r="A1951" s="200"/>
      <c r="B1951" s="138"/>
      <c r="C1951" s="201"/>
      <c r="D1951" s="202" t="str">
        <f t="array" ref="D1951">IF(E1951="", "", XLOOKUP(E1951, 'MASTER ITEM LIST'!B:B, 'MASTER ITEM LIST'!A:A, "Code Not Found"))</f>
        <v/>
      </c>
      <c r="E1951" s="203"/>
      <c r="F1951" s="204"/>
      <c r="G1951" s="138"/>
      <c r="H1951" s="205" t="str">
        <f t="array" ref="H1951">IFERROR(XLOOKUP(D1951,'MASTER ITEM LIST'!A:A,'MASTER ITEM LIST'!D:D), "")</f>
        <v/>
      </c>
      <c r="I1951" s="206"/>
      <c r="J1951" s="207" t="str">
        <f t="shared" si="2"/>
        <v/>
      </c>
    </row>
    <row r="1952" ht="22.5" customHeight="1">
      <c r="A1952" s="200"/>
      <c r="B1952" s="138"/>
      <c r="C1952" s="201"/>
      <c r="D1952" s="202" t="str">
        <f t="array" ref="D1952">IF(E1952="", "", XLOOKUP(E1952, 'MASTER ITEM LIST'!B:B, 'MASTER ITEM LIST'!A:A, "Code Not Found"))</f>
        <v/>
      </c>
      <c r="E1952" s="203"/>
      <c r="F1952" s="204"/>
      <c r="G1952" s="138"/>
      <c r="H1952" s="205" t="str">
        <f t="array" ref="H1952">IFERROR(XLOOKUP(D1952,'MASTER ITEM LIST'!A:A,'MASTER ITEM LIST'!D:D), "")</f>
        <v/>
      </c>
      <c r="I1952" s="206"/>
      <c r="J1952" s="207" t="str">
        <f t="shared" si="2"/>
        <v/>
      </c>
    </row>
    <row r="1953" ht="22.5" customHeight="1">
      <c r="A1953" s="200"/>
      <c r="B1953" s="138"/>
      <c r="C1953" s="201"/>
      <c r="D1953" s="202" t="str">
        <f t="array" ref="D1953">IF(E1953="", "", XLOOKUP(E1953, 'MASTER ITEM LIST'!B:B, 'MASTER ITEM LIST'!A:A, "Code Not Found"))</f>
        <v/>
      </c>
      <c r="E1953" s="203"/>
      <c r="F1953" s="204"/>
      <c r="G1953" s="138"/>
      <c r="H1953" s="205" t="str">
        <f t="array" ref="H1953">IFERROR(XLOOKUP(D1953,'MASTER ITEM LIST'!A:A,'MASTER ITEM LIST'!D:D), "")</f>
        <v/>
      </c>
      <c r="I1953" s="206"/>
      <c r="J1953" s="207" t="str">
        <f t="shared" si="2"/>
        <v/>
      </c>
    </row>
    <row r="1954" ht="22.5" customHeight="1">
      <c r="A1954" s="200"/>
      <c r="B1954" s="138"/>
      <c r="C1954" s="201"/>
      <c r="D1954" s="202" t="str">
        <f t="array" ref="D1954">IF(E1954="", "", XLOOKUP(E1954, 'MASTER ITEM LIST'!B:B, 'MASTER ITEM LIST'!A:A, "Code Not Found"))</f>
        <v/>
      </c>
      <c r="E1954" s="203"/>
      <c r="F1954" s="204"/>
      <c r="G1954" s="138"/>
      <c r="H1954" s="205" t="str">
        <f t="array" ref="H1954">IFERROR(XLOOKUP(D1954,'MASTER ITEM LIST'!A:A,'MASTER ITEM LIST'!D:D), "")</f>
        <v/>
      </c>
      <c r="I1954" s="206"/>
      <c r="J1954" s="207" t="str">
        <f t="shared" si="2"/>
        <v/>
      </c>
    </row>
    <row r="1955" ht="22.5" customHeight="1">
      <c r="A1955" s="200"/>
      <c r="B1955" s="138"/>
      <c r="C1955" s="201"/>
      <c r="D1955" s="202" t="str">
        <f t="array" ref="D1955">IF(E1955="", "", XLOOKUP(E1955, 'MASTER ITEM LIST'!B:B, 'MASTER ITEM LIST'!A:A, "Code Not Found"))</f>
        <v/>
      </c>
      <c r="E1955" s="203"/>
      <c r="F1955" s="204"/>
      <c r="G1955" s="138"/>
      <c r="H1955" s="205" t="str">
        <f t="array" ref="H1955">IFERROR(XLOOKUP(D1955,'MASTER ITEM LIST'!A:A,'MASTER ITEM LIST'!D:D), "")</f>
        <v/>
      </c>
      <c r="I1955" s="206"/>
      <c r="J1955" s="207" t="str">
        <f t="shared" si="2"/>
        <v/>
      </c>
    </row>
    <row r="1956" ht="22.5" customHeight="1">
      <c r="A1956" s="200"/>
      <c r="B1956" s="138"/>
      <c r="C1956" s="201"/>
      <c r="D1956" s="202" t="str">
        <f t="array" ref="D1956">IF(E1956="", "", XLOOKUP(E1956, 'MASTER ITEM LIST'!B:B, 'MASTER ITEM LIST'!A:A, "Code Not Found"))</f>
        <v/>
      </c>
      <c r="E1956" s="203"/>
      <c r="F1956" s="204"/>
      <c r="G1956" s="138"/>
      <c r="H1956" s="205" t="str">
        <f t="array" ref="H1956">IFERROR(XLOOKUP(D1956,'MASTER ITEM LIST'!A:A,'MASTER ITEM LIST'!D:D), "")</f>
        <v/>
      </c>
      <c r="I1956" s="206"/>
      <c r="J1956" s="207" t="str">
        <f t="shared" si="2"/>
        <v/>
      </c>
    </row>
    <row r="1957" ht="22.5" customHeight="1">
      <c r="A1957" s="200"/>
      <c r="B1957" s="138"/>
      <c r="C1957" s="201"/>
      <c r="D1957" s="202" t="str">
        <f t="array" ref="D1957">IF(E1957="", "", XLOOKUP(E1957, 'MASTER ITEM LIST'!B:B, 'MASTER ITEM LIST'!A:A, "Code Not Found"))</f>
        <v/>
      </c>
      <c r="E1957" s="203"/>
      <c r="F1957" s="204"/>
      <c r="G1957" s="138"/>
      <c r="H1957" s="205" t="str">
        <f t="array" ref="H1957">IFERROR(XLOOKUP(D1957,'MASTER ITEM LIST'!A:A,'MASTER ITEM LIST'!D:D), "")</f>
        <v/>
      </c>
      <c r="I1957" s="206"/>
      <c r="J1957" s="207" t="str">
        <f t="shared" si="2"/>
        <v/>
      </c>
    </row>
    <row r="1958" ht="22.5" customHeight="1">
      <c r="A1958" s="200"/>
      <c r="B1958" s="138"/>
      <c r="C1958" s="201"/>
      <c r="D1958" s="202" t="str">
        <f t="array" ref="D1958">IF(E1958="", "", XLOOKUP(E1958, 'MASTER ITEM LIST'!B:B, 'MASTER ITEM LIST'!A:A, "Code Not Found"))</f>
        <v/>
      </c>
      <c r="E1958" s="203"/>
      <c r="F1958" s="204"/>
      <c r="G1958" s="138"/>
      <c r="H1958" s="205" t="str">
        <f t="array" ref="H1958">IFERROR(XLOOKUP(D1958,'MASTER ITEM LIST'!A:A,'MASTER ITEM LIST'!D:D), "")</f>
        <v/>
      </c>
      <c r="I1958" s="206"/>
      <c r="J1958" s="207" t="str">
        <f t="shared" si="2"/>
        <v/>
      </c>
    </row>
    <row r="1959" ht="22.5" customHeight="1">
      <c r="A1959" s="200"/>
      <c r="B1959" s="138"/>
      <c r="C1959" s="201"/>
      <c r="D1959" s="202" t="str">
        <f t="array" ref="D1959">IF(E1959="", "", XLOOKUP(E1959, 'MASTER ITEM LIST'!B:B, 'MASTER ITEM LIST'!A:A, "Code Not Found"))</f>
        <v/>
      </c>
      <c r="E1959" s="203"/>
      <c r="F1959" s="204"/>
      <c r="G1959" s="138"/>
      <c r="H1959" s="205" t="str">
        <f t="array" ref="H1959">IFERROR(XLOOKUP(D1959,'MASTER ITEM LIST'!A:A,'MASTER ITEM LIST'!D:D), "")</f>
        <v/>
      </c>
      <c r="I1959" s="206"/>
      <c r="J1959" s="207" t="str">
        <f t="shared" si="2"/>
        <v/>
      </c>
    </row>
    <row r="1960" ht="22.5" customHeight="1">
      <c r="A1960" s="200"/>
      <c r="B1960" s="138"/>
      <c r="C1960" s="201"/>
      <c r="D1960" s="202" t="str">
        <f t="array" ref="D1960">IF(E1960="", "", XLOOKUP(E1960, 'MASTER ITEM LIST'!B:B, 'MASTER ITEM LIST'!A:A, "Code Not Found"))</f>
        <v/>
      </c>
      <c r="E1960" s="203"/>
      <c r="F1960" s="204"/>
      <c r="G1960" s="138"/>
      <c r="H1960" s="205" t="str">
        <f t="array" ref="H1960">IFERROR(XLOOKUP(D1960,'MASTER ITEM LIST'!A:A,'MASTER ITEM LIST'!D:D), "")</f>
        <v/>
      </c>
      <c r="I1960" s="206"/>
      <c r="J1960" s="207" t="str">
        <f t="shared" si="2"/>
        <v/>
      </c>
    </row>
    <row r="1961" ht="22.5" customHeight="1">
      <c r="A1961" s="200"/>
      <c r="B1961" s="138"/>
      <c r="C1961" s="201"/>
      <c r="D1961" s="202" t="str">
        <f t="array" ref="D1961">IF(E1961="", "", XLOOKUP(E1961, 'MASTER ITEM LIST'!B:B, 'MASTER ITEM LIST'!A:A, "Code Not Found"))</f>
        <v/>
      </c>
      <c r="E1961" s="203"/>
      <c r="F1961" s="204"/>
      <c r="G1961" s="138"/>
      <c r="H1961" s="205" t="str">
        <f t="array" ref="H1961">IFERROR(XLOOKUP(D1961,'MASTER ITEM LIST'!A:A,'MASTER ITEM LIST'!D:D), "")</f>
        <v/>
      </c>
      <c r="I1961" s="206"/>
      <c r="J1961" s="207" t="str">
        <f t="shared" si="2"/>
        <v/>
      </c>
    </row>
    <row r="1962" ht="22.5" customHeight="1">
      <c r="A1962" s="200"/>
      <c r="B1962" s="138"/>
      <c r="C1962" s="201"/>
      <c r="D1962" s="202" t="str">
        <f t="array" ref="D1962">IF(E1962="", "", XLOOKUP(E1962, 'MASTER ITEM LIST'!B:B, 'MASTER ITEM LIST'!A:A, "Code Not Found"))</f>
        <v/>
      </c>
      <c r="E1962" s="203"/>
      <c r="F1962" s="204"/>
      <c r="G1962" s="138"/>
      <c r="H1962" s="205" t="str">
        <f t="array" ref="H1962">IFERROR(XLOOKUP(D1962,'MASTER ITEM LIST'!A:A,'MASTER ITEM LIST'!D:D), "")</f>
        <v/>
      </c>
      <c r="I1962" s="206"/>
      <c r="J1962" s="207" t="str">
        <f t="shared" si="2"/>
        <v/>
      </c>
    </row>
    <row r="1963" ht="22.5" customHeight="1">
      <c r="A1963" s="200"/>
      <c r="B1963" s="138"/>
      <c r="C1963" s="201"/>
      <c r="D1963" s="202" t="str">
        <f t="array" ref="D1963">IF(E1963="", "", XLOOKUP(E1963, 'MASTER ITEM LIST'!B:B, 'MASTER ITEM LIST'!A:A, "Code Not Found"))</f>
        <v/>
      </c>
      <c r="E1963" s="203"/>
      <c r="F1963" s="204"/>
      <c r="G1963" s="138"/>
      <c r="H1963" s="205" t="str">
        <f t="array" ref="H1963">IFERROR(XLOOKUP(D1963,'MASTER ITEM LIST'!A:A,'MASTER ITEM LIST'!D:D), "")</f>
        <v/>
      </c>
      <c r="I1963" s="206"/>
      <c r="J1963" s="207" t="str">
        <f t="shared" si="2"/>
        <v/>
      </c>
    </row>
    <row r="1964" ht="22.5" customHeight="1">
      <c r="A1964" s="200"/>
      <c r="B1964" s="138"/>
      <c r="C1964" s="201"/>
      <c r="D1964" s="202" t="str">
        <f t="array" ref="D1964">IF(E1964="", "", XLOOKUP(E1964, 'MASTER ITEM LIST'!B:B, 'MASTER ITEM LIST'!A:A, "Code Not Found"))</f>
        <v/>
      </c>
      <c r="E1964" s="203"/>
      <c r="F1964" s="204"/>
      <c r="G1964" s="138"/>
      <c r="H1964" s="205" t="str">
        <f t="array" ref="H1964">IFERROR(XLOOKUP(D1964,'MASTER ITEM LIST'!A:A,'MASTER ITEM LIST'!D:D), "")</f>
        <v/>
      </c>
      <c r="I1964" s="206"/>
      <c r="J1964" s="207" t="str">
        <f t="shared" si="2"/>
        <v/>
      </c>
    </row>
    <row r="1965" ht="22.5" customHeight="1">
      <c r="A1965" s="200"/>
      <c r="B1965" s="138"/>
      <c r="C1965" s="201"/>
      <c r="D1965" s="202" t="str">
        <f t="array" ref="D1965">IF(E1965="", "", XLOOKUP(E1965, 'MASTER ITEM LIST'!B:B, 'MASTER ITEM LIST'!A:A, "Code Not Found"))</f>
        <v/>
      </c>
      <c r="E1965" s="203"/>
      <c r="F1965" s="204"/>
      <c r="G1965" s="138"/>
      <c r="H1965" s="205" t="str">
        <f t="array" ref="H1965">IFERROR(XLOOKUP(D1965,'MASTER ITEM LIST'!A:A,'MASTER ITEM LIST'!D:D), "")</f>
        <v/>
      </c>
      <c r="I1965" s="206"/>
      <c r="J1965" s="207" t="str">
        <f t="shared" si="2"/>
        <v/>
      </c>
    </row>
    <row r="1966" ht="22.5" customHeight="1">
      <c r="A1966" s="200"/>
      <c r="B1966" s="138"/>
      <c r="C1966" s="201"/>
      <c r="D1966" s="202" t="str">
        <f t="array" ref="D1966">IF(E1966="", "", XLOOKUP(E1966, 'MASTER ITEM LIST'!B:B, 'MASTER ITEM LIST'!A:A, "Code Not Found"))</f>
        <v/>
      </c>
      <c r="E1966" s="203"/>
      <c r="F1966" s="204"/>
      <c r="G1966" s="138"/>
      <c r="H1966" s="205" t="str">
        <f t="array" ref="H1966">IFERROR(XLOOKUP(D1966,'MASTER ITEM LIST'!A:A,'MASTER ITEM LIST'!D:D), "")</f>
        <v/>
      </c>
      <c r="I1966" s="206"/>
      <c r="J1966" s="207" t="str">
        <f t="shared" si="2"/>
        <v/>
      </c>
    </row>
    <row r="1967" ht="22.5" customHeight="1">
      <c r="A1967" s="200"/>
      <c r="B1967" s="138"/>
      <c r="C1967" s="201"/>
      <c r="D1967" s="202" t="str">
        <f t="array" ref="D1967">IF(E1967="", "", XLOOKUP(E1967, 'MASTER ITEM LIST'!B:B, 'MASTER ITEM LIST'!A:A, "Code Not Found"))</f>
        <v/>
      </c>
      <c r="E1967" s="203"/>
      <c r="F1967" s="204"/>
      <c r="G1967" s="138"/>
      <c r="H1967" s="205" t="str">
        <f t="array" ref="H1967">IFERROR(XLOOKUP(D1967,'MASTER ITEM LIST'!A:A,'MASTER ITEM LIST'!D:D), "")</f>
        <v/>
      </c>
      <c r="I1967" s="206"/>
      <c r="J1967" s="207" t="str">
        <f t="shared" si="2"/>
        <v/>
      </c>
    </row>
    <row r="1968" ht="22.5" customHeight="1">
      <c r="A1968" s="200"/>
      <c r="B1968" s="138"/>
      <c r="C1968" s="201"/>
      <c r="D1968" s="202" t="str">
        <f t="array" ref="D1968">IF(E1968="", "", XLOOKUP(E1968, 'MASTER ITEM LIST'!B:B, 'MASTER ITEM LIST'!A:A, "Code Not Found"))</f>
        <v/>
      </c>
      <c r="E1968" s="203"/>
      <c r="F1968" s="204"/>
      <c r="G1968" s="138"/>
      <c r="H1968" s="205" t="str">
        <f t="array" ref="H1968">IFERROR(XLOOKUP(D1968,'MASTER ITEM LIST'!A:A,'MASTER ITEM LIST'!D:D), "")</f>
        <v/>
      </c>
      <c r="I1968" s="206"/>
      <c r="J1968" s="207" t="str">
        <f t="shared" si="2"/>
        <v/>
      </c>
    </row>
    <row r="1969" ht="22.5" customHeight="1">
      <c r="A1969" s="200"/>
      <c r="B1969" s="138"/>
      <c r="C1969" s="201"/>
      <c r="D1969" s="202" t="str">
        <f t="array" ref="D1969">IF(E1969="", "", XLOOKUP(E1969, 'MASTER ITEM LIST'!B:B, 'MASTER ITEM LIST'!A:A, "Code Not Found"))</f>
        <v/>
      </c>
      <c r="E1969" s="203"/>
      <c r="F1969" s="204"/>
      <c r="G1969" s="138"/>
      <c r="H1969" s="205" t="str">
        <f t="array" ref="H1969">IFERROR(XLOOKUP(D1969,'MASTER ITEM LIST'!A:A,'MASTER ITEM LIST'!D:D), "")</f>
        <v/>
      </c>
      <c r="I1969" s="206"/>
      <c r="J1969" s="207" t="str">
        <f t="shared" si="2"/>
        <v/>
      </c>
    </row>
    <row r="1970" ht="22.5" customHeight="1">
      <c r="A1970" s="200"/>
      <c r="B1970" s="138"/>
      <c r="C1970" s="201"/>
      <c r="D1970" s="202" t="str">
        <f t="array" ref="D1970">IF(E1970="", "", XLOOKUP(E1970, 'MASTER ITEM LIST'!B:B, 'MASTER ITEM LIST'!A:A, "Code Not Found"))</f>
        <v/>
      </c>
      <c r="E1970" s="203"/>
      <c r="F1970" s="204"/>
      <c r="G1970" s="138"/>
      <c r="H1970" s="205" t="str">
        <f t="array" ref="H1970">IFERROR(XLOOKUP(D1970,'MASTER ITEM LIST'!A:A,'MASTER ITEM LIST'!D:D), "")</f>
        <v/>
      </c>
      <c r="I1970" s="206"/>
      <c r="J1970" s="207" t="str">
        <f t="shared" si="2"/>
        <v/>
      </c>
    </row>
    <row r="1971" ht="22.5" customHeight="1">
      <c r="A1971" s="200"/>
      <c r="B1971" s="138"/>
      <c r="C1971" s="201"/>
      <c r="D1971" s="202" t="str">
        <f t="array" ref="D1971">IF(E1971="", "", XLOOKUP(E1971, 'MASTER ITEM LIST'!B:B, 'MASTER ITEM LIST'!A:A, "Code Not Found"))</f>
        <v/>
      </c>
      <c r="E1971" s="203"/>
      <c r="F1971" s="204"/>
      <c r="G1971" s="138"/>
      <c r="H1971" s="205" t="str">
        <f t="array" ref="H1971">IFERROR(XLOOKUP(D1971,'MASTER ITEM LIST'!A:A,'MASTER ITEM LIST'!D:D), "")</f>
        <v/>
      </c>
      <c r="I1971" s="206"/>
      <c r="J1971" s="207" t="str">
        <f t="shared" si="2"/>
        <v/>
      </c>
    </row>
    <row r="1972" ht="22.5" customHeight="1">
      <c r="A1972" s="200"/>
      <c r="B1972" s="138"/>
      <c r="C1972" s="201"/>
      <c r="D1972" s="202" t="str">
        <f t="array" ref="D1972">IF(E1972="", "", XLOOKUP(E1972, 'MASTER ITEM LIST'!B:B, 'MASTER ITEM LIST'!A:A, "Code Not Found"))</f>
        <v/>
      </c>
      <c r="E1972" s="203"/>
      <c r="F1972" s="204"/>
      <c r="G1972" s="138"/>
      <c r="H1972" s="205" t="str">
        <f t="array" ref="H1972">IFERROR(XLOOKUP(D1972,'MASTER ITEM LIST'!A:A,'MASTER ITEM LIST'!D:D), "")</f>
        <v/>
      </c>
      <c r="I1972" s="206"/>
      <c r="J1972" s="207" t="str">
        <f t="shared" si="2"/>
        <v/>
      </c>
    </row>
    <row r="1973" ht="22.5" customHeight="1">
      <c r="A1973" s="200"/>
      <c r="B1973" s="138"/>
      <c r="C1973" s="201"/>
      <c r="D1973" s="202" t="str">
        <f t="array" ref="D1973">IF(E1973="", "", XLOOKUP(E1973, 'MASTER ITEM LIST'!B:B, 'MASTER ITEM LIST'!A:A, "Code Not Found"))</f>
        <v/>
      </c>
      <c r="E1973" s="203"/>
      <c r="F1973" s="204"/>
      <c r="G1973" s="138"/>
      <c r="H1973" s="205" t="str">
        <f t="array" ref="H1973">IFERROR(XLOOKUP(D1973,'MASTER ITEM LIST'!A:A,'MASTER ITEM LIST'!D:D), "")</f>
        <v/>
      </c>
      <c r="I1973" s="206"/>
      <c r="J1973" s="207" t="str">
        <f t="shared" si="2"/>
        <v/>
      </c>
    </row>
    <row r="1974" ht="22.5" customHeight="1">
      <c r="A1974" s="200"/>
      <c r="B1974" s="138"/>
      <c r="C1974" s="201"/>
      <c r="D1974" s="202" t="str">
        <f t="array" ref="D1974">IF(E1974="", "", XLOOKUP(E1974, 'MASTER ITEM LIST'!B:B, 'MASTER ITEM LIST'!A:A, "Code Not Found"))</f>
        <v/>
      </c>
      <c r="E1974" s="203"/>
      <c r="F1974" s="204"/>
      <c r="G1974" s="138"/>
      <c r="H1974" s="205" t="str">
        <f t="array" ref="H1974">IFERROR(XLOOKUP(D1974,'MASTER ITEM LIST'!A:A,'MASTER ITEM LIST'!D:D), "")</f>
        <v/>
      </c>
      <c r="I1974" s="206"/>
      <c r="J1974" s="207" t="str">
        <f t="shared" si="2"/>
        <v/>
      </c>
    </row>
    <row r="1975" ht="22.5" customHeight="1">
      <c r="A1975" s="200"/>
      <c r="B1975" s="138"/>
      <c r="C1975" s="201"/>
      <c r="D1975" s="202" t="str">
        <f t="array" ref="D1975">IF(E1975="", "", XLOOKUP(E1975, 'MASTER ITEM LIST'!B:B, 'MASTER ITEM LIST'!A:A, "Code Not Found"))</f>
        <v/>
      </c>
      <c r="E1975" s="203"/>
      <c r="F1975" s="204"/>
      <c r="G1975" s="138"/>
      <c r="H1975" s="205" t="str">
        <f t="array" ref="H1975">IFERROR(XLOOKUP(D1975,'MASTER ITEM LIST'!A:A,'MASTER ITEM LIST'!D:D), "")</f>
        <v/>
      </c>
      <c r="I1975" s="206"/>
      <c r="J1975" s="207" t="str">
        <f t="shared" si="2"/>
        <v/>
      </c>
    </row>
    <row r="1976" ht="22.5" customHeight="1">
      <c r="A1976" s="200"/>
      <c r="B1976" s="138"/>
      <c r="C1976" s="201"/>
      <c r="D1976" s="202" t="str">
        <f t="array" ref="D1976">IF(E1976="", "", XLOOKUP(E1976, 'MASTER ITEM LIST'!B:B, 'MASTER ITEM LIST'!A:A, "Code Not Found"))</f>
        <v/>
      </c>
      <c r="E1976" s="203"/>
      <c r="F1976" s="204"/>
      <c r="G1976" s="138"/>
      <c r="H1976" s="205" t="str">
        <f t="array" ref="H1976">IFERROR(XLOOKUP(D1976,'MASTER ITEM LIST'!A:A,'MASTER ITEM LIST'!D:D), "")</f>
        <v/>
      </c>
      <c r="I1976" s="206"/>
      <c r="J1976" s="207" t="str">
        <f t="shared" si="2"/>
        <v/>
      </c>
    </row>
    <row r="1977" ht="22.5" customHeight="1">
      <c r="A1977" s="200"/>
      <c r="B1977" s="138"/>
      <c r="C1977" s="201"/>
      <c r="D1977" s="202" t="str">
        <f t="array" ref="D1977">IF(E1977="", "", XLOOKUP(E1977, 'MASTER ITEM LIST'!B:B, 'MASTER ITEM LIST'!A:A, "Code Not Found"))</f>
        <v/>
      </c>
      <c r="E1977" s="203"/>
      <c r="F1977" s="204"/>
      <c r="G1977" s="138"/>
      <c r="H1977" s="205" t="str">
        <f t="array" ref="H1977">IFERROR(XLOOKUP(D1977,'MASTER ITEM LIST'!A:A,'MASTER ITEM LIST'!D:D), "")</f>
        <v/>
      </c>
      <c r="I1977" s="206"/>
      <c r="J1977" s="207" t="str">
        <f t="shared" si="2"/>
        <v/>
      </c>
    </row>
    <row r="1978" ht="22.5" customHeight="1">
      <c r="A1978" s="200"/>
      <c r="B1978" s="138"/>
      <c r="C1978" s="201"/>
      <c r="D1978" s="202" t="str">
        <f t="array" ref="D1978">IF(E1978="", "", XLOOKUP(E1978, 'MASTER ITEM LIST'!B:B, 'MASTER ITEM LIST'!A:A, "Code Not Found"))</f>
        <v/>
      </c>
      <c r="E1978" s="203"/>
      <c r="F1978" s="204"/>
      <c r="G1978" s="138"/>
      <c r="H1978" s="205" t="str">
        <f t="array" ref="H1978">IFERROR(XLOOKUP(D1978,'MASTER ITEM LIST'!A:A,'MASTER ITEM LIST'!D:D), "")</f>
        <v/>
      </c>
      <c r="I1978" s="206"/>
      <c r="J1978" s="207" t="str">
        <f t="shared" si="2"/>
        <v/>
      </c>
    </row>
    <row r="1979" ht="22.5" customHeight="1">
      <c r="A1979" s="200"/>
      <c r="B1979" s="138"/>
      <c r="C1979" s="201"/>
      <c r="D1979" s="202" t="str">
        <f t="array" ref="D1979">IF(E1979="", "", XLOOKUP(E1979, 'MASTER ITEM LIST'!B:B, 'MASTER ITEM LIST'!A:A, "Code Not Found"))</f>
        <v/>
      </c>
      <c r="E1979" s="203"/>
      <c r="F1979" s="204"/>
      <c r="G1979" s="138"/>
      <c r="H1979" s="205" t="str">
        <f t="array" ref="H1979">IFERROR(XLOOKUP(D1979,'MASTER ITEM LIST'!A:A,'MASTER ITEM LIST'!D:D), "")</f>
        <v/>
      </c>
      <c r="I1979" s="206"/>
      <c r="J1979" s="207" t="str">
        <f t="shared" si="2"/>
        <v/>
      </c>
    </row>
    <row r="1980" ht="22.5" customHeight="1">
      <c r="A1980" s="200"/>
      <c r="B1980" s="138"/>
      <c r="C1980" s="201"/>
      <c r="D1980" s="202" t="str">
        <f t="array" ref="D1980">IF(E1980="", "", XLOOKUP(E1980, 'MASTER ITEM LIST'!B:B, 'MASTER ITEM LIST'!A:A, "Code Not Found"))</f>
        <v/>
      </c>
      <c r="E1980" s="203"/>
      <c r="F1980" s="204"/>
      <c r="G1980" s="138"/>
      <c r="H1980" s="205" t="str">
        <f t="array" ref="H1980">IFERROR(XLOOKUP(D1980,'MASTER ITEM LIST'!A:A,'MASTER ITEM LIST'!D:D), "")</f>
        <v/>
      </c>
      <c r="I1980" s="206"/>
      <c r="J1980" s="207" t="str">
        <f t="shared" si="2"/>
        <v/>
      </c>
    </row>
    <row r="1981" ht="22.5" customHeight="1">
      <c r="A1981" s="200"/>
      <c r="B1981" s="138"/>
      <c r="C1981" s="201"/>
      <c r="D1981" s="202" t="str">
        <f t="array" ref="D1981">IF(E1981="", "", XLOOKUP(E1981, 'MASTER ITEM LIST'!B:B, 'MASTER ITEM LIST'!A:A, "Code Not Found"))</f>
        <v/>
      </c>
      <c r="E1981" s="203"/>
      <c r="F1981" s="204"/>
      <c r="G1981" s="138"/>
      <c r="H1981" s="205" t="str">
        <f t="array" ref="H1981">IFERROR(XLOOKUP(D1981,'MASTER ITEM LIST'!A:A,'MASTER ITEM LIST'!D:D), "")</f>
        <v/>
      </c>
      <c r="I1981" s="206"/>
      <c r="J1981" s="207" t="str">
        <f t="shared" si="2"/>
        <v/>
      </c>
    </row>
    <row r="1982" ht="22.5" customHeight="1">
      <c r="A1982" s="200"/>
      <c r="B1982" s="138"/>
      <c r="C1982" s="201"/>
      <c r="D1982" s="202" t="str">
        <f t="array" ref="D1982">IF(E1982="", "", XLOOKUP(E1982, 'MASTER ITEM LIST'!B:B, 'MASTER ITEM LIST'!A:A, "Code Not Found"))</f>
        <v/>
      </c>
      <c r="E1982" s="203"/>
      <c r="F1982" s="204"/>
      <c r="G1982" s="138"/>
      <c r="H1982" s="205" t="str">
        <f t="array" ref="H1982">IFERROR(XLOOKUP(D1982,'MASTER ITEM LIST'!A:A,'MASTER ITEM LIST'!D:D), "")</f>
        <v/>
      </c>
      <c r="I1982" s="206"/>
      <c r="J1982" s="207" t="str">
        <f t="shared" si="2"/>
        <v/>
      </c>
    </row>
    <row r="1983" ht="22.5" customHeight="1">
      <c r="A1983" s="200"/>
      <c r="B1983" s="138"/>
      <c r="C1983" s="201"/>
      <c r="D1983" s="202" t="str">
        <f t="array" ref="D1983">IF(E1983="", "", XLOOKUP(E1983, 'MASTER ITEM LIST'!B:B, 'MASTER ITEM LIST'!A:A, "Code Not Found"))</f>
        <v/>
      </c>
      <c r="E1983" s="203"/>
      <c r="F1983" s="204"/>
      <c r="G1983" s="138"/>
      <c r="H1983" s="205" t="str">
        <f t="array" ref="H1983">IFERROR(XLOOKUP(D1983,'MASTER ITEM LIST'!A:A,'MASTER ITEM LIST'!D:D), "")</f>
        <v/>
      </c>
      <c r="I1983" s="206"/>
      <c r="J1983" s="207" t="str">
        <f t="shared" si="2"/>
        <v/>
      </c>
    </row>
    <row r="1984" ht="22.5" customHeight="1">
      <c r="A1984" s="200"/>
      <c r="B1984" s="138"/>
      <c r="C1984" s="201"/>
      <c r="D1984" s="202" t="str">
        <f t="array" ref="D1984">IF(E1984="", "", XLOOKUP(E1984, 'MASTER ITEM LIST'!B:B, 'MASTER ITEM LIST'!A:A, "Code Not Found"))</f>
        <v/>
      </c>
      <c r="E1984" s="203"/>
      <c r="F1984" s="204"/>
      <c r="G1984" s="138"/>
      <c r="H1984" s="205" t="str">
        <f t="array" ref="H1984">IFERROR(XLOOKUP(D1984,'MASTER ITEM LIST'!A:A,'MASTER ITEM LIST'!D:D), "")</f>
        <v/>
      </c>
      <c r="I1984" s="206"/>
      <c r="J1984" s="207" t="str">
        <f t="shared" si="2"/>
        <v/>
      </c>
    </row>
    <row r="1985" ht="22.5" customHeight="1">
      <c r="A1985" s="200"/>
      <c r="B1985" s="138"/>
      <c r="C1985" s="201"/>
      <c r="D1985" s="202" t="str">
        <f t="array" ref="D1985">IF(E1985="", "", XLOOKUP(E1985, 'MASTER ITEM LIST'!B:B, 'MASTER ITEM LIST'!A:A, "Code Not Found"))</f>
        <v/>
      </c>
      <c r="E1985" s="203"/>
      <c r="F1985" s="204"/>
      <c r="G1985" s="138"/>
      <c r="H1985" s="205" t="str">
        <f t="array" ref="H1985">IFERROR(XLOOKUP(D1985,'MASTER ITEM LIST'!A:A,'MASTER ITEM LIST'!D:D), "")</f>
        <v/>
      </c>
      <c r="I1985" s="206"/>
      <c r="J1985" s="207" t="str">
        <f t="shared" si="2"/>
        <v/>
      </c>
    </row>
    <row r="1986" ht="22.5" customHeight="1">
      <c r="A1986" s="200"/>
      <c r="B1986" s="138"/>
      <c r="C1986" s="201"/>
      <c r="D1986" s="202" t="str">
        <f t="array" ref="D1986">IF(E1986="", "", XLOOKUP(E1986, 'MASTER ITEM LIST'!B:B, 'MASTER ITEM LIST'!A:A, "Code Not Found"))</f>
        <v/>
      </c>
      <c r="E1986" s="203"/>
      <c r="F1986" s="204"/>
      <c r="G1986" s="138"/>
      <c r="H1986" s="205" t="str">
        <f t="array" ref="H1986">IFERROR(XLOOKUP(D1986,'MASTER ITEM LIST'!A:A,'MASTER ITEM LIST'!D:D), "")</f>
        <v/>
      </c>
      <c r="I1986" s="206"/>
      <c r="J1986" s="207" t="str">
        <f t="shared" si="2"/>
        <v/>
      </c>
    </row>
    <row r="1987" ht="22.5" customHeight="1">
      <c r="A1987" s="200"/>
      <c r="B1987" s="138"/>
      <c r="C1987" s="201"/>
      <c r="D1987" s="202" t="str">
        <f t="array" ref="D1987">IF(E1987="", "", XLOOKUP(E1987, 'MASTER ITEM LIST'!B:B, 'MASTER ITEM LIST'!A:A, "Code Not Found"))</f>
        <v/>
      </c>
      <c r="E1987" s="203"/>
      <c r="F1987" s="204"/>
      <c r="G1987" s="138"/>
      <c r="H1987" s="205" t="str">
        <f t="array" ref="H1987">IFERROR(XLOOKUP(D1987,'MASTER ITEM LIST'!A:A,'MASTER ITEM LIST'!D:D), "")</f>
        <v/>
      </c>
      <c r="I1987" s="206"/>
      <c r="J1987" s="207" t="str">
        <f t="shared" si="2"/>
        <v/>
      </c>
    </row>
    <row r="1988" ht="22.5" customHeight="1">
      <c r="A1988" s="200"/>
      <c r="B1988" s="138"/>
      <c r="C1988" s="201"/>
      <c r="D1988" s="202" t="str">
        <f t="array" ref="D1988">IF(E1988="", "", XLOOKUP(E1988, 'MASTER ITEM LIST'!B:B, 'MASTER ITEM LIST'!A:A, "Code Not Found"))</f>
        <v/>
      </c>
      <c r="E1988" s="203"/>
      <c r="F1988" s="204"/>
      <c r="G1988" s="138"/>
      <c r="H1988" s="205" t="str">
        <f t="array" ref="H1988">IFERROR(XLOOKUP(D1988,'MASTER ITEM LIST'!A:A,'MASTER ITEM LIST'!D:D), "")</f>
        <v/>
      </c>
      <c r="I1988" s="206"/>
      <c r="J1988" s="207" t="str">
        <f t="shared" si="2"/>
        <v/>
      </c>
    </row>
    <row r="1989" ht="22.5" customHeight="1">
      <c r="A1989" s="200"/>
      <c r="B1989" s="138"/>
      <c r="C1989" s="201"/>
      <c r="D1989" s="202" t="str">
        <f t="array" ref="D1989">IF(E1989="", "", XLOOKUP(E1989, 'MASTER ITEM LIST'!B:B, 'MASTER ITEM LIST'!A:A, "Code Not Found"))</f>
        <v/>
      </c>
      <c r="E1989" s="203"/>
      <c r="F1989" s="204"/>
      <c r="G1989" s="138"/>
      <c r="H1989" s="205" t="str">
        <f t="array" ref="H1989">IFERROR(XLOOKUP(D1989,'MASTER ITEM LIST'!A:A,'MASTER ITEM LIST'!D:D), "")</f>
        <v/>
      </c>
      <c r="I1989" s="206"/>
      <c r="J1989" s="207" t="str">
        <f t="shared" si="2"/>
        <v/>
      </c>
    </row>
    <row r="1990" ht="22.5" customHeight="1">
      <c r="A1990" s="200"/>
      <c r="B1990" s="138"/>
      <c r="C1990" s="201"/>
      <c r="D1990" s="202" t="str">
        <f t="array" ref="D1990">IF(E1990="", "", XLOOKUP(E1990, 'MASTER ITEM LIST'!B:B, 'MASTER ITEM LIST'!A:A, "Code Not Found"))</f>
        <v/>
      </c>
      <c r="E1990" s="203"/>
      <c r="F1990" s="204"/>
      <c r="G1990" s="138"/>
      <c r="H1990" s="205" t="str">
        <f t="array" ref="H1990">IFERROR(XLOOKUP(D1990,'MASTER ITEM LIST'!A:A,'MASTER ITEM LIST'!D:D), "")</f>
        <v/>
      </c>
      <c r="I1990" s="206"/>
      <c r="J1990" s="207" t="str">
        <f t="shared" si="2"/>
        <v/>
      </c>
    </row>
    <row r="1991" ht="22.5" customHeight="1">
      <c r="A1991" s="200"/>
      <c r="B1991" s="138"/>
      <c r="C1991" s="201"/>
      <c r="D1991" s="202" t="str">
        <f t="array" ref="D1991">IF(E1991="", "", XLOOKUP(E1991, 'MASTER ITEM LIST'!B:B, 'MASTER ITEM LIST'!A:A, "Code Not Found"))</f>
        <v/>
      </c>
      <c r="E1991" s="203"/>
      <c r="F1991" s="204"/>
      <c r="G1991" s="138"/>
      <c r="H1991" s="205" t="str">
        <f t="array" ref="H1991">IFERROR(XLOOKUP(D1991,'MASTER ITEM LIST'!A:A,'MASTER ITEM LIST'!D:D), "")</f>
        <v/>
      </c>
      <c r="I1991" s="206"/>
      <c r="J1991" s="207" t="str">
        <f t="shared" si="2"/>
        <v/>
      </c>
    </row>
    <row r="1992" ht="22.5" customHeight="1">
      <c r="A1992" s="200"/>
      <c r="B1992" s="138"/>
      <c r="C1992" s="201"/>
      <c r="D1992" s="202" t="str">
        <f t="array" ref="D1992">IF(E1992="", "", XLOOKUP(E1992, 'MASTER ITEM LIST'!B:B, 'MASTER ITEM LIST'!A:A, "Code Not Found"))</f>
        <v/>
      </c>
      <c r="E1992" s="203"/>
      <c r="F1992" s="204"/>
      <c r="G1992" s="138"/>
      <c r="H1992" s="205" t="str">
        <f t="array" ref="H1992">IFERROR(XLOOKUP(D1992,'MASTER ITEM LIST'!A:A,'MASTER ITEM LIST'!D:D), "")</f>
        <v/>
      </c>
      <c r="I1992" s="206"/>
      <c r="J1992" s="207" t="str">
        <f t="shared" si="2"/>
        <v/>
      </c>
    </row>
    <row r="1993" ht="22.5" customHeight="1">
      <c r="A1993" s="200"/>
      <c r="B1993" s="138"/>
      <c r="C1993" s="201"/>
      <c r="D1993" s="202" t="str">
        <f t="array" ref="D1993">IF(E1993="", "", XLOOKUP(E1993, 'MASTER ITEM LIST'!B:B, 'MASTER ITEM LIST'!A:A, "Code Not Found"))</f>
        <v/>
      </c>
      <c r="E1993" s="203"/>
      <c r="F1993" s="204"/>
      <c r="G1993" s="138"/>
      <c r="H1993" s="205" t="str">
        <f t="array" ref="H1993">IFERROR(XLOOKUP(D1993,'MASTER ITEM LIST'!A:A,'MASTER ITEM LIST'!D:D), "")</f>
        <v/>
      </c>
      <c r="I1993" s="206"/>
      <c r="J1993" s="207" t="str">
        <f t="shared" si="2"/>
        <v/>
      </c>
    </row>
    <row r="1994" ht="22.5" customHeight="1">
      <c r="A1994" s="200"/>
      <c r="B1994" s="138"/>
      <c r="C1994" s="201"/>
      <c r="D1994" s="202" t="str">
        <f t="array" ref="D1994">IF(E1994="", "", XLOOKUP(E1994, 'MASTER ITEM LIST'!B:B, 'MASTER ITEM LIST'!A:A, "Code Not Found"))</f>
        <v/>
      </c>
      <c r="E1994" s="203"/>
      <c r="F1994" s="204"/>
      <c r="G1994" s="138"/>
      <c r="H1994" s="205" t="str">
        <f t="array" ref="H1994">IFERROR(XLOOKUP(D1994,'MASTER ITEM LIST'!A:A,'MASTER ITEM LIST'!D:D), "")</f>
        <v/>
      </c>
      <c r="I1994" s="206"/>
      <c r="J1994" s="207" t="str">
        <f t="shared" si="2"/>
        <v/>
      </c>
    </row>
    <row r="1995" ht="22.5" customHeight="1">
      <c r="A1995" s="200"/>
      <c r="B1995" s="138"/>
      <c r="C1995" s="201"/>
      <c r="D1995" s="202" t="str">
        <f t="array" ref="D1995">IF(E1995="", "", XLOOKUP(E1995, 'MASTER ITEM LIST'!B:B, 'MASTER ITEM LIST'!A:A, "Code Not Found"))</f>
        <v/>
      </c>
      <c r="E1995" s="203"/>
      <c r="F1995" s="204"/>
      <c r="G1995" s="138"/>
      <c r="H1995" s="205" t="str">
        <f t="array" ref="H1995">IFERROR(XLOOKUP(D1995,'MASTER ITEM LIST'!A:A,'MASTER ITEM LIST'!D:D), "")</f>
        <v/>
      </c>
      <c r="I1995" s="206"/>
      <c r="J1995" s="207" t="str">
        <f t="shared" si="2"/>
        <v/>
      </c>
    </row>
    <row r="1996" ht="22.5" customHeight="1">
      <c r="A1996" s="200"/>
      <c r="B1996" s="138"/>
      <c r="C1996" s="201"/>
      <c r="D1996" s="202" t="str">
        <f t="array" ref="D1996">IF(E1996="", "", XLOOKUP(E1996, 'MASTER ITEM LIST'!B:B, 'MASTER ITEM LIST'!A:A, "Code Not Found"))</f>
        <v/>
      </c>
      <c r="E1996" s="203"/>
      <c r="F1996" s="204"/>
      <c r="G1996" s="138"/>
      <c r="H1996" s="205" t="str">
        <f t="array" ref="H1996">IFERROR(XLOOKUP(D1996,'MASTER ITEM LIST'!A:A,'MASTER ITEM LIST'!D:D), "")</f>
        <v/>
      </c>
      <c r="I1996" s="206"/>
      <c r="J1996" s="207" t="str">
        <f t="shared" si="2"/>
        <v/>
      </c>
    </row>
    <row r="1997" ht="22.5" customHeight="1">
      <c r="A1997" s="200"/>
      <c r="B1997" s="138"/>
      <c r="C1997" s="201"/>
      <c r="D1997" s="202" t="str">
        <f t="array" ref="D1997">IF(E1997="", "", XLOOKUP(E1997, 'MASTER ITEM LIST'!B:B, 'MASTER ITEM LIST'!A:A, "Code Not Found"))</f>
        <v/>
      </c>
      <c r="E1997" s="203"/>
      <c r="F1997" s="204"/>
      <c r="G1997" s="138"/>
      <c r="H1997" s="205" t="str">
        <f t="array" ref="H1997">IFERROR(XLOOKUP(D1997,'MASTER ITEM LIST'!A:A,'MASTER ITEM LIST'!D:D), "")</f>
        <v/>
      </c>
      <c r="I1997" s="206"/>
      <c r="J1997" s="207" t="str">
        <f t="shared" si="2"/>
        <v/>
      </c>
    </row>
    <row r="1998" ht="22.5" customHeight="1">
      <c r="A1998" s="200"/>
      <c r="B1998" s="138"/>
      <c r="C1998" s="201"/>
      <c r="D1998" s="202" t="str">
        <f t="array" ref="D1998">IF(E1998="", "", XLOOKUP(E1998, 'MASTER ITEM LIST'!B:B, 'MASTER ITEM LIST'!A:A, "Code Not Found"))</f>
        <v/>
      </c>
      <c r="E1998" s="203"/>
      <c r="F1998" s="204"/>
      <c r="G1998" s="138"/>
      <c r="H1998" s="205" t="str">
        <f t="array" ref="H1998">IFERROR(XLOOKUP(D1998,'MASTER ITEM LIST'!A:A,'MASTER ITEM LIST'!D:D), "")</f>
        <v/>
      </c>
      <c r="I1998" s="206"/>
      <c r="J1998" s="207" t="str">
        <f t="shared" si="2"/>
        <v/>
      </c>
    </row>
    <row r="1999" ht="22.5" customHeight="1">
      <c r="A1999" s="200"/>
      <c r="B1999" s="138"/>
      <c r="C1999" s="201"/>
      <c r="D1999" s="202" t="str">
        <f t="array" ref="D1999">IF(E1999="", "", XLOOKUP(E1999, 'MASTER ITEM LIST'!B:B, 'MASTER ITEM LIST'!A:A, "Code Not Found"))</f>
        <v/>
      </c>
      <c r="E1999" s="203"/>
      <c r="F1999" s="204"/>
      <c r="G1999" s="138"/>
      <c r="H1999" s="205" t="str">
        <f t="array" ref="H1999">IFERROR(XLOOKUP(D1999,'MASTER ITEM LIST'!A:A,'MASTER ITEM LIST'!D:D), "")</f>
        <v/>
      </c>
      <c r="I1999" s="206"/>
      <c r="J1999" s="207" t="str">
        <f t="shared" si="2"/>
        <v/>
      </c>
    </row>
    <row r="2000" ht="22.5" customHeight="1">
      <c r="A2000" s="200"/>
      <c r="B2000" s="138"/>
      <c r="C2000" s="201"/>
      <c r="D2000" s="202" t="str">
        <f t="array" ref="D2000">IF(E2000="", "", XLOOKUP(E2000, 'MASTER ITEM LIST'!B:B, 'MASTER ITEM LIST'!A:A, "Code Not Found"))</f>
        <v/>
      </c>
      <c r="E2000" s="203"/>
      <c r="F2000" s="204"/>
      <c r="G2000" s="138"/>
      <c r="H2000" s="205" t="str">
        <f t="array" ref="H2000">IFERROR(XLOOKUP(D2000,'MASTER ITEM LIST'!A:A,'MASTER ITEM LIST'!D:D), "")</f>
        <v/>
      </c>
      <c r="I2000" s="206"/>
      <c r="J2000" s="207" t="str">
        <f t="shared" si="2"/>
        <v/>
      </c>
    </row>
  </sheetData>
  <conditionalFormatting sqref="G854">
    <cfRule type="notContainsBlanks" dxfId="7" priority="1">
      <formula>LEN(TRIM(G854))&gt;0</formula>
    </cfRule>
  </conditionalFormatting>
  <conditionalFormatting sqref="G854">
    <cfRule type="notContainsBlanks" dxfId="7" priority="2">
      <formula>LEN(TRIM(G854))&gt;0</formula>
    </cfRule>
  </conditionalFormatting>
  <conditionalFormatting sqref="D338:D340 D342:D343 D345:D351 D353:D365 D367:D371 D373:D395 D397:D413 D436 D438 D469 D472:D474 D488 D494 G496 D497 D502 D505:D507 D509:D511 D514 D516:D517 D529:D530 D534 D538:D539 I541 D696:D697 D743:D744 D747 D750 D755 D758 D761:D765 D769 D772 G772 D776:D777 D779:D780 D786:D787 E791 E800:E801 E829 E839 E853 G854 E876 E881 E906:E907">
    <cfRule type="expression" dxfId="5" priority="3">
      <formula>$E338&lt;0</formula>
    </cfRule>
  </conditionalFormatting>
  <conditionalFormatting sqref="D338:D340 D342:D343 D345:D351 D353:D365 D367:D371 D373:D395 D397:D413 D436 D438 D469 D472:D474 D488 D494 G496 D497 D502 D505:D507 D509:D511 D514 D516:D517 D529:D530 D534 D538:D539 I541 D696:D697 D743:D744 D747 D750 D755">
    <cfRule type="cellIs" dxfId="9" priority="4" operator="equal">
      <formula>4</formula>
    </cfRule>
  </conditionalFormatting>
  <conditionalFormatting sqref="D338:D340 D342:D343 D345:D351 D353:D365 D367:D371 D373:D395 D397:D413 D436 D438 D469 D472:D474 D488 D494 G496 D497 D502 D505:D507 D509:D511 D514 D516:D517 D529:D530 D534 D538:D539 I541 D696:D697 D743:D744 D747 D750 D755 D758 D761:D765 D769 D772 G772 D776:D777 D779:D780 D786:D787 E791 E800:E801 E829 E839 E853 G854 E876 E881 E906:E907">
    <cfRule type="expression" dxfId="6" priority="5">
      <formula>AND($A338&lt;&gt;"", $E338=0)</formula>
    </cfRule>
  </conditionalFormatting>
  <dataValidations>
    <dataValidation type="custom" allowBlank="1" showDropDown="1" sqref="A2:A2000">
      <formula1>OR(NOT(ISERROR(DATEVALUE(A2))), AND(ISNUMBER(A2), LEFT(CELL("format", A2))="D"))</formula1>
    </dataValidation>
    <dataValidation type="list" allowBlank="1" sqref="F2:F2000">
      <formula1>"STOCK TRANSFER,STOCK IN,ADJUSTMENT (+),ADJUSTMENT (-)"</formula1>
    </dataValidation>
    <dataValidation type="custom" allowBlank="1" showDropDown="1" sqref="I2:J2000">
      <formula1>AND(ISNUMBER(I2),(NOT(OR(NOT(ISERROR(DATEVALUE(I2))), AND(ISNUMBER(I2), LEFT(CELL("format", I2))="D")))))</formula1>
    </dataValidation>
    <dataValidation type="list" allowBlank="1" sqref="C2:C2000 E2:E2000">
      <formula1>#REF!</formula1>
    </dataValidation>
    <dataValidation type="list" allowBlank="1" showDropDown="1" sqref="D2:D2000">
      <formula1>#REF!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66.88"/>
    <col customWidth="1" min="3" max="3" width="13.63"/>
    <col customWidth="1" min="4" max="4" width="12.38"/>
    <col customWidth="1" min="5" max="5" width="23.75"/>
    <col customWidth="1" min="6" max="6" width="16.0"/>
    <col customWidth="1" min="7" max="7" width="14.25"/>
  </cols>
  <sheetData>
    <row r="1" ht="22.5" customHeight="1">
      <c r="A1" s="9" t="s">
        <v>8</v>
      </c>
      <c r="B1" s="9" t="s">
        <v>11</v>
      </c>
      <c r="C1" s="10" t="s">
        <v>13</v>
      </c>
      <c r="D1" s="9" t="s">
        <v>14</v>
      </c>
      <c r="E1" s="9" t="s">
        <v>15</v>
      </c>
      <c r="F1" s="51" t="s">
        <v>62</v>
      </c>
      <c r="G1" s="51" t="s">
        <v>41</v>
      </c>
    </row>
    <row r="2" ht="22.5" customHeight="1">
      <c r="A2" s="13" t="str">
        <f>IFERROR(__xludf.DUMMYFUNCTION("FILTER('MASTER ITEM LIST'!A2:E1296, 'MASTER ITEM LIST'!A2:A1296 &lt;&gt; """")"),"ROS-633")</f>
        <v>ROS-633</v>
      </c>
      <c r="B2" s="13" t="str">
        <f>IFERROR(__xludf.DUMMYFUNCTION("""COMPUTED_VALUE"""),"RAIN OR SHINE CHOCOLATE BROWN 4L")</f>
        <v>RAIN OR SHINE CHOCOLATE BROWN 4L</v>
      </c>
      <c r="C2" s="16">
        <f>IFERROR(__xludf.DUMMYFUNCTION("""COMPUTED_VALUE"""),665.0)</f>
        <v>665</v>
      </c>
      <c r="D2" s="13" t="str">
        <f>IFERROR(__xludf.DUMMYFUNCTION("""COMPUTED_VALUE"""),"GALON")</f>
        <v>GALON</v>
      </c>
      <c r="E2" s="28">
        <f>IFERROR(__xludf.DUMMYFUNCTION("""COMPUTED_VALUE"""),0.0)</f>
        <v>0</v>
      </c>
      <c r="F2" s="52">
        <f>SUMIF(SALES!D:D, A2, SALES!H:H) + SUMIFS('STOCK IN  TRANSFER'!G:G, 'STOCK IN  TRANSFER'!D:D, A2, 'STOCK IN  TRANSFER'!F:F, "TRANSFER") + SUMIFS('STOCK IN  TRANSFER'!G:G, 'STOCK IN  TRANSFER'!D:D, A2, 'STOCK IN  TRANSFER'!F:F, "ADJUSTMENT (-)")</f>
        <v>0.25</v>
      </c>
      <c r="G2" s="52">
        <f>SUMIFS('STOCK IN  TRANSFER'!G:G, 'STOCK IN  TRANSFER'!D:D, A2, 'STOCK IN  TRANSFER'!F:F, "STOCK IN") + SUMIFS('STOCK IN  TRANSFER'!G:G, 'STOCK IN  TRANSFER'!D:D, A2, 'STOCK IN  TRANSFER'!F:F, "ADJUSTMENT (+)")</f>
        <v>0.25</v>
      </c>
    </row>
    <row r="3" ht="22.5" customHeight="1">
      <c r="A3" s="13" t="str">
        <f>IFERROR(__xludf.DUMMYFUNCTION("""COMPUTED_VALUE"""),"ROSCB-1L")</f>
        <v>ROSCB-1L</v>
      </c>
      <c r="B3" s="13" t="str">
        <f>IFERROR(__xludf.DUMMYFUNCTION("""COMPUTED_VALUE"""),"RAIN OR SHINE CHOCOLATE BROWN 1L")</f>
        <v>RAIN OR SHINE CHOCOLATE BROWN 1L</v>
      </c>
      <c r="C3" s="16">
        <f>IFERROR(__xludf.DUMMYFUNCTION("""COMPUTED_VALUE"""),0.0)</f>
        <v>0</v>
      </c>
      <c r="D3" s="13" t="str">
        <f>IFERROR(__xludf.DUMMYFUNCTION("""COMPUTED_VALUE"""),"LITER")</f>
        <v>LITER</v>
      </c>
      <c r="E3" s="28">
        <f>IFERROR(__xludf.DUMMYFUNCTION("""COMPUTED_VALUE"""),0.0)</f>
        <v>0</v>
      </c>
      <c r="F3" s="52">
        <f>SUMIF(SALES!D:D, A3, SALES!H:H) + SUMIFS('STOCK IN  TRANSFER'!G:G, 'STOCK IN  TRANSFER'!D:D, A3, 'STOCK IN  TRANSFER'!F:F, "TRANSFER") + SUMIFS('STOCK IN  TRANSFER'!G:G, 'STOCK IN  TRANSFER'!D:D, A3, 'STOCK IN  TRANSFER'!F:F, "ADJUSTMENT (-)")</f>
        <v>1</v>
      </c>
      <c r="G3" s="52">
        <f>SUMIFS('STOCK IN  TRANSFER'!G:G, 'STOCK IN  TRANSFER'!D:D, A3, 'STOCK IN  TRANSFER'!F:F, "STOCK IN") + SUMIFS('STOCK IN  TRANSFER'!G:G, 'STOCK IN  TRANSFER'!D:D, A3, 'STOCK IN  TRANSFER'!F:F, "ADJUSTMENT (+)")</f>
        <v>1</v>
      </c>
    </row>
    <row r="4" ht="22.5" customHeight="1">
      <c r="A4" s="13" t="str">
        <f>IFERROR(__xludf.DUMMYFUNCTION("""COMPUTED_VALUE"""),"ROS-701")</f>
        <v>ROS-701</v>
      </c>
      <c r="B4" s="13" t="str">
        <f>IFERROR(__xludf.DUMMYFUNCTION("""COMPUTED_VALUE"""),"RAIN OR SHINE BAGUIO GREEN 4L")</f>
        <v>RAIN OR SHINE BAGUIO GREEN 4L</v>
      </c>
      <c r="C4" s="16">
        <f>IFERROR(__xludf.DUMMYFUNCTION("""COMPUTED_VALUE"""),665.0)</f>
        <v>665</v>
      </c>
      <c r="D4" s="13" t="str">
        <f>IFERROR(__xludf.DUMMYFUNCTION("""COMPUTED_VALUE"""),"GALON")</f>
        <v>GALON</v>
      </c>
      <c r="E4" s="28">
        <f>IFERROR(__xludf.DUMMYFUNCTION("""COMPUTED_VALUE"""),0.0)</f>
        <v>0</v>
      </c>
      <c r="F4" s="52">
        <f>SUMIF(SALES!D:D, A4, SALES!H:H) + SUMIFS('STOCK IN  TRANSFER'!G:G, 'STOCK IN  TRANSFER'!D:D, A4, 'STOCK IN  TRANSFER'!F:F, "TRANSFER") + SUMIFS('STOCK IN  TRANSFER'!G:G, 'STOCK IN  TRANSFER'!D:D, A4, 'STOCK IN  TRANSFER'!F:F, "ADJUSTMENT (-)")</f>
        <v>6</v>
      </c>
      <c r="G4" s="52">
        <f>SUMIFS('STOCK IN  TRANSFER'!G:G, 'STOCK IN  TRANSFER'!D:D, A4, 'STOCK IN  TRANSFER'!F:F, "STOCK IN") + SUMIFS('STOCK IN  TRANSFER'!G:G, 'STOCK IN  TRANSFER'!D:D, A4, 'STOCK IN  TRANSFER'!F:F, "ADJUSTMENT (+)")</f>
        <v>6</v>
      </c>
    </row>
    <row r="5" ht="22.5" customHeight="1">
      <c r="A5" s="13" t="str">
        <f>IFERROR(__xludf.DUMMYFUNCTION("""COMPUTED_VALUE"""),"POLYGTHIN-4L")</f>
        <v>POLYGTHIN-4L</v>
      </c>
      <c r="B5" s="13" t="str">
        <f>IFERROR(__xludf.DUMMYFUNCTION("""COMPUTED_VALUE"""),"POLYGLOSS URETHANE THINNER 4L")</f>
        <v>POLYGLOSS URETHANE THINNER 4L</v>
      </c>
      <c r="C5" s="16">
        <f>IFERROR(__xludf.DUMMYFUNCTION("""COMPUTED_VALUE"""),675.0)</f>
        <v>675</v>
      </c>
      <c r="D5" s="13" t="str">
        <f>IFERROR(__xludf.DUMMYFUNCTION("""COMPUTED_VALUE"""),"GALON")</f>
        <v>GALON</v>
      </c>
      <c r="E5" s="28">
        <f>IFERROR(__xludf.DUMMYFUNCTION("""COMPUTED_VALUE"""),0.0)</f>
        <v>0</v>
      </c>
      <c r="F5" s="52">
        <f>SUMIF(SALES!D:D, A5, SALES!H:H) + SUMIFS('STOCK IN  TRANSFER'!G:G, 'STOCK IN  TRANSFER'!D:D, A5, 'STOCK IN  TRANSFER'!F:F, "TRANSFER") + SUMIFS('STOCK IN  TRANSFER'!G:G, 'STOCK IN  TRANSFER'!D:D, A5, 'STOCK IN  TRANSFER'!F:F, "ADJUSTMENT (-)")</f>
        <v>9.75</v>
      </c>
      <c r="G5" s="52">
        <f>SUMIFS('STOCK IN  TRANSFER'!G:G, 'STOCK IN  TRANSFER'!D:D, A5, 'STOCK IN  TRANSFER'!F:F, "STOCK IN") + SUMIFS('STOCK IN  TRANSFER'!G:G, 'STOCK IN  TRANSFER'!D:D, A5, 'STOCK IN  TRANSFER'!F:F, "ADJUSTMENT (+)")</f>
        <v>9.75</v>
      </c>
    </row>
    <row r="6" ht="22.5" customHeight="1">
      <c r="A6" s="13" t="str">
        <f>IFERROR(__xludf.DUMMYFUNCTION("""COMPUTED_VALUE"""),"PGTB-4L")</f>
        <v>PGTB-4L</v>
      </c>
      <c r="B6" s="13" t="str">
        <f>IFERROR(__xludf.DUMMYFUNCTION("""COMPUTED_VALUE"""),"POLYGLOSS PU PHTHALO BLUE 4L")</f>
        <v>POLYGLOSS PU PHTHALO BLUE 4L</v>
      </c>
      <c r="C6" s="16">
        <f>IFERROR(__xludf.DUMMYFUNCTION("""COMPUTED_VALUE"""),1883.0)</f>
        <v>1883</v>
      </c>
      <c r="D6" s="13" t="str">
        <f>IFERROR(__xludf.DUMMYFUNCTION("""COMPUTED_VALUE"""),"GALON")</f>
        <v>GALON</v>
      </c>
      <c r="E6" s="28">
        <f>IFERROR(__xludf.DUMMYFUNCTION("""COMPUTED_VALUE"""),0.0)</f>
        <v>0</v>
      </c>
      <c r="F6" s="52">
        <f>SUMIF(SALES!D:D, A6, SALES!H:H) + SUMIFS('STOCK IN  TRANSFER'!G:G, 'STOCK IN  TRANSFER'!D:D, A6, 'STOCK IN  TRANSFER'!F:F, "TRANSFER") + SUMIFS('STOCK IN  TRANSFER'!G:G, 'STOCK IN  TRANSFER'!D:D, A6, 'STOCK IN  TRANSFER'!F:F, "ADJUSTMENT (-)")</f>
        <v>0.25</v>
      </c>
      <c r="G6" s="52">
        <f>SUMIFS('STOCK IN  TRANSFER'!G:G, 'STOCK IN  TRANSFER'!D:D, A6, 'STOCK IN  TRANSFER'!F:F, "STOCK IN") + SUMIFS('STOCK IN  TRANSFER'!G:G, 'STOCK IN  TRANSFER'!D:D, A6, 'STOCK IN  TRANSFER'!F:F, "ADJUSTMENT (+)")</f>
        <v>0.25</v>
      </c>
    </row>
    <row r="7" ht="22.5" customHeight="1">
      <c r="A7" s="31" t="str">
        <f>IFERROR(__xludf.DUMMYFUNCTION("""COMPUTED_VALUE"""),"PGMF-4L")</f>
        <v>PGMF-4L</v>
      </c>
      <c r="B7" s="13" t="str">
        <f>IFERROR(__xludf.DUMMYFUNCTION("""COMPUTED_VALUE"""),"POLYGLOSS PU MICA RED FINE 4L")</f>
        <v>POLYGLOSS PU MICA RED FINE 4L</v>
      </c>
      <c r="C7" s="16">
        <f>IFERROR(__xludf.DUMMYFUNCTION("""COMPUTED_VALUE"""),2822.0)</f>
        <v>2822</v>
      </c>
      <c r="D7" s="13" t="str">
        <f>IFERROR(__xludf.DUMMYFUNCTION("""COMPUTED_VALUE"""),"GALON")</f>
        <v>GALON</v>
      </c>
      <c r="E7" s="28">
        <f>IFERROR(__xludf.DUMMYFUNCTION("""COMPUTED_VALUE"""),0.0)</f>
        <v>0</v>
      </c>
      <c r="F7" s="52">
        <f>SUMIF(SALES!D:D, A7, SALES!H:H) + SUMIFS('STOCK IN  TRANSFER'!G:G, 'STOCK IN  TRANSFER'!D:D, A7, 'STOCK IN  TRANSFER'!F:F, "TRANSFER") + SUMIFS('STOCK IN  TRANSFER'!G:G, 'STOCK IN  TRANSFER'!D:D, A7, 'STOCK IN  TRANSFER'!F:F, "ADJUSTMENT (-)")</f>
        <v>0.5</v>
      </c>
      <c r="G7" s="52">
        <f>SUMIFS('STOCK IN  TRANSFER'!G:G, 'STOCK IN  TRANSFER'!D:D, A7, 'STOCK IN  TRANSFER'!F:F, "STOCK IN") + SUMIFS('STOCK IN  TRANSFER'!G:G, 'STOCK IN  TRANSFER'!D:D, A7, 'STOCK IN  TRANSFER'!F:F, "ADJUSTMENT (+)")</f>
        <v>0.5</v>
      </c>
    </row>
    <row r="8" ht="22.5" customHeight="1">
      <c r="A8" s="13" t="str">
        <f>IFERROR(__xludf.DUMMYFUNCTION("""COMPUTED_VALUE"""),"PGMC-4L")</f>
        <v>PGMC-4L</v>
      </c>
      <c r="B8" s="13" t="str">
        <f>IFERROR(__xludf.DUMMYFUNCTION("""COMPUTED_VALUE"""),"POLYGLOSS PU METALLIC COARSE 4L")</f>
        <v>POLYGLOSS PU METALLIC COARSE 4L</v>
      </c>
      <c r="C8" s="16">
        <f>IFERROR(__xludf.DUMMYFUNCTION("""COMPUTED_VALUE"""),1743.0)</f>
        <v>1743</v>
      </c>
      <c r="D8" s="13" t="str">
        <f>IFERROR(__xludf.DUMMYFUNCTION("""COMPUTED_VALUE"""),"GALON")</f>
        <v>GALON</v>
      </c>
      <c r="E8" s="28">
        <f>IFERROR(__xludf.DUMMYFUNCTION("""COMPUTED_VALUE"""),0.0)</f>
        <v>0</v>
      </c>
      <c r="F8" s="52">
        <f>SUMIF(SALES!D:D, A8, SALES!H:H) + SUMIFS('STOCK IN  TRANSFER'!G:G, 'STOCK IN  TRANSFER'!D:D, A8, 'STOCK IN  TRANSFER'!F:F, "TRANSFER") + SUMIFS('STOCK IN  TRANSFER'!G:G, 'STOCK IN  TRANSFER'!D:D, A8, 'STOCK IN  TRANSFER'!F:F, "ADJUSTMENT (-)")</f>
        <v>1.0625</v>
      </c>
      <c r="G8" s="52">
        <f>SUMIFS('STOCK IN  TRANSFER'!G:G, 'STOCK IN  TRANSFER'!D:D, A8, 'STOCK IN  TRANSFER'!F:F, "STOCK IN") + SUMIFS('STOCK IN  TRANSFER'!G:G, 'STOCK IN  TRANSFER'!D:D, A8, 'STOCK IN  TRANSFER'!F:F, "ADJUSTMENT (+)")</f>
        <v>1.0625</v>
      </c>
    </row>
    <row r="9" ht="22.5" customHeight="1">
      <c r="A9" s="13" t="str">
        <f>IFERROR(__xludf.DUMMYFUNCTION("""COMPUTED_VALUE"""),"PGJB-4L")</f>
        <v>PGJB-4L</v>
      </c>
      <c r="B9" s="13" t="str">
        <f>IFERROR(__xludf.DUMMYFUNCTION("""COMPUTED_VALUE"""),"POLYGLOSS PU JET BLACK 4L")</f>
        <v>POLYGLOSS PU JET BLACK 4L</v>
      </c>
      <c r="C9" s="16">
        <f>IFERROR(__xludf.DUMMYFUNCTION("""COMPUTED_VALUE"""),1828.0)</f>
        <v>1828</v>
      </c>
      <c r="D9" s="13" t="str">
        <f>IFERROR(__xludf.DUMMYFUNCTION("""COMPUTED_VALUE"""),"GALON")</f>
        <v>GALON</v>
      </c>
      <c r="E9" s="28">
        <f>IFERROR(__xludf.DUMMYFUNCTION("""COMPUTED_VALUE"""),0.0)</f>
        <v>0</v>
      </c>
      <c r="F9" s="52">
        <f>SUMIF(SALES!D:D, A9, SALES!H:H) + SUMIFS('STOCK IN  TRANSFER'!G:G, 'STOCK IN  TRANSFER'!D:D, A9, 'STOCK IN  TRANSFER'!F:F, "TRANSFER") + SUMIFS('STOCK IN  TRANSFER'!G:G, 'STOCK IN  TRANSFER'!D:D, A9, 'STOCK IN  TRANSFER'!F:F, "ADJUSTMENT (-)")</f>
        <v>2.625</v>
      </c>
      <c r="G9" s="52">
        <f>SUMIFS('STOCK IN  TRANSFER'!G:G, 'STOCK IN  TRANSFER'!D:D, A9, 'STOCK IN  TRANSFER'!F:F, "STOCK IN") + SUMIFS('STOCK IN  TRANSFER'!G:G, 'STOCK IN  TRANSFER'!D:D, A9, 'STOCK IN  TRANSFER'!F:F, "ADJUSTMENT (+)")</f>
        <v>2.625</v>
      </c>
    </row>
    <row r="10" ht="22.5" customHeight="1">
      <c r="A10" s="13" t="str">
        <f>IFERROR(__xludf.DUMMYFUNCTION("""COMPUTED_VALUE"""),"PGFB-4L")</f>
        <v>PGFB-4L</v>
      </c>
      <c r="B10" s="13" t="str">
        <f>IFERROR(__xludf.DUMMYFUNCTION("""COMPUTED_VALUE"""),"POLYGLOSS PU FLAT BLACK 4L")</f>
        <v>POLYGLOSS PU FLAT BLACK 4L</v>
      </c>
      <c r="C10" s="16">
        <f>IFERROR(__xludf.DUMMYFUNCTION("""COMPUTED_VALUE"""),1930.0)</f>
        <v>1930</v>
      </c>
      <c r="D10" s="13" t="str">
        <f>IFERROR(__xludf.DUMMYFUNCTION("""COMPUTED_VALUE"""),"GALON")</f>
        <v>GALON</v>
      </c>
      <c r="E10" s="28">
        <f>IFERROR(__xludf.DUMMYFUNCTION("""COMPUTED_VALUE"""),0.0)</f>
        <v>0</v>
      </c>
      <c r="F10" s="52">
        <f>SUMIF(SALES!D:D, A10, SALES!H:H) + SUMIFS('STOCK IN  TRANSFER'!G:G, 'STOCK IN  TRANSFER'!D:D, A10, 'STOCK IN  TRANSFER'!F:F, "TRANSFER") + SUMIFS('STOCK IN  TRANSFER'!G:G, 'STOCK IN  TRANSFER'!D:D, A10, 'STOCK IN  TRANSFER'!F:F, "ADJUSTMENT (-)")</f>
        <v>2.71875</v>
      </c>
      <c r="G10" s="52">
        <f>SUMIFS('STOCK IN  TRANSFER'!G:G, 'STOCK IN  TRANSFER'!D:D, A10, 'STOCK IN  TRANSFER'!F:F, "STOCK IN") + SUMIFS('STOCK IN  TRANSFER'!G:G, 'STOCK IN  TRANSFER'!D:D, A10, 'STOCK IN  TRANSFER'!F:F, "ADJUSTMENT (+)")</f>
        <v>2.71875</v>
      </c>
    </row>
    <row r="11" ht="22.5" customHeight="1">
      <c r="A11" s="13" t="str">
        <f>IFERROR(__xludf.DUMMYFUNCTION("""COMPUTED_VALUE"""),"PGANTI-C-1L")</f>
        <v>PGANTI-C-1L</v>
      </c>
      <c r="B11" s="13" t="str">
        <f>IFERROR(__xludf.DUMMYFUNCTION("""COMPUTED_VALUE"""),"POLYGLOSS ANTI-CORROSSION")</f>
        <v>POLYGLOSS ANTI-CORROSSION</v>
      </c>
      <c r="C11" s="16">
        <f>IFERROR(__xludf.DUMMYFUNCTION("""COMPUTED_VALUE"""),440.0)</f>
        <v>440</v>
      </c>
      <c r="D11" s="13" t="str">
        <f>IFERROR(__xludf.DUMMYFUNCTION("""COMPUTED_VALUE"""),"LITER")</f>
        <v>LITER</v>
      </c>
      <c r="E11" s="28">
        <f>IFERROR(__xludf.DUMMYFUNCTION("""COMPUTED_VALUE"""),3.0)</f>
        <v>3</v>
      </c>
      <c r="F11" s="52">
        <f>SUMIF(SALES!D:D, A11, SALES!H:H) + SUMIFS('STOCK IN  TRANSFER'!G:G, 'STOCK IN  TRANSFER'!D:D, A11, 'STOCK IN  TRANSFER'!F:F, "TRANSFER") + SUMIFS('STOCK IN  TRANSFER'!G:G, 'STOCK IN  TRANSFER'!D:D, A11, 'STOCK IN  TRANSFER'!F:F, "ADJUSTMENT (-)")</f>
        <v>3.5</v>
      </c>
      <c r="G11" s="52">
        <f>SUMIFS('STOCK IN  TRANSFER'!G:G, 'STOCK IN  TRANSFER'!D:D, A11, 'STOCK IN  TRANSFER'!F:F, "STOCK IN") + SUMIFS('STOCK IN  TRANSFER'!G:G, 'STOCK IN  TRANSFER'!D:D, A11, 'STOCK IN  TRANSFER'!F:F, "ADJUSTMENT (+)")</f>
        <v>6.5</v>
      </c>
    </row>
    <row r="12" ht="22.5" customHeight="1">
      <c r="A12" s="13" t="str">
        <f>IFERROR(__xludf.DUMMYFUNCTION("""COMPUTED_VALUE"""),"PLQDW-4L")</f>
        <v>PLQDW-4L</v>
      </c>
      <c r="B12" s="13" t="str">
        <f>IFERROR(__xludf.DUMMYFUNCTION("""COMPUTED_VALUE"""),"PLATONE QDE WHITE 4L")</f>
        <v>PLATONE QDE WHITE 4L</v>
      </c>
      <c r="C12" s="16">
        <f>IFERROR(__xludf.DUMMYFUNCTION("""COMPUTED_VALUE"""),650.0)</f>
        <v>650</v>
      </c>
      <c r="D12" s="13" t="str">
        <f>IFERROR(__xludf.DUMMYFUNCTION("""COMPUTED_VALUE"""),"GAL")</f>
        <v>GAL</v>
      </c>
      <c r="E12" s="28">
        <f>IFERROR(__xludf.DUMMYFUNCTION("""COMPUTED_VALUE"""),0.0)</f>
        <v>0</v>
      </c>
      <c r="F12" s="52">
        <f>SUMIF(SALES!D:D, A12, SALES!H:H) + SUMIFS('STOCK IN  TRANSFER'!G:G, 'STOCK IN  TRANSFER'!D:D, A12, 'STOCK IN  TRANSFER'!F:F, "TRANSFER") + SUMIFS('STOCK IN  TRANSFER'!G:G, 'STOCK IN  TRANSFER'!D:D, A12, 'STOCK IN  TRANSFER'!F:F, "ADJUSTMENT (-)")</f>
        <v>2</v>
      </c>
      <c r="G12" s="52">
        <f>SUMIFS('STOCK IN  TRANSFER'!G:G, 'STOCK IN  TRANSFER'!D:D, A12, 'STOCK IN  TRANSFER'!F:F, "STOCK IN") + SUMIFS('STOCK IN  TRANSFER'!G:G, 'STOCK IN  TRANSFER'!D:D, A12, 'STOCK IN  TRANSFER'!F:F, "ADJUSTMENT (+)")</f>
        <v>2</v>
      </c>
    </row>
    <row r="13" ht="22.5" customHeight="1">
      <c r="A13" s="13" t="str">
        <f>IFERROR(__xludf.DUMMYFUNCTION("""COMPUTED_VALUE"""),"PLQDB-1L")</f>
        <v>PLQDB-1L</v>
      </c>
      <c r="B13" s="13" t="str">
        <f>IFERROR(__xludf.DUMMYFUNCTION("""COMPUTED_VALUE"""),"PLATONE QDE BLACK 1L")</f>
        <v>PLATONE QDE BLACK 1L</v>
      </c>
      <c r="C13" s="16">
        <f>IFERROR(__xludf.DUMMYFUNCTION("""COMPUTED_VALUE"""),0.0)</f>
        <v>0</v>
      </c>
      <c r="D13" s="13" t="str">
        <f>IFERROR(__xludf.DUMMYFUNCTION("""COMPUTED_VALUE"""),"LITER")</f>
        <v>LITER</v>
      </c>
      <c r="E13" s="28">
        <f>IFERROR(__xludf.DUMMYFUNCTION("""COMPUTED_VALUE"""),0.0)</f>
        <v>0</v>
      </c>
      <c r="F13" s="52">
        <f>SUMIF(SALES!D:D, A13, SALES!H:H) + SUMIFS('STOCK IN  TRANSFER'!G:G, 'STOCK IN  TRANSFER'!D:D, A13, 'STOCK IN  TRANSFER'!F:F, "TRANSFER") + SUMIFS('STOCK IN  TRANSFER'!G:G, 'STOCK IN  TRANSFER'!D:D, A13, 'STOCK IN  TRANSFER'!F:F, "ADJUSTMENT (-)")</f>
        <v>0.1875</v>
      </c>
      <c r="G13" s="52">
        <f>SUMIFS('STOCK IN  TRANSFER'!G:G, 'STOCK IN  TRANSFER'!D:D, A13, 'STOCK IN  TRANSFER'!F:F, "STOCK IN") + SUMIFS('STOCK IN  TRANSFER'!G:G, 'STOCK IN  TRANSFER'!D:D, A13, 'STOCK IN  TRANSFER'!F:F, "ADJUSTMENT (+)")</f>
        <v>0.1875</v>
      </c>
    </row>
    <row r="14" ht="22.5" customHeight="1">
      <c r="A14" s="13" t="str">
        <f>IFERROR(__xludf.DUMMYFUNCTION("""COMPUTED_VALUE"""),"SEALERMAX5170-4L")</f>
        <v>SEALERMAX5170-4L</v>
      </c>
      <c r="B14" s="13" t="str">
        <f>IFERROR(__xludf.DUMMYFUNCTION("""COMPUTED_VALUE"""),"NIPPON SEALERMAX 5170 4L")</f>
        <v>NIPPON SEALERMAX 5170 4L</v>
      </c>
      <c r="C14" s="16">
        <f>IFERROR(__xludf.DUMMYFUNCTION("""COMPUTED_VALUE"""),960.0)</f>
        <v>960</v>
      </c>
      <c r="D14" s="13" t="str">
        <f>IFERROR(__xludf.DUMMYFUNCTION("""COMPUTED_VALUE"""),"GAL/S")</f>
        <v>GAL/S</v>
      </c>
      <c r="E14" s="28">
        <f>IFERROR(__xludf.DUMMYFUNCTION("""COMPUTED_VALUE"""),0.0)</f>
        <v>0</v>
      </c>
      <c r="F14" s="52">
        <f>SUMIF(SALES!D:D, A14, SALES!H:H) + SUMIFS('STOCK IN  TRANSFER'!G:G, 'STOCK IN  TRANSFER'!D:D, A14, 'STOCK IN  TRANSFER'!F:F, "TRANSFER") + SUMIFS('STOCK IN  TRANSFER'!G:G, 'STOCK IN  TRANSFER'!D:D, A14, 'STOCK IN  TRANSFER'!F:F, "ADJUSTMENT (-)")</f>
        <v>0.5</v>
      </c>
      <c r="G14" s="52">
        <f>SUMIFS('STOCK IN  TRANSFER'!G:G, 'STOCK IN  TRANSFER'!D:D, A14, 'STOCK IN  TRANSFER'!F:F, "STOCK IN") + SUMIFS('STOCK IN  TRANSFER'!G:G, 'STOCK IN  TRANSFER'!D:D, A14, 'STOCK IN  TRANSFER'!F:F, "ADJUSTMENT (+)")</f>
        <v>0.5</v>
      </c>
    </row>
    <row r="15" ht="22.5" customHeight="1">
      <c r="A15" s="13" t="str">
        <f>IFERROR(__xludf.DUMMYFUNCTION("""COMPUTED_VALUE"""),"NPR7")</f>
        <v>NPR7</v>
      </c>
      <c r="B15" s="13" t="str">
        <f>IFERROR(__xludf.DUMMYFUNCTION("""COMPUTED_VALUE"""),"NIPPON ROLLER PAINT #7")</f>
        <v>NIPPON ROLLER PAINT #7</v>
      </c>
      <c r="C15" s="16">
        <f>IFERROR(__xludf.DUMMYFUNCTION("""COMPUTED_VALUE"""),0.0)</f>
        <v>0</v>
      </c>
      <c r="D15" s="13" t="str">
        <f>IFERROR(__xludf.DUMMYFUNCTION("""COMPUTED_VALUE"""),"PC/S")</f>
        <v>PC/S</v>
      </c>
      <c r="E15" s="28">
        <f>IFERROR(__xludf.DUMMYFUNCTION("""COMPUTED_VALUE"""),0.0)</f>
        <v>0</v>
      </c>
      <c r="F15" s="52">
        <f>SUMIF(SALES!D:D, A15, SALES!H:H) + SUMIFS('STOCK IN  TRANSFER'!G:G, 'STOCK IN  TRANSFER'!D:D, A15, 'STOCK IN  TRANSFER'!F:F, "TRANSFER") + SUMIFS('STOCK IN  TRANSFER'!G:G, 'STOCK IN  TRANSFER'!D:D, A15, 'STOCK IN  TRANSFER'!F:F, "ADJUSTMENT (-)")</f>
        <v>2</v>
      </c>
      <c r="G15" s="52">
        <f>SUMIFS('STOCK IN  TRANSFER'!G:G, 'STOCK IN  TRANSFER'!D:D, A15, 'STOCK IN  TRANSFER'!F:F, "STOCK IN") + SUMIFS('STOCK IN  TRANSFER'!G:G, 'STOCK IN  TRANSFER'!D:D, A15, 'STOCK IN  TRANSFER'!F:F, "ADJUSTMENT (+)")</f>
        <v>2</v>
      </c>
    </row>
    <row r="16" ht="22.5" customHeight="1">
      <c r="A16" s="13" t="str">
        <f>IFERROR(__xludf.DUMMYFUNCTION("""COMPUTED_VALUE"""),"SOB757")</f>
        <v>SOB757</v>
      </c>
      <c r="B16" s="13" t="str">
        <f>IFERROR(__xludf.DUMMYFUNCTION("""COMPUTED_VALUE"""),"NAX SOB757 HIGH GRADE URETHANE THINNER 4L")</f>
        <v>NAX SOB757 HIGH GRADE URETHANE THINNER 4L</v>
      </c>
      <c r="C16" s="16">
        <f>IFERROR(__xludf.DUMMYFUNCTION("""COMPUTED_VALUE"""),570.0)</f>
        <v>570</v>
      </c>
      <c r="D16" s="13" t="str">
        <f>IFERROR(__xludf.DUMMYFUNCTION("""COMPUTED_VALUE"""),"GAL")</f>
        <v>GAL</v>
      </c>
      <c r="E16" s="28">
        <f>IFERROR(__xludf.DUMMYFUNCTION("""COMPUTED_VALUE"""),-3.012500000000003)</f>
        <v>-3.0125</v>
      </c>
      <c r="F16" s="52">
        <f>SUMIF(SALES!D:D, A16, SALES!H:H) + SUMIFS('STOCK IN  TRANSFER'!G:G, 'STOCK IN  TRANSFER'!D:D, A16, 'STOCK IN  TRANSFER'!F:F, "TRANSFER") + SUMIFS('STOCK IN  TRANSFER'!G:G, 'STOCK IN  TRANSFER'!D:D, A16, 'STOCK IN  TRANSFER'!F:F, "ADJUSTMENT (-)")</f>
        <v>118.075</v>
      </c>
      <c r="G16" s="52">
        <f>SUMIFS('STOCK IN  TRANSFER'!G:G, 'STOCK IN  TRANSFER'!D:D, A16, 'STOCK IN  TRANSFER'!F:F, "STOCK IN") + SUMIFS('STOCK IN  TRANSFER'!G:G, 'STOCK IN  TRANSFER'!D:D, A16, 'STOCK IN  TRANSFER'!F:F, "ADJUSTMENT (+)")</f>
        <v>115.0625</v>
      </c>
    </row>
    <row r="17" ht="22.5" customHeight="1">
      <c r="A17" s="13" t="str">
        <f>IFERROR(__xludf.DUMMYFUNCTION("""COMPUTED_VALUE"""),"BSAXGLWHTE-4L")</f>
        <v>BSAXGLWHTE-4L</v>
      </c>
      <c r="B17" s="13" t="str">
        <f>IFERROR(__xludf.DUMMYFUNCTION("""COMPUTED_VALUE"""),"BOYSEN ACRYTEX GLOSS WHITE 4L (DOUBLE ENTRY)")</f>
        <v>BOYSEN ACRYTEX GLOSS WHITE 4L (DOUBLE ENTRY)</v>
      </c>
      <c r="C17" s="16">
        <f>IFERROR(__xludf.DUMMYFUNCTION("""COMPUTED_VALUE"""),1080.0)</f>
        <v>1080</v>
      </c>
      <c r="D17" s="13" t="str">
        <f>IFERROR(__xludf.DUMMYFUNCTION("""COMPUTED_VALUE"""),"GALON")</f>
        <v>GALON</v>
      </c>
      <c r="E17" s="28">
        <f>IFERROR(__xludf.DUMMYFUNCTION("""COMPUTED_VALUE"""),0.0)</f>
        <v>0</v>
      </c>
      <c r="F17" s="52">
        <f>SUMIF(SALES!D:D, A17, SALES!H:H) + SUMIFS('STOCK IN  TRANSFER'!G:G, 'STOCK IN  TRANSFER'!D:D, A17, 'STOCK IN  TRANSFER'!F:F, "TRANSFER") + SUMIFS('STOCK IN  TRANSFER'!G:G, 'STOCK IN  TRANSFER'!D:D, A17, 'STOCK IN  TRANSFER'!F:F, "ADJUSTMENT (-)")</f>
        <v>2</v>
      </c>
      <c r="G17" s="52">
        <f>SUMIFS('STOCK IN  TRANSFER'!G:G, 'STOCK IN  TRANSFER'!D:D, A17, 'STOCK IN  TRANSFER'!F:F, "STOCK IN") + SUMIFS('STOCK IN  TRANSFER'!G:G, 'STOCK IN  TRANSFER'!D:D, A17, 'STOCK IN  TRANSFER'!F:F, "ADJUSTMENT (+)")</f>
        <v>2</v>
      </c>
    </row>
    <row r="18" ht="22.5" customHeight="1">
      <c r="A18" s="13" t="str">
        <f>IFERROR(__xludf.DUMMYFUNCTION("""COMPUTED_VALUE"""),"B-1710")</f>
        <v>B-1710</v>
      </c>
      <c r="B18" s="13" t="str">
        <f>IFERROR(__xludf.DUMMYFUNCTION("""COMPUTED_VALUE"""),"BOYSEN ACRYTEX GLOSS WHITE 4L")</f>
        <v>BOYSEN ACRYTEX GLOSS WHITE 4L</v>
      </c>
      <c r="C18" s="16">
        <f>IFERROR(__xludf.DUMMYFUNCTION("""COMPUTED_VALUE"""),1096.0)</f>
        <v>1096</v>
      </c>
      <c r="D18" s="13" t="str">
        <f>IFERROR(__xludf.DUMMYFUNCTION("""COMPUTED_VALUE"""),"GALON")</f>
        <v>GALON</v>
      </c>
      <c r="E18" s="28">
        <f>IFERROR(__xludf.DUMMYFUNCTION("""COMPUTED_VALUE"""),0.0)</f>
        <v>0</v>
      </c>
      <c r="F18" s="52">
        <f>SUMIF(SALES!D:D, A18, SALES!H:H) + SUMIFS('STOCK IN  TRANSFER'!G:G, 'STOCK IN  TRANSFER'!D:D, A18, 'STOCK IN  TRANSFER'!F:F, "TRANSFER") + SUMIFS('STOCK IN  TRANSFER'!G:G, 'STOCK IN  TRANSFER'!D:D, A18, 'STOCK IN  TRANSFER'!F:F, "ADJUSTMENT (-)")</f>
        <v>6</v>
      </c>
      <c r="G18" s="52">
        <f>SUMIFS('STOCK IN  TRANSFER'!G:G, 'STOCK IN  TRANSFER'!D:D, A18, 'STOCK IN  TRANSFER'!F:F, "STOCK IN") + SUMIFS('STOCK IN  TRANSFER'!G:G, 'STOCK IN  TRANSFER'!D:D, A18, 'STOCK IN  TRANSFER'!F:F, "ADJUSTMENT (+)")</f>
        <v>6</v>
      </c>
    </row>
    <row r="19" ht="22.5" customHeight="1">
      <c r="A19" s="13" t="str">
        <f>IFERROR(__xludf.DUMMYFUNCTION("""COMPUTED_VALUE"""),"UTMIX-1L")</f>
        <v>UTMIX-1L</v>
      </c>
      <c r="B19" s="13" t="str">
        <f>IFERROR(__xludf.DUMMYFUNCTION("""COMPUTED_VALUE"""),"URETHANE MIXING POLYGLOSS, DO IT 1L")</f>
        <v>URETHANE MIXING POLYGLOSS, DO IT 1L</v>
      </c>
      <c r="C19" s="16">
        <f>IFERROR(__xludf.DUMMYFUNCTION("""COMPUTED_VALUE"""),850.0)</f>
        <v>850</v>
      </c>
      <c r="D19" s="13" t="str">
        <f>IFERROR(__xludf.DUMMYFUNCTION("""COMPUTED_VALUE"""),"LITER")</f>
        <v>LITER</v>
      </c>
      <c r="E19" s="28">
        <f>IFERROR(__xludf.DUMMYFUNCTION("""COMPUTED_VALUE"""),29.25)</f>
        <v>29.25</v>
      </c>
      <c r="F19" s="52">
        <f>SUMIF(SALES!D:D, A19, SALES!H:H) + SUMIFS('STOCK IN  TRANSFER'!G:G, 'STOCK IN  TRANSFER'!D:D, A19, 'STOCK IN  TRANSFER'!F:F, "TRANSFER") + SUMIFS('STOCK IN  TRANSFER'!G:G, 'STOCK IN  TRANSFER'!D:D, A19, 'STOCK IN  TRANSFER'!F:F, "ADJUSTMENT (-)")</f>
        <v>6.25</v>
      </c>
      <c r="G19" s="52">
        <f>SUMIFS('STOCK IN  TRANSFER'!G:G, 'STOCK IN  TRANSFER'!D:D, A19, 'STOCK IN  TRANSFER'!F:F, "STOCK IN") + SUMIFS('STOCK IN  TRANSFER'!G:G, 'STOCK IN  TRANSFER'!D:D, A19, 'STOCK IN  TRANSFER'!F:F, "ADJUSTMENT (+)")</f>
        <v>35.5</v>
      </c>
    </row>
    <row r="20" ht="22.5" customHeight="1">
      <c r="A20" s="13" t="str">
        <f>IFERROR(__xludf.DUMMYFUNCTION("""COMPUTED_VALUE"""),"ROS- HAPPY DAYS-4L")</f>
        <v>ROS- HAPPY DAYS-4L</v>
      </c>
      <c r="B20" s="13" t="str">
        <f>IFERROR(__xludf.DUMMYFUNCTION("""COMPUTED_VALUE"""),"RAIN OR SHINE- HAPPY DAYS 4L")</f>
        <v>RAIN OR SHINE- HAPPY DAYS 4L</v>
      </c>
      <c r="C20" s="16">
        <f>IFERROR(__xludf.DUMMYFUNCTION("""COMPUTED_VALUE"""),650.0)</f>
        <v>650</v>
      </c>
      <c r="D20" s="13" t="str">
        <f>IFERROR(__xludf.DUMMYFUNCTION("""COMPUTED_VALUE"""),"GALON")</f>
        <v>GALON</v>
      </c>
      <c r="E20" s="28">
        <f>IFERROR(__xludf.DUMMYFUNCTION("""COMPUTED_VALUE"""),0.0)</f>
        <v>0</v>
      </c>
      <c r="F20" s="52">
        <f>SUMIF(SALES!D:D, A20, SALES!H:H) + SUMIFS('STOCK IN  TRANSFER'!G:G, 'STOCK IN  TRANSFER'!D:D, A20, 'STOCK IN  TRANSFER'!F:F, "TRANSFER") + SUMIFS('STOCK IN  TRANSFER'!G:G, 'STOCK IN  TRANSFER'!D:D, A20, 'STOCK IN  TRANSFER'!F:F, "ADJUSTMENT (-)")</f>
        <v>7</v>
      </c>
      <c r="G20" s="52">
        <f>SUMIFS('STOCK IN  TRANSFER'!G:G, 'STOCK IN  TRANSFER'!D:D, A20, 'STOCK IN  TRANSFER'!F:F, "STOCK IN") + SUMIFS('STOCK IN  TRANSFER'!G:G, 'STOCK IN  TRANSFER'!D:D, A20, 'STOCK IN  TRANSFER'!F:F, "ADJUSTMENT (+)")</f>
        <v>7</v>
      </c>
    </row>
    <row r="21" ht="22.5" customHeight="1">
      <c r="A21" s="13" t="str">
        <f>IFERROR(__xludf.DUMMYFUNCTION("""COMPUTED_VALUE"""),"POLY- BT-ALUM-4L")</f>
        <v>POLY- BT-ALUM-4L</v>
      </c>
      <c r="B21" s="13" t="str">
        <f>IFERROR(__xludf.DUMMYFUNCTION("""COMPUTED_VALUE"""),"POLYGLOSS-BRIGHT ALUMINUM 4L")</f>
        <v>POLYGLOSS-BRIGHT ALUMINUM 4L</v>
      </c>
      <c r="C21" s="16">
        <f>IFERROR(__xludf.DUMMYFUNCTION("""COMPUTED_VALUE"""),1950.0)</f>
        <v>1950</v>
      </c>
      <c r="D21" s="13" t="str">
        <f>IFERROR(__xludf.DUMMYFUNCTION("""COMPUTED_VALUE"""),"GALON")</f>
        <v>GALON</v>
      </c>
      <c r="E21" s="28">
        <f>IFERROR(__xludf.DUMMYFUNCTION("""COMPUTED_VALUE"""),0.0)</f>
        <v>0</v>
      </c>
      <c r="F21" s="52">
        <f>SUMIF(SALES!D:D, A21, SALES!H:H) + SUMIFS('STOCK IN  TRANSFER'!G:G, 'STOCK IN  TRANSFER'!D:D, A21, 'STOCK IN  TRANSFER'!F:F, "TRANSFER") + SUMIFS('STOCK IN  TRANSFER'!G:G, 'STOCK IN  TRANSFER'!D:D, A21, 'STOCK IN  TRANSFER'!F:F, "ADJUSTMENT (-)")</f>
        <v>1.125</v>
      </c>
      <c r="G21" s="52">
        <f>SUMIFS('STOCK IN  TRANSFER'!G:G, 'STOCK IN  TRANSFER'!D:D, A21, 'STOCK IN  TRANSFER'!F:F, "STOCK IN") + SUMIFS('STOCK IN  TRANSFER'!G:G, 'STOCK IN  TRANSFER'!D:D, A21, 'STOCK IN  TRANSFER'!F:F, "ADJUSTMENT (+)")</f>
        <v>1.125</v>
      </c>
    </row>
    <row r="22" ht="22.5" customHeight="1">
      <c r="A22" s="13" t="str">
        <f>IFERROR(__xludf.DUMMYFUNCTION("""COMPUTED_VALUE"""),"ACRY- REDUCER-4L")</f>
        <v>ACRY- REDUCER-4L</v>
      </c>
      <c r="B22" s="13" t="str">
        <f>IFERROR(__xludf.DUMMYFUNCTION("""COMPUTED_VALUE"""),"ALPHA CHROMA ACRYTILE REDUCER")</f>
        <v>ALPHA CHROMA ACRYTILE REDUCER</v>
      </c>
      <c r="C22" s="16">
        <f>IFERROR(__xludf.DUMMYFUNCTION("""COMPUTED_VALUE"""),550.0)</f>
        <v>550</v>
      </c>
      <c r="D22" s="13" t="str">
        <f>IFERROR(__xludf.DUMMYFUNCTION("""COMPUTED_VALUE"""),"GALON")</f>
        <v>GALON</v>
      </c>
      <c r="E22" s="28">
        <f>IFERROR(__xludf.DUMMYFUNCTION("""COMPUTED_VALUE"""),0.0)</f>
        <v>0</v>
      </c>
      <c r="F22" s="52">
        <f>SUMIF(SALES!D:D, A22, SALES!H:H) + SUMIFS('STOCK IN  TRANSFER'!G:G, 'STOCK IN  TRANSFER'!D:D, A22, 'STOCK IN  TRANSFER'!F:F, "TRANSFER") + SUMIFS('STOCK IN  TRANSFER'!G:G, 'STOCK IN  TRANSFER'!D:D, A22, 'STOCK IN  TRANSFER'!F:F, "ADJUSTMENT (-)")</f>
        <v>1</v>
      </c>
      <c r="G22" s="52">
        <f>SUMIFS('STOCK IN  TRANSFER'!G:G, 'STOCK IN  TRANSFER'!D:D, A22, 'STOCK IN  TRANSFER'!F:F, "STOCK IN") + SUMIFS('STOCK IN  TRANSFER'!G:G, 'STOCK IN  TRANSFER'!D:D, A22, 'STOCK IN  TRANSFER'!F:F, "ADJUSTMENT (+)")</f>
        <v>1</v>
      </c>
    </row>
    <row r="23" ht="22.5" customHeight="1">
      <c r="A23" s="13" t="str">
        <f>IFERROR(__xludf.DUMMYFUNCTION("""COMPUTED_VALUE"""),"ROS-SR-100")</f>
        <v>ROS-SR-100</v>
      </c>
      <c r="B23" s="54" t="str">
        <f>IFERROR(__xludf.DUMMYFUNCTION("""COMPUTED_VALUE"""),"WHITE SUN ROOF ROS-SR-100 RAIN OR SHINE 4L")</f>
        <v>WHITE SUN ROOF ROS-SR-100 RAIN OR SHINE 4L</v>
      </c>
      <c r="C23" s="16">
        <f>IFERROR(__xludf.DUMMYFUNCTION("""COMPUTED_VALUE"""),672.4)</f>
        <v>672.4</v>
      </c>
      <c r="D23" s="13" t="str">
        <f>IFERROR(__xludf.DUMMYFUNCTION("""COMPUTED_VALUE"""),"4L")</f>
        <v>4L</v>
      </c>
      <c r="E23" s="28">
        <f>IFERROR(__xludf.DUMMYFUNCTION("""COMPUTED_VALUE"""),2.0)</f>
        <v>2</v>
      </c>
      <c r="F23" s="52">
        <f>SUMIF(SALES!D:D, A23, SALES!H:H) + SUMIFS('STOCK IN  TRANSFER'!G:G, 'STOCK IN  TRANSFER'!D:D, A23, 'STOCK IN  TRANSFER'!F:F, "TRANSFER") + SUMIFS('STOCK IN  TRANSFER'!G:G, 'STOCK IN  TRANSFER'!D:D, A23, 'STOCK IN  TRANSFER'!F:F, "ADJUSTMENT (-)")</f>
        <v>2</v>
      </c>
      <c r="G23" s="52">
        <f>SUMIFS('STOCK IN  TRANSFER'!G:G, 'STOCK IN  TRANSFER'!D:D, A23, 'STOCK IN  TRANSFER'!F:F, "STOCK IN") + SUMIFS('STOCK IN  TRANSFER'!G:G, 'STOCK IN  TRANSFER'!D:D, A23, 'STOCK IN  TRANSFER'!F:F, "ADJUSTMENT (+)")</f>
        <v>4</v>
      </c>
    </row>
    <row r="24" ht="22.5" customHeight="1">
      <c r="A24" s="13" t="str">
        <f>IFERROR(__xludf.DUMMYFUNCTION("""COMPUTED_VALUE"""),"WRSGW-4L")</f>
        <v>WRSGW-4L</v>
      </c>
      <c r="B24" s="13" t="str">
        <f>IFERROR(__xludf.DUMMYFUNCTION("""COMPUTED_VALUE"""),"WELCOAT REGULAR SEMI-GLOSS LATEX WHITE 4L")</f>
        <v>WELCOAT REGULAR SEMI-GLOSS LATEX WHITE 4L</v>
      </c>
      <c r="C24" s="16">
        <f>IFERROR(__xludf.DUMMYFUNCTION("""COMPUTED_VALUE"""),558.0)</f>
        <v>558</v>
      </c>
      <c r="D24" s="13" t="str">
        <f>IFERROR(__xludf.DUMMYFUNCTION("""COMPUTED_VALUE"""),"GALON")</f>
        <v>GALON</v>
      </c>
      <c r="E24" s="28">
        <f>IFERROR(__xludf.DUMMYFUNCTION("""COMPUTED_VALUE"""),0.0)</f>
        <v>0</v>
      </c>
      <c r="F24" s="52">
        <f>SUMIF(SALES!D:D, A24, SALES!H:H) + SUMIFS('STOCK IN  TRANSFER'!G:G, 'STOCK IN  TRANSFER'!D:D, A24, 'STOCK IN  TRANSFER'!F:F, "TRANSFER") + SUMIFS('STOCK IN  TRANSFER'!G:G, 'STOCK IN  TRANSFER'!D:D, A24, 'STOCK IN  TRANSFER'!F:F, "ADJUSTMENT (-)")</f>
        <v>0</v>
      </c>
      <c r="G24" s="52">
        <f>SUMIFS('STOCK IN  TRANSFER'!G:G, 'STOCK IN  TRANSFER'!D:D, A24, 'STOCK IN  TRANSFER'!F:F, "STOCK IN") + SUMIFS('STOCK IN  TRANSFER'!G:G, 'STOCK IN  TRANSFER'!D:D, A24, 'STOCK IN  TRANSFER'!F:F, "ADJUSTMENT (+)")</f>
        <v>0</v>
      </c>
    </row>
    <row r="25" ht="22.5" customHeight="1">
      <c r="A25" s="13" t="str">
        <f>IFERROR(__xludf.DUMMYFUNCTION("""COMPUTED_VALUE"""),"WQD1000-4L")</f>
        <v>WQD1000-4L</v>
      </c>
      <c r="B25" s="13" t="str">
        <f>IFERROR(__xludf.DUMMYFUNCTION("""COMPUTED_VALUE"""),"WELCOAT REGULAR QDE WHITE 4L")</f>
        <v>WELCOAT REGULAR QDE WHITE 4L</v>
      </c>
      <c r="C25" s="16">
        <f>IFERROR(__xludf.DUMMYFUNCTION("""COMPUTED_VALUE"""),695.0)</f>
        <v>695</v>
      </c>
      <c r="D25" s="13" t="str">
        <f>IFERROR(__xludf.DUMMYFUNCTION("""COMPUTED_VALUE"""),"GALON")</f>
        <v>GALON</v>
      </c>
      <c r="E25" s="28">
        <f>IFERROR(__xludf.DUMMYFUNCTION("""COMPUTED_VALUE"""),0.0)</f>
        <v>0</v>
      </c>
      <c r="F25" s="52">
        <f>SUMIF(SALES!D:D, A25, SALES!H:H) + SUMIFS('STOCK IN  TRANSFER'!G:G, 'STOCK IN  TRANSFER'!D:D, A25, 'STOCK IN  TRANSFER'!F:F, "TRANSFER") + SUMIFS('STOCK IN  TRANSFER'!G:G, 'STOCK IN  TRANSFER'!D:D, A25, 'STOCK IN  TRANSFER'!F:F, "ADJUSTMENT (-)")</f>
        <v>0</v>
      </c>
      <c r="G25" s="52">
        <f>SUMIFS('STOCK IN  TRANSFER'!G:G, 'STOCK IN  TRANSFER'!D:D, A25, 'STOCK IN  TRANSFER'!F:F, "STOCK IN") + SUMIFS('STOCK IN  TRANSFER'!G:G, 'STOCK IN  TRANSFER'!D:D, A25, 'STOCK IN  TRANSFER'!F:F, "ADJUSTMENT (+)")</f>
        <v>0</v>
      </c>
    </row>
    <row r="26" ht="22.5" customHeight="1">
      <c r="A26" s="13" t="str">
        <f>IFERROR(__xludf.DUMMYFUNCTION("""COMPUTED_VALUE"""),"WQD1150-4L")</f>
        <v>WQD1150-4L</v>
      </c>
      <c r="B26" s="13" t="str">
        <f>IFERROR(__xludf.DUMMYFUNCTION("""COMPUTED_VALUE"""),"WELCOAT REGULAR QDE BLACK 4L")</f>
        <v>WELCOAT REGULAR QDE BLACK 4L</v>
      </c>
      <c r="C26" s="16">
        <f>IFERROR(__xludf.DUMMYFUNCTION("""COMPUTED_VALUE"""),570.0)</f>
        <v>570</v>
      </c>
      <c r="D26" s="13" t="str">
        <f>IFERROR(__xludf.DUMMYFUNCTION("""COMPUTED_VALUE"""),"GALON")</f>
        <v>GALON</v>
      </c>
      <c r="E26" s="28">
        <f>IFERROR(__xludf.DUMMYFUNCTION("""COMPUTED_VALUE"""),1.0)</f>
        <v>1</v>
      </c>
      <c r="F26" s="52">
        <f>SUMIF(SALES!D:D, A26, SALES!H:H) + SUMIFS('STOCK IN  TRANSFER'!G:G, 'STOCK IN  TRANSFER'!D:D, A26, 'STOCK IN  TRANSFER'!F:F, "TRANSFER") + SUMIFS('STOCK IN  TRANSFER'!G:G, 'STOCK IN  TRANSFER'!D:D, A26, 'STOCK IN  TRANSFER'!F:F, "ADJUSTMENT (-)")</f>
        <v>1</v>
      </c>
      <c r="G26" s="52">
        <f>SUMIFS('STOCK IN  TRANSFER'!G:G, 'STOCK IN  TRANSFER'!D:D, A26, 'STOCK IN  TRANSFER'!F:F, "STOCK IN") + SUMIFS('STOCK IN  TRANSFER'!G:G, 'STOCK IN  TRANSFER'!D:D, A26, 'STOCK IN  TRANSFER'!F:F, "ADJUSTMENT (+)")</f>
        <v>2</v>
      </c>
    </row>
    <row r="27" ht="22.5" customHeight="1">
      <c r="A27" s="13" t="str">
        <f>IFERROR(__xludf.DUMMYFUNCTION("""COMPUTED_VALUE"""),"QDEMIX-1L")</f>
        <v>QDEMIX-1L</v>
      </c>
      <c r="B27" s="13" t="str">
        <f>IFERROR(__xludf.DUMMYFUNCTION("""COMPUTED_VALUE"""),"QDE MIXING NP, DAVIES, BOYSEN, ALPHA CHROMA, WC 1L")</f>
        <v>QDE MIXING NP, DAVIES, BOYSEN, ALPHA CHROMA, WC 1L</v>
      </c>
      <c r="C27" s="16">
        <f>IFERROR(__xludf.DUMMYFUNCTION("""COMPUTED_VALUE"""),200.0)</f>
        <v>200</v>
      </c>
      <c r="D27" s="13" t="str">
        <f>IFERROR(__xludf.DUMMYFUNCTION("""COMPUTED_VALUE"""),"LITER")</f>
        <v>LITER</v>
      </c>
      <c r="E27" s="28">
        <f>IFERROR(__xludf.DUMMYFUNCTION("""COMPUTED_VALUE"""),9.75)</f>
        <v>9.75</v>
      </c>
      <c r="F27" s="52">
        <f>SUMIF(SALES!D:D, A27, SALES!H:H) + SUMIFS('STOCK IN  TRANSFER'!G:G, 'STOCK IN  TRANSFER'!D:D, A27, 'STOCK IN  TRANSFER'!F:F, "TRANSFER") + SUMIFS('STOCK IN  TRANSFER'!G:G, 'STOCK IN  TRANSFER'!D:D, A27, 'STOCK IN  TRANSFER'!F:F, "ADJUSTMENT (-)")</f>
        <v>29.75</v>
      </c>
      <c r="G27" s="52">
        <f>SUMIFS('STOCK IN  TRANSFER'!G:G, 'STOCK IN  TRANSFER'!D:D, A27, 'STOCK IN  TRANSFER'!F:F, "STOCK IN") + SUMIFS('STOCK IN  TRANSFER'!G:G, 'STOCK IN  TRANSFER'!D:D, A27, 'STOCK IN  TRANSFER'!F:F, "ADJUSTMENT (+)")</f>
        <v>39.5</v>
      </c>
    </row>
    <row r="28" ht="22.5" customHeight="1">
      <c r="A28" s="13" t="str">
        <f>IFERROR(__xludf.DUMMYFUNCTION("""COMPUTED_VALUE"""),"PWAC-9042-1L")</f>
        <v>PWAC-9042-1L</v>
      </c>
      <c r="B28" s="13" t="str">
        <f>IFERROR(__xludf.DUMMYFUNCTION("""COMPUTED_VALUE"""),"WELCOAT ACRY-TILE TINTING COLOR PHTHALO GREEN PWAC-9042")</f>
        <v>WELCOAT ACRY-TILE TINTING COLOR PHTHALO GREEN PWAC-9042</v>
      </c>
      <c r="C28" s="16">
        <f>IFERROR(__xludf.DUMMYFUNCTION("""COMPUTED_VALUE"""),402.0)</f>
        <v>402</v>
      </c>
      <c r="D28" s="13" t="str">
        <f>IFERROR(__xludf.DUMMYFUNCTION("""COMPUTED_VALUE"""),"LITER")</f>
        <v>LITER</v>
      </c>
      <c r="E28" s="28">
        <f>IFERROR(__xludf.DUMMYFUNCTION("""COMPUTED_VALUE"""),3.0)</f>
        <v>3</v>
      </c>
      <c r="F28" s="52">
        <f>SUMIF(SALES!D:D, A28, SALES!H:H) + SUMIFS('STOCK IN  TRANSFER'!G:G, 'STOCK IN  TRANSFER'!D:D, A28, 'STOCK IN  TRANSFER'!F:F, "TRANSFER") + SUMIFS('STOCK IN  TRANSFER'!G:G, 'STOCK IN  TRANSFER'!D:D, A28, 'STOCK IN  TRANSFER'!F:F, "ADJUSTMENT (-)")</f>
        <v>0</v>
      </c>
      <c r="G28" s="52">
        <f>SUMIFS('STOCK IN  TRANSFER'!G:G, 'STOCK IN  TRANSFER'!D:D, A28, 'STOCK IN  TRANSFER'!F:F, "STOCK IN") + SUMIFS('STOCK IN  TRANSFER'!G:G, 'STOCK IN  TRANSFER'!D:D, A28, 'STOCK IN  TRANSFER'!F:F, "ADJUSTMENT (+)")</f>
        <v>3</v>
      </c>
    </row>
    <row r="29" ht="22.5" customHeight="1">
      <c r="A29" s="13" t="str">
        <f>IFERROR(__xludf.DUMMYFUNCTION("""COMPUTED_VALUE"""),"PWAC-7242-1/4L")</f>
        <v>PWAC-7242-1/4L</v>
      </c>
      <c r="B29" s="19" t="str">
        <f>IFERROR(__xludf.DUMMYFUNCTION("""COMPUTED_VALUE"""),"WELCOAT ACRY-TILE TINTING COLOR PHTHALO BLUE PWAC-7242")</f>
        <v>WELCOAT ACRY-TILE TINTING COLOR PHTHALO BLUE PWAC-7242</v>
      </c>
      <c r="C29" s="16">
        <f>IFERROR(__xludf.DUMMYFUNCTION("""COMPUTED_VALUE"""),111.0)</f>
        <v>111</v>
      </c>
      <c r="D29" s="13" t="str">
        <f>IFERROR(__xludf.DUMMYFUNCTION("""COMPUTED_VALUE"""),"CAN")</f>
        <v>CAN</v>
      </c>
      <c r="E29" s="28">
        <f>IFERROR(__xludf.DUMMYFUNCTION("""COMPUTED_VALUE"""),12.0)</f>
        <v>12</v>
      </c>
      <c r="F29" s="52">
        <f>SUMIF(SALES!D:D, A29, SALES!H:H) + SUMIFS('STOCK IN  TRANSFER'!G:G, 'STOCK IN  TRANSFER'!D:D, A29, 'STOCK IN  TRANSFER'!F:F, "TRANSFER") + SUMIFS('STOCK IN  TRANSFER'!G:G, 'STOCK IN  TRANSFER'!D:D, A29, 'STOCK IN  TRANSFER'!F:F, "ADJUSTMENT (-)")</f>
        <v>0</v>
      </c>
      <c r="G29" s="52">
        <f>SUMIFS('STOCK IN  TRANSFER'!G:G, 'STOCK IN  TRANSFER'!D:D, A29, 'STOCK IN  TRANSFER'!F:F, "STOCK IN") + SUMIFS('STOCK IN  TRANSFER'!G:G, 'STOCK IN  TRANSFER'!D:D, A29, 'STOCK IN  TRANSFER'!F:F, "ADJUSTMENT (+)")</f>
        <v>12</v>
      </c>
    </row>
    <row r="30" ht="22.5" customHeight="1">
      <c r="A30" s="13" t="str">
        <f>IFERROR(__xludf.DUMMYFUNCTION("""COMPUTED_VALUE"""),"PWAC-2142-1L")</f>
        <v>PWAC-2142-1L</v>
      </c>
      <c r="B30" s="13" t="str">
        <f>IFERROR(__xludf.DUMMYFUNCTION("""COMPUTED_VALUE"""),"WELCOAT ACRY-TILE TINTING COLOR PERMANENT RED PWAC-2142")</f>
        <v>WELCOAT ACRY-TILE TINTING COLOR PERMANENT RED PWAC-2142</v>
      </c>
      <c r="C30" s="16">
        <f>IFERROR(__xludf.DUMMYFUNCTION("""COMPUTED_VALUE"""),461.0)</f>
        <v>461</v>
      </c>
      <c r="D30" s="13" t="str">
        <f>IFERROR(__xludf.DUMMYFUNCTION("""COMPUTED_VALUE"""),"LITER")</f>
        <v>LITER</v>
      </c>
      <c r="E30" s="28">
        <f>IFERROR(__xludf.DUMMYFUNCTION("""COMPUTED_VALUE"""),2.0)</f>
        <v>2</v>
      </c>
      <c r="F30" s="52">
        <f>SUMIF(SALES!D:D, A30, SALES!H:H) + SUMIFS('STOCK IN  TRANSFER'!G:G, 'STOCK IN  TRANSFER'!D:D, A30, 'STOCK IN  TRANSFER'!F:F, "TRANSFER") + SUMIFS('STOCK IN  TRANSFER'!G:G, 'STOCK IN  TRANSFER'!D:D, A30, 'STOCK IN  TRANSFER'!F:F, "ADJUSTMENT (-)")</f>
        <v>0</v>
      </c>
      <c r="G30" s="52">
        <f>SUMIFS('STOCK IN  TRANSFER'!G:G, 'STOCK IN  TRANSFER'!D:D, A30, 'STOCK IN  TRANSFER'!F:F, "STOCK IN") + SUMIFS('STOCK IN  TRANSFER'!G:G, 'STOCK IN  TRANSFER'!D:D, A30, 'STOCK IN  TRANSFER'!F:F, "ADJUSTMENT (+)")</f>
        <v>2</v>
      </c>
    </row>
    <row r="31" ht="22.5" customHeight="1">
      <c r="A31" s="13" t="str">
        <f>IFERROR(__xludf.DUMMYFUNCTION("""COMPUTED_VALUE"""),"PWAC-5042-1/4L")</f>
        <v>PWAC-5042-1/4L</v>
      </c>
      <c r="B31" s="13" t="str">
        <f>IFERROR(__xludf.DUMMYFUNCTION("""COMPUTED_VALUE"""),"WELCOAT ACRY-TILE TINTING COLOR HANSA YELLOW PWAC-5042")</f>
        <v>WELCOAT ACRY-TILE TINTING COLOR HANSA YELLOW PWAC-5042</v>
      </c>
      <c r="C31" s="16">
        <f>IFERROR(__xludf.DUMMYFUNCTION("""COMPUTED_VALUE"""),141.0)</f>
        <v>141</v>
      </c>
      <c r="D31" s="13" t="str">
        <f>IFERROR(__xludf.DUMMYFUNCTION("""COMPUTED_VALUE"""),"CAN")</f>
        <v>CAN</v>
      </c>
      <c r="E31" s="28">
        <f>IFERROR(__xludf.DUMMYFUNCTION("""COMPUTED_VALUE"""),12.0)</f>
        <v>12</v>
      </c>
      <c r="F31" s="52">
        <f>SUMIF(SALES!D:D, A31, SALES!H:H) + SUMIFS('STOCK IN  TRANSFER'!G:G, 'STOCK IN  TRANSFER'!D:D, A31, 'STOCK IN  TRANSFER'!F:F, "TRANSFER") + SUMIFS('STOCK IN  TRANSFER'!G:G, 'STOCK IN  TRANSFER'!D:D, A31, 'STOCK IN  TRANSFER'!F:F, "ADJUSTMENT (-)")</f>
        <v>0</v>
      </c>
      <c r="G31" s="52">
        <f>SUMIFS('STOCK IN  TRANSFER'!G:G, 'STOCK IN  TRANSFER'!D:D, A31, 'STOCK IN  TRANSFER'!F:F, "STOCK IN") + SUMIFS('STOCK IN  TRANSFER'!G:G, 'STOCK IN  TRANSFER'!D:D, A31, 'STOCK IN  TRANSFER'!F:F, "ADJUSTMENT (+)")</f>
        <v>12</v>
      </c>
    </row>
    <row r="32" ht="22.5" customHeight="1">
      <c r="A32" s="13" t="str">
        <f>IFERROR(__xludf.DUMMYFUNCTION("""COMPUTED_VALUE"""),"WCPOD")</f>
        <v>WCPOD</v>
      </c>
      <c r="B32" s="13" t="str">
        <f>IFERROR(__xludf.DUMMYFUNCTION("""COMPUTED_VALUE"""),"WASTE COTTON POD")</f>
        <v>WASTE COTTON POD</v>
      </c>
      <c r="C32" s="16">
        <f>IFERROR(__xludf.DUMMYFUNCTION("""COMPUTED_VALUE"""),70.0)</f>
        <v>70</v>
      </c>
      <c r="D32" s="13" t="str">
        <f>IFERROR(__xludf.DUMMYFUNCTION("""COMPUTED_VALUE"""),"KL")</f>
        <v>KL</v>
      </c>
      <c r="E32" s="28">
        <f>IFERROR(__xludf.DUMMYFUNCTION("""COMPUTED_VALUE"""),24.5)</f>
        <v>24.5</v>
      </c>
      <c r="F32" s="52">
        <f>SUMIF(SALES!D:D, A32, SALES!H:H) + SUMIFS('STOCK IN  TRANSFER'!G:G, 'STOCK IN  TRANSFER'!D:D, A32, 'STOCK IN  TRANSFER'!F:F, "TRANSFER") + SUMIFS('STOCK IN  TRANSFER'!G:G, 'STOCK IN  TRANSFER'!D:D, A32, 'STOCK IN  TRANSFER'!F:F, "ADJUSTMENT (-)")</f>
        <v>14.25</v>
      </c>
      <c r="G32" s="52">
        <f>SUMIFS('STOCK IN  TRANSFER'!G:G, 'STOCK IN  TRANSFER'!D:D, A32, 'STOCK IN  TRANSFER'!F:F, "STOCK IN") + SUMIFS('STOCK IN  TRANSFER'!G:G, 'STOCK IN  TRANSFER'!D:D, A32, 'STOCK IN  TRANSFER'!F:F, "ADJUSTMENT (+)")</f>
        <v>38.75</v>
      </c>
    </row>
    <row r="33" ht="22.5" customHeight="1">
      <c r="A33" s="13" t="str">
        <f>IFERROR(__xludf.DUMMYFUNCTION("""COMPUTED_VALUE"""),"VSEAL")</f>
        <v>VSEAL</v>
      </c>
      <c r="B33" s="13" t="str">
        <f>IFERROR(__xludf.DUMMYFUNCTION("""COMPUTED_VALUE"""),"VULCASEAL")</f>
        <v>VULCASEAL</v>
      </c>
      <c r="C33" s="16">
        <f>IFERROR(__xludf.DUMMYFUNCTION("""COMPUTED_VALUE"""),62.0)</f>
        <v>62</v>
      </c>
      <c r="D33" s="13" t="str">
        <f>IFERROR(__xludf.DUMMYFUNCTION("""COMPUTED_VALUE"""),"PCS")</f>
        <v>PCS</v>
      </c>
      <c r="E33" s="28">
        <f>IFERROR(__xludf.DUMMYFUNCTION("""COMPUTED_VALUE"""),3.0)</f>
        <v>3</v>
      </c>
      <c r="F33" s="52">
        <f>SUMIF(SALES!D:D, A33, SALES!H:H) + SUMIFS('STOCK IN  TRANSFER'!G:G, 'STOCK IN  TRANSFER'!D:D, A33, 'STOCK IN  TRANSFER'!F:F, "TRANSFER") + SUMIFS('STOCK IN  TRANSFER'!G:G, 'STOCK IN  TRANSFER'!D:D, A33, 'STOCK IN  TRANSFER'!F:F, "ADJUSTMENT (-)")</f>
        <v>5</v>
      </c>
      <c r="G33" s="52">
        <f>SUMIFS('STOCK IN  TRANSFER'!G:G, 'STOCK IN  TRANSFER'!D:D, A33, 'STOCK IN  TRANSFER'!F:F, "STOCK IN") + SUMIFS('STOCK IN  TRANSFER'!G:G, 'STOCK IN  TRANSFER'!D:D, A33, 'STOCK IN  TRANSFER'!F:F, "ADJUSTMENT (+)")</f>
        <v>8</v>
      </c>
    </row>
    <row r="34" ht="22.5" customHeight="1">
      <c r="A34" s="13" t="str">
        <f>IFERROR(__xludf.DUMMYFUNCTION("""COMPUTED_VALUE"""),"ROS-823")</f>
        <v>ROS-823</v>
      </c>
      <c r="B34" s="13" t="str">
        <f>IFERROR(__xludf.DUMMYFUNCTION("""COMPUTED_VALUE"""),"VIBRANT RUBY ROS-823 RAIN OR SHINE 4L")</f>
        <v>VIBRANT RUBY ROS-823 RAIN OR SHINE 4L</v>
      </c>
      <c r="C34" s="16">
        <f>IFERROR(__xludf.DUMMYFUNCTION("""COMPUTED_VALUE"""),1015.0)</f>
        <v>1015</v>
      </c>
      <c r="D34" s="13" t="str">
        <f>IFERROR(__xludf.DUMMYFUNCTION("""COMPUTED_VALUE"""),"4L")</f>
        <v>4L</v>
      </c>
      <c r="E34" s="28">
        <f>IFERROR(__xludf.DUMMYFUNCTION("""COMPUTED_VALUE"""),2.0)</f>
        <v>2</v>
      </c>
      <c r="F34" s="52">
        <f>SUMIF(SALES!D:D, A34, SALES!H:H) + SUMIFS('STOCK IN  TRANSFER'!G:G, 'STOCK IN  TRANSFER'!D:D, A34, 'STOCK IN  TRANSFER'!F:F, "TRANSFER") + SUMIFS('STOCK IN  TRANSFER'!G:G, 'STOCK IN  TRANSFER'!D:D, A34, 'STOCK IN  TRANSFER'!F:F, "ADJUSTMENT (-)")</f>
        <v>1</v>
      </c>
      <c r="G34" s="52">
        <f>SUMIFS('STOCK IN  TRANSFER'!G:G, 'STOCK IN  TRANSFER'!D:D, A34, 'STOCK IN  TRANSFER'!F:F, "STOCK IN") + SUMIFS('STOCK IN  TRANSFER'!G:G, 'STOCK IN  TRANSFER'!D:D, A34, 'STOCK IN  TRANSFER'!F:F, "ADJUSTMENT (+)")</f>
        <v>3</v>
      </c>
    </row>
    <row r="35" ht="22.5" customHeight="1">
      <c r="A35" s="13" t="str">
        <f>IFERROR(__xludf.DUMMYFUNCTION("""COMPUTED_VALUE"""),"AC-11-1L")</f>
        <v>AC-11-1L</v>
      </c>
      <c r="B35" s="13" t="str">
        <f>IFERROR(__xludf.DUMMYFUNCTION("""COMPUTED_VALUE"""),"VENETIAN RED ACRY-COLOR COLOR AC-11 1L DAVIES")</f>
        <v>VENETIAN RED ACRY-COLOR COLOR AC-11 1L DAVIES</v>
      </c>
      <c r="C35" s="16">
        <f>IFERROR(__xludf.DUMMYFUNCTION("""COMPUTED_VALUE"""),108.0)</f>
        <v>108</v>
      </c>
      <c r="D35" s="13" t="str">
        <f>IFERROR(__xludf.DUMMYFUNCTION("""COMPUTED_VALUE"""),"1L")</f>
        <v>1L</v>
      </c>
      <c r="E35" s="28">
        <f>IFERROR(__xludf.DUMMYFUNCTION("""COMPUTED_VALUE"""),4.0)</f>
        <v>4</v>
      </c>
      <c r="F35" s="52">
        <f>SUMIF(SALES!D:D, A35, SALES!H:H) + SUMIFS('STOCK IN  TRANSFER'!G:G, 'STOCK IN  TRANSFER'!D:D, A35, 'STOCK IN  TRANSFER'!F:F, "TRANSFER") + SUMIFS('STOCK IN  TRANSFER'!G:G, 'STOCK IN  TRANSFER'!D:D, A35, 'STOCK IN  TRANSFER'!F:F, "ADJUSTMENT (-)")</f>
        <v>0</v>
      </c>
      <c r="G35" s="52">
        <f>SUMIFS('STOCK IN  TRANSFER'!G:G, 'STOCK IN  TRANSFER'!D:D, A35, 'STOCK IN  TRANSFER'!F:F, "STOCK IN") + SUMIFS('STOCK IN  TRANSFER'!G:G, 'STOCK IN  TRANSFER'!D:D, A35, 'STOCK IN  TRANSFER'!F:F, "ADJUSTMENT (+)")</f>
        <v>4</v>
      </c>
    </row>
    <row r="36" ht="22.5" customHeight="1">
      <c r="A36" s="13" t="str">
        <f>IFERROR(__xludf.DUMMYFUNCTION("""COMPUTED_VALUE"""),"UNOPT-BOT")</f>
        <v>UNOPT-BOT</v>
      </c>
      <c r="B36" s="13" t="str">
        <f>IFERROR(__xludf.DUMMYFUNCTION("""COMPUTED_VALUE"""),"UNO PAINT THINNER BOT")</f>
        <v>UNO PAINT THINNER BOT</v>
      </c>
      <c r="C36" s="16">
        <f>IFERROR(__xludf.DUMMYFUNCTION("""COMPUTED_VALUE"""),52.0)</f>
        <v>52</v>
      </c>
      <c r="D36" s="13" t="str">
        <f>IFERROR(__xludf.DUMMYFUNCTION("""COMPUTED_VALUE"""),"PC/S")</f>
        <v>PC/S</v>
      </c>
      <c r="E36" s="28">
        <f>IFERROR(__xludf.DUMMYFUNCTION("""COMPUTED_VALUE"""),0.0)</f>
        <v>0</v>
      </c>
      <c r="F36" s="52">
        <f>SUMIF(SALES!D:D, A36, SALES!H:H) + SUMIFS('STOCK IN  TRANSFER'!G:G, 'STOCK IN  TRANSFER'!D:D, A36, 'STOCK IN  TRANSFER'!F:F, "TRANSFER") + SUMIFS('STOCK IN  TRANSFER'!G:G, 'STOCK IN  TRANSFER'!D:D, A36, 'STOCK IN  TRANSFER'!F:F, "ADJUSTMENT (-)")</f>
        <v>2</v>
      </c>
      <c r="G36" s="52">
        <f>SUMIFS('STOCK IN  TRANSFER'!G:G, 'STOCK IN  TRANSFER'!D:D, A36, 'STOCK IN  TRANSFER'!F:F, "STOCK IN") + SUMIFS('STOCK IN  TRANSFER'!G:G, 'STOCK IN  TRANSFER'!D:D, A36, 'STOCK IN  TRANSFER'!F:F, "ADJUSTMENT (+)")</f>
        <v>2</v>
      </c>
    </row>
    <row r="37" ht="22.5" customHeight="1">
      <c r="A37" s="13" t="str">
        <f>IFERROR(__xludf.DUMMYFUNCTION("""COMPUTED_VALUE"""),"UNOLT-BOT")</f>
        <v>UNOLT-BOT</v>
      </c>
      <c r="B37" s="13" t="str">
        <f>IFERROR(__xludf.DUMMYFUNCTION("""COMPUTED_VALUE"""),"UNO LACQUER THINNER BOT")</f>
        <v>UNO LACQUER THINNER BOT</v>
      </c>
      <c r="C37" s="16">
        <f>IFERROR(__xludf.DUMMYFUNCTION("""COMPUTED_VALUE"""),50.0)</f>
        <v>50</v>
      </c>
      <c r="D37" s="13" t="str">
        <f>IFERROR(__xludf.DUMMYFUNCTION("""COMPUTED_VALUE"""),"BOT")</f>
        <v>BOT</v>
      </c>
      <c r="E37" s="28">
        <f>IFERROR(__xludf.DUMMYFUNCTION("""COMPUTED_VALUE"""),4.0)</f>
        <v>4</v>
      </c>
      <c r="F37" s="52">
        <f>SUMIF(SALES!D:D, A37, SALES!H:H) + SUMIFS('STOCK IN  TRANSFER'!G:G, 'STOCK IN  TRANSFER'!D:D, A37, 'STOCK IN  TRANSFER'!F:F, "TRANSFER") + SUMIFS('STOCK IN  TRANSFER'!G:G, 'STOCK IN  TRANSFER'!D:D, A37, 'STOCK IN  TRANSFER'!F:F, "ADJUSTMENT (-)")</f>
        <v>37</v>
      </c>
      <c r="G37" s="52">
        <f>SUMIFS('STOCK IN  TRANSFER'!G:G, 'STOCK IN  TRANSFER'!D:D, A37, 'STOCK IN  TRANSFER'!F:F, "STOCK IN") + SUMIFS('STOCK IN  TRANSFER'!G:G, 'STOCK IN  TRANSFER'!D:D, A37, 'STOCK IN  TRANSFER'!F:F, "ADJUSTMENT (+)")</f>
        <v>41</v>
      </c>
    </row>
    <row r="38" ht="22.5" customHeight="1">
      <c r="A38" s="13" t="str">
        <f>IFERROR(__xludf.DUMMYFUNCTION("""COMPUTED_VALUE"""),"UNOLT-4L")</f>
        <v>UNOLT-4L</v>
      </c>
      <c r="B38" s="13" t="str">
        <f>IFERROR(__xludf.DUMMYFUNCTION("""COMPUTED_VALUE"""),"UNO LACQUER THINNER 4L")</f>
        <v>UNO LACQUER THINNER 4L</v>
      </c>
      <c r="C38" s="16">
        <f>IFERROR(__xludf.DUMMYFUNCTION("""COMPUTED_VALUE"""),360.0)</f>
        <v>360</v>
      </c>
      <c r="D38" s="13" t="str">
        <f>IFERROR(__xludf.DUMMYFUNCTION("""COMPUTED_VALUE"""),"GAL/S")</f>
        <v>GAL/S</v>
      </c>
      <c r="E38" s="28">
        <f>IFERROR(__xludf.DUMMYFUNCTION("""COMPUTED_VALUE"""),1.0)</f>
        <v>1</v>
      </c>
      <c r="F38" s="52">
        <f>SUMIF(SALES!D:D, A38, SALES!H:H) + SUMIFS('STOCK IN  TRANSFER'!G:G, 'STOCK IN  TRANSFER'!D:D, A38, 'STOCK IN  TRANSFER'!F:F, "TRANSFER") + SUMIFS('STOCK IN  TRANSFER'!G:G, 'STOCK IN  TRANSFER'!D:D, A38, 'STOCK IN  TRANSFER'!F:F, "ADJUSTMENT (-)")</f>
        <v>4</v>
      </c>
      <c r="G38" s="52">
        <f>SUMIFS('STOCK IN  TRANSFER'!G:G, 'STOCK IN  TRANSFER'!D:D, A38, 'STOCK IN  TRANSFER'!F:F, "STOCK IN") + SUMIFS('STOCK IN  TRANSFER'!G:G, 'STOCK IN  TRANSFER'!D:D, A38, 'STOCK IN  TRANSFER'!F:F, "ADJUSTMENT (+)")</f>
        <v>5</v>
      </c>
    </row>
    <row r="39" ht="22.5" customHeight="1">
      <c r="A39" s="13" t="str">
        <f>IFERROR(__xludf.DUMMYFUNCTION("""COMPUTED_VALUE"""),"AC-10-1L")</f>
        <v>AC-10-1L</v>
      </c>
      <c r="B39" s="13" t="str">
        <f>IFERROR(__xludf.DUMMYFUNCTION("""COMPUTED_VALUE"""),"TOLUIDINE RED ACRY-COLOR AC-10 1L DAVIES")</f>
        <v>TOLUIDINE RED ACRY-COLOR AC-10 1L DAVIES</v>
      </c>
      <c r="C39" s="16">
        <f>IFERROR(__xludf.DUMMYFUNCTION("""COMPUTED_VALUE"""),108.0)</f>
        <v>108</v>
      </c>
      <c r="D39" s="13" t="str">
        <f>IFERROR(__xludf.DUMMYFUNCTION("""COMPUTED_VALUE"""),"1L")</f>
        <v>1L</v>
      </c>
      <c r="E39" s="28">
        <f>IFERROR(__xludf.DUMMYFUNCTION("""COMPUTED_VALUE"""),0.0)</f>
        <v>0</v>
      </c>
      <c r="F39" s="52">
        <f>SUMIF(SALES!D:D, A39, SALES!H:H) + SUMIFS('STOCK IN  TRANSFER'!G:G, 'STOCK IN  TRANSFER'!D:D, A39, 'STOCK IN  TRANSFER'!F:F, "TRANSFER") + SUMIFS('STOCK IN  TRANSFER'!G:G, 'STOCK IN  TRANSFER'!D:D, A39, 'STOCK IN  TRANSFER'!F:F, "ADJUSTMENT (-)")</f>
        <v>4</v>
      </c>
      <c r="G39" s="52">
        <f>SUMIFS('STOCK IN  TRANSFER'!G:G, 'STOCK IN  TRANSFER'!D:D, A39, 'STOCK IN  TRANSFER'!F:F, "STOCK IN") + SUMIFS('STOCK IN  TRANSFER'!G:G, 'STOCK IN  TRANSFER'!D:D, A39, 'STOCK IN  TRANSFER'!F:F, "ADJUSTMENT (+)")</f>
        <v>4</v>
      </c>
    </row>
    <row r="40" ht="22.5" customHeight="1">
      <c r="A40" s="13" t="str">
        <f>IFERROR(__xludf.DUMMYFUNCTION("""COMPUTED_VALUE"""),"TOUT-4L")</f>
        <v>TOUT-4L</v>
      </c>
      <c r="B40" s="13" t="str">
        <f>IFERROR(__xludf.DUMMYFUNCTION("""COMPUTED_VALUE"""),"TIMEOUT URETHANE THINNER 4L")</f>
        <v>TIMEOUT URETHANE THINNER 4L</v>
      </c>
      <c r="C40" s="16">
        <f>IFERROR(__xludf.DUMMYFUNCTION("""COMPUTED_VALUE"""),510.0)</f>
        <v>510</v>
      </c>
      <c r="D40" s="13" t="str">
        <f>IFERROR(__xludf.DUMMYFUNCTION("""COMPUTED_VALUE"""),"GAL")</f>
        <v>GAL</v>
      </c>
      <c r="E40" s="28">
        <f>IFERROR(__xludf.DUMMYFUNCTION("""COMPUTED_VALUE"""),0.0)</f>
        <v>0</v>
      </c>
      <c r="F40" s="52">
        <f>SUMIF(SALES!D:D, A40, SALES!H:H) + SUMIFS('STOCK IN  TRANSFER'!G:G, 'STOCK IN  TRANSFER'!D:D, A40, 'STOCK IN  TRANSFER'!F:F, "TRANSFER") + SUMIFS('STOCK IN  TRANSFER'!G:G, 'STOCK IN  TRANSFER'!D:D, A40, 'STOCK IN  TRANSFER'!F:F, "ADJUSTMENT (-)")</f>
        <v>1</v>
      </c>
      <c r="G40" s="52">
        <f>SUMIFS('STOCK IN  TRANSFER'!G:G, 'STOCK IN  TRANSFER'!D:D, A40, 'STOCK IN  TRANSFER'!F:F, "STOCK IN") + SUMIFS('STOCK IN  TRANSFER'!G:G, 'STOCK IN  TRANSFER'!D:D, A40, 'STOCK IN  TRANSFER'!F:F, "ADJUSTMENT (+)")</f>
        <v>1</v>
      </c>
    </row>
    <row r="41" ht="22.5" customHeight="1">
      <c r="A41" s="13" t="str">
        <f>IFERROR(__xludf.DUMMYFUNCTION("""COMPUTED_VALUE"""),"TOBF-4L")</f>
        <v>TOBF-4L</v>
      </c>
      <c r="B41" s="13" t="str">
        <f>IFERROR(__xludf.DUMMYFUNCTION("""COMPUTED_VALUE"""),"TIMEOUT BODY FILLER WITH HARDENER 4L")</f>
        <v>TIMEOUT BODY FILLER WITH HARDENER 4L</v>
      </c>
      <c r="C41" s="16">
        <f>IFERROR(__xludf.DUMMYFUNCTION("""COMPUTED_VALUE"""),585.0)</f>
        <v>585</v>
      </c>
      <c r="D41" s="13" t="str">
        <f>IFERROR(__xludf.DUMMYFUNCTION("""COMPUTED_VALUE"""),"GAL")</f>
        <v>GAL</v>
      </c>
      <c r="E41" s="28">
        <f>IFERROR(__xludf.DUMMYFUNCTION("""COMPUTED_VALUE"""),11.0)</f>
        <v>11</v>
      </c>
      <c r="F41" s="52">
        <f>SUMIF(SALES!D:D, A41, SALES!H:H) + SUMIFS('STOCK IN  TRANSFER'!G:G, 'STOCK IN  TRANSFER'!D:D, A41, 'STOCK IN  TRANSFER'!F:F, "TRANSFER") + SUMIFS('STOCK IN  TRANSFER'!G:G, 'STOCK IN  TRANSFER'!D:D, A41, 'STOCK IN  TRANSFER'!F:F, "ADJUSTMENT (-)")</f>
        <v>18</v>
      </c>
      <c r="G41" s="52">
        <f>SUMIFS('STOCK IN  TRANSFER'!G:G, 'STOCK IN  TRANSFER'!D:D, A41, 'STOCK IN  TRANSFER'!F:F, "STOCK IN") + SUMIFS('STOCK IN  TRANSFER'!G:G, 'STOCK IN  TRANSFER'!D:D, A41, 'STOCK IN  TRANSFER'!F:F, "ADJUSTMENT (+)")</f>
        <v>29</v>
      </c>
    </row>
    <row r="42" ht="22.5" customHeight="1">
      <c r="A42" s="13" t="str">
        <f>IFERROR(__xludf.DUMMYFUNCTION("""COMPUTED_VALUE"""),"TOBF-1L")</f>
        <v>TOBF-1L</v>
      </c>
      <c r="B42" s="13" t="str">
        <f>IFERROR(__xludf.DUMMYFUNCTION("""COMPUTED_VALUE"""),"TIMEOUT BODY FILLER WITH HARDENER 1L")</f>
        <v>TIMEOUT BODY FILLER WITH HARDENER 1L</v>
      </c>
      <c r="C42" s="16">
        <f>IFERROR(__xludf.DUMMYFUNCTION("""COMPUTED_VALUE"""),160.0)</f>
        <v>160</v>
      </c>
      <c r="D42" s="13" t="str">
        <f>IFERROR(__xludf.DUMMYFUNCTION("""COMPUTED_VALUE"""),"LTR")</f>
        <v>LTR</v>
      </c>
      <c r="E42" s="28">
        <f>IFERROR(__xludf.DUMMYFUNCTION("""COMPUTED_VALUE"""),9.0)</f>
        <v>9</v>
      </c>
      <c r="F42" s="52">
        <f>SUMIF(SALES!D:D, A42, SALES!H:H) + SUMIFS('STOCK IN  TRANSFER'!G:G, 'STOCK IN  TRANSFER'!D:D, A42, 'STOCK IN  TRANSFER'!F:F, "TRANSFER") + SUMIFS('STOCK IN  TRANSFER'!G:G, 'STOCK IN  TRANSFER'!D:D, A42, 'STOCK IN  TRANSFER'!F:F, "ADJUSTMENT (-)")</f>
        <v>15</v>
      </c>
      <c r="G42" s="52">
        <f>SUMIFS('STOCK IN  TRANSFER'!G:G, 'STOCK IN  TRANSFER'!D:D, A42, 'STOCK IN  TRANSFER'!F:F, "STOCK IN") + SUMIFS('STOCK IN  TRANSFER'!G:G, 'STOCK IN  TRANSFER'!D:D, A42, 'STOCK IN  TRANSFER'!F:F, "ADJUSTMENT (+)")</f>
        <v>24</v>
      </c>
    </row>
    <row r="43" ht="22.5" customHeight="1">
      <c r="A43" s="13" t="str">
        <f>IFERROR(__xludf.DUMMYFUNCTION("""COMPUTED_VALUE"""),"TOAT-4L")</f>
        <v>TOAT-4L</v>
      </c>
      <c r="B43" s="13" t="str">
        <f>IFERROR(__xludf.DUMMYFUNCTION("""COMPUTED_VALUE"""),"TIMEOUT ACRYLIC THINNER 4L")</f>
        <v>TIMEOUT ACRYLIC THINNER 4L</v>
      </c>
      <c r="C43" s="16">
        <f>IFERROR(__xludf.DUMMYFUNCTION("""COMPUTED_VALUE"""),500.0)</f>
        <v>500</v>
      </c>
      <c r="D43" s="13" t="str">
        <f>IFERROR(__xludf.DUMMYFUNCTION("""COMPUTED_VALUE"""),"GAL")</f>
        <v>GAL</v>
      </c>
      <c r="E43" s="28">
        <f>IFERROR(__xludf.DUMMYFUNCTION("""COMPUTED_VALUE"""),0.0)</f>
        <v>0</v>
      </c>
      <c r="F43" s="52">
        <f>SUMIF(SALES!D:D, A43, SALES!H:H) + SUMIFS('STOCK IN  TRANSFER'!G:G, 'STOCK IN  TRANSFER'!D:D, A43, 'STOCK IN  TRANSFER'!F:F, "TRANSFER") + SUMIFS('STOCK IN  TRANSFER'!G:G, 'STOCK IN  TRANSFER'!D:D, A43, 'STOCK IN  TRANSFER'!F:F, "ADJUSTMENT (-)")</f>
        <v>0</v>
      </c>
      <c r="G43" s="52">
        <f>SUMIFS('STOCK IN  TRANSFER'!G:G, 'STOCK IN  TRANSFER'!D:D, A43, 'STOCK IN  TRANSFER'!F:F, "STOCK IN") + SUMIFS('STOCK IN  TRANSFER'!G:G, 'STOCK IN  TRANSFER'!D:D, A43, 'STOCK IN  TRANSFER'!F:F, "ADJUSTMENT (+)")</f>
        <v>0</v>
      </c>
    </row>
    <row r="44" ht="22.5" customHeight="1">
      <c r="A44" s="13" t="str">
        <f>IFERROR(__xludf.DUMMYFUNCTION("""COMPUTED_VALUE"""),"TOTHALOBLU-4L")</f>
        <v>TOTHALOBLU-4L</v>
      </c>
      <c r="B44" s="13" t="str">
        <f>IFERROR(__xludf.DUMMYFUNCTION("""COMPUTED_VALUE"""),"TIMEOUT ACRYLIC THALO BLUE 4L")</f>
        <v>TIMEOUT ACRYLIC THALO BLUE 4L</v>
      </c>
      <c r="C44" s="16">
        <f>IFERROR(__xludf.DUMMYFUNCTION("""COMPUTED_VALUE"""),1060.0)</f>
        <v>1060</v>
      </c>
      <c r="D44" s="13" t="str">
        <f>IFERROR(__xludf.DUMMYFUNCTION("""COMPUTED_VALUE"""),"GAL")</f>
        <v>GAL</v>
      </c>
      <c r="E44" s="28">
        <f>IFERROR(__xludf.DUMMYFUNCTION("""COMPUTED_VALUE"""),3.0)</f>
        <v>3</v>
      </c>
      <c r="F44" s="52">
        <f>SUMIF(SALES!D:D, A44, SALES!H:H) + SUMIFS('STOCK IN  TRANSFER'!G:G, 'STOCK IN  TRANSFER'!D:D, A44, 'STOCK IN  TRANSFER'!F:F, "TRANSFER") + SUMIFS('STOCK IN  TRANSFER'!G:G, 'STOCK IN  TRANSFER'!D:D, A44, 'STOCK IN  TRANSFER'!F:F, "ADJUSTMENT (-)")</f>
        <v>0</v>
      </c>
      <c r="G44" s="52">
        <f>SUMIFS('STOCK IN  TRANSFER'!G:G, 'STOCK IN  TRANSFER'!D:D, A44, 'STOCK IN  TRANSFER'!F:F, "STOCK IN") + SUMIFS('STOCK IN  TRANSFER'!G:G, 'STOCK IN  TRANSFER'!D:D, A44, 'STOCK IN  TRANSFER'!F:F, "ADJUSTMENT (+)")</f>
        <v>3</v>
      </c>
    </row>
    <row r="45" ht="22.5" customHeight="1">
      <c r="A45" s="13" t="str">
        <f>IFERROR(__xludf.DUMMYFUNCTION("""COMPUTED_VALUE"""),"TLWAX")</f>
        <v>TLWAX</v>
      </c>
      <c r="B45" s="13" t="str">
        <f>IFERROR(__xludf.DUMMYFUNCTION("""COMPUTED_VALUE"""),"TIMELESS PREMIUM LIQUID WAX 5OML")</f>
        <v>TIMELESS PREMIUM LIQUID WAX 5OML</v>
      </c>
      <c r="C45" s="16">
        <f>IFERROR(__xludf.DUMMYFUNCTION("""COMPUTED_VALUE"""),50.0)</f>
        <v>50</v>
      </c>
      <c r="D45" s="13" t="str">
        <f>IFERROR(__xludf.DUMMYFUNCTION("""COMPUTED_VALUE"""),"PC/S")</f>
        <v>PC/S</v>
      </c>
      <c r="E45" s="28">
        <f>IFERROR(__xludf.DUMMYFUNCTION("""COMPUTED_VALUE"""),32.0)</f>
        <v>32</v>
      </c>
      <c r="F45" s="52">
        <f>SUMIF(SALES!D:D, A45, SALES!H:H) + SUMIFS('STOCK IN  TRANSFER'!G:G, 'STOCK IN  TRANSFER'!D:D, A45, 'STOCK IN  TRANSFER'!F:F, "TRANSFER") + SUMIFS('STOCK IN  TRANSFER'!G:G, 'STOCK IN  TRANSFER'!D:D, A45, 'STOCK IN  TRANSFER'!F:F, "ADJUSTMENT (-)")</f>
        <v>15</v>
      </c>
      <c r="G45" s="52">
        <f>SUMIFS('STOCK IN  TRANSFER'!G:G, 'STOCK IN  TRANSFER'!D:D, A45, 'STOCK IN  TRANSFER'!F:F, "STOCK IN") + SUMIFS('STOCK IN  TRANSFER'!G:G, 'STOCK IN  TRANSFER'!D:D, A45, 'STOCK IN  TRANSFER'!F:F, "ADJUSTMENT (+)")</f>
        <v>47</v>
      </c>
    </row>
    <row r="46" ht="22.5" customHeight="1">
      <c r="A46" s="13" t="str">
        <f>IFERROR(__xludf.DUMMYFUNCTION("""COMPUTED_VALUE"""),"ROS-302")</f>
        <v>ROS-302</v>
      </c>
      <c r="B46" s="13" t="str">
        <f>IFERROR(__xludf.DUMMYFUNCTION("""COMPUTED_VALUE"""),"TILE RED ROS-302 RAIN OR SHINE 4L")</f>
        <v>TILE RED ROS-302 RAIN OR SHINE 4L</v>
      </c>
      <c r="C46" s="16">
        <f>IFERROR(__xludf.DUMMYFUNCTION("""COMPUTED_VALUE"""),661.1)</f>
        <v>661.1</v>
      </c>
      <c r="D46" s="13" t="str">
        <f>IFERROR(__xludf.DUMMYFUNCTION("""COMPUTED_VALUE"""),"4L")</f>
        <v>4L</v>
      </c>
      <c r="E46" s="28">
        <f>IFERROR(__xludf.DUMMYFUNCTION("""COMPUTED_VALUE"""),0.0)</f>
        <v>0</v>
      </c>
      <c r="F46" s="52">
        <f>SUMIF(SALES!D:D, A46, SALES!H:H) + SUMIFS('STOCK IN  TRANSFER'!G:G, 'STOCK IN  TRANSFER'!D:D, A46, 'STOCK IN  TRANSFER'!F:F, "TRANSFER") + SUMIFS('STOCK IN  TRANSFER'!G:G, 'STOCK IN  TRANSFER'!D:D, A46, 'STOCK IN  TRANSFER'!F:F, "ADJUSTMENT (-)")</f>
        <v>0</v>
      </c>
      <c r="G46" s="52">
        <f>SUMIFS('STOCK IN  TRANSFER'!G:G, 'STOCK IN  TRANSFER'!D:D, A46, 'STOCK IN  TRANSFER'!F:F, "STOCK IN") + SUMIFS('STOCK IN  TRANSFER'!G:G, 'STOCK IN  TRANSFER'!D:D, A46, 'STOCK IN  TRANSFER'!F:F, "ADJUSTMENT (+)")</f>
        <v>0</v>
      </c>
    </row>
    <row r="47" ht="22.5" customHeight="1">
      <c r="A47" s="13" t="str">
        <f>IFERROR(__xludf.DUMMYFUNCTION("""COMPUTED_VALUE"""),"AC-30-1L")</f>
        <v>AC-30-1L</v>
      </c>
      <c r="B47" s="13" t="str">
        <f>IFERROR(__xludf.DUMMYFUNCTION("""COMPUTED_VALUE"""),"THALO GREEN ACRY-COLOR AC-30 1L DAVIES")</f>
        <v>THALO GREEN ACRY-COLOR AC-30 1L DAVIES</v>
      </c>
      <c r="C47" s="16">
        <f>IFERROR(__xludf.DUMMYFUNCTION("""COMPUTED_VALUE"""),103.0)</f>
        <v>103</v>
      </c>
      <c r="D47" s="13" t="str">
        <f>IFERROR(__xludf.DUMMYFUNCTION("""COMPUTED_VALUE"""),"1L")</f>
        <v>1L</v>
      </c>
      <c r="E47" s="28">
        <f>IFERROR(__xludf.DUMMYFUNCTION("""COMPUTED_VALUE"""),6.0)</f>
        <v>6</v>
      </c>
      <c r="F47" s="52">
        <f>SUMIF(SALES!D:D, A47, SALES!H:H) + SUMIFS('STOCK IN  TRANSFER'!G:G, 'STOCK IN  TRANSFER'!D:D, A47, 'STOCK IN  TRANSFER'!F:F, "TRANSFER") + SUMIFS('STOCK IN  TRANSFER'!G:G, 'STOCK IN  TRANSFER'!D:D, A47, 'STOCK IN  TRANSFER'!F:F, "ADJUSTMENT (-)")</f>
        <v>1</v>
      </c>
      <c r="G47" s="52">
        <f>SUMIFS('STOCK IN  TRANSFER'!G:G, 'STOCK IN  TRANSFER'!D:D, A47, 'STOCK IN  TRANSFER'!F:F, "STOCK IN") + SUMIFS('STOCK IN  TRANSFER'!G:G, 'STOCK IN  TRANSFER'!D:D, A47, 'STOCK IN  TRANSFER'!F:F, "ADJUSTMENT (+)")</f>
        <v>7</v>
      </c>
    </row>
    <row r="48" ht="22.5" customHeight="1">
      <c r="A48" s="13" t="str">
        <f>IFERROR(__xludf.DUMMYFUNCTION("""COMPUTED_VALUE"""),"AC-20-1L")</f>
        <v>AC-20-1L</v>
      </c>
      <c r="B48" s="13" t="str">
        <f>IFERROR(__xludf.DUMMYFUNCTION("""COMPUTED_VALUE"""),"THALO BLUE ACRY-COLOR AC-20 1L DAVIES")</f>
        <v>THALO BLUE ACRY-COLOR AC-20 1L DAVIES</v>
      </c>
      <c r="C48" s="16">
        <f>IFERROR(__xludf.DUMMYFUNCTION("""COMPUTED_VALUE"""),103.0)</f>
        <v>103</v>
      </c>
      <c r="D48" s="13" t="str">
        <f>IFERROR(__xludf.DUMMYFUNCTION("""COMPUTED_VALUE"""),"1L")</f>
        <v>1L</v>
      </c>
      <c r="E48" s="28">
        <f>IFERROR(__xludf.DUMMYFUNCTION("""COMPUTED_VALUE"""),0.0)</f>
        <v>0</v>
      </c>
      <c r="F48" s="52">
        <f>SUMIF(SALES!D:D, A48, SALES!H:H) + SUMIFS('STOCK IN  TRANSFER'!G:G, 'STOCK IN  TRANSFER'!D:D, A48, 'STOCK IN  TRANSFER'!F:F, "TRANSFER") + SUMIFS('STOCK IN  TRANSFER'!G:G, 'STOCK IN  TRANSFER'!D:D, A48, 'STOCK IN  TRANSFER'!F:F, "ADJUSTMENT (-)")</f>
        <v>2</v>
      </c>
      <c r="G48" s="52">
        <f>SUMIFS('STOCK IN  TRANSFER'!G:G, 'STOCK IN  TRANSFER'!D:D, A48, 'STOCK IN  TRANSFER'!F:F, "STOCK IN") + SUMIFS('STOCK IN  TRANSFER'!G:G, 'STOCK IN  TRANSFER'!D:D, A48, 'STOCK IN  TRANSFER'!F:F, "ADJUSTMENT (+)")</f>
        <v>2</v>
      </c>
    </row>
    <row r="49" ht="22.5" customHeight="1">
      <c r="A49" s="13" t="str">
        <f>IFERROR(__xludf.DUMMYFUNCTION("""COMPUTED_VALUE"""),"TEXAS")</f>
        <v>TEXAS</v>
      </c>
      <c r="B49" s="13" t="str">
        <f>IFERROR(__xludf.DUMMYFUNCTION("""COMPUTED_VALUE"""),"TEXAS RUBBERIZED")</f>
        <v>TEXAS RUBBERIZED</v>
      </c>
      <c r="C49" s="16">
        <f>IFERROR(__xludf.DUMMYFUNCTION("""COMPUTED_VALUE"""),500.0)</f>
        <v>500</v>
      </c>
      <c r="D49" s="13" t="str">
        <f>IFERROR(__xludf.DUMMYFUNCTION("""COMPUTED_VALUE"""),"GAL")</f>
        <v>GAL</v>
      </c>
      <c r="E49" s="28">
        <f>IFERROR(__xludf.DUMMYFUNCTION("""COMPUTED_VALUE"""),0.0)</f>
        <v>0</v>
      </c>
      <c r="F49" s="52">
        <f>SUMIF(SALES!D:D, A49, SALES!H:H) + SUMIFS('STOCK IN  TRANSFER'!G:G, 'STOCK IN  TRANSFER'!D:D, A49, 'STOCK IN  TRANSFER'!F:F, "TRANSFER") + SUMIFS('STOCK IN  TRANSFER'!G:G, 'STOCK IN  TRANSFER'!D:D, A49, 'STOCK IN  TRANSFER'!F:F, "ADJUSTMENT (-)")</f>
        <v>0</v>
      </c>
      <c r="G49" s="52">
        <f>SUMIFS('STOCK IN  TRANSFER'!G:G, 'STOCK IN  TRANSFER'!D:D, A49, 'STOCK IN  TRANSFER'!F:F, "STOCK IN") + SUMIFS('STOCK IN  TRANSFER'!G:G, 'STOCK IN  TRANSFER'!D:D, A49, 'STOCK IN  TRANSFER'!F:F, "ADJUSTMENT (+)")</f>
        <v>0</v>
      </c>
    </row>
    <row r="50" ht="22.5" customHeight="1">
      <c r="A50" s="13" t="str">
        <f>IFERROR(__xludf.DUMMYFUNCTION("""COMPUTED_VALUE"""),"MTX")</f>
        <v>MTX</v>
      </c>
      <c r="B50" s="13" t="str">
        <f>IFERROR(__xludf.DUMMYFUNCTION("""COMPUTED_VALUE"""),"SUPRA GLOSS (TURTLE WAX)")</f>
        <v>SUPRA GLOSS (TURTLE WAX)</v>
      </c>
      <c r="C50" s="16">
        <f>IFERROR(__xludf.DUMMYFUNCTION("""COMPUTED_VALUE"""),700.0)</f>
        <v>700</v>
      </c>
      <c r="D50" s="13" t="str">
        <f>IFERROR(__xludf.DUMMYFUNCTION("""COMPUTED_VALUE"""),"LTR")</f>
        <v>LTR</v>
      </c>
      <c r="E50" s="28">
        <f>IFERROR(__xludf.DUMMYFUNCTION("""COMPUTED_VALUE"""),11.0)</f>
        <v>11</v>
      </c>
      <c r="F50" s="52">
        <f>SUMIF(SALES!D:D, A50, SALES!H:H) + SUMIFS('STOCK IN  TRANSFER'!G:G, 'STOCK IN  TRANSFER'!D:D, A50, 'STOCK IN  TRANSFER'!F:F, "TRANSFER") + SUMIFS('STOCK IN  TRANSFER'!G:G, 'STOCK IN  TRANSFER'!D:D, A50, 'STOCK IN  TRANSFER'!F:F, "ADJUSTMENT (-)")</f>
        <v>1</v>
      </c>
      <c r="G50" s="52">
        <f>SUMIFS('STOCK IN  TRANSFER'!G:G, 'STOCK IN  TRANSFER'!D:D, A50, 'STOCK IN  TRANSFER'!F:F, "STOCK IN") + SUMIFS('STOCK IN  TRANSFER'!G:G, 'STOCK IN  TRANSFER'!D:D, A50, 'STOCK IN  TRANSFER'!F:F, "ADJUSTMENT (+)")</f>
        <v>12</v>
      </c>
    </row>
    <row r="51" ht="22.5" customHeight="1">
      <c r="A51" s="13" t="str">
        <f>IFERROR(__xludf.DUMMYFUNCTION("""COMPUTED_VALUE"""),"WEBER")</f>
        <v>WEBER</v>
      </c>
      <c r="B51" s="13" t="str">
        <f>IFERROR(__xludf.DUMMYFUNCTION("""COMPUTED_VALUE"""),"SPRAY GUN F-75G WEBER")</f>
        <v>SPRAY GUN F-75G WEBER</v>
      </c>
      <c r="C51" s="16">
        <f>IFERROR(__xludf.DUMMYFUNCTION("""COMPUTED_VALUE"""),750.0)</f>
        <v>750</v>
      </c>
      <c r="D51" s="13" t="str">
        <f>IFERROR(__xludf.DUMMYFUNCTION("""COMPUTED_VALUE"""),"SET")</f>
        <v>SET</v>
      </c>
      <c r="E51" s="28">
        <f>IFERROR(__xludf.DUMMYFUNCTION("""COMPUTED_VALUE"""),0.0)</f>
        <v>0</v>
      </c>
      <c r="F51" s="52">
        <f>SUMIF(SALES!D:D, A51, SALES!H:H) + SUMIFS('STOCK IN  TRANSFER'!G:G, 'STOCK IN  TRANSFER'!D:D, A51, 'STOCK IN  TRANSFER'!F:F, "TRANSFER") + SUMIFS('STOCK IN  TRANSFER'!G:G, 'STOCK IN  TRANSFER'!D:D, A51, 'STOCK IN  TRANSFER'!F:F, "ADJUSTMENT (-)")</f>
        <v>1</v>
      </c>
      <c r="G51" s="52">
        <f>SUMIFS('STOCK IN  TRANSFER'!G:G, 'STOCK IN  TRANSFER'!D:D, A51, 'STOCK IN  TRANSFER'!F:F, "STOCK IN") + SUMIFS('STOCK IN  TRANSFER'!G:G, 'STOCK IN  TRANSFER'!D:D, A51, 'STOCK IN  TRANSFER'!F:F, "ADJUSTMENT (+)")</f>
        <v>1</v>
      </c>
    </row>
    <row r="52" ht="22.5" customHeight="1">
      <c r="A52" s="13" t="str">
        <f>IFERROR(__xludf.DUMMYFUNCTION("""COMPUTED_VALUE"""),"B-715")</f>
        <v>B-715</v>
      </c>
      <c r="B52" s="13" t="str">
        <f>IFERROR(__xludf.DUMMYFUNCTION("""COMPUTED_VALUE"""),"SEMI GLOSS WHITE ACRYLIC LATEX B-715 BOYSEN 4L")</f>
        <v>SEMI GLOSS WHITE ACRYLIC LATEX B-715 BOYSEN 4L</v>
      </c>
      <c r="C52" s="16">
        <f>IFERROR(__xludf.DUMMYFUNCTION("""COMPUTED_VALUE"""),728.0)</f>
        <v>728</v>
      </c>
      <c r="D52" s="13" t="str">
        <f>IFERROR(__xludf.DUMMYFUNCTION("""COMPUTED_VALUE"""),"4L")</f>
        <v>4L</v>
      </c>
      <c r="E52" s="28">
        <f>IFERROR(__xludf.DUMMYFUNCTION("""COMPUTED_VALUE"""),0.0)</f>
        <v>0</v>
      </c>
      <c r="F52" s="52">
        <f>SUMIF(SALES!D:D, A52, SALES!H:H) + SUMIFS('STOCK IN  TRANSFER'!G:G, 'STOCK IN  TRANSFER'!D:D, A52, 'STOCK IN  TRANSFER'!F:F, "TRANSFER") + SUMIFS('STOCK IN  TRANSFER'!G:G, 'STOCK IN  TRANSFER'!D:D, A52, 'STOCK IN  TRANSFER'!F:F, "ADJUSTMENT (-)")</f>
        <v>0</v>
      </c>
      <c r="G52" s="52">
        <f>SUMIFS('STOCK IN  TRANSFER'!G:G, 'STOCK IN  TRANSFER'!D:D, A52, 'STOCK IN  TRANSFER'!F:F, "STOCK IN") + SUMIFS('STOCK IN  TRANSFER'!G:G, 'STOCK IN  TRANSFER'!D:D, A52, 'STOCK IN  TRANSFER'!F:F, "ADJUSTMENT (+)")</f>
        <v>0</v>
      </c>
    </row>
    <row r="53" ht="22.5" customHeight="1">
      <c r="A53" s="13" t="str">
        <f>IFERROR(__xludf.DUMMYFUNCTION("""COMPUTED_VALUE"""),"EA80")</f>
        <v>EA80</v>
      </c>
      <c r="B53" s="13" t="str">
        <f>IFERROR(__xludf.DUMMYFUNCTION("""COMPUTED_VALUE"""),"SAND PAPER #80")</f>
        <v>SAND PAPER #80</v>
      </c>
      <c r="C53" s="16">
        <f>IFERROR(__xludf.DUMMYFUNCTION("""COMPUTED_VALUE"""),28.0)</f>
        <v>28</v>
      </c>
      <c r="D53" s="13" t="str">
        <f>IFERROR(__xludf.DUMMYFUNCTION("""COMPUTED_VALUE"""),"PC/S")</f>
        <v>PC/S</v>
      </c>
      <c r="E53" s="28">
        <f>IFERROR(__xludf.DUMMYFUNCTION("""COMPUTED_VALUE"""),136.0)</f>
        <v>136</v>
      </c>
      <c r="F53" s="52">
        <f>SUMIF(SALES!D:D, A53, SALES!H:H) + SUMIFS('STOCK IN  TRANSFER'!G:G, 'STOCK IN  TRANSFER'!D:D, A53, 'STOCK IN  TRANSFER'!F:F, "TRANSFER") + SUMIFS('STOCK IN  TRANSFER'!G:G, 'STOCK IN  TRANSFER'!D:D, A53, 'STOCK IN  TRANSFER'!F:F, "ADJUSTMENT (-)")</f>
        <v>24</v>
      </c>
      <c r="G53" s="52">
        <f>SUMIFS('STOCK IN  TRANSFER'!G:G, 'STOCK IN  TRANSFER'!D:D, A53, 'STOCK IN  TRANSFER'!F:F, "STOCK IN") + SUMIFS('STOCK IN  TRANSFER'!G:G, 'STOCK IN  TRANSFER'!D:D, A53, 'STOCK IN  TRANSFER'!F:F, "ADJUSTMENT (+)")</f>
        <v>160</v>
      </c>
    </row>
    <row r="54" ht="22.5" customHeight="1">
      <c r="A54" s="13" t="str">
        <f>IFERROR(__xludf.DUMMYFUNCTION("""COMPUTED_VALUE"""),"EA100")</f>
        <v>EA100</v>
      </c>
      <c r="B54" s="13" t="str">
        <f>IFERROR(__xludf.DUMMYFUNCTION("""COMPUTED_VALUE"""),"SAND PAPER #100")</f>
        <v>SAND PAPER #100</v>
      </c>
      <c r="C54" s="16">
        <f>IFERROR(__xludf.DUMMYFUNCTION("""COMPUTED_VALUE"""),28.0)</f>
        <v>28</v>
      </c>
      <c r="D54" s="13" t="str">
        <f>IFERROR(__xludf.DUMMYFUNCTION("""COMPUTED_VALUE"""),"PC/S")</f>
        <v>PC/S</v>
      </c>
      <c r="E54" s="28">
        <f>IFERROR(__xludf.DUMMYFUNCTION("""COMPUTED_VALUE"""),104.0)</f>
        <v>104</v>
      </c>
      <c r="F54" s="52">
        <f>SUMIF(SALES!D:D, A54, SALES!H:H) + SUMIFS('STOCK IN  TRANSFER'!G:G, 'STOCK IN  TRANSFER'!D:D, A54, 'STOCK IN  TRANSFER'!F:F, "TRANSFER") + SUMIFS('STOCK IN  TRANSFER'!G:G, 'STOCK IN  TRANSFER'!D:D, A54, 'STOCK IN  TRANSFER'!F:F, "ADJUSTMENT (-)")</f>
        <v>5</v>
      </c>
      <c r="G54" s="52">
        <f>SUMIFS('STOCK IN  TRANSFER'!G:G, 'STOCK IN  TRANSFER'!D:D, A54, 'STOCK IN  TRANSFER'!F:F, "STOCK IN") + SUMIFS('STOCK IN  TRANSFER'!G:G, 'STOCK IN  TRANSFER'!D:D, A54, 'STOCK IN  TRANSFER'!F:F, "ADJUSTMENT (+)")</f>
        <v>109</v>
      </c>
    </row>
    <row r="55" ht="22.5" customHeight="1">
      <c r="A55" s="13" t="str">
        <f>IFERROR(__xludf.DUMMYFUNCTION("""COMPUTED_VALUE"""),"ROS-SR-183")</f>
        <v>ROS-SR-183</v>
      </c>
      <c r="B55" s="13" t="str">
        <f>IFERROR(__xludf.DUMMYFUNCTION("""COMPUTED_VALUE"""),"SAMAR BEIGE SUN ROOF ROS-SR-183 RAIN OR SHINE 4L")</f>
        <v>SAMAR BEIGE SUN ROOF ROS-SR-183 RAIN OR SHINE 4L</v>
      </c>
      <c r="C55" s="16">
        <f>IFERROR(__xludf.DUMMYFUNCTION("""COMPUTED_VALUE"""),577.6)</f>
        <v>577.6</v>
      </c>
      <c r="D55" s="13" t="str">
        <f>IFERROR(__xludf.DUMMYFUNCTION("""COMPUTED_VALUE"""),"4L")</f>
        <v>4L</v>
      </c>
      <c r="E55" s="28">
        <f>IFERROR(__xludf.DUMMYFUNCTION("""COMPUTED_VALUE"""),2.0)</f>
        <v>2</v>
      </c>
      <c r="F55" s="52">
        <f>SUMIF(SALES!D:D, A55, SALES!H:H) + SUMIFS('STOCK IN  TRANSFER'!G:G, 'STOCK IN  TRANSFER'!D:D, A55, 'STOCK IN  TRANSFER'!F:F, "TRANSFER") + SUMIFS('STOCK IN  TRANSFER'!G:G, 'STOCK IN  TRANSFER'!D:D, A55, 'STOCK IN  TRANSFER'!F:F, "ADJUSTMENT (-)")</f>
        <v>0</v>
      </c>
      <c r="G55" s="52">
        <f>SUMIFS('STOCK IN  TRANSFER'!G:G, 'STOCK IN  TRANSFER'!D:D, A55, 'STOCK IN  TRANSFER'!F:F, "STOCK IN") + SUMIFS('STOCK IN  TRANSFER'!G:G, 'STOCK IN  TRANSFER'!D:D, A55, 'STOCK IN  TRANSFER'!F:F, "ADJUSTMENT (+)")</f>
        <v>2</v>
      </c>
    </row>
    <row r="56" ht="22.5" customHeight="1">
      <c r="A56" s="13" t="str">
        <f>IFERROR(__xludf.DUMMYFUNCTION("""COMPUTED_VALUE"""),"RUGBY")</f>
        <v>RUGBY</v>
      </c>
      <c r="B56" s="13" t="str">
        <f>IFERROR(__xludf.DUMMYFUNCTION("""COMPUTED_VALUE"""),"RUGBY")</f>
        <v>RUGBY</v>
      </c>
      <c r="C56" s="16">
        <f>IFERROR(__xludf.DUMMYFUNCTION("""COMPUTED_VALUE"""),66.0)</f>
        <v>66</v>
      </c>
      <c r="D56" s="13" t="str">
        <f>IFERROR(__xludf.DUMMYFUNCTION("""COMPUTED_VALUE"""),"PCS")</f>
        <v>PCS</v>
      </c>
      <c r="E56" s="28">
        <f>IFERROR(__xludf.DUMMYFUNCTION("""COMPUTED_VALUE"""),15.0)</f>
        <v>15</v>
      </c>
      <c r="F56" s="52">
        <f>SUMIF(SALES!D:D, A56, SALES!H:H) + SUMIFS('STOCK IN  TRANSFER'!G:G, 'STOCK IN  TRANSFER'!D:D, A56, 'STOCK IN  TRANSFER'!F:F, "TRANSFER") + SUMIFS('STOCK IN  TRANSFER'!G:G, 'STOCK IN  TRANSFER'!D:D, A56, 'STOCK IN  TRANSFER'!F:F, "ADJUSTMENT (-)")</f>
        <v>3</v>
      </c>
      <c r="G56" s="52">
        <f>SUMIFS('STOCK IN  TRANSFER'!G:G, 'STOCK IN  TRANSFER'!D:D, A56, 'STOCK IN  TRANSFER'!F:F, "STOCK IN") + SUMIFS('STOCK IN  TRANSFER'!G:G, 'STOCK IN  TRANSFER'!D:D, A56, 'STOCK IN  TRANSFER'!F:F, "ADJUSTMENT (+)")</f>
        <v>18</v>
      </c>
    </row>
    <row r="57" ht="22.5" customHeight="1">
      <c r="A57" s="13" t="str">
        <f>IFERROR(__xludf.DUMMYFUNCTION("""COMPUTED_VALUE"""),"ROBPNTSTRNR")</f>
        <v>ROBPNTSTRNR</v>
      </c>
      <c r="B57" s="13" t="str">
        <f>IFERROR(__xludf.DUMMYFUNCTION("""COMPUTED_VALUE"""),"ROBFILTER PAINT STRAINER 125M")</f>
        <v>ROBFILTER PAINT STRAINER 125M</v>
      </c>
      <c r="C57" s="16">
        <f>IFERROR(__xludf.DUMMYFUNCTION("""COMPUTED_VALUE"""),11.0)</f>
        <v>11</v>
      </c>
      <c r="D57" s="13" t="str">
        <f>IFERROR(__xludf.DUMMYFUNCTION("""COMPUTED_VALUE"""),"PC/S")</f>
        <v>PC/S</v>
      </c>
      <c r="E57" s="28">
        <f>IFERROR(__xludf.DUMMYFUNCTION("""COMPUTED_VALUE"""),8.0)</f>
        <v>8</v>
      </c>
      <c r="F57" s="52">
        <f>SUMIF(SALES!D:D, A57, SALES!H:H) + SUMIFS('STOCK IN  TRANSFER'!G:G, 'STOCK IN  TRANSFER'!D:D, A57, 'STOCK IN  TRANSFER'!F:F, "TRANSFER") + SUMIFS('STOCK IN  TRANSFER'!G:G, 'STOCK IN  TRANSFER'!D:D, A57, 'STOCK IN  TRANSFER'!F:F, "ADJUSTMENT (-)")</f>
        <v>7</v>
      </c>
      <c r="G57" s="52">
        <f>SUMIFS('STOCK IN  TRANSFER'!G:G, 'STOCK IN  TRANSFER'!D:D, A57, 'STOCK IN  TRANSFER'!F:F, "STOCK IN") + SUMIFS('STOCK IN  TRANSFER'!G:G, 'STOCK IN  TRANSFER'!D:D, A57, 'STOCK IN  TRANSFER'!F:F, "ADJUSTMENT (+)")</f>
        <v>15</v>
      </c>
    </row>
    <row r="58" ht="22.5" customHeight="1">
      <c r="A58" s="13" t="str">
        <f>IFERROR(__xludf.DUMMYFUNCTION("""COMPUTED_VALUE"""),"ROBTCKCLTH")</f>
        <v>ROBTCKCLTH</v>
      </c>
      <c r="B58" s="13" t="str">
        <f>IFERROR(__xludf.DUMMYFUNCTION("""COMPUTED_VALUE"""),"ROBERLO TACK CLOTH")</f>
        <v>ROBERLO TACK CLOTH</v>
      </c>
      <c r="C58" s="16">
        <f>IFERROR(__xludf.DUMMYFUNCTION("""COMPUTED_VALUE"""),40.0)</f>
        <v>40</v>
      </c>
      <c r="D58" s="13" t="str">
        <f>IFERROR(__xludf.DUMMYFUNCTION("""COMPUTED_VALUE"""),"PCS")</f>
        <v>PCS</v>
      </c>
      <c r="E58" s="28">
        <f>IFERROR(__xludf.DUMMYFUNCTION("""COMPUTED_VALUE"""),0.0)</f>
        <v>0</v>
      </c>
      <c r="F58" s="52">
        <f>SUMIF(SALES!D:D, A58, SALES!H:H) + SUMIFS('STOCK IN  TRANSFER'!G:G, 'STOCK IN  TRANSFER'!D:D, A58, 'STOCK IN  TRANSFER'!F:F, "TRANSFER") + SUMIFS('STOCK IN  TRANSFER'!G:G, 'STOCK IN  TRANSFER'!D:D, A58, 'STOCK IN  TRANSFER'!F:F, "ADJUSTMENT (-)")</f>
        <v>0</v>
      </c>
      <c r="G58" s="52">
        <f>SUMIFS('STOCK IN  TRANSFER'!G:G, 'STOCK IN  TRANSFER'!D:D, A58, 'STOCK IN  TRANSFER'!F:F, "STOCK IN") + SUMIFS('STOCK IN  TRANSFER'!G:G, 'STOCK IN  TRANSFER'!D:D, A58, 'STOCK IN  TRANSFER'!F:F, "ADJUSTMENT (+)")</f>
        <v>0</v>
      </c>
    </row>
    <row r="59" ht="22.5" customHeight="1">
      <c r="A59" s="13" t="str">
        <f>IFERROR(__xludf.DUMMYFUNCTION("""COMPUTED_VALUE"""),"ROBRC-1KG")</f>
        <v>ROBRC-1KG</v>
      </c>
      <c r="B59" s="13" t="str">
        <f>IFERROR(__xludf.DUMMYFUNCTION("""COMPUTED_VALUE"""),"ROBERLO RUBBING COMPOUND 1KG")</f>
        <v>ROBERLO RUBBING COMPOUND 1KG</v>
      </c>
      <c r="C59" s="16">
        <f>IFERROR(__xludf.DUMMYFUNCTION("""COMPUTED_VALUE"""),780.0)</f>
        <v>780</v>
      </c>
      <c r="D59" s="13" t="str">
        <f>IFERROR(__xludf.DUMMYFUNCTION("""COMPUTED_VALUE"""),"KG")</f>
        <v>KG</v>
      </c>
      <c r="E59" s="28">
        <f>IFERROR(__xludf.DUMMYFUNCTION("""COMPUTED_VALUE"""),3.5)</f>
        <v>3.5</v>
      </c>
      <c r="F59" s="52">
        <f>SUMIF(SALES!D:D, A59, SALES!H:H) + SUMIFS('STOCK IN  TRANSFER'!G:G, 'STOCK IN  TRANSFER'!D:D, A59, 'STOCK IN  TRANSFER'!F:F, "TRANSFER") + SUMIFS('STOCK IN  TRANSFER'!G:G, 'STOCK IN  TRANSFER'!D:D, A59, 'STOCK IN  TRANSFER'!F:F, "ADJUSTMENT (-)")</f>
        <v>9.25</v>
      </c>
      <c r="G59" s="52">
        <f>SUMIFS('STOCK IN  TRANSFER'!G:G, 'STOCK IN  TRANSFER'!D:D, A59, 'STOCK IN  TRANSFER'!F:F, "STOCK IN") + SUMIFS('STOCK IN  TRANSFER'!G:G, 'STOCK IN  TRANSFER'!D:D, A59, 'STOCK IN  TRANSFER'!F:F, "ADJUSTMENT (+)")</f>
        <v>12.75</v>
      </c>
    </row>
    <row r="60" ht="22.5" customHeight="1">
      <c r="A60" s="13" t="str">
        <f>IFERROR(__xludf.DUMMYFUNCTION("""COMPUTED_VALUE"""),"B-1750")</f>
        <v>B-1750</v>
      </c>
      <c r="B60" s="13" t="str">
        <f>IFERROR(__xludf.DUMMYFUNCTION("""COMPUTED_VALUE"""),"REDUCER ACRYTEX B-1750 BOYSEN 4L")</f>
        <v>REDUCER ACRYTEX B-1750 BOYSEN 4L</v>
      </c>
      <c r="C60" s="16">
        <f>IFERROR(__xludf.DUMMYFUNCTION("""COMPUTED_VALUE"""),479.0)</f>
        <v>479</v>
      </c>
      <c r="D60" s="13" t="str">
        <f>IFERROR(__xludf.DUMMYFUNCTION("""COMPUTED_VALUE"""),"4L")</f>
        <v>4L</v>
      </c>
      <c r="E60" s="28">
        <f>IFERROR(__xludf.DUMMYFUNCTION("""COMPUTED_VALUE"""),0.0)</f>
        <v>0</v>
      </c>
      <c r="F60" s="52">
        <f>SUMIF(SALES!D:D, A60, SALES!H:H) + SUMIFS('STOCK IN  TRANSFER'!G:G, 'STOCK IN  TRANSFER'!D:D, A60, 'STOCK IN  TRANSFER'!F:F, "TRANSFER") + SUMIFS('STOCK IN  TRANSFER'!G:G, 'STOCK IN  TRANSFER'!D:D, A60, 'STOCK IN  TRANSFER'!F:F, "ADJUSTMENT (-)")</f>
        <v>3</v>
      </c>
      <c r="G60" s="52">
        <f>SUMIFS('STOCK IN  TRANSFER'!G:G, 'STOCK IN  TRANSFER'!D:D, A60, 'STOCK IN  TRANSFER'!F:F, "STOCK IN") + SUMIFS('STOCK IN  TRANSFER'!G:G, 'STOCK IN  TRANSFER'!D:D, A60, 'STOCK IN  TRANSFER'!F:F, "ADJUSTMENT (+)")</f>
        <v>3</v>
      </c>
    </row>
    <row r="61" ht="22.5" customHeight="1">
      <c r="A61" s="13" t="str">
        <f>IFERROR(__xludf.DUMMYFUNCTION("""COMPUTED_VALUE"""),"PWTCO-4333")</f>
        <v>PWTCO-4333</v>
      </c>
      <c r="B61" s="13" t="str">
        <f>IFERROR(__xludf.DUMMYFUNCTION("""COMPUTED_VALUE"""),"RAW UMBER TINTING COLOR PWTCO-4333 1/4L PREMIUM WELCOAT")</f>
        <v>RAW UMBER TINTING COLOR PWTCO-4333 1/4L PREMIUM WELCOAT</v>
      </c>
      <c r="C61" s="16">
        <f>IFERROR(__xludf.DUMMYFUNCTION("""COMPUTED_VALUE"""),72.0195)</f>
        <v>72.0195</v>
      </c>
      <c r="D61" s="13" t="str">
        <f>IFERROR(__xludf.DUMMYFUNCTION("""COMPUTED_VALUE"""),"1/4L")</f>
        <v>1/4L</v>
      </c>
      <c r="E61" s="28">
        <f>IFERROR(__xludf.DUMMYFUNCTION("""COMPUTED_VALUE"""),1.0)</f>
        <v>1</v>
      </c>
      <c r="F61" s="52">
        <f>SUMIF(SALES!D:D, A61, SALES!H:H) + SUMIFS('STOCK IN  TRANSFER'!G:G, 'STOCK IN  TRANSFER'!D:D, A61, 'STOCK IN  TRANSFER'!F:F, "TRANSFER") + SUMIFS('STOCK IN  TRANSFER'!G:G, 'STOCK IN  TRANSFER'!D:D, A61, 'STOCK IN  TRANSFER'!F:F, "ADJUSTMENT (-)")</f>
        <v>0</v>
      </c>
      <c r="G61" s="52">
        <f>SUMIFS('STOCK IN  TRANSFER'!G:G, 'STOCK IN  TRANSFER'!D:D, A61, 'STOCK IN  TRANSFER'!F:F, "STOCK IN") + SUMIFS('STOCK IN  TRANSFER'!G:G, 'STOCK IN  TRANSFER'!D:D, A61, 'STOCK IN  TRANSFER'!F:F, "ADJUSTMENT (+)")</f>
        <v>1</v>
      </c>
    </row>
    <row r="62" ht="22.5" customHeight="1">
      <c r="A62" s="13" t="str">
        <f>IFERROR(__xludf.DUMMYFUNCTION("""COMPUTED_VALUE"""),"PWTAC-4317-1L")</f>
        <v>PWTAC-4317-1L</v>
      </c>
      <c r="B62" s="13" t="str">
        <f>IFERROR(__xludf.DUMMYFUNCTION("""COMPUTED_VALUE"""),"RAW UMBER ACRY-COLOR PWTAC-4317 1L WELCOAT PREMIUM")</f>
        <v>RAW UMBER ACRY-COLOR PWTAC-4317 1L WELCOAT PREMIUM</v>
      </c>
      <c r="C62" s="16">
        <f>IFERROR(__xludf.DUMMYFUNCTION("""COMPUTED_VALUE"""),104.6)</f>
        <v>104.6</v>
      </c>
      <c r="D62" s="13" t="str">
        <f>IFERROR(__xludf.DUMMYFUNCTION("""COMPUTED_VALUE"""),"1L")</f>
        <v>1L</v>
      </c>
      <c r="E62" s="28">
        <f>IFERROR(__xludf.DUMMYFUNCTION("""COMPUTED_VALUE"""),6.0)</f>
        <v>6</v>
      </c>
      <c r="F62" s="52">
        <f>SUMIF(SALES!D:D, A62, SALES!H:H) + SUMIFS('STOCK IN  TRANSFER'!G:G, 'STOCK IN  TRANSFER'!D:D, A62, 'STOCK IN  TRANSFER'!F:F, "TRANSFER") + SUMIFS('STOCK IN  TRANSFER'!G:G, 'STOCK IN  TRANSFER'!D:D, A62, 'STOCK IN  TRANSFER'!F:F, "ADJUSTMENT (-)")</f>
        <v>0</v>
      </c>
      <c r="G62" s="52">
        <f>SUMIFS('STOCK IN  TRANSFER'!G:G, 'STOCK IN  TRANSFER'!D:D, A62, 'STOCK IN  TRANSFER'!F:F, "STOCK IN") + SUMIFS('STOCK IN  TRANSFER'!G:G, 'STOCK IN  TRANSFER'!D:D, A62, 'STOCK IN  TRANSFER'!F:F, "ADJUSTMENT (+)")</f>
        <v>6</v>
      </c>
    </row>
    <row r="63" ht="22.5" customHeight="1">
      <c r="A63" s="13" t="str">
        <f>IFERROR(__xludf.DUMMYFUNCTION("""COMPUTED_VALUE"""),"AC-90-1L")</f>
        <v>AC-90-1L</v>
      </c>
      <c r="B63" s="13" t="str">
        <f>IFERROR(__xludf.DUMMYFUNCTION("""COMPUTED_VALUE"""),"RAW SIENNA ACRY-COLOR AC-90 1L DAVIES")</f>
        <v>RAW SIENNA ACRY-COLOR AC-90 1L DAVIES</v>
      </c>
      <c r="C63" s="16">
        <f>IFERROR(__xludf.DUMMYFUNCTION("""COMPUTED_VALUE"""),115.0)</f>
        <v>115</v>
      </c>
      <c r="D63" s="13" t="str">
        <f>IFERROR(__xludf.DUMMYFUNCTION("""COMPUTED_VALUE"""),"1L")</f>
        <v>1L</v>
      </c>
      <c r="E63" s="28">
        <f>IFERROR(__xludf.DUMMYFUNCTION("""COMPUTED_VALUE"""),2.0)</f>
        <v>2</v>
      </c>
      <c r="F63" s="52">
        <f>SUMIF(SALES!D:D, A63, SALES!H:H) + SUMIFS('STOCK IN  TRANSFER'!G:G, 'STOCK IN  TRANSFER'!D:D, A63, 'STOCK IN  TRANSFER'!F:F, "TRANSFER") + SUMIFS('STOCK IN  TRANSFER'!G:G, 'STOCK IN  TRANSFER'!D:D, A63, 'STOCK IN  TRANSFER'!F:F, "ADJUSTMENT (-)")</f>
        <v>2</v>
      </c>
      <c r="G63" s="52">
        <f>SUMIFS('STOCK IN  TRANSFER'!G:G, 'STOCK IN  TRANSFER'!D:D, A63, 'STOCK IN  TRANSFER'!F:F, "STOCK IN") + SUMIFS('STOCK IN  TRANSFER'!G:G, 'STOCK IN  TRANSFER'!D:D, A63, 'STOCK IN  TRANSFER'!F:F, "ADJUSTMENT (+)")</f>
        <v>4</v>
      </c>
    </row>
    <row r="64" ht="22.5" customHeight="1">
      <c r="A64" s="13" t="str">
        <f>IFERROR(__xludf.DUMMYFUNCTION("""COMPUTED_VALUE"""),"ROS-1000")</f>
        <v>ROS-1000</v>
      </c>
      <c r="B64" s="13" t="str">
        <f>IFERROR(__xludf.DUMMYFUNCTION("""COMPUTED_VALUE"""),"RAIN OR SHINE XTRA GLOSS 4L")</f>
        <v>RAIN OR SHINE XTRA GLOSS 4L</v>
      </c>
      <c r="C64" s="16">
        <f>IFERROR(__xludf.DUMMYFUNCTION("""COMPUTED_VALUE"""),656.0)</f>
        <v>656</v>
      </c>
      <c r="D64" s="13" t="str">
        <f>IFERROR(__xludf.DUMMYFUNCTION("""COMPUTED_VALUE"""),"GALON")</f>
        <v>GALON</v>
      </c>
      <c r="E64" s="28">
        <f>IFERROR(__xludf.DUMMYFUNCTION("""COMPUTED_VALUE"""),0.0)</f>
        <v>0</v>
      </c>
      <c r="F64" s="52">
        <f>SUMIF(SALES!D:D, A64, SALES!H:H) + SUMIFS('STOCK IN  TRANSFER'!G:G, 'STOCK IN  TRANSFER'!D:D, A64, 'STOCK IN  TRANSFER'!F:F, "TRANSFER") + SUMIFS('STOCK IN  TRANSFER'!G:G, 'STOCK IN  TRANSFER'!D:D, A64, 'STOCK IN  TRANSFER'!F:F, "ADJUSTMENT (-)")</f>
        <v>0</v>
      </c>
      <c r="G64" s="52">
        <f>SUMIFS('STOCK IN  TRANSFER'!G:G, 'STOCK IN  TRANSFER'!D:D, A64, 'STOCK IN  TRANSFER'!F:F, "STOCK IN") + SUMIFS('STOCK IN  TRANSFER'!G:G, 'STOCK IN  TRANSFER'!D:D, A64, 'STOCK IN  TRANSFER'!F:F, "ADJUSTMENT (+)")</f>
        <v>0</v>
      </c>
    </row>
    <row r="65" ht="22.5" customHeight="1">
      <c r="A65" s="13" t="str">
        <f>IFERROR(__xludf.DUMMYFUNCTION("""COMPUTED_VALUE"""),"ROS-109")</f>
        <v>ROS-109</v>
      </c>
      <c r="B65" s="13" t="str">
        <f>IFERROR(__xludf.DUMMYFUNCTION("""COMPUTED_VALUE"""),"RAIN OR SHINE TULLE WHITE")</f>
        <v>RAIN OR SHINE TULLE WHITE</v>
      </c>
      <c r="C65" s="16">
        <f>IFERROR(__xludf.DUMMYFUNCTION("""COMPUTED_VALUE"""),665.0)</f>
        <v>665</v>
      </c>
      <c r="D65" s="13" t="str">
        <f>IFERROR(__xludf.DUMMYFUNCTION("""COMPUTED_VALUE"""),"GALON")</f>
        <v>GALON</v>
      </c>
      <c r="E65" s="28">
        <f>IFERROR(__xludf.DUMMYFUNCTION("""COMPUTED_VALUE"""),0.0)</f>
        <v>0</v>
      </c>
      <c r="F65" s="52">
        <f>SUMIF(SALES!D:D, A65, SALES!H:H) + SUMIFS('STOCK IN  TRANSFER'!G:G, 'STOCK IN  TRANSFER'!D:D, A65, 'STOCK IN  TRANSFER'!F:F, "TRANSFER") + SUMIFS('STOCK IN  TRANSFER'!G:G, 'STOCK IN  TRANSFER'!D:D, A65, 'STOCK IN  TRANSFER'!F:F, "ADJUSTMENT (-)")</f>
        <v>1</v>
      </c>
      <c r="G65" s="52">
        <f>SUMIFS('STOCK IN  TRANSFER'!G:G, 'STOCK IN  TRANSFER'!D:D, A65, 'STOCK IN  TRANSFER'!F:F, "STOCK IN") + SUMIFS('STOCK IN  TRANSFER'!G:G, 'STOCK IN  TRANSFER'!D:D, A65, 'STOCK IN  TRANSFER'!F:F, "ADJUSTMENT (+)")</f>
        <v>1</v>
      </c>
    </row>
    <row r="66" ht="22.5" customHeight="1">
      <c r="A66" s="13" t="str">
        <f>IFERROR(__xludf.DUMMYFUNCTION("""COMPUTED_VALUE"""),"ROS-171")</f>
        <v>ROS-171</v>
      </c>
      <c r="B66" s="13" t="str">
        <f>IFERROR(__xludf.DUMMYFUNCTION("""COMPUTED_VALUE"""),"RAIN OR SHINE TOUCH OF GRAY")</f>
        <v>RAIN OR SHINE TOUCH OF GRAY</v>
      </c>
      <c r="C66" s="16">
        <f>IFERROR(__xludf.DUMMYFUNCTION("""COMPUTED_VALUE"""),0.0)</f>
        <v>0</v>
      </c>
      <c r="D66" s="13" t="str">
        <f>IFERROR(__xludf.DUMMYFUNCTION("""COMPUTED_VALUE"""),"GALON")</f>
        <v>GALON</v>
      </c>
      <c r="E66" s="28">
        <f>IFERROR(__xludf.DUMMYFUNCTION("""COMPUTED_VALUE"""),0.0)</f>
        <v>0</v>
      </c>
      <c r="F66" s="52">
        <f>SUMIF(SALES!D:D, A66, SALES!H:H) + SUMIFS('STOCK IN  TRANSFER'!G:G, 'STOCK IN  TRANSFER'!D:D, A66, 'STOCK IN  TRANSFER'!F:F, "TRANSFER") + SUMIFS('STOCK IN  TRANSFER'!G:G, 'STOCK IN  TRANSFER'!D:D, A66, 'STOCK IN  TRANSFER'!F:F, "ADJUSTMENT (-)")</f>
        <v>0</v>
      </c>
      <c r="G66" s="52">
        <f>SUMIFS('STOCK IN  TRANSFER'!G:G, 'STOCK IN  TRANSFER'!D:D, A66, 'STOCK IN  TRANSFER'!F:F, "STOCK IN") + SUMIFS('STOCK IN  TRANSFER'!G:G, 'STOCK IN  TRANSFER'!D:D, A66, 'STOCK IN  TRANSFER'!F:F, "ADJUSTMENT (+)")</f>
        <v>0</v>
      </c>
    </row>
    <row r="67" ht="22.5" customHeight="1">
      <c r="A67" s="13" t="str">
        <f>IFERROR(__xludf.DUMMYFUNCTION("""COMPUTED_VALUE"""),"ROS-SG-4L")</f>
        <v>ROS-SG-4L</v>
      </c>
      <c r="B67" s="13" t="str">
        <f>IFERROR(__xludf.DUMMYFUNCTION("""COMPUTED_VALUE"""),"RAIN OR SHINE STONE GRAY 4L")</f>
        <v>RAIN OR SHINE STONE GRAY 4L</v>
      </c>
      <c r="C67" s="16">
        <f>IFERROR(__xludf.DUMMYFUNCTION("""COMPUTED_VALUE"""),665.0)</f>
        <v>665</v>
      </c>
      <c r="D67" s="13" t="str">
        <f>IFERROR(__xludf.DUMMYFUNCTION("""COMPUTED_VALUE"""),"GALON")</f>
        <v>GALON</v>
      </c>
      <c r="E67" s="28">
        <f>IFERROR(__xludf.DUMMYFUNCTION("""COMPUTED_VALUE"""),0.0)</f>
        <v>0</v>
      </c>
      <c r="F67" s="52">
        <f>SUMIF(SALES!D:D, A67, SALES!H:H) + SUMIFS('STOCK IN  TRANSFER'!G:G, 'STOCK IN  TRANSFER'!D:D, A67, 'STOCK IN  TRANSFER'!F:F, "TRANSFER") + SUMIFS('STOCK IN  TRANSFER'!G:G, 'STOCK IN  TRANSFER'!D:D, A67, 'STOCK IN  TRANSFER'!F:F, "ADJUSTMENT (-)")</f>
        <v>2</v>
      </c>
      <c r="G67" s="52">
        <f>SUMIFS('STOCK IN  TRANSFER'!G:G, 'STOCK IN  TRANSFER'!D:D, A67, 'STOCK IN  TRANSFER'!F:F, "STOCK IN") + SUMIFS('STOCK IN  TRANSFER'!G:G, 'STOCK IN  TRANSFER'!D:D, A67, 'STOCK IN  TRANSFER'!F:F, "ADJUSTMENT (+)")</f>
        <v>2</v>
      </c>
    </row>
    <row r="68" ht="22.5" customHeight="1">
      <c r="A68" s="13" t="str">
        <f>IFERROR(__xludf.DUMMYFUNCTION("""COMPUTED_VALUE"""),"ROS-933-4L")</f>
        <v>ROS-933-4L</v>
      </c>
      <c r="B68" s="13" t="str">
        <f>IFERROR(__xludf.DUMMYFUNCTION("""COMPUTED_VALUE"""),"RAIN OR SHINE ROS-933 COOL MINT 4L")</f>
        <v>RAIN OR SHINE ROS-933 COOL MINT 4L</v>
      </c>
      <c r="C68" s="16">
        <f>IFERROR(__xludf.DUMMYFUNCTION("""COMPUTED_VALUE"""),665.0)</f>
        <v>665</v>
      </c>
      <c r="D68" s="13" t="str">
        <f>IFERROR(__xludf.DUMMYFUNCTION("""COMPUTED_VALUE"""),"GALON")</f>
        <v>GALON</v>
      </c>
      <c r="E68" s="28">
        <f>IFERROR(__xludf.DUMMYFUNCTION("""COMPUTED_VALUE"""),0.0)</f>
        <v>0</v>
      </c>
      <c r="F68" s="52">
        <f>SUMIF(SALES!D:D, A68, SALES!H:H) + SUMIFS('STOCK IN  TRANSFER'!G:G, 'STOCK IN  TRANSFER'!D:D, A68, 'STOCK IN  TRANSFER'!F:F, "TRANSFER") + SUMIFS('STOCK IN  TRANSFER'!G:G, 'STOCK IN  TRANSFER'!D:D, A68, 'STOCK IN  TRANSFER'!F:F, "ADJUSTMENT (-)")</f>
        <v>0</v>
      </c>
      <c r="G68" s="52">
        <f>SUMIFS('STOCK IN  TRANSFER'!G:G, 'STOCK IN  TRANSFER'!D:D, A68, 'STOCK IN  TRANSFER'!F:F, "STOCK IN") + SUMIFS('STOCK IN  TRANSFER'!G:G, 'STOCK IN  TRANSFER'!D:D, A68, 'STOCK IN  TRANSFER'!F:F, "ADJUSTMENT (+)")</f>
        <v>0</v>
      </c>
    </row>
    <row r="69" ht="22.5" customHeight="1">
      <c r="A69" s="13" t="str">
        <f>IFERROR(__xludf.DUMMYFUNCTION("""COMPUTED_VALUE"""),"ROS-629-4L")</f>
        <v>ROS-629-4L</v>
      </c>
      <c r="B69" s="13" t="str">
        <f>IFERROR(__xludf.DUMMYFUNCTION("""COMPUTED_VALUE"""),"RAIN OR SHINE ROS-629 TULIPS 4L")</f>
        <v>RAIN OR SHINE ROS-629 TULIPS 4L</v>
      </c>
      <c r="C69" s="16">
        <f>IFERROR(__xludf.DUMMYFUNCTION("""COMPUTED_VALUE"""),665.0)</f>
        <v>665</v>
      </c>
      <c r="D69" s="13" t="str">
        <f>IFERROR(__xludf.DUMMYFUNCTION("""COMPUTED_VALUE"""),"GALON")</f>
        <v>GALON</v>
      </c>
      <c r="E69" s="28">
        <f>IFERROR(__xludf.DUMMYFUNCTION("""COMPUTED_VALUE"""),0.0)</f>
        <v>0</v>
      </c>
      <c r="F69" s="52">
        <f>SUMIF(SALES!D:D, A69, SALES!H:H) + SUMIFS('STOCK IN  TRANSFER'!G:G, 'STOCK IN  TRANSFER'!D:D, A69, 'STOCK IN  TRANSFER'!F:F, "TRANSFER") + SUMIFS('STOCK IN  TRANSFER'!G:G, 'STOCK IN  TRANSFER'!D:D, A69, 'STOCK IN  TRANSFER'!F:F, "ADJUSTMENT (-)")</f>
        <v>4</v>
      </c>
      <c r="G69" s="52">
        <f>SUMIFS('STOCK IN  TRANSFER'!G:G, 'STOCK IN  TRANSFER'!D:D, A69, 'STOCK IN  TRANSFER'!F:F, "STOCK IN") + SUMIFS('STOCK IN  TRANSFER'!G:G, 'STOCK IN  TRANSFER'!D:D, A69, 'STOCK IN  TRANSFER'!F:F, "ADJUSTMENT (+)")</f>
        <v>4</v>
      </c>
    </row>
    <row r="70" ht="22.5" customHeight="1">
      <c r="A70" s="13" t="str">
        <f>IFERROR(__xludf.DUMMYFUNCTION("""COMPUTED_VALUE"""),"ROS-7000")</f>
        <v>ROS-7000</v>
      </c>
      <c r="B70" s="13" t="str">
        <f>IFERROR(__xludf.DUMMYFUNCTION("""COMPUTED_VALUE"""),"RAIN OR SHINE PREPA WHITE 4L")</f>
        <v>RAIN OR SHINE PREPA WHITE 4L</v>
      </c>
      <c r="C70" s="16">
        <f>IFERROR(__xludf.DUMMYFUNCTION("""COMPUTED_VALUE"""),546.0)</f>
        <v>546</v>
      </c>
      <c r="D70" s="13" t="str">
        <f>IFERROR(__xludf.DUMMYFUNCTION("""COMPUTED_VALUE"""),"GALON")</f>
        <v>GALON</v>
      </c>
      <c r="E70" s="28">
        <f>IFERROR(__xludf.DUMMYFUNCTION("""COMPUTED_VALUE"""),0.0)</f>
        <v>0</v>
      </c>
      <c r="F70" s="52">
        <f>SUMIF(SALES!D:D, A70, SALES!H:H) + SUMIFS('STOCK IN  TRANSFER'!G:G, 'STOCK IN  TRANSFER'!D:D, A70, 'STOCK IN  TRANSFER'!F:F, "TRANSFER") + SUMIFS('STOCK IN  TRANSFER'!G:G, 'STOCK IN  TRANSFER'!D:D, A70, 'STOCK IN  TRANSFER'!F:F, "ADJUSTMENT (-)")</f>
        <v>1</v>
      </c>
      <c r="G70" s="52">
        <f>SUMIFS('STOCK IN  TRANSFER'!G:G, 'STOCK IN  TRANSFER'!D:D, A70, 'STOCK IN  TRANSFER'!F:F, "STOCK IN") + SUMIFS('STOCK IN  TRANSFER'!G:G, 'STOCK IN  TRANSFER'!D:D, A70, 'STOCK IN  TRANSFER'!F:F, "ADJUSTMENT (+)")</f>
        <v>1</v>
      </c>
    </row>
    <row r="71" ht="22.5" customHeight="1">
      <c r="A71" s="13" t="str">
        <f>IFERROR(__xludf.DUMMYFUNCTION("""COMPUTED_VALUE"""),"ROS-OB-4L")</f>
        <v>ROS-OB-4L</v>
      </c>
      <c r="B71" s="13" t="str">
        <f>IFERROR(__xludf.DUMMYFUNCTION("""COMPUTED_VALUE"""),"RAIN OR SHINE OCEAN BLUE 4L")</f>
        <v>RAIN OR SHINE OCEAN BLUE 4L</v>
      </c>
      <c r="C71" s="16">
        <f>IFERROR(__xludf.DUMMYFUNCTION("""COMPUTED_VALUE"""),665.0)</f>
        <v>665</v>
      </c>
      <c r="D71" s="13" t="str">
        <f>IFERROR(__xludf.DUMMYFUNCTION("""COMPUTED_VALUE"""),"GALON")</f>
        <v>GALON</v>
      </c>
      <c r="E71" s="28">
        <f>IFERROR(__xludf.DUMMYFUNCTION("""COMPUTED_VALUE"""),0.0)</f>
        <v>0</v>
      </c>
      <c r="F71" s="52">
        <f>SUMIF(SALES!D:D, A71, SALES!H:H) + SUMIFS('STOCK IN  TRANSFER'!G:G, 'STOCK IN  TRANSFER'!D:D, A71, 'STOCK IN  TRANSFER'!F:F, "TRANSFER") + SUMIFS('STOCK IN  TRANSFER'!G:G, 'STOCK IN  TRANSFER'!D:D, A71, 'STOCK IN  TRANSFER'!F:F, "ADJUSTMENT (-)")</f>
        <v>0</v>
      </c>
      <c r="G71" s="52">
        <f>SUMIFS('STOCK IN  TRANSFER'!G:G, 'STOCK IN  TRANSFER'!D:D, A71, 'STOCK IN  TRANSFER'!F:F, "STOCK IN") + SUMIFS('STOCK IN  TRANSFER'!G:G, 'STOCK IN  TRANSFER'!D:D, A71, 'STOCK IN  TRANSFER'!F:F, "ADJUSTMENT (+)")</f>
        <v>0</v>
      </c>
    </row>
    <row r="72" ht="22.5" customHeight="1">
      <c r="A72" s="13" t="str">
        <f>IFERROR(__xludf.DUMMYFUNCTION("""COMPUTED_VALUE"""),"ROS-223")</f>
        <v>ROS-223</v>
      </c>
      <c r="B72" s="13" t="str">
        <f>IFERROR(__xludf.DUMMYFUNCTION("""COMPUTED_VALUE"""),"RAIN OR SHINE NICOLE PINK 4L")</f>
        <v>RAIN OR SHINE NICOLE PINK 4L</v>
      </c>
      <c r="C72" s="16">
        <f>IFERROR(__xludf.DUMMYFUNCTION("""COMPUTED_VALUE"""),0.0)</f>
        <v>0</v>
      </c>
      <c r="D72" s="13" t="str">
        <f>IFERROR(__xludf.DUMMYFUNCTION("""COMPUTED_VALUE"""),"GALON")</f>
        <v>GALON</v>
      </c>
      <c r="E72" s="28">
        <f>IFERROR(__xludf.DUMMYFUNCTION("""COMPUTED_VALUE"""),0.0)</f>
        <v>0</v>
      </c>
      <c r="F72" s="52">
        <f>SUMIF(SALES!D:D, A72, SALES!H:H) + SUMIFS('STOCK IN  TRANSFER'!G:G, 'STOCK IN  TRANSFER'!D:D, A72, 'STOCK IN  TRANSFER'!F:F, "TRANSFER") + SUMIFS('STOCK IN  TRANSFER'!G:G, 'STOCK IN  TRANSFER'!D:D, A72, 'STOCK IN  TRANSFER'!F:F, "ADJUSTMENT (-)")</f>
        <v>1</v>
      </c>
      <c r="G72" s="52">
        <f>SUMIFS('STOCK IN  TRANSFER'!G:G, 'STOCK IN  TRANSFER'!D:D, A72, 'STOCK IN  TRANSFER'!F:F, "STOCK IN") + SUMIFS('STOCK IN  TRANSFER'!G:G, 'STOCK IN  TRANSFER'!D:D, A72, 'STOCK IN  TRANSFER'!F:F, "ADJUSTMENT (+)")</f>
        <v>1</v>
      </c>
    </row>
    <row r="73" ht="22.5" customHeight="1">
      <c r="A73" s="13" t="str">
        <f>IFERROR(__xludf.DUMMYFUNCTION("""COMPUTED_VALUE"""),"ROS-368")</f>
        <v>ROS-368</v>
      </c>
      <c r="B73" s="13" t="str">
        <f>IFERROR(__xludf.DUMMYFUNCTION("""COMPUTED_VALUE"""),"RAIN OR SHINE MY WAY 4L")</f>
        <v>RAIN OR SHINE MY WAY 4L</v>
      </c>
      <c r="C73" s="16">
        <f>IFERROR(__xludf.DUMMYFUNCTION("""COMPUTED_VALUE"""),727.0)</f>
        <v>727</v>
      </c>
      <c r="D73" s="13" t="str">
        <f>IFERROR(__xludf.DUMMYFUNCTION("""COMPUTED_VALUE"""),"GALON")</f>
        <v>GALON</v>
      </c>
      <c r="E73" s="28">
        <f>IFERROR(__xludf.DUMMYFUNCTION("""COMPUTED_VALUE"""),0.0)</f>
        <v>0</v>
      </c>
      <c r="F73" s="52">
        <f>SUMIF(SALES!D:D, A73, SALES!H:H) + SUMIFS('STOCK IN  TRANSFER'!G:G, 'STOCK IN  TRANSFER'!D:D, A73, 'STOCK IN  TRANSFER'!F:F, "TRANSFER") + SUMIFS('STOCK IN  TRANSFER'!G:G, 'STOCK IN  TRANSFER'!D:D, A73, 'STOCK IN  TRANSFER'!F:F, "ADJUSTMENT (-)")</f>
        <v>0</v>
      </c>
      <c r="G73" s="52">
        <f>SUMIFS('STOCK IN  TRANSFER'!G:G, 'STOCK IN  TRANSFER'!D:D, A73, 'STOCK IN  TRANSFER'!F:F, "STOCK IN") + SUMIFS('STOCK IN  TRANSFER'!G:G, 'STOCK IN  TRANSFER'!D:D, A73, 'STOCK IN  TRANSFER'!F:F, "ADJUSTMENT (+)")</f>
        <v>0</v>
      </c>
    </row>
    <row r="74" ht="22.5" customHeight="1">
      <c r="A74" s="13" t="str">
        <f>IFERROR(__xludf.DUMMYFUNCTION("""COMPUTED_VALUE"""),"ROSGRN-4L")</f>
        <v>ROSGRN-4L</v>
      </c>
      <c r="B74" s="13" t="str">
        <f>IFERROR(__xludf.DUMMYFUNCTION("""COMPUTED_VALUE"""),"RAIN OR SHINE MIX GREEN 4L")</f>
        <v>RAIN OR SHINE MIX GREEN 4L</v>
      </c>
      <c r="C74" s="16">
        <f>IFERROR(__xludf.DUMMYFUNCTION("""COMPUTED_VALUE"""),0.0)</f>
        <v>0</v>
      </c>
      <c r="D74" s="13" t="str">
        <f>IFERROR(__xludf.DUMMYFUNCTION("""COMPUTED_VALUE"""),"GALON")</f>
        <v>GALON</v>
      </c>
      <c r="E74" s="28">
        <f>IFERROR(__xludf.DUMMYFUNCTION("""COMPUTED_VALUE"""),0.0)</f>
        <v>0</v>
      </c>
      <c r="F74" s="52">
        <f>SUMIF(SALES!D:D, A74, SALES!H:H) + SUMIFS('STOCK IN  TRANSFER'!G:G, 'STOCK IN  TRANSFER'!D:D, A74, 'STOCK IN  TRANSFER'!F:F, "TRANSFER") + SUMIFS('STOCK IN  TRANSFER'!G:G, 'STOCK IN  TRANSFER'!D:D, A74, 'STOCK IN  TRANSFER'!F:F, "ADJUSTMENT (-)")</f>
        <v>0</v>
      </c>
      <c r="G74" s="52">
        <f>SUMIFS('STOCK IN  TRANSFER'!G:G, 'STOCK IN  TRANSFER'!D:D, A74, 'STOCK IN  TRANSFER'!F:F, "STOCK IN") + SUMIFS('STOCK IN  TRANSFER'!G:G, 'STOCK IN  TRANSFER'!D:D, A74, 'STOCK IN  TRANSFER'!F:F, "ADJUSTMENT (+)")</f>
        <v>0</v>
      </c>
    </row>
    <row r="75" ht="22.5" customHeight="1">
      <c r="A75" s="13" t="str">
        <f>IFERROR(__xludf.DUMMYFUNCTION("""COMPUTED_VALUE"""),"ROSG-4L")</f>
        <v>ROSG-4L</v>
      </c>
      <c r="B75" s="13" t="str">
        <f>IFERROR(__xludf.DUMMYFUNCTION("""COMPUTED_VALUE"""),"RAIN OR SHINE MIX GARY 4L")</f>
        <v>RAIN OR SHINE MIX GARY 4L</v>
      </c>
      <c r="C75" s="16">
        <f>IFERROR(__xludf.DUMMYFUNCTION("""COMPUTED_VALUE"""),950.0)</f>
        <v>950</v>
      </c>
      <c r="D75" s="13" t="str">
        <f>IFERROR(__xludf.DUMMYFUNCTION("""COMPUTED_VALUE"""),"GALON")</f>
        <v>GALON</v>
      </c>
      <c r="E75" s="28">
        <f>IFERROR(__xludf.DUMMYFUNCTION("""COMPUTED_VALUE"""),0.0)</f>
        <v>0</v>
      </c>
      <c r="F75" s="52">
        <f>SUMIF(SALES!D:D, A75, SALES!H:H) + SUMIFS('STOCK IN  TRANSFER'!G:G, 'STOCK IN  TRANSFER'!D:D, A75, 'STOCK IN  TRANSFER'!F:F, "TRANSFER") + SUMIFS('STOCK IN  TRANSFER'!G:G, 'STOCK IN  TRANSFER'!D:D, A75, 'STOCK IN  TRANSFER'!F:F, "ADJUSTMENT (-)")</f>
        <v>0</v>
      </c>
      <c r="G75" s="52">
        <f>SUMIFS('STOCK IN  TRANSFER'!G:G, 'STOCK IN  TRANSFER'!D:D, A75, 'STOCK IN  TRANSFER'!F:F, "STOCK IN") + SUMIFS('STOCK IN  TRANSFER'!G:G, 'STOCK IN  TRANSFER'!D:D, A75, 'STOCK IN  TRANSFER'!F:F, "ADJUSTMENT (+)")</f>
        <v>0</v>
      </c>
    </row>
    <row r="76" ht="22.5" customHeight="1">
      <c r="A76" s="13" t="str">
        <f>IFERROR(__xludf.DUMMYFUNCTION("""COMPUTED_VALUE"""),"ROS-888")</f>
        <v>ROS-888</v>
      </c>
      <c r="B76" s="13" t="str">
        <f>IFERROR(__xludf.DUMMYFUNCTION("""COMPUTED_VALUE"""),"RAIN OR SHINE LUCKY ORANGE 4L")</f>
        <v>RAIN OR SHINE LUCKY ORANGE 4L</v>
      </c>
      <c r="C76" s="16">
        <f>IFERROR(__xludf.DUMMYFUNCTION("""COMPUTED_VALUE"""),1391.0)</f>
        <v>1391</v>
      </c>
      <c r="D76" s="13" t="str">
        <f>IFERROR(__xludf.DUMMYFUNCTION("""COMPUTED_VALUE"""),"GALON")</f>
        <v>GALON</v>
      </c>
      <c r="E76" s="28">
        <f>IFERROR(__xludf.DUMMYFUNCTION("""COMPUTED_VALUE"""),0.0)</f>
        <v>0</v>
      </c>
      <c r="F76" s="52">
        <f>SUMIF(SALES!D:D, A76, SALES!H:H) + SUMIFS('STOCK IN  TRANSFER'!G:G, 'STOCK IN  TRANSFER'!D:D, A76, 'STOCK IN  TRANSFER'!F:F, "TRANSFER") + SUMIFS('STOCK IN  TRANSFER'!G:G, 'STOCK IN  TRANSFER'!D:D, A76, 'STOCK IN  TRANSFER'!F:F, "ADJUSTMENT (-)")</f>
        <v>0</v>
      </c>
      <c r="G76" s="52">
        <f>SUMIFS('STOCK IN  TRANSFER'!G:G, 'STOCK IN  TRANSFER'!D:D, A76, 'STOCK IN  TRANSFER'!F:F, "STOCK IN") + SUMIFS('STOCK IN  TRANSFER'!G:G, 'STOCK IN  TRANSFER'!D:D, A76, 'STOCK IN  TRANSFER'!F:F, "ADJUSTMENT (+)")</f>
        <v>0</v>
      </c>
    </row>
    <row r="77" ht="22.5" customHeight="1">
      <c r="A77" s="13" t="str">
        <f>IFERROR(__xludf.DUMMYFUNCTION("""COMPUTED_VALUE"""),"ROS-862")</f>
        <v>ROS-862</v>
      </c>
      <c r="B77" s="13" t="str">
        <f>IFERROR(__xludf.DUMMYFUNCTION("""COMPUTED_VALUE"""),"RAIN OR SHINE IVORY 4L")</f>
        <v>RAIN OR SHINE IVORY 4L</v>
      </c>
      <c r="C77" s="16">
        <f>IFERROR(__xludf.DUMMYFUNCTION("""COMPUTED_VALUE"""),655.0)</f>
        <v>655</v>
      </c>
      <c r="D77" s="13" t="str">
        <f>IFERROR(__xludf.DUMMYFUNCTION("""COMPUTED_VALUE"""),"GALON")</f>
        <v>GALON</v>
      </c>
      <c r="E77" s="28">
        <f>IFERROR(__xludf.DUMMYFUNCTION("""COMPUTED_VALUE"""),1.0)</f>
        <v>1</v>
      </c>
      <c r="F77" s="52">
        <f>SUMIF(SALES!D:D, A77, SALES!H:H) + SUMIFS('STOCK IN  TRANSFER'!G:G, 'STOCK IN  TRANSFER'!D:D, A77, 'STOCK IN  TRANSFER'!F:F, "TRANSFER") + SUMIFS('STOCK IN  TRANSFER'!G:G, 'STOCK IN  TRANSFER'!D:D, A77, 'STOCK IN  TRANSFER'!F:F, "ADJUSTMENT (-)")</f>
        <v>1</v>
      </c>
      <c r="G77" s="52">
        <f>SUMIFS('STOCK IN  TRANSFER'!G:G, 'STOCK IN  TRANSFER'!D:D, A77, 'STOCK IN  TRANSFER'!F:F, "STOCK IN") + SUMIFS('STOCK IN  TRANSFER'!G:G, 'STOCK IN  TRANSFER'!D:D, A77, 'STOCK IN  TRANSFER'!F:F, "ADJUSTMENT (+)")</f>
        <v>2</v>
      </c>
    </row>
    <row r="78" ht="22.5" customHeight="1">
      <c r="A78" s="13" t="str">
        <f>IFERROR(__xludf.DUMMYFUNCTION("""COMPUTED_VALUE"""),"ROSGRAY-4L")</f>
        <v>ROSGRAY-4L</v>
      </c>
      <c r="B78" s="13" t="str">
        <f>IFERROR(__xludf.DUMMYFUNCTION("""COMPUTED_VALUE"""),"RAIN OR SHINE GRAY LATEX 4L")</f>
        <v>RAIN OR SHINE GRAY LATEX 4L</v>
      </c>
      <c r="C78" s="16">
        <f>IFERROR(__xludf.DUMMYFUNCTION("""COMPUTED_VALUE"""),800.0)</f>
        <v>800</v>
      </c>
      <c r="D78" s="13" t="str">
        <f>IFERROR(__xludf.DUMMYFUNCTION("""COMPUTED_VALUE"""),"GALON")</f>
        <v>GALON</v>
      </c>
      <c r="E78" s="28">
        <f>IFERROR(__xludf.DUMMYFUNCTION("""COMPUTED_VALUE"""),0.0)</f>
        <v>0</v>
      </c>
      <c r="F78" s="52">
        <f>SUMIF(SALES!D:D, A78, SALES!H:H) + SUMIFS('STOCK IN  TRANSFER'!G:G, 'STOCK IN  TRANSFER'!D:D, A78, 'STOCK IN  TRANSFER'!F:F, "TRANSFER") + SUMIFS('STOCK IN  TRANSFER'!G:G, 'STOCK IN  TRANSFER'!D:D, A78, 'STOCK IN  TRANSFER'!F:F, "ADJUSTMENT (-)")</f>
        <v>0</v>
      </c>
      <c r="G78" s="52">
        <f>SUMIFS('STOCK IN  TRANSFER'!G:G, 'STOCK IN  TRANSFER'!D:D, A78, 'STOCK IN  TRANSFER'!F:F, "STOCK IN") + SUMIFS('STOCK IN  TRANSFER'!G:G, 'STOCK IN  TRANSFER'!D:D, A78, 'STOCK IN  TRANSFER'!F:F, "ADJUSTMENT (+)")</f>
        <v>0</v>
      </c>
    </row>
    <row r="79" ht="22.5" customHeight="1">
      <c r="A79" s="13" t="str">
        <f>IFERROR(__xludf.DUMMYFUNCTION("""COMPUTED_VALUE"""),"ROS-818")</f>
        <v>ROS-818</v>
      </c>
      <c r="B79" s="13" t="str">
        <f>IFERROR(__xludf.DUMMYFUNCTION("""COMPUTED_VALUE"""),"RAIN OR SHINE CHINA WHITE 4L")</f>
        <v>RAIN OR SHINE CHINA WHITE 4L</v>
      </c>
      <c r="C79" s="16">
        <f>IFERROR(__xludf.DUMMYFUNCTION("""COMPUTED_VALUE"""),665.0)</f>
        <v>665</v>
      </c>
      <c r="D79" s="13" t="str">
        <f>IFERROR(__xludf.DUMMYFUNCTION("""COMPUTED_VALUE"""),"GALON")</f>
        <v>GALON</v>
      </c>
      <c r="E79" s="28">
        <f>IFERROR(__xludf.DUMMYFUNCTION("""COMPUTED_VALUE"""),0.0)</f>
        <v>0</v>
      </c>
      <c r="F79" s="52">
        <f>SUMIF(SALES!D:D, A79, SALES!H:H) + SUMIFS('STOCK IN  TRANSFER'!G:G, 'STOCK IN  TRANSFER'!D:D, A79, 'STOCK IN  TRANSFER'!F:F, "TRANSFER") + SUMIFS('STOCK IN  TRANSFER'!G:G, 'STOCK IN  TRANSFER'!D:D, A79, 'STOCK IN  TRANSFER'!F:F, "ADJUSTMENT (-)")</f>
        <v>0</v>
      </c>
      <c r="G79" s="52">
        <f>SUMIFS('STOCK IN  TRANSFER'!G:G, 'STOCK IN  TRANSFER'!D:D, A79, 'STOCK IN  TRANSFER'!F:F, "STOCK IN") + SUMIFS('STOCK IN  TRANSFER'!G:G, 'STOCK IN  TRANSFER'!D:D, A79, 'STOCK IN  TRANSFER'!F:F, "ADJUSTMENT (+)")</f>
        <v>0</v>
      </c>
    </row>
    <row r="80" ht="22.5" customHeight="1">
      <c r="A80" s="13" t="str">
        <f>IFERROR(__xludf.DUMMYFUNCTION("""COMPUTED_VALUE"""),"QSHG710-5L")</f>
        <v>QSHG710-5L</v>
      </c>
      <c r="B80" s="13" t="str">
        <f>IFERROR(__xludf.DUMMYFUNCTION("""COMPUTED_VALUE"""),"Q-SHIELD EXTRA HG-710 GLOSS WHITE 5L")</f>
        <v>Q-SHIELD EXTRA HG-710 GLOSS WHITE 5L</v>
      </c>
      <c r="C80" s="16">
        <f>IFERROR(__xludf.DUMMYFUNCTION("""COMPUTED_VALUE"""),851.0)</f>
        <v>851</v>
      </c>
      <c r="D80" s="13" t="str">
        <f>IFERROR(__xludf.DUMMYFUNCTION("""COMPUTED_VALUE"""),"GAL")</f>
        <v>GAL</v>
      </c>
      <c r="E80" s="28">
        <f>IFERROR(__xludf.DUMMYFUNCTION("""COMPUTED_VALUE"""),12.0)</f>
        <v>12</v>
      </c>
      <c r="F80" s="52">
        <f>SUMIF(SALES!D:D, A80, SALES!H:H) + SUMIFS('STOCK IN  TRANSFER'!G:G, 'STOCK IN  TRANSFER'!D:D, A80, 'STOCK IN  TRANSFER'!F:F, "TRANSFER") + SUMIFS('STOCK IN  TRANSFER'!G:G, 'STOCK IN  TRANSFER'!D:D, A80, 'STOCK IN  TRANSFER'!F:F, "ADJUSTMENT (-)")</f>
        <v>5</v>
      </c>
      <c r="G80" s="52">
        <f>SUMIFS('STOCK IN  TRANSFER'!G:G, 'STOCK IN  TRANSFER'!D:D, A80, 'STOCK IN  TRANSFER'!F:F, "STOCK IN") + SUMIFS('STOCK IN  TRANSFER'!G:G, 'STOCK IN  TRANSFER'!D:D, A80, 'STOCK IN  TRANSFER'!F:F, "ADJUSTMENT (+)")</f>
        <v>17</v>
      </c>
    </row>
    <row r="81" ht="22.5" customHeight="1">
      <c r="A81" s="13" t="str">
        <f>IFERROR(__xludf.DUMMYFUNCTION("""COMPUTED_VALUE"""),"QSHG710-1L")</f>
        <v>QSHG710-1L</v>
      </c>
      <c r="B81" s="13" t="str">
        <f>IFERROR(__xludf.DUMMYFUNCTION("""COMPUTED_VALUE"""),"Q-SHIELD EXTRA HG-710 GLOSS WHITE 1L")</f>
        <v>Q-SHIELD EXTRA HG-710 GLOSS WHITE 1L</v>
      </c>
      <c r="C81" s="16"/>
      <c r="D81" s="13" t="str">
        <f>IFERROR(__xludf.DUMMYFUNCTION("""COMPUTED_VALUE"""),"LITER")</f>
        <v>LITER</v>
      </c>
      <c r="E81" s="28">
        <f>IFERROR(__xludf.DUMMYFUNCTION("""COMPUTED_VALUE"""),0.0)</f>
        <v>0</v>
      </c>
      <c r="F81" s="52">
        <f>SUMIF(SALES!D:D, A81, SALES!H:H) + SUMIFS('STOCK IN  TRANSFER'!G:G, 'STOCK IN  TRANSFER'!D:D, A81, 'STOCK IN  TRANSFER'!F:F, "TRANSFER") + SUMIFS('STOCK IN  TRANSFER'!G:G, 'STOCK IN  TRANSFER'!D:D, A81, 'STOCK IN  TRANSFER'!F:F, "ADJUSTMENT (-)")</f>
        <v>0</v>
      </c>
      <c r="G81" s="52">
        <f>SUMIFS('STOCK IN  TRANSFER'!G:G, 'STOCK IN  TRANSFER'!D:D, A81, 'STOCK IN  TRANSFER'!F:F, "STOCK IN") + SUMIFS('STOCK IN  TRANSFER'!G:G, 'STOCK IN  TRANSFER'!D:D, A81, 'STOCK IN  TRANSFER'!F:F, "ADJUSTMENT (+)")</f>
        <v>0</v>
      </c>
    </row>
    <row r="82" ht="22.5" customHeight="1">
      <c r="A82" s="13" t="str">
        <f>IFERROR(__xludf.DUMMYFUNCTION("""COMPUTED_VALUE"""),"QSHG710-15L")</f>
        <v>QSHG710-15L</v>
      </c>
      <c r="B82" s="13" t="str">
        <f>IFERROR(__xludf.DUMMYFUNCTION("""COMPUTED_VALUE"""),"Q-SHIELD EXTRA HG-710 GLOSS WHITE 15L")</f>
        <v>Q-SHIELD EXTRA HG-710 GLOSS WHITE 15L</v>
      </c>
      <c r="C82" s="16">
        <f>IFERROR(__xludf.DUMMYFUNCTION("""COMPUTED_VALUE"""),2442.0)</f>
        <v>2442</v>
      </c>
      <c r="D82" s="13" t="str">
        <f>IFERROR(__xludf.DUMMYFUNCTION("""COMPUTED_VALUE"""),"PAIL")</f>
        <v>PAIL</v>
      </c>
      <c r="E82" s="28">
        <f>IFERROR(__xludf.DUMMYFUNCTION("""COMPUTED_VALUE"""),4.0)</f>
        <v>4</v>
      </c>
      <c r="F82" s="52">
        <f>SUMIF(SALES!D:D, A82, SALES!H:H) + SUMIFS('STOCK IN  TRANSFER'!G:G, 'STOCK IN  TRANSFER'!D:D, A82, 'STOCK IN  TRANSFER'!F:F, "TRANSFER") + SUMIFS('STOCK IN  TRANSFER'!G:G, 'STOCK IN  TRANSFER'!D:D, A82, 'STOCK IN  TRANSFER'!F:F, "ADJUSTMENT (-)")</f>
        <v>0</v>
      </c>
      <c r="G82" s="52">
        <f>SUMIFS('STOCK IN  TRANSFER'!G:G, 'STOCK IN  TRANSFER'!D:D, A82, 'STOCK IN  TRANSFER'!F:F, "STOCK IN") + SUMIFS('STOCK IN  TRANSFER'!G:G, 'STOCK IN  TRANSFER'!D:D, A82, 'STOCK IN  TRANSFER'!F:F, "ADJUSTMENT (+)")</f>
        <v>4</v>
      </c>
    </row>
    <row r="83" ht="22.5" customHeight="1">
      <c r="A83" s="13" t="str">
        <f>IFERROR(__xludf.DUMMYFUNCTION("""COMPUTED_VALUE"""),"PYLZWH-02")</f>
        <v>PYLZWH-02</v>
      </c>
      <c r="B83" s="13" t="str">
        <f>IFERROR(__xludf.DUMMYFUNCTION("""COMPUTED_VALUE"""),"PYLOX LAZER WHITE 02")</f>
        <v>PYLOX LAZER WHITE 02</v>
      </c>
      <c r="C83" s="16">
        <f>IFERROR(__xludf.DUMMYFUNCTION("""COMPUTED_VALUE"""),95.0)</f>
        <v>95</v>
      </c>
      <c r="D83" s="13" t="str">
        <f>IFERROR(__xludf.DUMMYFUNCTION("""COMPUTED_VALUE"""),"CAN")</f>
        <v>CAN</v>
      </c>
      <c r="E83" s="28">
        <f>IFERROR(__xludf.DUMMYFUNCTION("""COMPUTED_VALUE"""),-1.0)</f>
        <v>-1</v>
      </c>
      <c r="F83" s="52">
        <f>SUMIF(SALES!D:D, A83, SALES!H:H) + SUMIFS('STOCK IN  TRANSFER'!G:G, 'STOCK IN  TRANSFER'!D:D, A83, 'STOCK IN  TRANSFER'!F:F, "TRANSFER") + SUMIFS('STOCK IN  TRANSFER'!G:G, 'STOCK IN  TRANSFER'!D:D, A83, 'STOCK IN  TRANSFER'!F:F, "ADJUSTMENT (-)")</f>
        <v>8</v>
      </c>
      <c r="G83" s="52">
        <f>SUMIFS('STOCK IN  TRANSFER'!G:G, 'STOCK IN  TRANSFER'!D:D, A83, 'STOCK IN  TRANSFER'!F:F, "STOCK IN") + SUMIFS('STOCK IN  TRANSFER'!G:G, 'STOCK IN  TRANSFER'!D:D, A83, 'STOCK IN  TRANSFER'!F:F, "ADJUSTMENT (+)")</f>
        <v>7</v>
      </c>
    </row>
    <row r="84" ht="22.5" customHeight="1">
      <c r="A84" s="13" t="str">
        <f>IFERROR(__xludf.DUMMYFUNCTION("""COMPUTED_VALUE"""),"PLYZVIO-20")</f>
        <v>PLYZVIO-20</v>
      </c>
      <c r="B84" s="13" t="str">
        <f>IFERROR(__xludf.DUMMYFUNCTION("""COMPUTED_VALUE"""),"PYLOX LAZER VIOLET 20")</f>
        <v>PYLOX LAZER VIOLET 20</v>
      </c>
      <c r="C84" s="16">
        <f>IFERROR(__xludf.DUMMYFUNCTION("""COMPUTED_VALUE"""),95.0)</f>
        <v>95</v>
      </c>
      <c r="D84" s="13" t="str">
        <f>IFERROR(__xludf.DUMMYFUNCTION("""COMPUTED_VALUE"""),"CAN")</f>
        <v>CAN</v>
      </c>
      <c r="E84" s="28">
        <f>IFERROR(__xludf.DUMMYFUNCTION("""COMPUTED_VALUE"""),10.0)</f>
        <v>10</v>
      </c>
      <c r="F84" s="52">
        <f>SUMIF(SALES!D:D, A84, SALES!H:H) + SUMIFS('STOCK IN  TRANSFER'!G:G, 'STOCK IN  TRANSFER'!D:D, A84, 'STOCK IN  TRANSFER'!F:F, "TRANSFER") + SUMIFS('STOCK IN  TRANSFER'!G:G, 'STOCK IN  TRANSFER'!D:D, A84, 'STOCK IN  TRANSFER'!F:F, "ADJUSTMENT (-)")</f>
        <v>0</v>
      </c>
      <c r="G84" s="52">
        <f>SUMIFS('STOCK IN  TRANSFER'!G:G, 'STOCK IN  TRANSFER'!D:D, A84, 'STOCK IN  TRANSFER'!F:F, "STOCK IN") + SUMIFS('STOCK IN  TRANSFER'!G:G, 'STOCK IN  TRANSFER'!D:D, A84, 'STOCK IN  TRANSFER'!F:F, "ADJUSTMENT (+)")</f>
        <v>10</v>
      </c>
    </row>
    <row r="85" ht="22.5" customHeight="1">
      <c r="A85" s="13" t="str">
        <f>IFERROR(__xludf.DUMMYFUNCTION("""COMPUTED_VALUE"""),"PLYZSKBL-22")</f>
        <v>PLYZSKBL-22</v>
      </c>
      <c r="B85" s="13" t="str">
        <f>IFERROR(__xludf.DUMMYFUNCTION("""COMPUTED_VALUE"""),"PYLOX LAZER SKY BLUE 22")</f>
        <v>PYLOX LAZER SKY BLUE 22</v>
      </c>
      <c r="C85" s="16">
        <f>IFERROR(__xludf.DUMMYFUNCTION("""COMPUTED_VALUE"""),95.0)</f>
        <v>95</v>
      </c>
      <c r="D85" s="13" t="str">
        <f>IFERROR(__xludf.DUMMYFUNCTION("""COMPUTED_VALUE"""),"CAN")</f>
        <v>CAN</v>
      </c>
      <c r="E85" s="28">
        <f>IFERROR(__xludf.DUMMYFUNCTION("""COMPUTED_VALUE"""),4.0)</f>
        <v>4</v>
      </c>
      <c r="F85" s="52">
        <f>SUMIF(SALES!D:D, A85, SALES!H:H) + SUMIFS('STOCK IN  TRANSFER'!G:G, 'STOCK IN  TRANSFER'!D:D, A85, 'STOCK IN  TRANSFER'!F:F, "TRANSFER") + SUMIFS('STOCK IN  TRANSFER'!G:G, 'STOCK IN  TRANSFER'!D:D, A85, 'STOCK IN  TRANSFER'!F:F, "ADJUSTMENT (-)")</f>
        <v>2</v>
      </c>
      <c r="G85" s="52">
        <f>SUMIFS('STOCK IN  TRANSFER'!G:G, 'STOCK IN  TRANSFER'!D:D, A85, 'STOCK IN  TRANSFER'!F:F, "STOCK IN") + SUMIFS('STOCK IN  TRANSFER'!G:G, 'STOCK IN  TRANSFER'!D:D, A85, 'STOCK IN  TRANSFER'!F:F, "ADJUSTMENT (+)")</f>
        <v>6</v>
      </c>
    </row>
    <row r="86" ht="22.5" customHeight="1">
      <c r="A86" s="13" t="str">
        <f>IFERROR(__xludf.DUMMYFUNCTION("""COMPUTED_VALUE"""),"PLYZSIL-42")</f>
        <v>PLYZSIL-42</v>
      </c>
      <c r="B86" s="13" t="str">
        <f>IFERROR(__xludf.DUMMYFUNCTION("""COMPUTED_VALUE"""),"PYLOX LAZER SILVER 42")</f>
        <v>PYLOX LAZER SILVER 42</v>
      </c>
      <c r="C86" s="16">
        <f>IFERROR(__xludf.DUMMYFUNCTION("""COMPUTED_VALUE"""),95.0)</f>
        <v>95</v>
      </c>
      <c r="D86" s="13" t="str">
        <f>IFERROR(__xludf.DUMMYFUNCTION("""COMPUTED_VALUE"""),"CAN")</f>
        <v>CAN</v>
      </c>
      <c r="E86" s="28">
        <f>IFERROR(__xludf.DUMMYFUNCTION("""COMPUTED_VALUE"""),2.0)</f>
        <v>2</v>
      </c>
      <c r="F86" s="52">
        <f>SUMIF(SALES!D:D, A86, SALES!H:H) + SUMIFS('STOCK IN  TRANSFER'!G:G, 'STOCK IN  TRANSFER'!D:D, A86, 'STOCK IN  TRANSFER'!F:F, "TRANSFER") + SUMIFS('STOCK IN  TRANSFER'!G:G, 'STOCK IN  TRANSFER'!D:D, A86, 'STOCK IN  TRANSFER'!F:F, "ADJUSTMENT (-)")</f>
        <v>7</v>
      </c>
      <c r="G86" s="52">
        <f>SUMIFS('STOCK IN  TRANSFER'!G:G, 'STOCK IN  TRANSFER'!D:D, A86, 'STOCK IN  TRANSFER'!F:F, "STOCK IN") + SUMIFS('STOCK IN  TRANSFER'!G:G, 'STOCK IN  TRANSFER'!D:D, A86, 'STOCK IN  TRANSFER'!F:F, "ADJUSTMENT (+)")</f>
        <v>9</v>
      </c>
    </row>
    <row r="87" ht="22.5" customHeight="1">
      <c r="A87" s="13" t="str">
        <f>IFERROR(__xludf.DUMMYFUNCTION("""COMPUTED_VALUE"""),"PLYZPRGR-145")</f>
        <v>PLYZPRGR-145</v>
      </c>
      <c r="B87" s="13" t="str">
        <f>IFERROR(__xludf.DUMMYFUNCTION("""COMPUTED_VALUE"""),"PYLOX LAZER PRIMER GRAY 145")</f>
        <v>PYLOX LAZER PRIMER GRAY 145</v>
      </c>
      <c r="C87" s="16">
        <f>IFERROR(__xludf.DUMMYFUNCTION("""COMPUTED_VALUE"""),95.0)</f>
        <v>95</v>
      </c>
      <c r="D87" s="13" t="str">
        <f>IFERROR(__xludf.DUMMYFUNCTION("""COMPUTED_VALUE"""),"CAN")</f>
        <v>CAN</v>
      </c>
      <c r="E87" s="28">
        <f>IFERROR(__xludf.DUMMYFUNCTION("""COMPUTED_VALUE"""),1.0)</f>
        <v>1</v>
      </c>
      <c r="F87" s="52">
        <f>SUMIF(SALES!D:D, A87, SALES!H:H) + SUMIFS('STOCK IN  TRANSFER'!G:G, 'STOCK IN  TRANSFER'!D:D, A87, 'STOCK IN  TRANSFER'!F:F, "TRANSFER") + SUMIFS('STOCK IN  TRANSFER'!G:G, 'STOCK IN  TRANSFER'!D:D, A87, 'STOCK IN  TRANSFER'!F:F, "ADJUSTMENT (-)")</f>
        <v>5</v>
      </c>
      <c r="G87" s="52">
        <f>SUMIFS('STOCK IN  TRANSFER'!G:G, 'STOCK IN  TRANSFER'!D:D, A87, 'STOCK IN  TRANSFER'!F:F, "STOCK IN") + SUMIFS('STOCK IN  TRANSFER'!G:G, 'STOCK IN  TRANSFER'!D:D, A87, 'STOCK IN  TRANSFER'!F:F, "ADJUSTMENT (+)")</f>
        <v>6</v>
      </c>
    </row>
    <row r="88" ht="22.5" customHeight="1">
      <c r="A88" s="13" t="str">
        <f>IFERROR(__xludf.DUMMYFUNCTION("""COMPUTED_VALUE"""),"PLYZMTW-03")</f>
        <v>PLYZMTW-03</v>
      </c>
      <c r="B88" s="13" t="str">
        <f>IFERROR(__xludf.DUMMYFUNCTION("""COMPUTED_VALUE"""),"PYLOX LAZER MATT WHITE 03")</f>
        <v>PYLOX LAZER MATT WHITE 03</v>
      </c>
      <c r="C88" s="16">
        <f>IFERROR(__xludf.DUMMYFUNCTION("""COMPUTED_VALUE"""),95.0)</f>
        <v>95</v>
      </c>
      <c r="D88" s="13" t="str">
        <f>IFERROR(__xludf.DUMMYFUNCTION("""COMPUTED_VALUE"""),"CAN")</f>
        <v>CAN</v>
      </c>
      <c r="E88" s="28">
        <f>IFERROR(__xludf.DUMMYFUNCTION("""COMPUTED_VALUE"""),-7.0)</f>
        <v>-7</v>
      </c>
      <c r="F88" s="52">
        <f>SUMIF(SALES!D:D, A88, SALES!H:H) + SUMIFS('STOCK IN  TRANSFER'!G:G, 'STOCK IN  TRANSFER'!D:D, A88, 'STOCK IN  TRANSFER'!F:F, "TRANSFER") + SUMIFS('STOCK IN  TRANSFER'!G:G, 'STOCK IN  TRANSFER'!D:D, A88, 'STOCK IN  TRANSFER'!F:F, "ADJUSTMENT (-)")</f>
        <v>14</v>
      </c>
      <c r="G88" s="52">
        <f>SUMIFS('STOCK IN  TRANSFER'!G:G, 'STOCK IN  TRANSFER'!D:D, A88, 'STOCK IN  TRANSFER'!F:F, "STOCK IN") + SUMIFS('STOCK IN  TRANSFER'!G:G, 'STOCK IN  TRANSFER'!D:D, A88, 'STOCK IN  TRANSFER'!F:F, "ADJUSTMENT (+)")</f>
        <v>7</v>
      </c>
    </row>
    <row r="89" ht="22.5" customHeight="1">
      <c r="A89" s="13" t="str">
        <f>IFERROR(__xludf.DUMMYFUNCTION("""COMPUTED_VALUE"""),"PLYZLTGR-33")</f>
        <v>PLYZLTGR-33</v>
      </c>
      <c r="B89" s="13" t="str">
        <f>IFERROR(__xludf.DUMMYFUNCTION("""COMPUTED_VALUE"""),"PYLOX LAZER LIGHT GREEN 33")</f>
        <v>PYLOX LAZER LIGHT GREEN 33</v>
      </c>
      <c r="C89" s="16">
        <f>IFERROR(__xludf.DUMMYFUNCTION("""COMPUTED_VALUE"""),95.0)</f>
        <v>95</v>
      </c>
      <c r="D89" s="13" t="str">
        <f>IFERROR(__xludf.DUMMYFUNCTION("""COMPUTED_VALUE"""),"CAN")</f>
        <v>CAN</v>
      </c>
      <c r="E89" s="28">
        <f>IFERROR(__xludf.DUMMYFUNCTION("""COMPUTED_VALUE"""),4.0)</f>
        <v>4</v>
      </c>
      <c r="F89" s="52">
        <f>SUMIF(SALES!D:D, A89, SALES!H:H) + SUMIFS('STOCK IN  TRANSFER'!G:G, 'STOCK IN  TRANSFER'!D:D, A89, 'STOCK IN  TRANSFER'!F:F, "TRANSFER") + SUMIFS('STOCK IN  TRANSFER'!G:G, 'STOCK IN  TRANSFER'!D:D, A89, 'STOCK IN  TRANSFER'!F:F, "ADJUSTMENT (-)")</f>
        <v>1</v>
      </c>
      <c r="G89" s="52">
        <f>SUMIFS('STOCK IN  TRANSFER'!G:G, 'STOCK IN  TRANSFER'!D:D, A89, 'STOCK IN  TRANSFER'!F:F, "STOCK IN") + SUMIFS('STOCK IN  TRANSFER'!G:G, 'STOCK IN  TRANSFER'!D:D, A89, 'STOCK IN  TRANSFER'!F:F, "ADJUSTMENT (+)")</f>
        <v>5</v>
      </c>
    </row>
    <row r="90" ht="22.5" customHeight="1">
      <c r="A90" s="13" t="str">
        <f>IFERROR(__xludf.DUMMYFUNCTION("""COMPUTED_VALUE"""),"PLYZHTRSIL-709")</f>
        <v>PLYZHTRSIL-709</v>
      </c>
      <c r="B90" s="13" t="str">
        <f>IFERROR(__xludf.DUMMYFUNCTION("""COMPUTED_VALUE"""),"PYLOX LAZER HEAT RESISTANT SILVER 709")</f>
        <v>PYLOX LAZER HEAT RESISTANT SILVER 709</v>
      </c>
      <c r="C90" s="16">
        <f>IFERROR(__xludf.DUMMYFUNCTION("""COMPUTED_VALUE"""),162.0)</f>
        <v>162</v>
      </c>
      <c r="D90" s="13" t="str">
        <f>IFERROR(__xludf.DUMMYFUNCTION("""COMPUTED_VALUE"""),"CAN")</f>
        <v>CAN</v>
      </c>
      <c r="E90" s="28">
        <f>IFERROR(__xludf.DUMMYFUNCTION("""COMPUTED_VALUE"""),4.0)</f>
        <v>4</v>
      </c>
      <c r="F90" s="52">
        <f>SUMIF(SALES!D:D, A90, SALES!H:H) + SUMIFS('STOCK IN  TRANSFER'!G:G, 'STOCK IN  TRANSFER'!D:D, A90, 'STOCK IN  TRANSFER'!F:F, "TRANSFER") + SUMIFS('STOCK IN  TRANSFER'!G:G, 'STOCK IN  TRANSFER'!D:D, A90, 'STOCK IN  TRANSFER'!F:F, "ADJUSTMENT (-)")</f>
        <v>0</v>
      </c>
      <c r="G90" s="52">
        <f>SUMIFS('STOCK IN  TRANSFER'!G:G, 'STOCK IN  TRANSFER'!D:D, A90, 'STOCK IN  TRANSFER'!F:F, "STOCK IN") + SUMIFS('STOCK IN  TRANSFER'!G:G, 'STOCK IN  TRANSFER'!D:D, A90, 'STOCK IN  TRANSFER'!F:F, "ADJUSTMENT (+)")</f>
        <v>4</v>
      </c>
    </row>
    <row r="91" ht="22.5" customHeight="1">
      <c r="A91" s="13" t="str">
        <f>IFERROR(__xludf.DUMMYFUNCTION("""COMPUTED_VALUE"""),"PLYZGLD-705")</f>
        <v>PLYZGLD-705</v>
      </c>
      <c r="B91" s="13" t="str">
        <f>IFERROR(__xludf.DUMMYFUNCTION("""COMPUTED_VALUE"""),"PYLOX LAZER GOLD 705")</f>
        <v>PYLOX LAZER GOLD 705</v>
      </c>
      <c r="C91" s="16">
        <f>IFERROR(__xludf.DUMMYFUNCTION("""COMPUTED_VALUE"""),117.0)</f>
        <v>117</v>
      </c>
      <c r="D91" s="13" t="str">
        <f>IFERROR(__xludf.DUMMYFUNCTION("""COMPUTED_VALUE"""),"CAN")</f>
        <v>CAN</v>
      </c>
      <c r="E91" s="28">
        <f>IFERROR(__xludf.DUMMYFUNCTION("""COMPUTED_VALUE"""),1.0)</f>
        <v>1</v>
      </c>
      <c r="F91" s="52">
        <f>SUMIF(SALES!D:D, A91, SALES!H:H) + SUMIFS('STOCK IN  TRANSFER'!G:G, 'STOCK IN  TRANSFER'!D:D, A91, 'STOCK IN  TRANSFER'!F:F, "TRANSFER") + SUMIFS('STOCK IN  TRANSFER'!G:G, 'STOCK IN  TRANSFER'!D:D, A91, 'STOCK IN  TRANSFER'!F:F, "ADJUSTMENT (-)")</f>
        <v>10</v>
      </c>
      <c r="G91" s="52">
        <f>SUMIFS('STOCK IN  TRANSFER'!G:G, 'STOCK IN  TRANSFER'!D:D, A91, 'STOCK IN  TRANSFER'!F:F, "STOCK IN") + SUMIFS('STOCK IN  TRANSFER'!G:G, 'STOCK IN  TRANSFER'!D:D, A91, 'STOCK IN  TRANSFER'!F:F, "ADJUSTMENT (+)")</f>
        <v>11</v>
      </c>
    </row>
    <row r="92" ht="22.5" customHeight="1">
      <c r="A92" s="13" t="str">
        <f>IFERROR(__xludf.DUMMYFUNCTION("""COMPUTED_VALUE"""),"PLYZGBLK-48")</f>
        <v>PLYZGBLK-48</v>
      </c>
      <c r="B92" s="13" t="str">
        <f>IFERROR(__xludf.DUMMYFUNCTION("""COMPUTED_VALUE"""),"PYLOX LAZER GLOSS BLACK 48")</f>
        <v>PYLOX LAZER GLOSS BLACK 48</v>
      </c>
      <c r="C92" s="16">
        <f>IFERROR(__xludf.DUMMYFUNCTION("""COMPUTED_VALUE"""),95.0)</f>
        <v>95</v>
      </c>
      <c r="D92" s="13" t="str">
        <f>IFERROR(__xludf.DUMMYFUNCTION("""COMPUTED_VALUE"""),"CAN")</f>
        <v>CAN</v>
      </c>
      <c r="E92" s="28">
        <f>IFERROR(__xludf.DUMMYFUNCTION("""COMPUTED_VALUE"""),3.0)</f>
        <v>3</v>
      </c>
      <c r="F92" s="52">
        <f>SUMIF(SALES!D:D, A92, SALES!H:H) + SUMIFS('STOCK IN  TRANSFER'!G:G, 'STOCK IN  TRANSFER'!D:D, A92, 'STOCK IN  TRANSFER'!F:F, "TRANSFER") + SUMIFS('STOCK IN  TRANSFER'!G:G, 'STOCK IN  TRANSFER'!D:D, A92, 'STOCK IN  TRANSFER'!F:F, "ADJUSTMENT (-)")</f>
        <v>19</v>
      </c>
      <c r="G92" s="52">
        <f>SUMIFS('STOCK IN  TRANSFER'!G:G, 'STOCK IN  TRANSFER'!D:D, A92, 'STOCK IN  TRANSFER'!F:F, "STOCK IN") + SUMIFS('STOCK IN  TRANSFER'!G:G, 'STOCK IN  TRANSFER'!D:D, A92, 'STOCK IN  TRANSFER'!F:F, "ADJUSTMENT (+)")</f>
        <v>22</v>
      </c>
    </row>
    <row r="93" ht="22.5" customHeight="1">
      <c r="A93" s="13" t="str">
        <f>IFERROR(__xludf.DUMMYFUNCTION("""COMPUTED_VALUE"""),"PLYZFLOUVIO-604")</f>
        <v>PLYZFLOUVIO-604</v>
      </c>
      <c r="B93" s="13" t="str">
        <f>IFERROR(__xludf.DUMMYFUNCTION("""COMPUTED_VALUE"""),"PYLOX LAZER FLOURESCENT VIOLET 604")</f>
        <v>PYLOX LAZER FLOURESCENT VIOLET 604</v>
      </c>
      <c r="C93" s="16">
        <f>IFERROR(__xludf.DUMMYFUNCTION("""COMPUTED_VALUE"""),135.0)</f>
        <v>135</v>
      </c>
      <c r="D93" s="13" t="str">
        <f>IFERROR(__xludf.DUMMYFUNCTION("""COMPUTED_VALUE"""),"CAN")</f>
        <v>CAN</v>
      </c>
      <c r="E93" s="28">
        <f>IFERROR(__xludf.DUMMYFUNCTION("""COMPUTED_VALUE"""),8.0)</f>
        <v>8</v>
      </c>
      <c r="F93" s="52">
        <f>SUMIF(SALES!D:D, A93, SALES!H:H) + SUMIFS('STOCK IN  TRANSFER'!G:G, 'STOCK IN  TRANSFER'!D:D, A93, 'STOCK IN  TRANSFER'!F:F, "TRANSFER") + SUMIFS('STOCK IN  TRANSFER'!G:G, 'STOCK IN  TRANSFER'!D:D, A93, 'STOCK IN  TRANSFER'!F:F, "ADJUSTMENT (-)")</f>
        <v>1</v>
      </c>
      <c r="G93" s="52">
        <f>SUMIFS('STOCK IN  TRANSFER'!G:G, 'STOCK IN  TRANSFER'!D:D, A93, 'STOCK IN  TRANSFER'!F:F, "STOCK IN") + SUMIFS('STOCK IN  TRANSFER'!G:G, 'STOCK IN  TRANSFER'!D:D, A93, 'STOCK IN  TRANSFER'!F:F, "ADJUSTMENT (+)")</f>
        <v>9</v>
      </c>
    </row>
    <row r="94" ht="22.5" customHeight="1">
      <c r="A94" s="13" t="str">
        <f>IFERROR(__xludf.DUMMYFUNCTION("""COMPUTED_VALUE"""),"PLYZFLOURPNK-603")</f>
        <v>PLYZFLOURPNK-603</v>
      </c>
      <c r="B94" s="13" t="str">
        <f>IFERROR(__xludf.DUMMYFUNCTION("""COMPUTED_VALUE"""),"PYLOX LAZER FLOURESCENT PINK 603")</f>
        <v>PYLOX LAZER FLOURESCENT PINK 603</v>
      </c>
      <c r="C94" s="16">
        <f>IFERROR(__xludf.DUMMYFUNCTION("""COMPUTED_VALUE"""),135.0)</f>
        <v>135</v>
      </c>
      <c r="D94" s="13" t="str">
        <f>IFERROR(__xludf.DUMMYFUNCTION("""COMPUTED_VALUE"""),"CAN")</f>
        <v>CAN</v>
      </c>
      <c r="E94" s="28">
        <f>IFERROR(__xludf.DUMMYFUNCTION("""COMPUTED_VALUE"""),3.0)</f>
        <v>3</v>
      </c>
      <c r="F94" s="52">
        <f>SUMIF(SALES!D:D, A94, SALES!H:H) + SUMIFS('STOCK IN  TRANSFER'!G:G, 'STOCK IN  TRANSFER'!D:D, A94, 'STOCK IN  TRANSFER'!F:F, "TRANSFER") + SUMIFS('STOCK IN  TRANSFER'!G:G, 'STOCK IN  TRANSFER'!D:D, A94, 'STOCK IN  TRANSFER'!F:F, "ADJUSTMENT (-)")</f>
        <v>0</v>
      </c>
      <c r="G94" s="52">
        <f>SUMIFS('STOCK IN  TRANSFER'!G:G, 'STOCK IN  TRANSFER'!D:D, A94, 'STOCK IN  TRANSFER'!F:F, "STOCK IN") + SUMIFS('STOCK IN  TRANSFER'!G:G, 'STOCK IN  TRANSFER'!D:D, A94, 'STOCK IN  TRANSFER'!F:F, "ADJUSTMENT (+)")</f>
        <v>3</v>
      </c>
    </row>
    <row r="95" ht="22.5" customHeight="1">
      <c r="A95" s="13" t="str">
        <f>IFERROR(__xludf.DUMMYFUNCTION("""COMPUTED_VALUE"""),"PLYZFLOURANGE-601")</f>
        <v>PLYZFLOURANGE-601</v>
      </c>
      <c r="B95" s="13" t="str">
        <f>IFERROR(__xludf.DUMMYFUNCTION("""COMPUTED_VALUE"""),"PYLOX LAZER FLOURESCENT ORANGE 601")</f>
        <v>PYLOX LAZER FLOURESCENT ORANGE 601</v>
      </c>
      <c r="C95" s="16">
        <f>IFERROR(__xludf.DUMMYFUNCTION("""COMPUTED_VALUE"""),135.0)</f>
        <v>135</v>
      </c>
      <c r="D95" s="13" t="str">
        <f>IFERROR(__xludf.DUMMYFUNCTION("""COMPUTED_VALUE"""),"CAN")</f>
        <v>CAN</v>
      </c>
      <c r="E95" s="28">
        <f>IFERROR(__xludf.DUMMYFUNCTION("""COMPUTED_VALUE"""),8.0)</f>
        <v>8</v>
      </c>
      <c r="F95" s="52">
        <f>SUMIF(SALES!D:D, A95, SALES!H:H) + SUMIFS('STOCK IN  TRANSFER'!G:G, 'STOCK IN  TRANSFER'!D:D, A95, 'STOCK IN  TRANSFER'!F:F, "TRANSFER") + SUMIFS('STOCK IN  TRANSFER'!G:G, 'STOCK IN  TRANSFER'!D:D, A95, 'STOCK IN  TRANSFER'!F:F, "ADJUSTMENT (-)")</f>
        <v>1</v>
      </c>
      <c r="G95" s="52">
        <f>SUMIFS('STOCK IN  TRANSFER'!G:G, 'STOCK IN  TRANSFER'!D:D, A95, 'STOCK IN  TRANSFER'!F:F, "STOCK IN") + SUMIFS('STOCK IN  TRANSFER'!G:G, 'STOCK IN  TRANSFER'!D:D, A95, 'STOCK IN  TRANSFER'!F:F, "ADJUSTMENT (+)")</f>
        <v>9</v>
      </c>
    </row>
    <row r="96" ht="22.5" customHeight="1">
      <c r="A96" s="13" t="str">
        <f>IFERROR(__xludf.DUMMYFUNCTION("""COMPUTED_VALUE"""),"PLYZDISIL-701")</f>
        <v>PLYZDISIL-701</v>
      </c>
      <c r="B96" s="13" t="str">
        <f>IFERROR(__xludf.DUMMYFUNCTION("""COMPUTED_VALUE"""),"PYLOX LAZER DISTINGUISHED SILVER 701")</f>
        <v>PYLOX LAZER DISTINGUISHED SILVER 701</v>
      </c>
      <c r="C96" s="16">
        <f>IFERROR(__xludf.DUMMYFUNCTION("""COMPUTED_VALUE"""),117.0)</f>
        <v>117</v>
      </c>
      <c r="D96" s="13" t="str">
        <f>IFERROR(__xludf.DUMMYFUNCTION("""COMPUTED_VALUE"""),"CAN")</f>
        <v>CAN</v>
      </c>
      <c r="E96" s="28">
        <f>IFERROR(__xludf.DUMMYFUNCTION("""COMPUTED_VALUE"""),10.0)</f>
        <v>10</v>
      </c>
      <c r="F96" s="52">
        <f>SUMIF(SALES!D:D, A96, SALES!H:H) + SUMIFS('STOCK IN  TRANSFER'!G:G, 'STOCK IN  TRANSFER'!D:D, A96, 'STOCK IN  TRANSFER'!F:F, "TRANSFER") + SUMIFS('STOCK IN  TRANSFER'!G:G, 'STOCK IN  TRANSFER'!D:D, A96, 'STOCK IN  TRANSFER'!F:F, "ADJUSTMENT (-)")</f>
        <v>0</v>
      </c>
      <c r="G96" s="52">
        <f>SUMIFS('STOCK IN  TRANSFER'!G:G, 'STOCK IN  TRANSFER'!D:D, A96, 'STOCK IN  TRANSFER'!F:F, "STOCK IN") + SUMIFS('STOCK IN  TRANSFER'!G:G, 'STOCK IN  TRANSFER'!D:D, A96, 'STOCK IN  TRANSFER'!F:F, "ADJUSTMENT (+)")</f>
        <v>10</v>
      </c>
    </row>
    <row r="97" ht="22.5" customHeight="1">
      <c r="A97" s="13" t="str">
        <f>IFERROR(__xludf.DUMMYFUNCTION("""COMPUTED_VALUE"""),"PLYZDR-17")</f>
        <v>PLYZDR-17</v>
      </c>
      <c r="B97" s="13" t="str">
        <f>IFERROR(__xludf.DUMMYFUNCTION("""COMPUTED_VALUE"""),"PYLOX LAZER DEEP RED 17")</f>
        <v>PYLOX LAZER DEEP RED 17</v>
      </c>
      <c r="C97" s="16">
        <f>IFERROR(__xludf.DUMMYFUNCTION("""COMPUTED_VALUE"""),95.0)</f>
        <v>95</v>
      </c>
      <c r="D97" s="13" t="str">
        <f>IFERROR(__xludf.DUMMYFUNCTION("""COMPUTED_VALUE"""),"CAN")</f>
        <v>CAN</v>
      </c>
      <c r="E97" s="28">
        <f>IFERROR(__xludf.DUMMYFUNCTION("""COMPUTED_VALUE"""),4.0)</f>
        <v>4</v>
      </c>
      <c r="F97" s="52">
        <f>SUMIF(SALES!D:D, A97, SALES!H:H) + SUMIFS('STOCK IN  TRANSFER'!G:G, 'STOCK IN  TRANSFER'!D:D, A97, 'STOCK IN  TRANSFER'!F:F, "TRANSFER") + SUMIFS('STOCK IN  TRANSFER'!G:G, 'STOCK IN  TRANSFER'!D:D, A97, 'STOCK IN  TRANSFER'!F:F, "ADJUSTMENT (-)")</f>
        <v>2</v>
      </c>
      <c r="G97" s="52">
        <f>SUMIFS('STOCK IN  TRANSFER'!G:G, 'STOCK IN  TRANSFER'!D:D, A97, 'STOCK IN  TRANSFER'!F:F, "STOCK IN") + SUMIFS('STOCK IN  TRANSFER'!G:G, 'STOCK IN  TRANSFER'!D:D, A97, 'STOCK IN  TRANSFER'!F:F, "ADJUSTMENT (+)")</f>
        <v>6</v>
      </c>
    </row>
    <row r="98" ht="22.5" customHeight="1">
      <c r="A98" s="13" t="str">
        <f>IFERROR(__xludf.DUMMYFUNCTION("""COMPUTED_VALUE"""),"PLYZCLR-01")</f>
        <v>PLYZCLR-01</v>
      </c>
      <c r="B98" s="13" t="str">
        <f>IFERROR(__xludf.DUMMYFUNCTION("""COMPUTED_VALUE"""),"PYLOX LAZER CLEAR 01")</f>
        <v>PYLOX LAZER CLEAR 01</v>
      </c>
      <c r="C98" s="16">
        <f>IFERROR(__xludf.DUMMYFUNCTION("""COMPUTED_VALUE"""),95.0)</f>
        <v>95</v>
      </c>
      <c r="D98" s="13" t="str">
        <f>IFERROR(__xludf.DUMMYFUNCTION("""COMPUTED_VALUE"""),"CAN")</f>
        <v>CAN</v>
      </c>
      <c r="E98" s="28">
        <f>IFERROR(__xludf.DUMMYFUNCTION("""COMPUTED_VALUE"""),3.0)</f>
        <v>3</v>
      </c>
      <c r="F98" s="52">
        <f>SUMIF(SALES!D:D, A98, SALES!H:H) + SUMIFS('STOCK IN  TRANSFER'!G:G, 'STOCK IN  TRANSFER'!D:D, A98, 'STOCK IN  TRANSFER'!F:F, "TRANSFER") + SUMIFS('STOCK IN  TRANSFER'!G:G, 'STOCK IN  TRANSFER'!D:D, A98, 'STOCK IN  TRANSFER'!F:F, "ADJUSTMENT (-)")</f>
        <v>9</v>
      </c>
      <c r="G98" s="52">
        <f>SUMIFS('STOCK IN  TRANSFER'!G:G, 'STOCK IN  TRANSFER'!D:D, A98, 'STOCK IN  TRANSFER'!F:F, "STOCK IN") + SUMIFS('STOCK IN  TRANSFER'!G:G, 'STOCK IN  TRANSFER'!D:D, A98, 'STOCK IN  TRANSFER'!F:F, "ADJUSTMENT (+)")</f>
        <v>12</v>
      </c>
    </row>
    <row r="99" ht="22.5" customHeight="1">
      <c r="A99" s="13" t="str">
        <f>IFERROR(__xludf.DUMMYFUNCTION("""COMPUTED_VALUE"""),"PLYZCANRED-801")</f>
        <v>PLYZCANRED-801</v>
      </c>
      <c r="B99" s="13" t="str">
        <f>IFERROR(__xludf.DUMMYFUNCTION("""COMPUTED_VALUE"""),"PYLOX LAZER CANDYTONE RED 801")</f>
        <v>PYLOX LAZER CANDYTONE RED 801</v>
      </c>
      <c r="C99" s="16">
        <f>IFERROR(__xludf.DUMMYFUNCTION("""COMPUTED_VALUE"""),110.0)</f>
        <v>110</v>
      </c>
      <c r="D99" s="13" t="str">
        <f>IFERROR(__xludf.DUMMYFUNCTION("""COMPUTED_VALUE"""),"CAN")</f>
        <v>CAN</v>
      </c>
      <c r="E99" s="28">
        <f>IFERROR(__xludf.DUMMYFUNCTION("""COMPUTED_VALUE"""),11.0)</f>
        <v>11</v>
      </c>
      <c r="F99" s="52">
        <f>SUMIF(SALES!D:D, A99, SALES!H:H) + SUMIFS('STOCK IN  TRANSFER'!G:G, 'STOCK IN  TRANSFER'!D:D, A99, 'STOCK IN  TRANSFER'!F:F, "TRANSFER") + SUMIFS('STOCK IN  TRANSFER'!G:G, 'STOCK IN  TRANSFER'!D:D, A99, 'STOCK IN  TRANSFER'!F:F, "ADJUSTMENT (-)")</f>
        <v>0</v>
      </c>
      <c r="G99" s="52">
        <f>SUMIFS('STOCK IN  TRANSFER'!G:G, 'STOCK IN  TRANSFER'!D:D, A99, 'STOCK IN  TRANSFER'!F:F, "STOCK IN") + SUMIFS('STOCK IN  TRANSFER'!G:G, 'STOCK IN  TRANSFER'!D:D, A99, 'STOCK IN  TRANSFER'!F:F, "ADJUSTMENT (+)")</f>
        <v>11</v>
      </c>
    </row>
    <row r="100" ht="22.5" customHeight="1">
      <c r="A100" s="13" t="str">
        <f>IFERROR(__xludf.DUMMYFUNCTION("""COMPUTED_VALUE"""),"PYLZAY-06")</f>
        <v>PYLZAY-06</v>
      </c>
      <c r="B100" s="13" t="str">
        <f>IFERROR(__xludf.DUMMYFUNCTION("""COMPUTED_VALUE"""),"PYLOX LAZER ART YELLOW 06")</f>
        <v>PYLOX LAZER ART YELLOW 06</v>
      </c>
      <c r="C100" s="16">
        <f>IFERROR(__xludf.DUMMYFUNCTION("""COMPUTED_VALUE"""),95.0)</f>
        <v>95</v>
      </c>
      <c r="D100" s="13" t="str">
        <f>IFERROR(__xludf.DUMMYFUNCTION("""COMPUTED_VALUE"""),"CAN")</f>
        <v>CAN</v>
      </c>
      <c r="E100" s="28">
        <f>IFERROR(__xludf.DUMMYFUNCTION("""COMPUTED_VALUE"""),8.0)</f>
        <v>8</v>
      </c>
      <c r="F100" s="52">
        <f>SUMIF(SALES!D:D, A100, SALES!H:H) + SUMIFS('STOCK IN  TRANSFER'!G:G, 'STOCK IN  TRANSFER'!D:D, A100, 'STOCK IN  TRANSFER'!F:F, "TRANSFER") + SUMIFS('STOCK IN  TRANSFER'!G:G, 'STOCK IN  TRANSFER'!D:D, A100, 'STOCK IN  TRANSFER'!F:F, "ADJUSTMENT (-)")</f>
        <v>0</v>
      </c>
      <c r="G100" s="52">
        <f>SUMIFS('STOCK IN  TRANSFER'!G:G, 'STOCK IN  TRANSFER'!D:D, A100, 'STOCK IN  TRANSFER'!F:F, "STOCK IN") + SUMIFS('STOCK IN  TRANSFER'!G:G, 'STOCK IN  TRANSFER'!D:D, A100, 'STOCK IN  TRANSFER'!F:F, "ADJUSTMENT (+)")</f>
        <v>8</v>
      </c>
    </row>
    <row r="101" ht="22.5" customHeight="1">
      <c r="A101" s="13" t="str">
        <f>IFERROR(__xludf.DUMMYFUNCTION("""COMPUTED_VALUE"""),"PYLZANTPR-12")</f>
        <v>PYLZANTPR-12</v>
      </c>
      <c r="B101" s="13" t="str">
        <f>IFERROR(__xludf.DUMMYFUNCTION("""COMPUTED_VALUE"""),"PYLOX LAZER ANTI-RUST BROWN PRIMER 12")</f>
        <v>PYLOX LAZER ANTI-RUST BROWN PRIMER 12</v>
      </c>
      <c r="C101" s="16">
        <f>IFERROR(__xludf.DUMMYFUNCTION("""COMPUTED_VALUE"""),95.0)</f>
        <v>95</v>
      </c>
      <c r="D101" s="13" t="str">
        <f>IFERROR(__xludf.DUMMYFUNCTION("""COMPUTED_VALUE"""),"CAN")</f>
        <v>CAN</v>
      </c>
      <c r="E101" s="28">
        <f>IFERROR(__xludf.DUMMYFUNCTION("""COMPUTED_VALUE"""),2.0)</f>
        <v>2</v>
      </c>
      <c r="F101" s="52">
        <f>SUMIF(SALES!D:D, A101, SALES!H:H) + SUMIFS('STOCK IN  TRANSFER'!G:G, 'STOCK IN  TRANSFER'!D:D, A101, 'STOCK IN  TRANSFER'!F:F, "TRANSFER") + SUMIFS('STOCK IN  TRANSFER'!G:G, 'STOCK IN  TRANSFER'!D:D, A101, 'STOCK IN  TRANSFER'!F:F, "ADJUSTMENT (-)")</f>
        <v>3</v>
      </c>
      <c r="G101" s="52">
        <f>SUMIFS('STOCK IN  TRANSFER'!G:G, 'STOCK IN  TRANSFER'!D:D, A101, 'STOCK IN  TRANSFER'!F:F, "STOCK IN") + SUMIFS('STOCK IN  TRANSFER'!G:G, 'STOCK IN  TRANSFER'!D:D, A101, 'STOCK IN  TRANSFER'!F:F, "ADJUSTMENT (+)")</f>
        <v>5</v>
      </c>
    </row>
    <row r="102" ht="22.5" customHeight="1">
      <c r="A102" s="13" t="str">
        <f>IFERROR(__xludf.DUMMYFUNCTION("""COMPUTED_VALUE"""),"PLYZHI-TBLCK")</f>
        <v>PLYZHI-TBLCK</v>
      </c>
      <c r="B102" s="13" t="str">
        <f>IFERROR(__xludf.DUMMYFUNCTION("""COMPUTED_VALUE"""),"PYLOX HEAT RESISTANT BLACK")</f>
        <v>PYLOX HEAT RESISTANT BLACK</v>
      </c>
      <c r="C102" s="16">
        <f>IFERROR(__xludf.DUMMYFUNCTION("""COMPUTED_VALUE"""),150.0)</f>
        <v>150</v>
      </c>
      <c r="D102" s="13" t="str">
        <f>IFERROR(__xludf.DUMMYFUNCTION("""COMPUTED_VALUE"""),"BOT")</f>
        <v>BOT</v>
      </c>
      <c r="E102" s="28">
        <f>IFERROR(__xludf.DUMMYFUNCTION("""COMPUTED_VALUE"""),10.0)</f>
        <v>10</v>
      </c>
      <c r="F102" s="52">
        <f>SUMIF(SALES!D:D, A102, SALES!H:H) + SUMIFS('STOCK IN  TRANSFER'!G:G, 'STOCK IN  TRANSFER'!D:D, A102, 'STOCK IN  TRANSFER'!F:F, "TRANSFER") + SUMIFS('STOCK IN  TRANSFER'!G:G, 'STOCK IN  TRANSFER'!D:D, A102, 'STOCK IN  TRANSFER'!F:F, "ADJUSTMENT (-)")</f>
        <v>0</v>
      </c>
      <c r="G102" s="52">
        <f>SUMIFS('STOCK IN  TRANSFER'!G:G, 'STOCK IN  TRANSFER'!D:D, A102, 'STOCK IN  TRANSFER'!F:F, "STOCK IN") + SUMIFS('STOCK IN  TRANSFER'!G:G, 'STOCK IN  TRANSFER'!D:D, A102, 'STOCK IN  TRANSFER'!F:F, "ADJUSTMENT (+)")</f>
        <v>10</v>
      </c>
    </row>
    <row r="103" ht="22.5" customHeight="1">
      <c r="A103" s="13" t="str">
        <f>IFERROR(__xludf.DUMMYFUNCTION("""COMPUTED_VALUE"""),"PGTOPC-1L")</f>
        <v>PGTOPC-1L</v>
      </c>
      <c r="B103" s="13" t="str">
        <f>IFERROR(__xludf.DUMMYFUNCTION("""COMPUTED_VALUE"""),"POLYGLOSS TOP COAT W/H")</f>
        <v>POLYGLOSS TOP COAT W/H</v>
      </c>
      <c r="C103" s="16">
        <f>IFERROR(__xludf.DUMMYFUNCTION("""COMPUTED_VALUE"""),470.0)</f>
        <v>470</v>
      </c>
      <c r="D103" s="13" t="str">
        <f>IFERROR(__xludf.DUMMYFUNCTION("""COMPUTED_VALUE"""),"LITER")</f>
        <v>LITER</v>
      </c>
      <c r="E103" s="28">
        <f>IFERROR(__xludf.DUMMYFUNCTION("""COMPUTED_VALUE"""),6.0)</f>
        <v>6</v>
      </c>
      <c r="F103" s="52">
        <f>SUMIF(SALES!D:D, A103, SALES!H:H) + SUMIFS('STOCK IN  TRANSFER'!G:G, 'STOCK IN  TRANSFER'!D:D, A103, 'STOCK IN  TRANSFER'!F:F, "TRANSFER") + SUMIFS('STOCK IN  TRANSFER'!G:G, 'STOCK IN  TRANSFER'!D:D, A103, 'STOCK IN  TRANSFER'!F:F, "ADJUSTMENT (-)")</f>
        <v>1</v>
      </c>
      <c r="G103" s="52">
        <f>SUMIFS('STOCK IN  TRANSFER'!G:G, 'STOCK IN  TRANSFER'!D:D, A103, 'STOCK IN  TRANSFER'!F:F, "STOCK IN") + SUMIFS('STOCK IN  TRANSFER'!G:G, 'STOCK IN  TRANSFER'!D:D, A103, 'STOCK IN  TRANSFER'!F:F, "ADJUSTMENT (+)")</f>
        <v>7</v>
      </c>
    </row>
    <row r="104" ht="22.5" customHeight="1">
      <c r="A104" s="13" t="str">
        <f>IFERROR(__xludf.DUMMYFUNCTION("""COMPUTED_VALUE"""),"PGYG-4L")</f>
        <v>PGYG-4L</v>
      </c>
      <c r="B104" s="13" t="str">
        <f>IFERROR(__xludf.DUMMYFUNCTION("""COMPUTED_VALUE"""),"POLYGLOSS PU YELLOW GOLD 4L")</f>
        <v>POLYGLOSS PU YELLOW GOLD 4L</v>
      </c>
      <c r="C104" s="16">
        <f>IFERROR(__xludf.DUMMYFUNCTION("""COMPUTED_VALUE"""),2423.0)</f>
        <v>2423</v>
      </c>
      <c r="D104" s="13" t="str">
        <f>IFERROR(__xludf.DUMMYFUNCTION("""COMPUTED_VALUE"""),"GALON")</f>
        <v>GALON</v>
      </c>
      <c r="E104" s="28">
        <f>IFERROR(__xludf.DUMMYFUNCTION("""COMPUTED_VALUE"""),1.0)</f>
        <v>1</v>
      </c>
      <c r="F104" s="52">
        <f>SUMIF(SALES!D:D, A104, SALES!H:H) + SUMIFS('STOCK IN  TRANSFER'!G:G, 'STOCK IN  TRANSFER'!D:D, A104, 'STOCK IN  TRANSFER'!F:F, "TRANSFER") + SUMIFS('STOCK IN  TRANSFER'!G:G, 'STOCK IN  TRANSFER'!D:D, A104, 'STOCK IN  TRANSFER'!F:F, "ADJUSTMENT (-)")</f>
        <v>0</v>
      </c>
      <c r="G104" s="52">
        <f>SUMIFS('STOCK IN  TRANSFER'!G:G, 'STOCK IN  TRANSFER'!D:D, A104, 'STOCK IN  TRANSFER'!F:F, "STOCK IN") + SUMIFS('STOCK IN  TRANSFER'!G:G, 'STOCK IN  TRANSFER'!D:D, A104, 'STOCK IN  TRANSFER'!F:F, "ADJUSTMENT (+)")</f>
        <v>1</v>
      </c>
    </row>
    <row r="105" ht="22.5" customHeight="1">
      <c r="A105" s="13" t="str">
        <f>IFERROR(__xludf.DUMMYFUNCTION("""COMPUTED_VALUE"""),"PGW-4L")</f>
        <v>PGW-4L</v>
      </c>
      <c r="B105" s="13" t="str">
        <f>IFERROR(__xludf.DUMMYFUNCTION("""COMPUTED_VALUE"""),"POLYGLOSS PU WHITE 4L")</f>
        <v>POLYGLOSS PU WHITE 4L</v>
      </c>
      <c r="C105" s="16">
        <f>IFERROR(__xludf.DUMMYFUNCTION("""COMPUTED_VALUE"""),1730.0)</f>
        <v>1730</v>
      </c>
      <c r="D105" s="13" t="str">
        <f>IFERROR(__xludf.DUMMYFUNCTION("""COMPUTED_VALUE"""),"GALON")</f>
        <v>GALON</v>
      </c>
      <c r="E105" s="28">
        <f>IFERROR(__xludf.DUMMYFUNCTION("""COMPUTED_VALUE"""),0.0)</f>
        <v>0</v>
      </c>
      <c r="F105" s="52">
        <f>SUMIF(SALES!D:D, A105, SALES!H:H) + SUMIFS('STOCK IN  TRANSFER'!G:G, 'STOCK IN  TRANSFER'!D:D, A105, 'STOCK IN  TRANSFER'!F:F, "TRANSFER") + SUMIFS('STOCK IN  TRANSFER'!G:G, 'STOCK IN  TRANSFER'!D:D, A105, 'STOCK IN  TRANSFER'!F:F, "ADJUSTMENT (-)")</f>
        <v>3</v>
      </c>
      <c r="G105" s="52">
        <f>SUMIFS('STOCK IN  TRANSFER'!G:G, 'STOCK IN  TRANSFER'!D:D, A105, 'STOCK IN  TRANSFER'!F:F, "STOCK IN") + SUMIFS('STOCK IN  TRANSFER'!G:G, 'STOCK IN  TRANSFER'!D:D, A105, 'STOCK IN  TRANSFER'!F:F, "ADJUSTMENT (+)")</f>
        <v>3</v>
      </c>
    </row>
    <row r="106" ht="22.5" customHeight="1">
      <c r="A106" s="13" t="str">
        <f>IFERROR(__xludf.DUMMYFUNCTION("""COMPUTED_VALUE"""),"PGVT-4L")</f>
        <v>PGVT-4L</v>
      </c>
      <c r="B106" s="13" t="str">
        <f>IFERROR(__xludf.DUMMYFUNCTION("""COMPUTED_VALUE"""),"POLYGLOSS PU VIOLET TUNNER 4L")</f>
        <v>POLYGLOSS PU VIOLET TUNNER 4L</v>
      </c>
      <c r="C106" s="16">
        <f>IFERROR(__xludf.DUMMYFUNCTION("""COMPUTED_VALUE"""),2431.0)</f>
        <v>2431</v>
      </c>
      <c r="D106" s="13" t="str">
        <f>IFERROR(__xludf.DUMMYFUNCTION("""COMPUTED_VALUE"""),"GALON")</f>
        <v>GALON</v>
      </c>
      <c r="E106" s="28">
        <f>IFERROR(__xludf.DUMMYFUNCTION("""COMPUTED_VALUE"""),0.0)</f>
        <v>0</v>
      </c>
      <c r="F106" s="52">
        <f>SUMIF(SALES!D:D, A106, SALES!H:H) + SUMIFS('STOCK IN  TRANSFER'!G:G, 'STOCK IN  TRANSFER'!D:D, A106, 'STOCK IN  TRANSFER'!F:F, "TRANSFER") + SUMIFS('STOCK IN  TRANSFER'!G:G, 'STOCK IN  TRANSFER'!D:D, A106, 'STOCK IN  TRANSFER'!F:F, "ADJUSTMENT (-)")</f>
        <v>0</v>
      </c>
      <c r="G106" s="52">
        <f>SUMIFS('STOCK IN  TRANSFER'!G:G, 'STOCK IN  TRANSFER'!D:D, A106, 'STOCK IN  TRANSFER'!F:F, "STOCK IN") + SUMIFS('STOCK IN  TRANSFER'!G:G, 'STOCK IN  TRANSFER'!D:D, A106, 'STOCK IN  TRANSFER'!F:F, "ADJUSTMENT (+)")</f>
        <v>0</v>
      </c>
    </row>
    <row r="107" ht="22.5" customHeight="1">
      <c r="A107" s="13" t="str">
        <f>IFERROR(__xludf.DUMMYFUNCTION("""COMPUTED_VALUE"""),"PGRG-4L")</f>
        <v>PGRG-4L</v>
      </c>
      <c r="B107" s="13" t="str">
        <f>IFERROR(__xludf.DUMMYFUNCTION("""COMPUTED_VALUE"""),"POLYGLOSS PU RED GOLD 4L")</f>
        <v>POLYGLOSS PU RED GOLD 4L</v>
      </c>
      <c r="C107" s="16">
        <f>IFERROR(__xludf.DUMMYFUNCTION("""COMPUTED_VALUE"""),1883.0)</f>
        <v>1883</v>
      </c>
      <c r="D107" s="13" t="str">
        <f>IFERROR(__xludf.DUMMYFUNCTION("""COMPUTED_VALUE"""),"GALON")</f>
        <v>GALON</v>
      </c>
      <c r="E107" s="28">
        <f>IFERROR(__xludf.DUMMYFUNCTION("""COMPUTED_VALUE"""),1.0)</f>
        <v>1</v>
      </c>
      <c r="F107" s="52">
        <f>SUMIF(SALES!D:D, A107, SALES!H:H) + SUMIFS('STOCK IN  TRANSFER'!G:G, 'STOCK IN  TRANSFER'!D:D, A107, 'STOCK IN  TRANSFER'!F:F, "TRANSFER") + SUMIFS('STOCK IN  TRANSFER'!G:G, 'STOCK IN  TRANSFER'!D:D, A107, 'STOCK IN  TRANSFER'!F:F, "ADJUSTMENT (-)")</f>
        <v>0</v>
      </c>
      <c r="G107" s="52">
        <f>SUMIFS('STOCK IN  TRANSFER'!G:G, 'STOCK IN  TRANSFER'!D:D, A107, 'STOCK IN  TRANSFER'!F:F, "STOCK IN") + SUMIFS('STOCK IN  TRANSFER'!G:G, 'STOCK IN  TRANSFER'!D:D, A107, 'STOCK IN  TRANSFER'!F:F, "ADJUSTMENT (+)")</f>
        <v>1</v>
      </c>
    </row>
    <row r="108" ht="22.5" customHeight="1">
      <c r="A108" s="13" t="str">
        <f>IFERROR(__xludf.DUMMYFUNCTION("""COMPUTED_VALUE"""),"PGTG-4L")</f>
        <v>PGTG-4L</v>
      </c>
      <c r="B108" s="13" t="str">
        <f>IFERROR(__xludf.DUMMYFUNCTION("""COMPUTED_VALUE"""),"POLYGLOSS PU PHTHALO GREEN 4L")</f>
        <v>POLYGLOSS PU PHTHALO GREEN 4L</v>
      </c>
      <c r="C108" s="16">
        <f>IFERROR(__xludf.DUMMYFUNCTION("""COMPUTED_VALUE"""),1883.0)</f>
        <v>1883</v>
      </c>
      <c r="D108" s="13" t="str">
        <f>IFERROR(__xludf.DUMMYFUNCTION("""COMPUTED_VALUE"""),"GALON")</f>
        <v>GALON</v>
      </c>
      <c r="E108" s="28">
        <f>IFERROR(__xludf.DUMMYFUNCTION("""COMPUTED_VALUE"""),1.0)</f>
        <v>1</v>
      </c>
      <c r="F108" s="52">
        <f>SUMIF(SALES!D:D, A108, SALES!H:H) + SUMIFS('STOCK IN  TRANSFER'!G:G, 'STOCK IN  TRANSFER'!D:D, A108, 'STOCK IN  TRANSFER'!F:F, "TRANSFER") + SUMIFS('STOCK IN  TRANSFER'!G:G, 'STOCK IN  TRANSFER'!D:D, A108, 'STOCK IN  TRANSFER'!F:F, "ADJUSTMENT (-)")</f>
        <v>0</v>
      </c>
      <c r="G108" s="52">
        <f>SUMIFS('STOCK IN  TRANSFER'!G:G, 'STOCK IN  TRANSFER'!D:D, A108, 'STOCK IN  TRANSFER'!F:F, "STOCK IN") + SUMIFS('STOCK IN  TRANSFER'!G:G, 'STOCK IN  TRANSFER'!D:D, A108, 'STOCK IN  TRANSFER'!F:F, "ADJUSTMENT (+)")</f>
        <v>1</v>
      </c>
    </row>
    <row r="109" ht="22.5" customHeight="1">
      <c r="A109" s="13" t="str">
        <f>IFERROR(__xludf.DUMMYFUNCTION("""COMPUTED_VALUE"""),"PGMF-4L")</f>
        <v>PGMF-4L</v>
      </c>
      <c r="B109" s="13" t="str">
        <f>IFERROR(__xludf.DUMMYFUNCTION("""COMPUTED_VALUE"""),"POLYGLOSS PU METALLIC FINE 4L")</f>
        <v>POLYGLOSS PU METALLIC FINE 4L</v>
      </c>
      <c r="C109" s="16">
        <f>IFERROR(__xludf.DUMMYFUNCTION("""COMPUTED_VALUE"""),1743.0)</f>
        <v>1743</v>
      </c>
      <c r="D109" s="13" t="str">
        <f>IFERROR(__xludf.DUMMYFUNCTION("""COMPUTED_VALUE"""),"GALON")</f>
        <v>GALON</v>
      </c>
      <c r="E109" s="28">
        <f>IFERROR(__xludf.DUMMYFUNCTION("""COMPUTED_VALUE"""),0.0)</f>
        <v>0</v>
      </c>
      <c r="F109" s="52">
        <f>SUMIF(SALES!D:D, A109, SALES!H:H) + SUMIFS('STOCK IN  TRANSFER'!G:G, 'STOCK IN  TRANSFER'!D:D, A109, 'STOCK IN  TRANSFER'!F:F, "TRANSFER") + SUMIFS('STOCK IN  TRANSFER'!G:G, 'STOCK IN  TRANSFER'!D:D, A109, 'STOCK IN  TRANSFER'!F:F, "ADJUSTMENT (-)")</f>
        <v>0.5</v>
      </c>
      <c r="G109" s="52">
        <f>SUMIFS('STOCK IN  TRANSFER'!G:G, 'STOCK IN  TRANSFER'!D:D, A109, 'STOCK IN  TRANSFER'!F:F, "STOCK IN") + SUMIFS('STOCK IN  TRANSFER'!G:G, 'STOCK IN  TRANSFER'!D:D, A109, 'STOCK IN  TRANSFER'!F:F, "ADJUSTMENT (+)")</f>
        <v>0.5</v>
      </c>
    </row>
    <row r="110" ht="22.5" customHeight="1">
      <c r="A110" s="13" t="str">
        <f>IFERROR(__xludf.DUMMYFUNCTION("""COMPUTED_VALUE"""),"PGLY-4L")</f>
        <v>PGLY-4L</v>
      </c>
      <c r="B110" s="13" t="str">
        <f>IFERROR(__xludf.DUMMYFUNCTION("""COMPUTED_VALUE"""),"POLYGLOSS PU LIGHT YELLOW 4L")</f>
        <v>POLYGLOSS PU LIGHT YELLOW 4L</v>
      </c>
      <c r="C110" s="16">
        <f>IFERROR(__xludf.DUMMYFUNCTION("""COMPUTED_VALUE"""),1883.0)</f>
        <v>1883</v>
      </c>
      <c r="D110" s="13" t="str">
        <f>IFERROR(__xludf.DUMMYFUNCTION("""COMPUTED_VALUE"""),"GALON")</f>
        <v>GALON</v>
      </c>
      <c r="E110" s="28">
        <f>IFERROR(__xludf.DUMMYFUNCTION("""COMPUTED_VALUE"""),0.0)</f>
        <v>0</v>
      </c>
      <c r="F110" s="52">
        <f>SUMIF(SALES!D:D, A110, SALES!H:H) + SUMIFS('STOCK IN  TRANSFER'!G:G, 'STOCK IN  TRANSFER'!D:D, A110, 'STOCK IN  TRANSFER'!F:F, "TRANSFER") + SUMIFS('STOCK IN  TRANSFER'!G:G, 'STOCK IN  TRANSFER'!D:D, A110, 'STOCK IN  TRANSFER'!F:F, "ADJUSTMENT (-)")</f>
        <v>0</v>
      </c>
      <c r="G110" s="52">
        <f>SUMIFS('STOCK IN  TRANSFER'!G:G, 'STOCK IN  TRANSFER'!D:D, A110, 'STOCK IN  TRANSFER'!F:F, "STOCK IN") + SUMIFS('STOCK IN  TRANSFER'!G:G, 'STOCK IN  TRANSFER'!D:D, A110, 'STOCK IN  TRANSFER'!F:F, "ADJUSTMENT (+)")</f>
        <v>0</v>
      </c>
    </row>
    <row r="111" ht="22.5" customHeight="1">
      <c r="A111" s="13" t="str">
        <f>IFERROR(__xludf.DUMMYFUNCTION("""COMPUTED_VALUE"""),"PGGY-4L")</f>
        <v>PGGY-4L</v>
      </c>
      <c r="B111" s="13" t="str">
        <f>IFERROR(__xludf.DUMMYFUNCTION("""COMPUTED_VALUE"""),"POLYGLOSS PU GLEAMIST YELLOW 4L")</f>
        <v>POLYGLOSS PU GLEAMIST YELLOW 4L</v>
      </c>
      <c r="C111" s="16">
        <f>IFERROR(__xludf.DUMMYFUNCTION("""COMPUTED_VALUE"""),3188.0)</f>
        <v>3188</v>
      </c>
      <c r="D111" s="13" t="str">
        <f>IFERROR(__xludf.DUMMYFUNCTION("""COMPUTED_VALUE"""),"GALON")</f>
        <v>GALON</v>
      </c>
      <c r="E111" s="28">
        <f>IFERROR(__xludf.DUMMYFUNCTION("""COMPUTED_VALUE"""),0.0)</f>
        <v>0</v>
      </c>
      <c r="F111" s="52">
        <f>SUMIF(SALES!D:D, A111, SALES!H:H) + SUMIFS('STOCK IN  TRANSFER'!G:G, 'STOCK IN  TRANSFER'!D:D, A111, 'STOCK IN  TRANSFER'!F:F, "TRANSFER") + SUMIFS('STOCK IN  TRANSFER'!G:G, 'STOCK IN  TRANSFER'!D:D, A111, 'STOCK IN  TRANSFER'!F:F, "ADJUSTMENT (-)")</f>
        <v>1</v>
      </c>
      <c r="G111" s="52">
        <f>SUMIFS('STOCK IN  TRANSFER'!G:G, 'STOCK IN  TRANSFER'!D:D, A111, 'STOCK IN  TRANSFER'!F:F, "STOCK IN") + SUMIFS('STOCK IN  TRANSFER'!G:G, 'STOCK IN  TRANSFER'!D:D, A111, 'STOCK IN  TRANSFER'!F:F, "ADJUSTMENT (+)")</f>
        <v>1</v>
      </c>
    </row>
    <row r="112" ht="22.5" customHeight="1">
      <c r="A112" s="13" t="str">
        <f>IFERROR(__xludf.DUMMYFUNCTION("""COMPUTED_VALUE"""),"PGGW-4L")</f>
        <v>PGGW-4L</v>
      </c>
      <c r="B112" s="13" t="str">
        <f>IFERROR(__xludf.DUMMYFUNCTION("""COMPUTED_VALUE"""),"POLYGLOSS PU GLEAMIST WHITE 4L")</f>
        <v>POLYGLOSS PU GLEAMIST WHITE 4L</v>
      </c>
      <c r="C112" s="16">
        <f>IFERROR(__xludf.DUMMYFUNCTION("""COMPUTED_VALUE"""),3188.0)</f>
        <v>3188</v>
      </c>
      <c r="D112" s="13" t="str">
        <f>IFERROR(__xludf.DUMMYFUNCTION("""COMPUTED_VALUE"""),"GALON")</f>
        <v>GALON</v>
      </c>
      <c r="E112" s="28">
        <f>IFERROR(__xludf.DUMMYFUNCTION("""COMPUTED_VALUE"""),0.0)</f>
        <v>0</v>
      </c>
      <c r="F112" s="52">
        <f>SUMIF(SALES!D:D, A112, SALES!H:H) + SUMIFS('STOCK IN  TRANSFER'!G:G, 'STOCK IN  TRANSFER'!D:D, A112, 'STOCK IN  TRANSFER'!F:F, "TRANSFER") + SUMIFS('STOCK IN  TRANSFER'!G:G, 'STOCK IN  TRANSFER'!D:D, A112, 'STOCK IN  TRANSFER'!F:F, "ADJUSTMENT (-)")</f>
        <v>1</v>
      </c>
      <c r="G112" s="52">
        <f>SUMIFS('STOCK IN  TRANSFER'!G:G, 'STOCK IN  TRANSFER'!D:D, A112, 'STOCK IN  TRANSFER'!F:F, "STOCK IN") + SUMIFS('STOCK IN  TRANSFER'!G:G, 'STOCK IN  TRANSFER'!D:D, A112, 'STOCK IN  TRANSFER'!F:F, "ADJUSTMENT (+)")</f>
        <v>1</v>
      </c>
    </row>
    <row r="113" ht="22.5" customHeight="1">
      <c r="A113" s="13" t="str">
        <f>IFERROR(__xludf.DUMMYFUNCTION("""COMPUTED_VALUE"""),"PGGO-4L")</f>
        <v>PGGO-4L</v>
      </c>
      <c r="B113" s="13" t="str">
        <f>IFERROR(__xludf.DUMMYFUNCTION("""COMPUTED_VALUE"""),"POLYGLOSS PU GLEAMIST ORANGE 4L")</f>
        <v>POLYGLOSS PU GLEAMIST ORANGE 4L</v>
      </c>
      <c r="C113" s="16">
        <f>IFERROR(__xludf.DUMMYFUNCTION("""COMPUTED_VALUE"""),3188.0)</f>
        <v>3188</v>
      </c>
      <c r="D113" s="13" t="str">
        <f>IFERROR(__xludf.DUMMYFUNCTION("""COMPUTED_VALUE"""),"GALON")</f>
        <v>GALON</v>
      </c>
      <c r="E113" s="28">
        <f>IFERROR(__xludf.DUMMYFUNCTION("""COMPUTED_VALUE"""),0.0)</f>
        <v>0</v>
      </c>
      <c r="F113" s="52">
        <f>SUMIF(SALES!D:D, A113, SALES!H:H) + SUMIFS('STOCK IN  TRANSFER'!G:G, 'STOCK IN  TRANSFER'!D:D, A113, 'STOCK IN  TRANSFER'!F:F, "TRANSFER") + SUMIFS('STOCK IN  TRANSFER'!G:G, 'STOCK IN  TRANSFER'!D:D, A113, 'STOCK IN  TRANSFER'!F:F, "ADJUSTMENT (-)")</f>
        <v>2</v>
      </c>
      <c r="G113" s="52">
        <f>SUMIFS('STOCK IN  TRANSFER'!G:G, 'STOCK IN  TRANSFER'!D:D, A113, 'STOCK IN  TRANSFER'!F:F, "STOCK IN") + SUMIFS('STOCK IN  TRANSFER'!G:G, 'STOCK IN  TRANSFER'!D:D, A113, 'STOCK IN  TRANSFER'!F:F, "ADJUSTMENT (+)")</f>
        <v>2</v>
      </c>
    </row>
    <row r="114" ht="22.5" customHeight="1">
      <c r="A114" s="13" t="str">
        <f>IFERROR(__xludf.DUMMYFUNCTION("""COMPUTED_VALUE"""),"PGAR-4L")</f>
        <v>PGAR-4L</v>
      </c>
      <c r="B114" s="13" t="str">
        <f>IFERROR(__xludf.DUMMYFUNCTION("""COMPUTED_VALUE"""),"POLYGLOSS PU APPLE RED 4L")</f>
        <v>POLYGLOSS PU APPLE RED 4L</v>
      </c>
      <c r="C114" s="16">
        <f>IFERROR(__xludf.DUMMYFUNCTION("""COMPUTED_VALUE"""),2431.0)</f>
        <v>2431</v>
      </c>
      <c r="D114" s="13" t="str">
        <f>IFERROR(__xludf.DUMMYFUNCTION("""COMPUTED_VALUE"""),"GALON")</f>
        <v>GALON</v>
      </c>
      <c r="E114" s="28">
        <f>IFERROR(__xludf.DUMMYFUNCTION("""COMPUTED_VALUE"""),0.0)</f>
        <v>0</v>
      </c>
      <c r="F114" s="52">
        <f>SUMIF(SALES!D:D, A114, SALES!H:H) + SUMIFS('STOCK IN  TRANSFER'!G:G, 'STOCK IN  TRANSFER'!D:D, A114, 'STOCK IN  TRANSFER'!F:F, "TRANSFER") + SUMIFS('STOCK IN  TRANSFER'!G:G, 'STOCK IN  TRANSFER'!D:D, A114, 'STOCK IN  TRANSFER'!F:F, "ADJUSTMENT (-)")</f>
        <v>1</v>
      </c>
      <c r="G114" s="52">
        <f>SUMIFS('STOCK IN  TRANSFER'!G:G, 'STOCK IN  TRANSFER'!D:D, A114, 'STOCK IN  TRANSFER'!F:F, "STOCK IN") + SUMIFS('STOCK IN  TRANSFER'!G:G, 'STOCK IN  TRANSFER'!D:D, A114, 'STOCK IN  TRANSFER'!F:F, "ADJUSTMENT (+)")</f>
        <v>1</v>
      </c>
    </row>
    <row r="115" ht="22.5" customHeight="1">
      <c r="A115" s="13" t="str">
        <f>IFERROR(__xludf.DUMMYFUNCTION("""COMPUTED_VALUE"""),"PG888-4L")</f>
        <v>PG888-4L</v>
      </c>
      <c r="B115" s="13" t="str">
        <f>IFERROR(__xludf.DUMMYFUNCTION("""COMPUTED_VALUE"""),"POLYGLOSS PU 888 RED 4L")</f>
        <v>POLYGLOSS PU 888 RED 4L</v>
      </c>
      <c r="C115" s="16">
        <f>IFERROR(__xludf.DUMMYFUNCTION("""COMPUTED_VALUE"""),2450.0)</f>
        <v>2450</v>
      </c>
      <c r="D115" s="13" t="str">
        <f>IFERROR(__xludf.DUMMYFUNCTION("""COMPUTED_VALUE"""),"GALON")</f>
        <v>GALON</v>
      </c>
      <c r="E115" s="28">
        <f>IFERROR(__xludf.DUMMYFUNCTION("""COMPUTED_VALUE"""),0.0)</f>
        <v>0</v>
      </c>
      <c r="F115" s="52">
        <f>SUMIF(SALES!D:D, A115, SALES!H:H) + SUMIFS('STOCK IN  TRANSFER'!G:G, 'STOCK IN  TRANSFER'!D:D, A115, 'STOCK IN  TRANSFER'!F:F, "TRANSFER") + SUMIFS('STOCK IN  TRANSFER'!G:G, 'STOCK IN  TRANSFER'!D:D, A115, 'STOCK IN  TRANSFER'!F:F, "ADJUSTMENT (-)")</f>
        <v>3.875</v>
      </c>
      <c r="G115" s="52">
        <f>SUMIFS('STOCK IN  TRANSFER'!G:G, 'STOCK IN  TRANSFER'!D:D, A115, 'STOCK IN  TRANSFER'!F:F, "STOCK IN") + SUMIFS('STOCK IN  TRANSFER'!G:G, 'STOCK IN  TRANSFER'!D:D, A115, 'STOCK IN  TRANSFER'!F:F, "ADJUSTMENT (+)")</f>
        <v>3.875</v>
      </c>
    </row>
    <row r="116" ht="22.5" customHeight="1">
      <c r="A116" s="13" t="str">
        <f>IFERROR(__xludf.DUMMYFUNCTION("""COMPUTED_VALUE"""),"PLQDEY-4L")</f>
        <v>PLQDEY-4L</v>
      </c>
      <c r="B116" s="13" t="str">
        <f>IFERROR(__xludf.DUMMYFUNCTION("""COMPUTED_VALUE"""),"PLATONE QDE YELLOW 4L")</f>
        <v>PLATONE QDE YELLOW 4L</v>
      </c>
      <c r="C116" s="16">
        <f>IFERROR(__xludf.DUMMYFUNCTION("""COMPUTED_VALUE"""),836.0)</f>
        <v>836</v>
      </c>
      <c r="D116" s="13" t="str">
        <f>IFERROR(__xludf.DUMMYFUNCTION("""COMPUTED_VALUE"""),"GAL")</f>
        <v>GAL</v>
      </c>
      <c r="E116" s="28">
        <f>IFERROR(__xludf.DUMMYFUNCTION("""COMPUTED_VALUE"""),0.0)</f>
        <v>0</v>
      </c>
      <c r="F116" s="52">
        <f>SUMIF(SALES!D:D, A116, SALES!H:H) + SUMIFS('STOCK IN  TRANSFER'!G:G, 'STOCK IN  TRANSFER'!D:D, A116, 'STOCK IN  TRANSFER'!F:F, "TRANSFER") + SUMIFS('STOCK IN  TRANSFER'!G:G, 'STOCK IN  TRANSFER'!D:D, A116, 'STOCK IN  TRANSFER'!F:F, "ADJUSTMENT (-)")</f>
        <v>11</v>
      </c>
      <c r="G116" s="52">
        <f>SUMIFS('STOCK IN  TRANSFER'!G:G, 'STOCK IN  TRANSFER'!D:D, A116, 'STOCK IN  TRANSFER'!F:F, "STOCK IN") + SUMIFS('STOCK IN  TRANSFER'!G:G, 'STOCK IN  TRANSFER'!D:D, A116, 'STOCK IN  TRANSFER'!F:F, "ADJUSTMENT (+)")</f>
        <v>11</v>
      </c>
    </row>
    <row r="117" ht="22.5" customHeight="1">
      <c r="A117" s="13" t="str">
        <f>IFERROR(__xludf.DUMMYFUNCTION("""COMPUTED_VALUE"""),"PLQDW-1L")</f>
        <v>PLQDW-1L</v>
      </c>
      <c r="B117" s="13" t="str">
        <f>IFERROR(__xludf.DUMMYFUNCTION("""COMPUTED_VALUE"""),"PLATONE QDE WHITE 1L")</f>
        <v>PLATONE QDE WHITE 1L</v>
      </c>
      <c r="C117" s="16"/>
      <c r="D117" s="13" t="str">
        <f>IFERROR(__xludf.DUMMYFUNCTION("""COMPUTED_VALUE"""),"LITER")</f>
        <v>LITER</v>
      </c>
      <c r="E117" s="28">
        <f>IFERROR(__xludf.DUMMYFUNCTION("""COMPUTED_VALUE"""),0.0)</f>
        <v>0</v>
      </c>
      <c r="F117" s="52">
        <f>SUMIF(SALES!D:D, A117, SALES!H:H) + SUMIFS('STOCK IN  TRANSFER'!G:G, 'STOCK IN  TRANSFER'!D:D, A117, 'STOCK IN  TRANSFER'!F:F, "TRANSFER") + SUMIFS('STOCK IN  TRANSFER'!G:G, 'STOCK IN  TRANSFER'!D:D, A117, 'STOCK IN  TRANSFER'!F:F, "ADJUSTMENT (-)")</f>
        <v>0</v>
      </c>
      <c r="G117" s="52">
        <f>SUMIFS('STOCK IN  TRANSFER'!G:G, 'STOCK IN  TRANSFER'!D:D, A117, 'STOCK IN  TRANSFER'!F:F, "STOCK IN") + SUMIFS('STOCK IN  TRANSFER'!G:G, 'STOCK IN  TRANSFER'!D:D, A117, 'STOCK IN  TRANSFER'!F:F, "ADJUSTMENT (+)")</f>
        <v>0</v>
      </c>
    </row>
    <row r="118" ht="22.5" customHeight="1">
      <c r="A118" s="13" t="str">
        <f>IFERROR(__xludf.DUMMYFUNCTION("""COMPUTED_VALUE"""),"PLQDRB-4L")</f>
        <v>PLQDRB-4L</v>
      </c>
      <c r="B118" s="13" t="str">
        <f>IFERROR(__xludf.DUMMYFUNCTION("""COMPUTED_VALUE"""),"PLATONE QDE ROYAL BLUE 4L")</f>
        <v>PLATONE QDE ROYAL BLUE 4L</v>
      </c>
      <c r="C118" s="16">
        <f>IFERROR(__xludf.DUMMYFUNCTION("""COMPUTED_VALUE"""),698.0)</f>
        <v>698</v>
      </c>
      <c r="D118" s="13" t="str">
        <f>IFERROR(__xludf.DUMMYFUNCTION("""COMPUTED_VALUE"""),"GAL")</f>
        <v>GAL</v>
      </c>
      <c r="E118" s="28">
        <f>IFERROR(__xludf.DUMMYFUNCTION("""COMPUTED_VALUE"""),0.0)</f>
        <v>0</v>
      </c>
      <c r="F118" s="52">
        <f>SUMIF(SALES!D:D, A118, SALES!H:H) + SUMIFS('STOCK IN  TRANSFER'!G:G, 'STOCK IN  TRANSFER'!D:D, A118, 'STOCK IN  TRANSFER'!F:F, "TRANSFER") + SUMIFS('STOCK IN  TRANSFER'!G:G, 'STOCK IN  TRANSFER'!D:D, A118, 'STOCK IN  TRANSFER'!F:F, "ADJUSTMENT (-)")</f>
        <v>5</v>
      </c>
      <c r="G118" s="52">
        <f>SUMIFS('STOCK IN  TRANSFER'!G:G, 'STOCK IN  TRANSFER'!D:D, A118, 'STOCK IN  TRANSFER'!F:F, "STOCK IN") + SUMIFS('STOCK IN  TRANSFER'!G:G, 'STOCK IN  TRANSFER'!D:D, A118, 'STOCK IN  TRANSFER'!F:F, "ADJUSTMENT (+)")</f>
        <v>5</v>
      </c>
    </row>
    <row r="119" ht="22.5" customHeight="1">
      <c r="A119" s="13" t="str">
        <f>IFERROR(__xludf.DUMMYFUNCTION("""COMPUTED_VALUE"""),"PLQDLY-4L")</f>
        <v>PLQDLY-4L</v>
      </c>
      <c r="B119" s="13" t="str">
        <f>IFERROR(__xludf.DUMMYFUNCTION("""COMPUTED_VALUE"""),"PLATONE QDE LEMON YELLOW 4L")</f>
        <v>PLATONE QDE LEMON YELLOW 4L</v>
      </c>
      <c r="C119" s="16">
        <f>IFERROR(__xludf.DUMMYFUNCTION("""COMPUTED_VALUE"""),836.0)</f>
        <v>836</v>
      </c>
      <c r="D119" s="13" t="str">
        <f>IFERROR(__xludf.DUMMYFUNCTION("""COMPUTED_VALUE"""),"GAL")</f>
        <v>GAL</v>
      </c>
      <c r="E119" s="28">
        <f>IFERROR(__xludf.DUMMYFUNCTION("""COMPUTED_VALUE"""),0.0)</f>
        <v>0</v>
      </c>
      <c r="F119" s="52">
        <f>SUMIF(SALES!D:D, A119, SALES!H:H) + SUMIFS('STOCK IN  TRANSFER'!G:G, 'STOCK IN  TRANSFER'!D:D, A119, 'STOCK IN  TRANSFER'!F:F, "TRANSFER") + SUMIFS('STOCK IN  TRANSFER'!G:G, 'STOCK IN  TRANSFER'!D:D, A119, 'STOCK IN  TRANSFER'!F:F, "ADJUSTMENT (-)")</f>
        <v>0</v>
      </c>
      <c r="G119" s="52">
        <f>SUMIFS('STOCK IN  TRANSFER'!G:G, 'STOCK IN  TRANSFER'!D:D, A119, 'STOCK IN  TRANSFER'!F:F, "STOCK IN") + SUMIFS('STOCK IN  TRANSFER'!G:G, 'STOCK IN  TRANSFER'!D:D, A119, 'STOCK IN  TRANSFER'!F:F, "ADJUSTMENT (+)")</f>
        <v>0</v>
      </c>
    </row>
    <row r="120" ht="22.5" customHeight="1">
      <c r="A120" s="13" t="str">
        <f>IFERROR(__xludf.DUMMYFUNCTION("""COMPUTED_VALUE"""),"PLQDJG-4L")</f>
        <v>PLQDJG-4L</v>
      </c>
      <c r="B120" s="13" t="str">
        <f>IFERROR(__xludf.DUMMYFUNCTION("""COMPUTED_VALUE"""),"PLATONE QDE JADE GREEN 4L")</f>
        <v>PLATONE QDE JADE GREEN 4L</v>
      </c>
      <c r="C120" s="16">
        <f>IFERROR(__xludf.DUMMYFUNCTION("""COMPUTED_VALUE"""),732.0)</f>
        <v>732</v>
      </c>
      <c r="D120" s="13" t="str">
        <f>IFERROR(__xludf.DUMMYFUNCTION("""COMPUTED_VALUE"""),"GAL")</f>
        <v>GAL</v>
      </c>
      <c r="E120" s="28">
        <f>IFERROR(__xludf.DUMMYFUNCTION("""COMPUTED_VALUE"""),1.0)</f>
        <v>1</v>
      </c>
      <c r="F120" s="52">
        <f>SUMIF(SALES!D:D, A120, SALES!H:H) + SUMIFS('STOCK IN  TRANSFER'!G:G, 'STOCK IN  TRANSFER'!D:D, A120, 'STOCK IN  TRANSFER'!F:F, "TRANSFER") + SUMIFS('STOCK IN  TRANSFER'!G:G, 'STOCK IN  TRANSFER'!D:D, A120, 'STOCK IN  TRANSFER'!F:F, "ADJUSTMENT (-)")</f>
        <v>0</v>
      </c>
      <c r="G120" s="52">
        <f>SUMIFS('STOCK IN  TRANSFER'!G:G, 'STOCK IN  TRANSFER'!D:D, A120, 'STOCK IN  TRANSFER'!F:F, "STOCK IN") + SUMIFS('STOCK IN  TRANSFER'!G:G, 'STOCK IN  TRANSFER'!D:D, A120, 'STOCK IN  TRANSFER'!F:F, "ADJUSTMENT (+)")</f>
        <v>1</v>
      </c>
    </row>
    <row r="121" ht="22.5" customHeight="1">
      <c r="A121" s="13" t="str">
        <f>IFERROR(__xludf.DUMMYFUNCTION("""COMPUTED_VALUE"""),"PLQDIR-4L")</f>
        <v>PLQDIR-4L</v>
      </c>
      <c r="B121" s="13" t="str">
        <f>IFERROR(__xludf.DUMMYFUNCTION("""COMPUTED_VALUE"""),"PLATONE QDE INTERNATIONAL RED 4L")</f>
        <v>PLATONE QDE INTERNATIONAL RED 4L</v>
      </c>
      <c r="C121" s="16">
        <f>IFERROR(__xludf.DUMMYFUNCTION("""COMPUTED_VALUE"""),773.0)</f>
        <v>773</v>
      </c>
      <c r="D121" s="13" t="str">
        <f>IFERROR(__xludf.DUMMYFUNCTION("""COMPUTED_VALUE"""),"GAL")</f>
        <v>GAL</v>
      </c>
      <c r="E121" s="28">
        <f>IFERROR(__xludf.DUMMYFUNCTION("""COMPUTED_VALUE"""),3.0)</f>
        <v>3</v>
      </c>
      <c r="F121" s="52">
        <f>SUMIF(SALES!D:D, A121, SALES!H:H) + SUMIFS('STOCK IN  TRANSFER'!G:G, 'STOCK IN  TRANSFER'!D:D, A121, 'STOCK IN  TRANSFER'!F:F, "TRANSFER") + SUMIFS('STOCK IN  TRANSFER'!G:G, 'STOCK IN  TRANSFER'!D:D, A121, 'STOCK IN  TRANSFER'!F:F, "ADJUSTMENT (-)")</f>
        <v>3</v>
      </c>
      <c r="G121" s="52">
        <f>SUMIFS('STOCK IN  TRANSFER'!G:G, 'STOCK IN  TRANSFER'!D:D, A121, 'STOCK IN  TRANSFER'!F:F, "STOCK IN") + SUMIFS('STOCK IN  TRANSFER'!G:G, 'STOCK IN  TRANSFER'!D:D, A121, 'STOCK IN  TRANSFER'!F:F, "ADJUSTMENT (+)")</f>
        <v>6</v>
      </c>
    </row>
    <row r="122" ht="22.5" customHeight="1">
      <c r="A122" s="13" t="str">
        <f>IFERROR(__xludf.DUMMYFUNCTION("""COMPUTED_VALUE"""),"PLQDG-4L")</f>
        <v>PLQDG-4L</v>
      </c>
      <c r="B122" s="13" t="str">
        <f>IFERROR(__xludf.DUMMYFUNCTION("""COMPUTED_VALUE"""),"PLATONE QDE GREEN 4L")</f>
        <v>PLATONE QDE GREEN 4L</v>
      </c>
      <c r="C122" s="16">
        <f>IFERROR(__xludf.DUMMYFUNCTION("""COMPUTED_VALUE"""),1593.0)</f>
        <v>1593</v>
      </c>
      <c r="D122" s="13" t="str">
        <f>IFERROR(__xludf.DUMMYFUNCTION("""COMPUTED_VALUE"""),"GALON")</f>
        <v>GALON</v>
      </c>
      <c r="E122" s="28">
        <f>IFERROR(__xludf.DUMMYFUNCTION("""COMPUTED_VALUE"""),1.0)</f>
        <v>1</v>
      </c>
      <c r="F122" s="52">
        <f>SUMIF(SALES!D:D, A122, SALES!H:H) + SUMIFS('STOCK IN  TRANSFER'!G:G, 'STOCK IN  TRANSFER'!D:D, A122, 'STOCK IN  TRANSFER'!F:F, "TRANSFER") + SUMIFS('STOCK IN  TRANSFER'!G:G, 'STOCK IN  TRANSFER'!D:D, A122, 'STOCK IN  TRANSFER'!F:F, "ADJUSTMENT (-)")</f>
        <v>2</v>
      </c>
      <c r="G122" s="52">
        <f>SUMIFS('STOCK IN  TRANSFER'!G:G, 'STOCK IN  TRANSFER'!D:D, A122, 'STOCK IN  TRANSFER'!F:F, "STOCK IN") + SUMIFS('STOCK IN  TRANSFER'!G:G, 'STOCK IN  TRANSFER'!D:D, A122, 'STOCK IN  TRANSFER'!F:F, "ADJUSTMENT (+)")</f>
        <v>3</v>
      </c>
    </row>
    <row r="123" ht="22.5" customHeight="1">
      <c r="A123" s="13" t="str">
        <f>IFERROR(__xludf.DUMMYFUNCTION("""COMPUTED_VALUE"""),"PLQDCB-4L")</f>
        <v>PLQDCB-4L</v>
      </c>
      <c r="B123" s="13" t="str">
        <f>IFERROR(__xludf.DUMMYFUNCTION("""COMPUTED_VALUE"""),"PLATONE QDE CHOCOLATE BROWN 4L")</f>
        <v>PLATONE QDE CHOCOLATE BROWN 4L</v>
      </c>
      <c r="C123" s="16">
        <f>IFERROR(__xludf.DUMMYFUNCTION("""COMPUTED_VALUE"""),668.0)</f>
        <v>668</v>
      </c>
      <c r="D123" s="13" t="str">
        <f>IFERROR(__xludf.DUMMYFUNCTION("""COMPUTED_VALUE"""),"GAL")</f>
        <v>GAL</v>
      </c>
      <c r="E123" s="28">
        <f>IFERROR(__xludf.DUMMYFUNCTION("""COMPUTED_VALUE"""),2.0)</f>
        <v>2</v>
      </c>
      <c r="F123" s="52">
        <f>SUMIF(SALES!D:D, A123, SALES!H:H) + SUMIFS('STOCK IN  TRANSFER'!G:G, 'STOCK IN  TRANSFER'!D:D, A123, 'STOCK IN  TRANSFER'!F:F, "TRANSFER") + SUMIFS('STOCK IN  TRANSFER'!G:G, 'STOCK IN  TRANSFER'!D:D, A123, 'STOCK IN  TRANSFER'!F:F, "ADJUSTMENT (-)")</f>
        <v>1</v>
      </c>
      <c r="G123" s="52">
        <f>SUMIFS('STOCK IN  TRANSFER'!G:G, 'STOCK IN  TRANSFER'!D:D, A123, 'STOCK IN  TRANSFER'!F:F, "STOCK IN") + SUMIFS('STOCK IN  TRANSFER'!G:G, 'STOCK IN  TRANSFER'!D:D, A123, 'STOCK IN  TRANSFER'!F:F, "ADJUSTMENT (+)")</f>
        <v>3</v>
      </c>
    </row>
    <row r="124" ht="22.5" customHeight="1">
      <c r="A124" s="13" t="str">
        <f>IFERROR(__xludf.DUMMYFUNCTION("""COMPUTED_VALUE"""),"PLQDB-4L")</f>
        <v>PLQDB-4L</v>
      </c>
      <c r="B124" s="13" t="str">
        <f>IFERROR(__xludf.DUMMYFUNCTION("""COMPUTED_VALUE"""),"PLATONE QDE BLACK 4L")</f>
        <v>PLATONE QDE BLACK 4L</v>
      </c>
      <c r="C124" s="16">
        <f>IFERROR(__xludf.DUMMYFUNCTION("""COMPUTED_VALUE"""),661.0)</f>
        <v>661</v>
      </c>
      <c r="D124" s="13" t="str">
        <f>IFERROR(__xludf.DUMMYFUNCTION("""COMPUTED_VALUE"""),"GAL")</f>
        <v>GAL</v>
      </c>
      <c r="E124" s="28">
        <f>IFERROR(__xludf.DUMMYFUNCTION("""COMPUTED_VALUE"""),2.0)</f>
        <v>2</v>
      </c>
      <c r="F124" s="52">
        <f>SUMIF(SALES!D:D, A124, SALES!H:H) + SUMIFS('STOCK IN  TRANSFER'!G:G, 'STOCK IN  TRANSFER'!D:D, A124, 'STOCK IN  TRANSFER'!F:F, "TRANSFER") + SUMIFS('STOCK IN  TRANSFER'!G:G, 'STOCK IN  TRANSFER'!D:D, A124, 'STOCK IN  TRANSFER'!F:F, "ADJUSTMENT (-)")</f>
        <v>6</v>
      </c>
      <c r="G124" s="52">
        <f>SUMIFS('STOCK IN  TRANSFER'!G:G, 'STOCK IN  TRANSFER'!D:D, A124, 'STOCK IN  TRANSFER'!F:F, "STOCK IN") + SUMIFS('STOCK IN  TRANSFER'!G:G, 'STOCK IN  TRANSFER'!D:D, A124, 'STOCK IN  TRANSFER'!F:F, "ADJUSTMENT (+)")</f>
        <v>8</v>
      </c>
    </row>
    <row r="125" ht="22.5" customHeight="1">
      <c r="A125" s="13" t="str">
        <f>IFERROR(__xludf.DUMMYFUNCTION("""COMPUTED_VALUE"""),"BOTTLE")</f>
        <v>BOTTLE</v>
      </c>
      <c r="B125" s="13" t="str">
        <f>IFERROR(__xludf.DUMMYFUNCTION("""COMPUTED_VALUE"""),"PLASTIC EMPTY BOTTLE")</f>
        <v>PLASTIC EMPTY BOTTLE</v>
      </c>
      <c r="C125" s="16">
        <f>IFERROR(__xludf.DUMMYFUNCTION("""COMPUTED_VALUE"""),6.25)</f>
        <v>6.25</v>
      </c>
      <c r="D125" s="13" t="str">
        <f>IFERROR(__xludf.DUMMYFUNCTION("""COMPUTED_VALUE"""),"PC/S")</f>
        <v>PC/S</v>
      </c>
      <c r="E125" s="28">
        <f>IFERROR(__xludf.DUMMYFUNCTION("""COMPUTED_VALUE"""),0.0)</f>
        <v>0</v>
      </c>
      <c r="F125" s="52">
        <f>SUMIF(SALES!D:D, A125, SALES!H:H) + SUMIFS('STOCK IN  TRANSFER'!G:G, 'STOCK IN  TRANSFER'!D:D, A125, 'STOCK IN  TRANSFER'!F:F, "TRANSFER") + SUMIFS('STOCK IN  TRANSFER'!G:G, 'STOCK IN  TRANSFER'!D:D, A125, 'STOCK IN  TRANSFER'!F:F, "ADJUSTMENT (-)")</f>
        <v>0</v>
      </c>
      <c r="G125" s="52">
        <f>SUMIFS('STOCK IN  TRANSFER'!G:G, 'STOCK IN  TRANSFER'!D:D, A125, 'STOCK IN  TRANSFER'!F:F, "STOCK IN") + SUMIFS('STOCK IN  TRANSFER'!G:G, 'STOCK IN  TRANSFER'!D:D, A125, 'STOCK IN  TRANSFER'!F:F, "ADJUSTMENT (+)")</f>
        <v>0</v>
      </c>
    </row>
    <row r="126" ht="22.5" customHeight="1">
      <c r="A126" s="13" t="str">
        <f>IFERROR(__xludf.DUMMYFUNCTION("""COMPUTED_VALUE"""),"ROS-238")</f>
        <v>ROS-238</v>
      </c>
      <c r="B126" s="13" t="str">
        <f>IFERROR(__xludf.DUMMYFUNCTION("""COMPUTED_VALUE"""),"PISTACHIO ELASTOMERIC WATER FROOFING PAINT ROS-238 RAIN OR SHINE 4L")</f>
        <v>PISTACHIO ELASTOMERIC WATER FROOFING PAINT ROS-238 RAIN OR SHINE 4L</v>
      </c>
      <c r="C126" s="16">
        <f>IFERROR(__xludf.DUMMYFUNCTION("""COMPUTED_VALUE"""),681.4)</f>
        <v>681.4</v>
      </c>
      <c r="D126" s="13" t="str">
        <f>IFERROR(__xludf.DUMMYFUNCTION("""COMPUTED_VALUE"""),"4L")</f>
        <v>4L</v>
      </c>
      <c r="E126" s="28">
        <f>IFERROR(__xludf.DUMMYFUNCTION("""COMPUTED_VALUE"""),1.0)</f>
        <v>1</v>
      </c>
      <c r="F126" s="52">
        <f>SUMIF(SALES!D:D, A126, SALES!H:H) + SUMIFS('STOCK IN  TRANSFER'!G:G, 'STOCK IN  TRANSFER'!D:D, A126, 'STOCK IN  TRANSFER'!F:F, "TRANSFER") + SUMIFS('STOCK IN  TRANSFER'!G:G, 'STOCK IN  TRANSFER'!D:D, A126, 'STOCK IN  TRANSFER'!F:F, "ADJUSTMENT (-)")</f>
        <v>0</v>
      </c>
      <c r="G126" s="52">
        <f>SUMIFS('STOCK IN  TRANSFER'!G:G, 'STOCK IN  TRANSFER'!D:D, A126, 'STOCK IN  TRANSFER'!F:F, "STOCK IN") + SUMIFS('STOCK IN  TRANSFER'!G:G, 'STOCK IN  TRANSFER'!D:D, A126, 'STOCK IN  TRANSFER'!F:F, "ADJUSTMENT (+)")</f>
        <v>1</v>
      </c>
    </row>
    <row r="127" ht="22.5" customHeight="1">
      <c r="A127" s="13" t="str">
        <f>IFERROR(__xludf.DUMMYFUNCTION("""COMPUTED_VALUE"""),"PINEPETHBLUE-4L")</f>
        <v>PINEPETHBLUE-4L</v>
      </c>
      <c r="B127" s="13" t="str">
        <f>IFERROR(__xludf.DUMMYFUNCTION("""COMPUTED_VALUE"""),"PINACLE EPOXY ENAMEL THALO BLUE 4L")</f>
        <v>PINACLE EPOXY ENAMEL THALO BLUE 4L</v>
      </c>
      <c r="C127" s="16">
        <f>IFERROR(__xludf.DUMMYFUNCTION("""COMPUTED_VALUE"""),1160.0)</f>
        <v>1160</v>
      </c>
      <c r="D127" s="13" t="str">
        <f>IFERROR(__xludf.DUMMYFUNCTION("""COMPUTED_VALUE"""),"GALON")</f>
        <v>GALON</v>
      </c>
      <c r="E127" s="28">
        <f>IFERROR(__xludf.DUMMYFUNCTION("""COMPUTED_VALUE"""),0.0)</f>
        <v>0</v>
      </c>
      <c r="F127" s="52">
        <f>SUMIF(SALES!D:D, A127, SALES!H:H) + SUMIFS('STOCK IN  TRANSFER'!G:G, 'STOCK IN  TRANSFER'!D:D, A127, 'STOCK IN  TRANSFER'!F:F, "TRANSFER") + SUMIFS('STOCK IN  TRANSFER'!G:G, 'STOCK IN  TRANSFER'!D:D, A127, 'STOCK IN  TRANSFER'!F:F, "ADJUSTMENT (-)")</f>
        <v>0</v>
      </c>
      <c r="G127" s="52">
        <f>SUMIFS('STOCK IN  TRANSFER'!G:G, 'STOCK IN  TRANSFER'!D:D, A127, 'STOCK IN  TRANSFER'!F:F, "STOCK IN") + SUMIFS('STOCK IN  TRANSFER'!G:G, 'STOCK IN  TRANSFER'!D:D, A127, 'STOCK IN  TRANSFER'!F:F, "ADJUSTMENT (+)")</f>
        <v>0</v>
      </c>
    </row>
    <row r="128" ht="22.5" customHeight="1">
      <c r="A128" s="13" t="str">
        <f>IFERROR(__xludf.DUMMYFUNCTION("""COMPUTED_VALUE"""),"PWTCO-9033")</f>
        <v>PWTCO-9033</v>
      </c>
      <c r="B128" s="13" t="str">
        <f>IFERROR(__xludf.DUMMYFUNCTION("""COMPUTED_VALUE"""),"PHTHALO GREEN TINTING COLOR PWTCO-9033 1/4L PREMIUM WELCOAT")</f>
        <v>PHTHALO GREEN TINTING COLOR PWTCO-9033 1/4L PREMIUM WELCOAT</v>
      </c>
      <c r="C128" s="16">
        <f>IFERROR(__xludf.DUMMYFUNCTION("""COMPUTED_VALUE"""),80.5933)</f>
        <v>80.5933</v>
      </c>
      <c r="D128" s="13" t="str">
        <f>IFERROR(__xludf.DUMMYFUNCTION("""COMPUTED_VALUE"""),"1/4L")</f>
        <v>1/4L</v>
      </c>
      <c r="E128" s="28">
        <f>IFERROR(__xludf.DUMMYFUNCTION("""COMPUTED_VALUE"""),0.0)</f>
        <v>0</v>
      </c>
      <c r="F128" s="52">
        <f>SUMIF(SALES!D:D, A128, SALES!H:H) + SUMIFS('STOCK IN  TRANSFER'!G:G, 'STOCK IN  TRANSFER'!D:D, A128, 'STOCK IN  TRANSFER'!F:F, "TRANSFER") + SUMIFS('STOCK IN  TRANSFER'!G:G, 'STOCK IN  TRANSFER'!D:D, A128, 'STOCK IN  TRANSFER'!F:F, "ADJUSTMENT (-)")</f>
        <v>1</v>
      </c>
      <c r="G128" s="52">
        <f>SUMIFS('STOCK IN  TRANSFER'!G:G, 'STOCK IN  TRANSFER'!D:D, A128, 'STOCK IN  TRANSFER'!F:F, "STOCK IN") + SUMIFS('STOCK IN  TRANSFER'!G:G, 'STOCK IN  TRANSFER'!D:D, A128, 'STOCK IN  TRANSFER'!F:F, "ADJUSTMENT (+)")</f>
        <v>1</v>
      </c>
    </row>
    <row r="129" ht="22.5" customHeight="1">
      <c r="A129" s="13" t="str">
        <f>IFERROR(__xludf.DUMMYFUNCTION("""COMPUTED_VALUE"""),"PWTAC-8717-1L")</f>
        <v>PWTAC-8717-1L</v>
      </c>
      <c r="B129" s="13" t="str">
        <f>IFERROR(__xludf.DUMMYFUNCTION("""COMPUTED_VALUE"""),"PERMANENT VIOLET ACRY-COLOR PWTAC-8717 1L WELCOAT PREMIUM")</f>
        <v>PERMANENT VIOLET ACRY-COLOR PWTAC-8717 1L WELCOAT PREMIUM</v>
      </c>
      <c r="C129" s="16">
        <f>IFERROR(__xludf.DUMMYFUNCTION("""COMPUTED_VALUE"""),181.764)</f>
        <v>181.764</v>
      </c>
      <c r="D129" s="13" t="str">
        <f>IFERROR(__xludf.DUMMYFUNCTION("""COMPUTED_VALUE"""),"1L")</f>
        <v>1L</v>
      </c>
      <c r="E129" s="28">
        <f>IFERROR(__xludf.DUMMYFUNCTION("""COMPUTED_VALUE"""),0.0)</f>
        <v>0</v>
      </c>
      <c r="F129" s="52">
        <f>SUMIF(SALES!D:D, A129, SALES!H:H) + SUMIFS('STOCK IN  TRANSFER'!G:G, 'STOCK IN  TRANSFER'!D:D, A129, 'STOCK IN  TRANSFER'!F:F, "TRANSFER") + SUMIFS('STOCK IN  TRANSFER'!G:G, 'STOCK IN  TRANSFER'!D:D, A129, 'STOCK IN  TRANSFER'!F:F, "ADJUSTMENT (-)")</f>
        <v>0</v>
      </c>
      <c r="G129" s="52">
        <f>SUMIFS('STOCK IN  TRANSFER'!G:G, 'STOCK IN  TRANSFER'!D:D, A129, 'STOCK IN  TRANSFER'!F:F, "STOCK IN") + SUMIFS('STOCK IN  TRANSFER'!G:G, 'STOCK IN  TRANSFER'!D:D, A129, 'STOCK IN  TRANSFER'!F:F, "ADJUSTMENT (+)")</f>
        <v>0</v>
      </c>
    </row>
    <row r="130" ht="22.5" customHeight="1">
      <c r="A130" s="13" t="str">
        <f>IFERROR(__xludf.DUMMYFUNCTION("""COMPUTED_VALUE"""),"PWTAC-3117-1L")</f>
        <v>PWTAC-3117-1L</v>
      </c>
      <c r="B130" s="13" t="str">
        <f>IFERROR(__xludf.DUMMYFUNCTION("""COMPUTED_VALUE"""),"PERMANENT ORANGE ACRY-COLOR PWTAC-3117 1L WELCOAT PREMIUM")</f>
        <v>PERMANENT ORANGE ACRY-COLOR PWTAC-3117 1L WELCOAT PREMIUM</v>
      </c>
      <c r="C130" s="16">
        <f>IFERROR(__xludf.DUMMYFUNCTION("""COMPUTED_VALUE"""),143.182)</f>
        <v>143.182</v>
      </c>
      <c r="D130" s="13" t="str">
        <f>IFERROR(__xludf.DUMMYFUNCTION("""COMPUTED_VALUE"""),"1L")</f>
        <v>1L</v>
      </c>
      <c r="E130" s="28">
        <f>IFERROR(__xludf.DUMMYFUNCTION("""COMPUTED_VALUE"""),5.0)</f>
        <v>5</v>
      </c>
      <c r="F130" s="52">
        <f>SUMIF(SALES!D:D, A130, SALES!H:H) + SUMIFS('STOCK IN  TRANSFER'!G:G, 'STOCK IN  TRANSFER'!D:D, A130, 'STOCK IN  TRANSFER'!F:F, "TRANSFER") + SUMIFS('STOCK IN  TRANSFER'!G:G, 'STOCK IN  TRANSFER'!D:D, A130, 'STOCK IN  TRANSFER'!F:F, "ADJUSTMENT (-)")</f>
        <v>0</v>
      </c>
      <c r="G130" s="52">
        <f>SUMIFS('STOCK IN  TRANSFER'!G:G, 'STOCK IN  TRANSFER'!D:D, A130, 'STOCK IN  TRANSFER'!F:F, "STOCK IN") + SUMIFS('STOCK IN  TRANSFER'!G:G, 'STOCK IN  TRANSFER'!D:D, A130, 'STOCK IN  TRANSFER'!F:F, "ADJUSTMENT (+)")</f>
        <v>5</v>
      </c>
    </row>
    <row r="131" ht="22.5" customHeight="1">
      <c r="A131" s="13" t="str">
        <f>IFERROR(__xludf.DUMMYFUNCTION("""COMPUTED_VALUE"""),"TRAY")</f>
        <v>TRAY</v>
      </c>
      <c r="B131" s="13" t="str">
        <f>IFERROR(__xludf.DUMMYFUNCTION("""COMPUTED_VALUE"""),"PAINT ROLLER TRAY")</f>
        <v>PAINT ROLLER TRAY</v>
      </c>
      <c r="C131" s="16">
        <f>IFERROR(__xludf.DUMMYFUNCTION("""COMPUTED_VALUE"""),40.0)</f>
        <v>40</v>
      </c>
      <c r="D131" s="13" t="str">
        <f>IFERROR(__xludf.DUMMYFUNCTION("""COMPUTED_VALUE"""),"PC/S")</f>
        <v>PC/S</v>
      </c>
      <c r="E131" s="28">
        <f>IFERROR(__xludf.DUMMYFUNCTION("""COMPUTED_VALUE"""),6.0)</f>
        <v>6</v>
      </c>
      <c r="F131" s="52">
        <f>SUMIF(SALES!D:D, A131, SALES!H:H) + SUMIFS('STOCK IN  TRANSFER'!G:G, 'STOCK IN  TRANSFER'!D:D, A131, 'STOCK IN  TRANSFER'!F:F, "TRANSFER") + SUMIFS('STOCK IN  TRANSFER'!G:G, 'STOCK IN  TRANSFER'!D:D, A131, 'STOCK IN  TRANSFER'!F:F, "ADJUSTMENT (-)")</f>
        <v>10</v>
      </c>
      <c r="G131" s="52">
        <f>SUMIFS('STOCK IN  TRANSFER'!G:G, 'STOCK IN  TRANSFER'!D:D, A131, 'STOCK IN  TRANSFER'!F:F, "STOCK IN") + SUMIFS('STOCK IN  TRANSFER'!G:G, 'STOCK IN  TRANSFER'!D:D, A131, 'STOCK IN  TRANSFER'!F:F, "ADJUSTMENT (+)")</f>
        <v>16</v>
      </c>
    </row>
    <row r="132" ht="22.5" customHeight="1">
      <c r="A132" s="13" t="str">
        <f>IFERROR(__xludf.DUMMYFUNCTION("""COMPUTED_VALUE"""),"2B-PB#1")</f>
        <v>2B-PB#1</v>
      </c>
      <c r="B132" s="13" t="str">
        <f>IFERROR(__xludf.DUMMYFUNCTION("""COMPUTED_VALUE"""),"PAINT BRUSH 2B #1")</f>
        <v>PAINT BRUSH 2B #1</v>
      </c>
      <c r="C132" s="16">
        <f>IFERROR(__xludf.DUMMYFUNCTION("""COMPUTED_VALUE"""),18.0)</f>
        <v>18</v>
      </c>
      <c r="D132" s="13" t="str">
        <f>IFERROR(__xludf.DUMMYFUNCTION("""COMPUTED_VALUE"""),"PC/S")</f>
        <v>PC/S</v>
      </c>
      <c r="E132" s="28">
        <f>IFERROR(__xludf.DUMMYFUNCTION("""COMPUTED_VALUE"""),16.0)</f>
        <v>16</v>
      </c>
      <c r="F132" s="52">
        <f>SUMIF(SALES!D:D, A132, SALES!H:H) + SUMIFS('STOCK IN  TRANSFER'!G:G, 'STOCK IN  TRANSFER'!D:D, A132, 'STOCK IN  TRANSFER'!F:F, "TRANSFER") + SUMIFS('STOCK IN  TRANSFER'!G:G, 'STOCK IN  TRANSFER'!D:D, A132, 'STOCK IN  TRANSFER'!F:F, "ADJUSTMENT (-)")</f>
        <v>24</v>
      </c>
      <c r="G132" s="52">
        <f>SUMIFS('STOCK IN  TRANSFER'!G:G, 'STOCK IN  TRANSFER'!D:D, A132, 'STOCK IN  TRANSFER'!F:F, "STOCK IN") + SUMIFS('STOCK IN  TRANSFER'!G:G, 'STOCK IN  TRANSFER'!D:D, A132, 'STOCK IN  TRANSFER'!F:F, "ADJUSTMENT (+)")</f>
        <v>40</v>
      </c>
    </row>
    <row r="133" ht="22.5" customHeight="1">
      <c r="A133" s="13" t="str">
        <f>IFERROR(__xludf.DUMMYFUNCTION("""COMPUTED_VALUE"""),"ROS-EF-3000")</f>
        <v>ROS-EF-3000</v>
      </c>
      <c r="B133" s="13" t="str">
        <f>IFERROR(__xludf.DUMMYFUNCTION("""COMPUTED_VALUE"""),"ORANGE ELASTO FLOOR ROS-EF-3000 RAIN OR SHINE 4L")</f>
        <v>ORANGE ELASTO FLOOR ROS-EF-3000 RAIN OR SHINE 4L</v>
      </c>
      <c r="C133" s="16">
        <f>IFERROR(__xludf.DUMMYFUNCTION("""COMPUTED_VALUE"""),1200.0)</f>
        <v>1200</v>
      </c>
      <c r="D133" s="13" t="str">
        <f>IFERROR(__xludf.DUMMYFUNCTION("""COMPUTED_VALUE"""),"4L")</f>
        <v>4L</v>
      </c>
      <c r="E133" s="28">
        <f>IFERROR(__xludf.DUMMYFUNCTION("""COMPUTED_VALUE"""),0.0)</f>
        <v>0</v>
      </c>
      <c r="F133" s="52">
        <f>SUMIF(SALES!D:D, A133, SALES!H:H) + SUMIFS('STOCK IN  TRANSFER'!G:G, 'STOCK IN  TRANSFER'!D:D, A133, 'STOCK IN  TRANSFER'!F:F, "TRANSFER") + SUMIFS('STOCK IN  TRANSFER'!G:G, 'STOCK IN  TRANSFER'!D:D, A133, 'STOCK IN  TRANSFER'!F:F, "ADJUSTMENT (-)")</f>
        <v>0</v>
      </c>
      <c r="G133" s="52">
        <f>SUMIFS('STOCK IN  TRANSFER'!G:G, 'STOCK IN  TRANSFER'!D:D, A133, 'STOCK IN  TRANSFER'!F:F, "STOCK IN") + SUMIFS('STOCK IN  TRANSFER'!G:G, 'STOCK IN  TRANSFER'!D:D, A133, 'STOCK IN  TRANSFER'!F:F, "ADJUSTMENT (+)")</f>
        <v>0</v>
      </c>
    </row>
    <row r="134" ht="22.5" customHeight="1">
      <c r="A134" s="13" t="str">
        <f>IFERROR(__xludf.DUMMYFUNCTION("""COMPUTED_VALUE"""),"MSC")</f>
        <v>MSC</v>
      </c>
      <c r="B134" s="13" t="str">
        <f>IFERROR(__xludf.DUMMYFUNCTION("""COMPUTED_VALUE"""),"OLD NEWS")</f>
        <v>OLD NEWS</v>
      </c>
      <c r="C134" s="16">
        <f>IFERROR(__xludf.DUMMYFUNCTION("""COMPUTED_VALUE"""),45.0)</f>
        <v>45</v>
      </c>
      <c r="D134" s="13" t="str">
        <f>IFERROR(__xludf.DUMMYFUNCTION("""COMPUTED_VALUE"""),"KG")</f>
        <v>KG</v>
      </c>
      <c r="E134" s="28">
        <f>IFERROR(__xludf.DUMMYFUNCTION("""COMPUTED_VALUE"""),37.0)</f>
        <v>37</v>
      </c>
      <c r="F134" s="52">
        <f>SUMIF(SALES!D:D, A134, SALES!H:H) + SUMIFS('STOCK IN  TRANSFER'!G:G, 'STOCK IN  TRANSFER'!D:D, A134, 'STOCK IN  TRANSFER'!F:F, "TRANSFER") + SUMIFS('STOCK IN  TRANSFER'!G:G, 'STOCK IN  TRANSFER'!D:D, A134, 'STOCK IN  TRANSFER'!F:F, "ADJUSTMENT (-)")</f>
        <v>115.5</v>
      </c>
      <c r="G134" s="52">
        <f>SUMIFS('STOCK IN  TRANSFER'!G:G, 'STOCK IN  TRANSFER'!D:D, A134, 'STOCK IN  TRANSFER'!F:F, "STOCK IN") + SUMIFS('STOCK IN  TRANSFER'!G:G, 'STOCK IN  TRANSFER'!D:D, A134, 'STOCK IN  TRANSFER'!F:F, "ADJUSTMENT (+)")</f>
        <v>152.5</v>
      </c>
    </row>
    <row r="135" ht="22.5" customHeight="1">
      <c r="A135" s="13" t="str">
        <f>IFERROR(__xludf.DUMMYFUNCTION("""COMPUTED_VALUE"""),"NP8100")</f>
        <v>NP8100</v>
      </c>
      <c r="B135" s="13" t="str">
        <f>IFERROR(__xludf.DUMMYFUNCTION("""COMPUTED_VALUE"""),"NIPPON ULTRA 8100T FD 2K CLEAR W/HARDENER 1L")</f>
        <v>NIPPON ULTRA 8100T FD 2K CLEAR W/HARDENER 1L</v>
      </c>
      <c r="C135" s="16">
        <f>IFERROR(__xludf.DUMMYFUNCTION("""COMPUTED_VALUE"""),1200.0)</f>
        <v>1200</v>
      </c>
      <c r="D135" s="13" t="str">
        <f>IFERROR(__xludf.DUMMYFUNCTION("""COMPUTED_VALUE"""),"LITER")</f>
        <v>LITER</v>
      </c>
      <c r="E135" s="28">
        <f>IFERROR(__xludf.DUMMYFUNCTION("""COMPUTED_VALUE"""),24.37)</f>
        <v>24.37</v>
      </c>
      <c r="F135" s="52">
        <f>SUMIF(SALES!D:D, A135, SALES!H:H) + SUMIFS('STOCK IN  TRANSFER'!G:G, 'STOCK IN  TRANSFER'!D:D, A135, 'STOCK IN  TRANSFER'!F:F, "TRANSFER") + SUMIFS('STOCK IN  TRANSFER'!G:G, 'STOCK IN  TRANSFER'!D:D, A135, 'STOCK IN  TRANSFER'!F:F, "ADJUSTMENT (-)")</f>
        <v>3.5</v>
      </c>
      <c r="G135" s="52">
        <f>SUMIFS('STOCK IN  TRANSFER'!G:G, 'STOCK IN  TRANSFER'!D:D, A135, 'STOCK IN  TRANSFER'!F:F, "STOCK IN") + SUMIFS('STOCK IN  TRANSFER'!G:G, 'STOCK IN  TRANSFER'!D:D, A135, 'STOCK IN  TRANSFER'!F:F, "ADJUSTMENT (+)")</f>
        <v>27.87</v>
      </c>
    </row>
    <row r="136" ht="22.5" customHeight="1">
      <c r="A136" s="13" t="str">
        <f>IFERROR(__xludf.DUMMYFUNCTION("""COMPUTED_VALUE"""),"SKIMCOAT")</f>
        <v>SKIMCOAT</v>
      </c>
      <c r="B136" s="13" t="str">
        <f>IFERROR(__xludf.DUMMYFUNCTION("""COMPUTED_VALUE"""),"NIPPON SKIMCOAT PAIL")</f>
        <v>NIPPON SKIMCOAT PAIL</v>
      </c>
      <c r="C136" s="16">
        <f>IFERROR(__xludf.DUMMYFUNCTION("""COMPUTED_VALUE"""),1755.0)</f>
        <v>1755</v>
      </c>
      <c r="D136" s="13" t="str">
        <f>IFERROR(__xludf.DUMMYFUNCTION("""COMPUTED_VALUE"""),"PAIL")</f>
        <v>PAIL</v>
      </c>
      <c r="E136" s="28">
        <f>IFERROR(__xludf.DUMMYFUNCTION("""COMPUTED_VALUE"""),0.0)</f>
        <v>0</v>
      </c>
      <c r="F136" s="52">
        <f>SUMIF(SALES!D:D, A136, SALES!H:H) + SUMIFS('STOCK IN  TRANSFER'!G:G, 'STOCK IN  TRANSFER'!D:D, A136, 'STOCK IN  TRANSFER'!F:F, "TRANSFER") + SUMIFS('STOCK IN  TRANSFER'!G:G, 'STOCK IN  TRANSFER'!D:D, A136, 'STOCK IN  TRANSFER'!F:F, "ADJUSTMENT (-)")</f>
        <v>0</v>
      </c>
      <c r="G136" s="52">
        <f>SUMIFS('STOCK IN  TRANSFER'!G:G, 'STOCK IN  TRANSFER'!D:D, A136, 'STOCK IN  TRANSFER'!F:F, "STOCK IN") + SUMIFS('STOCK IN  TRANSFER'!G:G, 'STOCK IN  TRANSFER'!D:D, A136, 'STOCK IN  TRANSFER'!F:F, "ADJUSTMENT (+)")</f>
        <v>0</v>
      </c>
    </row>
    <row r="137" ht="22.5" customHeight="1">
      <c r="A137" s="13" t="str">
        <f>IFERROR(__xludf.DUMMYFUNCTION("""COMPUTED_VALUE""")," ")</f>
        <v> </v>
      </c>
      <c r="B137" s="13" t="str">
        <f>IFERROR(__xludf.DUMMYFUNCTION("""COMPUTED_VALUE"""),"NIPPON PREMIUM HS CLEAR W/HARDENER 1L")</f>
        <v>NIPPON PREMIUM HS CLEAR W/HARDENER 1L</v>
      </c>
      <c r="C137" s="16">
        <f>IFERROR(__xludf.DUMMYFUNCTION("""COMPUTED_VALUE"""),585.0)</f>
        <v>585</v>
      </c>
      <c r="D137" s="13" t="str">
        <f>IFERROR(__xludf.DUMMYFUNCTION("""COMPUTED_VALUE"""),"LITER")</f>
        <v>LITER</v>
      </c>
      <c r="E137" s="28">
        <f>IFERROR(__xludf.DUMMYFUNCTION("""COMPUTED_VALUE"""),0.0)</f>
        <v>0</v>
      </c>
      <c r="F137" s="52">
        <f>SUMIF(SALES!D:D, A137, SALES!H:H) + SUMIFS('STOCK IN  TRANSFER'!G:G, 'STOCK IN  TRANSFER'!D:D, A137, 'STOCK IN  TRANSFER'!F:F, "TRANSFER") + SUMIFS('STOCK IN  TRANSFER'!G:G, 'STOCK IN  TRANSFER'!D:D, A137, 'STOCK IN  TRANSFER'!F:F, "ADJUSTMENT (-)")</f>
        <v>0</v>
      </c>
      <c r="G137" s="52">
        <f>SUMIFS('STOCK IN  TRANSFER'!G:G, 'STOCK IN  TRANSFER'!D:D, A137, 'STOCK IN  TRANSFER'!F:F, "STOCK IN") + SUMIFS('STOCK IN  TRANSFER'!G:G, 'STOCK IN  TRANSFER'!D:D, A137, 'STOCK IN  TRANSFER'!F:F, "ADJUSTMENT (+)")</f>
        <v>0</v>
      </c>
    </row>
    <row r="138" ht="22.5" customHeight="1">
      <c r="A138" s="13" t="str">
        <f>IFERROR(__xludf.DUMMYFUNCTION("""COMPUTED_VALUE"""),"PUT3050-4KG")</f>
        <v>PUT3050-4KG</v>
      </c>
      <c r="B138" s="13" t="str">
        <f>IFERROR(__xludf.DUMMYFUNCTION("""COMPUTED_VALUE"""),"NIPPON PAINT FILLERMAX BODY FILLER WITH HARDENER 4KG")</f>
        <v>NIPPON PAINT FILLERMAX BODY FILLER WITH HARDENER 4KG</v>
      </c>
      <c r="C138" s="16">
        <f>IFERROR(__xludf.DUMMYFUNCTION("""COMPUTED_VALUE"""),565.0)</f>
        <v>565</v>
      </c>
      <c r="D138" s="13" t="str">
        <f>IFERROR(__xludf.DUMMYFUNCTION("""COMPUTED_VALUE"""),"GAL")</f>
        <v>GAL</v>
      </c>
      <c r="E138" s="28">
        <f>IFERROR(__xludf.DUMMYFUNCTION("""COMPUTED_VALUE"""),0.0)</f>
        <v>0</v>
      </c>
      <c r="F138" s="52">
        <f>SUMIF(SALES!D:D, A138, SALES!H:H) + SUMIFS('STOCK IN  TRANSFER'!G:G, 'STOCK IN  TRANSFER'!D:D, A138, 'STOCK IN  TRANSFER'!F:F, "TRANSFER") + SUMIFS('STOCK IN  TRANSFER'!G:G, 'STOCK IN  TRANSFER'!D:D, A138, 'STOCK IN  TRANSFER'!F:F, "ADJUSTMENT (-)")</f>
        <v>1</v>
      </c>
      <c r="G138" s="52">
        <f>SUMIFS('STOCK IN  TRANSFER'!G:G, 'STOCK IN  TRANSFER'!D:D, A138, 'STOCK IN  TRANSFER'!F:F, "STOCK IN") + SUMIFS('STOCK IN  TRANSFER'!G:G, 'STOCK IN  TRANSFER'!D:D, A138, 'STOCK IN  TRANSFER'!F:F, "ADJUSTMENT (+)")</f>
        <v>1</v>
      </c>
    </row>
    <row r="139" ht="22.5" customHeight="1">
      <c r="A139" s="13" t="str">
        <f>IFERROR(__xludf.DUMMYFUNCTION("""COMPUTED_VALUE"""),"MPJOINTCMPND-5L")</f>
        <v>MPJOINTCMPND-5L</v>
      </c>
      <c r="B139" s="13" t="str">
        <f>IFERROR(__xludf.DUMMYFUNCTION("""COMPUTED_VALUE"""),"NIPPON MULTI-PURPOSE JOINT COMPOUND 5L")</f>
        <v>NIPPON MULTI-PURPOSE JOINT COMPOUND 5L</v>
      </c>
      <c r="C139" s="16">
        <f>IFERROR(__xludf.DUMMYFUNCTION("""COMPUTED_VALUE"""),400.0)</f>
        <v>400</v>
      </c>
      <c r="D139" s="13" t="str">
        <f>IFERROR(__xludf.DUMMYFUNCTION("""COMPUTED_VALUE"""),"GAL/S")</f>
        <v>GAL/S</v>
      </c>
      <c r="E139" s="28">
        <f>IFERROR(__xludf.DUMMYFUNCTION("""COMPUTED_VALUE"""),4.0)</f>
        <v>4</v>
      </c>
      <c r="F139" s="52">
        <f>SUMIF(SALES!D:D, A139, SALES!H:H) + SUMIFS('STOCK IN  TRANSFER'!G:G, 'STOCK IN  TRANSFER'!D:D, A139, 'STOCK IN  TRANSFER'!F:F, "TRANSFER") + SUMIFS('STOCK IN  TRANSFER'!G:G, 'STOCK IN  TRANSFER'!D:D, A139, 'STOCK IN  TRANSFER'!F:F, "ADJUSTMENT (-)")</f>
        <v>0</v>
      </c>
      <c r="G139" s="52">
        <f>SUMIFS('STOCK IN  TRANSFER'!G:G, 'STOCK IN  TRANSFER'!D:D, A139, 'STOCK IN  TRANSFER'!F:F, "STOCK IN") + SUMIFS('STOCK IN  TRANSFER'!G:G, 'STOCK IN  TRANSFER'!D:D, A139, 'STOCK IN  TRANSFER'!F:F, "ADJUSTMENT (+)")</f>
        <v>4</v>
      </c>
    </row>
    <row r="140" ht="22.5" customHeight="1">
      <c r="A140" s="13" t="str">
        <f>IFERROR(__xludf.DUMMYFUNCTION("""COMPUTED_VALUE"""),"NMPREDOX-LTR")</f>
        <v>NMPREDOX-LTR</v>
      </c>
      <c r="B140" s="13" t="str">
        <f>IFERROR(__xludf.DUMMYFUNCTION("""COMPUTED_VALUE"""),"NIPPON METAL PRIMER RED OXIDE LITER")</f>
        <v>NIPPON METAL PRIMER RED OXIDE LITER</v>
      </c>
      <c r="C140" s="16">
        <f>IFERROR(__xludf.DUMMYFUNCTION("""COMPUTED_VALUE"""),147.0)</f>
        <v>147</v>
      </c>
      <c r="D140" s="13" t="str">
        <f>IFERROR(__xludf.DUMMYFUNCTION("""COMPUTED_VALUE"""),"LTR")</f>
        <v>LTR</v>
      </c>
      <c r="E140" s="28">
        <f>IFERROR(__xludf.DUMMYFUNCTION("""COMPUTED_VALUE"""),0.0)</f>
        <v>0</v>
      </c>
      <c r="F140" s="52">
        <f>SUMIF(SALES!D:D, A140, SALES!H:H) + SUMIFS('STOCK IN  TRANSFER'!G:G, 'STOCK IN  TRANSFER'!D:D, A140, 'STOCK IN  TRANSFER'!F:F, "TRANSFER") + SUMIFS('STOCK IN  TRANSFER'!G:G, 'STOCK IN  TRANSFER'!D:D, A140, 'STOCK IN  TRANSFER'!F:F, "ADJUSTMENT (-)")</f>
        <v>3</v>
      </c>
      <c r="G140" s="52">
        <f>SUMIFS('STOCK IN  TRANSFER'!G:G, 'STOCK IN  TRANSFER'!D:D, A140, 'STOCK IN  TRANSFER'!F:F, "STOCK IN") + SUMIFS('STOCK IN  TRANSFER'!G:G, 'STOCK IN  TRANSFER'!D:D, A140, 'STOCK IN  TRANSFER'!F:F, "ADJUSTMENT (+)")</f>
        <v>3</v>
      </c>
    </row>
    <row r="141" ht="22.5" customHeight="1">
      <c r="A141" s="13" t="str">
        <f>IFERROR(__xludf.DUMMYFUNCTION("""COMPUTED_VALUE"""),"NMPREDOX-GAL")</f>
        <v>NMPREDOX-GAL</v>
      </c>
      <c r="B141" s="13" t="str">
        <f>IFERROR(__xludf.DUMMYFUNCTION("""COMPUTED_VALUE"""),"NIPPON METAL PRIMER RED OXIDE GAL")</f>
        <v>NIPPON METAL PRIMER RED OXIDE GAL</v>
      </c>
      <c r="C141" s="16">
        <f>IFERROR(__xludf.DUMMYFUNCTION("""COMPUTED_VALUE"""),515.0)</f>
        <v>515</v>
      </c>
      <c r="D141" s="13" t="str">
        <f>IFERROR(__xludf.DUMMYFUNCTION("""COMPUTED_VALUE"""),"GAL")</f>
        <v>GAL</v>
      </c>
      <c r="E141" s="28">
        <f>IFERROR(__xludf.DUMMYFUNCTION("""COMPUTED_VALUE"""),9.0)</f>
        <v>9</v>
      </c>
      <c r="F141" s="52">
        <f>SUMIF(SALES!D:D, A141, SALES!H:H) + SUMIFS('STOCK IN  TRANSFER'!G:G, 'STOCK IN  TRANSFER'!D:D, A141, 'STOCK IN  TRANSFER'!F:F, "TRANSFER") + SUMIFS('STOCK IN  TRANSFER'!G:G, 'STOCK IN  TRANSFER'!D:D, A141, 'STOCK IN  TRANSFER'!F:F, "ADJUSTMENT (-)")</f>
        <v>5</v>
      </c>
      <c r="G141" s="52">
        <f>SUMIFS('STOCK IN  TRANSFER'!G:G, 'STOCK IN  TRANSFER'!D:D, A141, 'STOCK IN  TRANSFER'!F:F, "STOCK IN") + SUMIFS('STOCK IN  TRANSFER'!G:G, 'STOCK IN  TRANSFER'!D:D, A141, 'STOCK IN  TRANSFER'!F:F, "ADJUSTMENT (+)")</f>
        <v>14</v>
      </c>
    </row>
    <row r="142" ht="22.5" customHeight="1">
      <c r="A142" s="13" t="str">
        <f>IFERROR(__xludf.DUMMYFUNCTION("""COMPUTED_VALUE"""),"NLT-4L")</f>
        <v>NLT-4L</v>
      </c>
      <c r="B142" s="13" t="str">
        <f>IFERROR(__xludf.DUMMYFUNCTION("""COMPUTED_VALUE"""),"NIPPON LACQUER THINNER 4L")</f>
        <v>NIPPON LACQUER THINNER 4L</v>
      </c>
      <c r="C142" s="16">
        <f>IFERROR(__xludf.DUMMYFUNCTION("""COMPUTED_VALUE"""),435.0)</f>
        <v>435</v>
      </c>
      <c r="D142" s="13" t="str">
        <f>IFERROR(__xludf.DUMMYFUNCTION("""COMPUTED_VALUE"""),"GAL")</f>
        <v>GAL</v>
      </c>
      <c r="E142" s="28">
        <f>IFERROR(__xludf.DUMMYFUNCTION("""COMPUTED_VALUE"""),7.0)</f>
        <v>7</v>
      </c>
      <c r="F142" s="52">
        <f>SUMIF(SALES!D:D, A142, SALES!H:H) + SUMIFS('STOCK IN  TRANSFER'!G:G, 'STOCK IN  TRANSFER'!D:D, A142, 'STOCK IN  TRANSFER'!F:F, "TRANSFER") + SUMIFS('STOCK IN  TRANSFER'!G:G, 'STOCK IN  TRANSFER'!D:D, A142, 'STOCK IN  TRANSFER'!F:F, "ADJUSTMENT (-)")</f>
        <v>5</v>
      </c>
      <c r="G142" s="52">
        <f>SUMIFS('STOCK IN  TRANSFER'!G:G, 'STOCK IN  TRANSFER'!D:D, A142, 'STOCK IN  TRANSFER'!F:F, "STOCK IN") + SUMIFS('STOCK IN  TRANSFER'!G:G, 'STOCK IN  TRANSFER'!D:D, A142, 'STOCK IN  TRANSFER'!F:F, "ADJUSTMENT (+)")</f>
        <v>12</v>
      </c>
    </row>
    <row r="143" ht="22.5" customHeight="1">
      <c r="A143" s="13" t="str">
        <f>IFERROR(__xludf.DUMMYFUNCTION("""COMPUTED_VALUE"""),"NLSS-4L")</f>
        <v>NLSS-4L</v>
      </c>
      <c r="B143" s="13" t="str">
        <f>IFERROR(__xludf.DUMMYFUNCTION("""COMPUTED_VALUE"""),"NIPPON LACQUER SANDING SEALER 4L")</f>
        <v>NIPPON LACQUER SANDING SEALER 4L</v>
      </c>
      <c r="C143" s="16">
        <f>IFERROR(__xludf.DUMMYFUNCTION("""COMPUTED_VALUE"""),611.0)</f>
        <v>611</v>
      </c>
      <c r="D143" s="13" t="str">
        <f>IFERROR(__xludf.DUMMYFUNCTION("""COMPUTED_VALUE"""),"GALON")</f>
        <v>GALON</v>
      </c>
      <c r="E143" s="28">
        <f>IFERROR(__xludf.DUMMYFUNCTION("""COMPUTED_VALUE"""),0.0)</f>
        <v>0</v>
      </c>
      <c r="F143" s="52">
        <f>SUMIF(SALES!D:D, A143, SALES!H:H) + SUMIFS('STOCK IN  TRANSFER'!G:G, 'STOCK IN  TRANSFER'!D:D, A143, 'STOCK IN  TRANSFER'!F:F, "TRANSFER") + SUMIFS('STOCK IN  TRANSFER'!G:G, 'STOCK IN  TRANSFER'!D:D, A143, 'STOCK IN  TRANSFER'!F:F, "ADJUSTMENT (-)")</f>
        <v>0</v>
      </c>
      <c r="G143" s="52">
        <f>SUMIFS('STOCK IN  TRANSFER'!G:G, 'STOCK IN  TRANSFER'!D:D, A143, 'STOCK IN  TRANSFER'!F:F, "STOCK IN") + SUMIFS('STOCK IN  TRANSFER'!G:G, 'STOCK IN  TRANSFER'!D:D, A143, 'STOCK IN  TRANSFER'!F:F, "ADJUSTMENT (+)")</f>
        <v>0</v>
      </c>
    </row>
    <row r="144" ht="22.5" customHeight="1">
      <c r="A144" s="13" t="str">
        <f>IFERROR(__xludf.DUMMYFUNCTION("""COMPUTED_VALUE"""),"HS-1L")</f>
        <v>HS-1L</v>
      </c>
      <c r="B144" s="13" t="str">
        <f>IFERROR(__xludf.DUMMYFUNCTION("""COMPUTED_VALUE"""),"NIPPON HS FILLER 1L")</f>
        <v>NIPPON HS FILLER 1L</v>
      </c>
      <c r="C144" s="16">
        <f>IFERROR(__xludf.DUMMYFUNCTION("""COMPUTED_VALUE"""),550.0)</f>
        <v>550</v>
      </c>
      <c r="D144" s="13" t="str">
        <f>IFERROR(__xludf.DUMMYFUNCTION("""COMPUTED_VALUE"""),"LITER")</f>
        <v>LITER</v>
      </c>
      <c r="E144" s="28">
        <f>IFERROR(__xludf.DUMMYFUNCTION("""COMPUTED_VALUE"""),10.0)</f>
        <v>10</v>
      </c>
      <c r="F144" s="52">
        <f>SUMIF(SALES!D:D, A144, SALES!H:H) + SUMIFS('STOCK IN  TRANSFER'!G:G, 'STOCK IN  TRANSFER'!D:D, A144, 'STOCK IN  TRANSFER'!F:F, "TRANSFER") + SUMIFS('STOCK IN  TRANSFER'!G:G, 'STOCK IN  TRANSFER'!D:D, A144, 'STOCK IN  TRANSFER'!F:F, "ADJUSTMENT (-)")</f>
        <v>12</v>
      </c>
      <c r="G144" s="52">
        <f>SUMIFS('STOCK IN  TRANSFER'!G:G, 'STOCK IN  TRANSFER'!D:D, A144, 'STOCK IN  TRANSFER'!F:F, "STOCK IN") + SUMIFS('STOCK IN  TRANSFER'!G:G, 'STOCK IN  TRANSFER'!D:D, A144, 'STOCK IN  TRANSFER'!F:F, "ADJUSTMENT (+)")</f>
        <v>22</v>
      </c>
    </row>
    <row r="145" ht="22.5" customHeight="1">
      <c r="A145" s="13" t="str">
        <f>IFERROR(__xludf.DUMMYFUNCTION("""COMPUTED_VALUE"""),"NFI46G-5KG")</f>
        <v>NFI46G-5KG</v>
      </c>
      <c r="B145" s="13" t="str">
        <f>IFERROR(__xludf.DUMMYFUNCTION("""COMPUTED_VALUE"""),"NIPPON FLEXI-SEAL 146 GRAY 5KG")</f>
        <v>NIPPON FLEXI-SEAL 146 GRAY 5KG</v>
      </c>
      <c r="C145" s="16">
        <f>IFERROR(__xludf.DUMMYFUNCTION("""COMPUTED_VALUE"""),1342.0)</f>
        <v>1342</v>
      </c>
      <c r="D145" s="13" t="str">
        <f>IFERROR(__xludf.DUMMYFUNCTION("""COMPUTED_VALUE"""),"5KG")</f>
        <v>5KG</v>
      </c>
      <c r="E145" s="28">
        <f>IFERROR(__xludf.DUMMYFUNCTION("""COMPUTED_VALUE"""),0.0)</f>
        <v>0</v>
      </c>
      <c r="F145" s="52">
        <f>SUMIF(SALES!D:D, A145, SALES!H:H) + SUMIFS('STOCK IN  TRANSFER'!G:G, 'STOCK IN  TRANSFER'!D:D, A145, 'STOCK IN  TRANSFER'!F:F, "TRANSFER") + SUMIFS('STOCK IN  TRANSFER'!G:G, 'STOCK IN  TRANSFER'!D:D, A145, 'STOCK IN  TRANSFER'!F:F, "ADJUSTMENT (-)")</f>
        <v>1</v>
      </c>
      <c r="G145" s="52">
        <f>SUMIFS('STOCK IN  TRANSFER'!G:G, 'STOCK IN  TRANSFER'!D:D, A145, 'STOCK IN  TRANSFER'!F:F, "STOCK IN") + SUMIFS('STOCK IN  TRANSFER'!G:G, 'STOCK IN  TRANSFER'!D:D, A145, 'STOCK IN  TRANSFER'!F:F, "ADJUSTMENT (+)")</f>
        <v>1</v>
      </c>
    </row>
    <row r="146" ht="22.5" customHeight="1">
      <c r="A146" s="13" t="str">
        <f>IFERROR(__xludf.DUMMYFUNCTION("""COMPUTED_VALUE"""),"NFWE-4L")</f>
        <v>NFWE-4L</v>
      </c>
      <c r="B146" s="13" t="str">
        <f>IFERROR(__xludf.DUMMYFUNCTION("""COMPUTED_VALUE"""),"NIPPON FLATWALL ENAMEL WHITE 4L")</f>
        <v>NIPPON FLATWALL ENAMEL WHITE 4L</v>
      </c>
      <c r="C146" s="16">
        <f>IFERROR(__xludf.DUMMYFUNCTION("""COMPUTED_VALUE"""),615.0)</f>
        <v>615</v>
      </c>
      <c r="D146" s="13" t="str">
        <f>IFERROR(__xludf.DUMMYFUNCTION("""COMPUTED_VALUE"""),"GAL")</f>
        <v>GAL</v>
      </c>
      <c r="E146" s="28">
        <f>IFERROR(__xludf.DUMMYFUNCTION("""COMPUTED_VALUE"""),2.0)</f>
        <v>2</v>
      </c>
      <c r="F146" s="52">
        <f>SUMIF(SALES!D:D, A146, SALES!H:H) + SUMIFS('STOCK IN  TRANSFER'!G:G, 'STOCK IN  TRANSFER'!D:D, A146, 'STOCK IN  TRANSFER'!F:F, "TRANSFER") + SUMIFS('STOCK IN  TRANSFER'!G:G, 'STOCK IN  TRANSFER'!D:D, A146, 'STOCK IN  TRANSFER'!F:F, "ADJUSTMENT (-)")</f>
        <v>13</v>
      </c>
      <c r="G146" s="52">
        <f>SUMIFS('STOCK IN  TRANSFER'!G:G, 'STOCK IN  TRANSFER'!D:D, A146, 'STOCK IN  TRANSFER'!F:F, "STOCK IN") + SUMIFS('STOCK IN  TRANSFER'!G:G, 'STOCK IN  TRANSFER'!D:D, A146, 'STOCK IN  TRANSFER'!F:F, "ADJUSTMENT (+)")</f>
        <v>15</v>
      </c>
    </row>
    <row r="147" ht="22.5" customHeight="1">
      <c r="A147" s="13" t="str">
        <f>IFERROR(__xludf.DUMMYFUNCTION("""COMPUTED_VALUE"""),"OTH10AD-1L")</f>
        <v>OTH10AD-1L</v>
      </c>
      <c r="B147" s="13" t="str">
        <f>IFERROR(__xludf.DUMMYFUNCTION("""COMPUTED_VALUE"""),"NIPPON FLATTENING AGENT PASTE 1L")</f>
        <v>NIPPON FLATTENING AGENT PASTE 1L</v>
      </c>
      <c r="C147" s="16">
        <f>IFERROR(__xludf.DUMMYFUNCTION("""COMPUTED_VALUE"""),620.0)</f>
        <v>620</v>
      </c>
      <c r="D147" s="13" t="str">
        <f>IFERROR(__xludf.DUMMYFUNCTION("""COMPUTED_VALUE"""),"LITER")</f>
        <v>LITER</v>
      </c>
      <c r="E147" s="28">
        <f>IFERROR(__xludf.DUMMYFUNCTION("""COMPUTED_VALUE"""),8.0)</f>
        <v>8</v>
      </c>
      <c r="F147" s="52">
        <f>SUMIF(SALES!D:D, A147, SALES!H:H) + SUMIFS('STOCK IN  TRANSFER'!G:G, 'STOCK IN  TRANSFER'!D:D, A147, 'STOCK IN  TRANSFER'!F:F, "TRANSFER") + SUMIFS('STOCK IN  TRANSFER'!G:G, 'STOCK IN  TRANSFER'!D:D, A147, 'STOCK IN  TRANSFER'!F:F, "ADJUSTMENT (-)")</f>
        <v>1</v>
      </c>
      <c r="G147" s="52">
        <f>SUMIFS('STOCK IN  TRANSFER'!G:G, 'STOCK IN  TRANSFER'!D:D, A147, 'STOCK IN  TRANSFER'!F:F, "STOCK IN") + SUMIFS('STOCK IN  TRANSFER'!G:G, 'STOCK IN  TRANSFER'!D:D, A147, 'STOCK IN  TRANSFER'!F:F, "ADJUSTMENT (+)")</f>
        <v>9</v>
      </c>
    </row>
    <row r="148" ht="22.5" customHeight="1">
      <c r="A148" s="13" t="str">
        <f>IFERROR(__xludf.DUMMYFUNCTION("""COMPUTED_VALUE"""),"FF151")</f>
        <v>FF151</v>
      </c>
      <c r="B148" s="13" t="str">
        <f>IFERROR(__xludf.DUMMYFUNCTION("""COMPUTED_VALUE"""),"NIPPON FF151 FLOP CONTROL")</f>
        <v>NIPPON FF151 FLOP CONTROL</v>
      </c>
      <c r="C148" s="16">
        <f>IFERROR(__xludf.DUMMYFUNCTION("""COMPUTED_VALUE"""),1160.0)</f>
        <v>1160</v>
      </c>
      <c r="D148" s="13" t="str">
        <f>IFERROR(__xludf.DUMMYFUNCTION("""COMPUTED_VALUE"""),"LTR")</f>
        <v>LTR</v>
      </c>
      <c r="E148" s="28">
        <f>IFERROR(__xludf.DUMMYFUNCTION("""COMPUTED_VALUE"""),1.0)</f>
        <v>1</v>
      </c>
      <c r="F148" s="52">
        <f>SUMIF(SALES!D:D, A148, SALES!H:H) + SUMIFS('STOCK IN  TRANSFER'!G:G, 'STOCK IN  TRANSFER'!D:D, A148, 'STOCK IN  TRANSFER'!F:F, "TRANSFER") + SUMIFS('STOCK IN  TRANSFER'!G:G, 'STOCK IN  TRANSFER'!D:D, A148, 'STOCK IN  TRANSFER'!F:F, "ADJUSTMENT (-)")</f>
        <v>9</v>
      </c>
      <c r="G148" s="52">
        <f>SUMIFS('STOCK IN  TRANSFER'!G:G, 'STOCK IN  TRANSFER'!D:D, A148, 'STOCK IN  TRANSFER'!F:F, "STOCK IN") + SUMIFS('STOCK IN  TRANSFER'!G:G, 'STOCK IN  TRANSFER'!D:D, A148, 'STOCK IN  TRANSFER'!F:F, "ADJUSTMENT (+)")</f>
        <v>10</v>
      </c>
    </row>
    <row r="149" ht="22.5" customHeight="1">
      <c r="A149" s="13" t="str">
        <f>IFERROR(__xludf.DUMMYFUNCTION("""COMPUTED_VALUE"""),"NXU1338-4L")</f>
        <v>NXU1338-4L</v>
      </c>
      <c r="B149" s="13" t="str">
        <f>IFERROR(__xludf.DUMMYFUNCTION("""COMPUTED_VALUE"""),"NIPPON EXTREME QDU YELLOW 4L")</f>
        <v>NIPPON EXTREME QDU YELLOW 4L</v>
      </c>
      <c r="C149" s="16">
        <f>IFERROR(__xludf.DUMMYFUNCTION("""COMPUTED_VALUE"""),1630.0)</f>
        <v>1630</v>
      </c>
      <c r="D149" s="13" t="str">
        <f>IFERROR(__xludf.DUMMYFUNCTION("""COMPUTED_VALUE"""),"GAL")</f>
        <v>GAL</v>
      </c>
      <c r="E149" s="28">
        <f>IFERROR(__xludf.DUMMYFUNCTION("""COMPUTED_VALUE"""),3.0)</f>
        <v>3</v>
      </c>
      <c r="F149" s="52">
        <f>SUMIF(SALES!D:D, A149, SALES!H:H) + SUMIFS('STOCK IN  TRANSFER'!G:G, 'STOCK IN  TRANSFER'!D:D, A149, 'STOCK IN  TRANSFER'!F:F, "TRANSFER") + SUMIFS('STOCK IN  TRANSFER'!G:G, 'STOCK IN  TRANSFER'!D:D, A149, 'STOCK IN  TRANSFER'!F:F, "ADJUSTMENT (-)")</f>
        <v>9</v>
      </c>
      <c r="G149" s="52">
        <f>SUMIFS('STOCK IN  TRANSFER'!G:G, 'STOCK IN  TRANSFER'!D:D, A149, 'STOCK IN  TRANSFER'!F:F, "STOCK IN") + SUMIFS('STOCK IN  TRANSFER'!G:G, 'STOCK IN  TRANSFER'!D:D, A149, 'STOCK IN  TRANSFER'!F:F, "ADJUSTMENT (+)")</f>
        <v>12</v>
      </c>
    </row>
    <row r="150" ht="22.5" customHeight="1">
      <c r="A150" s="13" t="str">
        <f>IFERROR(__xludf.DUMMYFUNCTION("""COMPUTED_VALUE"""),"NXU4075-4L")</f>
        <v>NXU4075-4L</v>
      </c>
      <c r="B150" s="13" t="str">
        <f>IFERROR(__xludf.DUMMYFUNCTION("""COMPUTED_VALUE"""),"NIPPON EXTREME QDU WHITE 4L")</f>
        <v>NIPPON EXTREME QDU WHITE 4L</v>
      </c>
      <c r="C150" s="16">
        <f>IFERROR(__xludf.DUMMYFUNCTION("""COMPUTED_VALUE"""),1550.0)</f>
        <v>1550</v>
      </c>
      <c r="D150" s="13" t="str">
        <f>IFERROR(__xludf.DUMMYFUNCTION("""COMPUTED_VALUE"""),"GAL")</f>
        <v>GAL</v>
      </c>
      <c r="E150" s="28">
        <f>IFERROR(__xludf.DUMMYFUNCTION("""COMPUTED_VALUE"""),-1.0)</f>
        <v>-1</v>
      </c>
      <c r="F150" s="52">
        <f>SUMIF(SALES!D:D, A150, SALES!H:H) + SUMIFS('STOCK IN  TRANSFER'!G:G, 'STOCK IN  TRANSFER'!D:D, A150, 'STOCK IN  TRANSFER'!F:F, "TRANSFER") + SUMIFS('STOCK IN  TRANSFER'!G:G, 'STOCK IN  TRANSFER'!D:D, A150, 'STOCK IN  TRANSFER'!F:F, "ADJUSTMENT (-)")</f>
        <v>11.125</v>
      </c>
      <c r="G150" s="52">
        <f>SUMIFS('STOCK IN  TRANSFER'!G:G, 'STOCK IN  TRANSFER'!D:D, A150, 'STOCK IN  TRANSFER'!F:F, "STOCK IN") + SUMIFS('STOCK IN  TRANSFER'!G:G, 'STOCK IN  TRANSFER'!D:D, A150, 'STOCK IN  TRANSFER'!F:F, "ADJUSTMENT (+)")</f>
        <v>10.125</v>
      </c>
    </row>
    <row r="151" ht="22.5" customHeight="1">
      <c r="A151" s="13" t="str">
        <f>IFERROR(__xludf.DUMMYFUNCTION("""COMPUTED_VALUE"""),"XTRMEQDWARMYLW-4L")</f>
        <v>XTRMEQDWARMYLW-4L</v>
      </c>
      <c r="B151" s="13" t="str">
        <f>IFERROR(__xludf.DUMMYFUNCTION("""COMPUTED_VALUE"""),"NIPPON EXTREME QDU WARM YELLOW 4L")</f>
        <v>NIPPON EXTREME QDU WARM YELLOW 4L</v>
      </c>
      <c r="C151" s="16">
        <f>IFERROR(__xludf.DUMMYFUNCTION("""COMPUTED_VALUE"""),1630.0)</f>
        <v>1630</v>
      </c>
      <c r="D151" s="13" t="str">
        <f>IFERROR(__xludf.DUMMYFUNCTION("""COMPUTED_VALUE"""),"GAL/S")</f>
        <v>GAL/S</v>
      </c>
      <c r="E151" s="28">
        <f>IFERROR(__xludf.DUMMYFUNCTION("""COMPUTED_VALUE"""),4.0)</f>
        <v>4</v>
      </c>
      <c r="F151" s="52">
        <f>SUMIF(SALES!D:D, A151, SALES!H:H) + SUMIFS('STOCK IN  TRANSFER'!G:G, 'STOCK IN  TRANSFER'!D:D, A151, 'STOCK IN  TRANSFER'!F:F, "TRANSFER") + SUMIFS('STOCK IN  TRANSFER'!G:G, 'STOCK IN  TRANSFER'!D:D, A151, 'STOCK IN  TRANSFER'!F:F, "ADJUSTMENT (-)")</f>
        <v>2</v>
      </c>
      <c r="G151" s="52">
        <f>SUMIFS('STOCK IN  TRANSFER'!G:G, 'STOCK IN  TRANSFER'!D:D, A151, 'STOCK IN  TRANSFER'!F:F, "STOCK IN") + SUMIFS('STOCK IN  TRANSFER'!G:G, 'STOCK IN  TRANSFER'!D:D, A151, 'STOCK IN  TRANSFER'!F:F, "ADJUSTMENT (+)")</f>
        <v>6</v>
      </c>
    </row>
    <row r="152" ht="22.5" customHeight="1">
      <c r="A152" s="13" t="str">
        <f>IFERROR(__xludf.DUMMYFUNCTION("""COMPUTED_VALUE"""),"NXU7391-4L")</f>
        <v>NXU7391-4L</v>
      </c>
      <c r="B152" s="13" t="str">
        <f>IFERROR(__xludf.DUMMYFUNCTION("""COMPUTED_VALUE"""),"NIPPON EXTREME QDU SILVER 4L")</f>
        <v>NIPPON EXTREME QDU SILVER 4L</v>
      </c>
      <c r="C152" s="16">
        <f>IFERROR(__xludf.DUMMYFUNCTION("""COMPUTED_VALUE"""),1485.0)</f>
        <v>1485</v>
      </c>
      <c r="D152" s="13" t="str">
        <f>IFERROR(__xludf.DUMMYFUNCTION("""COMPUTED_VALUE"""),"GAL")</f>
        <v>GAL</v>
      </c>
      <c r="E152" s="28">
        <f>IFERROR(__xludf.DUMMYFUNCTION("""COMPUTED_VALUE"""),1.0)</f>
        <v>1</v>
      </c>
      <c r="F152" s="52">
        <f>SUMIF(SALES!D:D, A152, SALES!H:H) + SUMIFS('STOCK IN  TRANSFER'!G:G, 'STOCK IN  TRANSFER'!D:D, A152, 'STOCK IN  TRANSFER'!F:F, "TRANSFER") + SUMIFS('STOCK IN  TRANSFER'!G:G, 'STOCK IN  TRANSFER'!D:D, A152, 'STOCK IN  TRANSFER'!F:F, "ADJUSTMENT (-)")</f>
        <v>7</v>
      </c>
      <c r="G152" s="52">
        <f>SUMIFS('STOCK IN  TRANSFER'!G:G, 'STOCK IN  TRANSFER'!D:D, A152, 'STOCK IN  TRANSFER'!F:F, "STOCK IN") + SUMIFS('STOCK IN  TRANSFER'!G:G, 'STOCK IN  TRANSFER'!D:D, A152, 'STOCK IN  TRANSFER'!F:F, "ADJUSTMENT (+)")</f>
        <v>8</v>
      </c>
    </row>
    <row r="153" ht="22.5" customHeight="1">
      <c r="A153" s="13" t="str">
        <f>IFERROR(__xludf.DUMMYFUNCTION("""COMPUTED_VALUE"""),"NXU4113-4L")</f>
        <v>NXU4113-4L</v>
      </c>
      <c r="B153" s="13" t="str">
        <f>IFERROR(__xludf.DUMMYFUNCTION("""COMPUTED_VALUE"""),"NIPPON EXTREME QDU RED 4L")</f>
        <v>NIPPON EXTREME QDU RED 4L</v>
      </c>
      <c r="C153" s="16">
        <f>IFERROR(__xludf.DUMMYFUNCTION("""COMPUTED_VALUE"""),1630.0)</f>
        <v>1630</v>
      </c>
      <c r="D153" s="13" t="str">
        <f>IFERROR(__xludf.DUMMYFUNCTION("""COMPUTED_VALUE"""),"GAL")</f>
        <v>GAL</v>
      </c>
      <c r="E153" s="28">
        <f>IFERROR(__xludf.DUMMYFUNCTION("""COMPUTED_VALUE"""),0.0)</f>
        <v>0</v>
      </c>
      <c r="F153" s="52">
        <f>SUMIF(SALES!D:D, A153, SALES!H:H) + SUMIFS('STOCK IN  TRANSFER'!G:G, 'STOCK IN  TRANSFER'!D:D, A153, 'STOCK IN  TRANSFER'!F:F, "TRANSFER") + SUMIFS('STOCK IN  TRANSFER'!G:G, 'STOCK IN  TRANSFER'!D:D, A153, 'STOCK IN  TRANSFER'!F:F, "ADJUSTMENT (-)")</f>
        <v>1.3125</v>
      </c>
      <c r="G153" s="52">
        <f>SUMIFS('STOCK IN  TRANSFER'!G:G, 'STOCK IN  TRANSFER'!D:D, A153, 'STOCK IN  TRANSFER'!F:F, "STOCK IN") + SUMIFS('STOCK IN  TRANSFER'!G:G, 'STOCK IN  TRANSFER'!D:D, A153, 'STOCK IN  TRANSFER'!F:F, "ADJUSTMENT (+)")</f>
        <v>1.3125</v>
      </c>
    </row>
    <row r="154" ht="22.5" customHeight="1">
      <c r="A154" s="13" t="str">
        <f>IFERROR(__xludf.DUMMYFUNCTION("""COMPUTED_VALUE"""),"NXU1224-4L")</f>
        <v>NXU1224-4L</v>
      </c>
      <c r="B154" s="13" t="str">
        <f>IFERROR(__xludf.DUMMYFUNCTION("""COMPUTED_VALUE"""),"NIPPON EXTREME QDU ORANGE 4L")</f>
        <v>NIPPON EXTREME QDU ORANGE 4L</v>
      </c>
      <c r="C154" s="16">
        <f>IFERROR(__xludf.DUMMYFUNCTION("""COMPUTED_VALUE"""),1630.0)</f>
        <v>1630</v>
      </c>
      <c r="D154" s="13" t="str">
        <f>IFERROR(__xludf.DUMMYFUNCTION("""COMPUTED_VALUE"""),"GAL")</f>
        <v>GAL</v>
      </c>
      <c r="E154" s="28">
        <f>IFERROR(__xludf.DUMMYFUNCTION("""COMPUTED_VALUE"""),0.0)</f>
        <v>0</v>
      </c>
      <c r="F154" s="52">
        <f>SUMIF(SALES!D:D, A154, SALES!H:H) + SUMIFS('STOCK IN  TRANSFER'!G:G, 'STOCK IN  TRANSFER'!D:D, A154, 'STOCK IN  TRANSFER'!F:F, "TRANSFER") + SUMIFS('STOCK IN  TRANSFER'!G:G, 'STOCK IN  TRANSFER'!D:D, A154, 'STOCK IN  TRANSFER'!F:F, "ADJUSTMENT (-)")</f>
        <v>4</v>
      </c>
      <c r="G154" s="52">
        <f>SUMIFS('STOCK IN  TRANSFER'!G:G, 'STOCK IN  TRANSFER'!D:D, A154, 'STOCK IN  TRANSFER'!F:F, "STOCK IN") + SUMIFS('STOCK IN  TRANSFER'!G:G, 'STOCK IN  TRANSFER'!D:D, A154, 'STOCK IN  TRANSFER'!F:F, "ADJUSTMENT (+)")</f>
        <v>4</v>
      </c>
    </row>
    <row r="155" ht="22.5" customHeight="1">
      <c r="A155" s="13" t="str">
        <f>IFERROR(__xludf.DUMMYFUNCTION("""COMPUTED_VALUE"""),"NXU4406-4L")</f>
        <v>NXU4406-4L</v>
      </c>
      <c r="B155" s="13" t="str">
        <f>IFERROR(__xludf.DUMMYFUNCTION("""COMPUTED_VALUE"""),"NIPPON EXTREME QDU GREEN 4L")</f>
        <v>NIPPON EXTREME QDU GREEN 4L</v>
      </c>
      <c r="C155" s="16">
        <f>IFERROR(__xludf.DUMMYFUNCTION("""COMPUTED_VALUE"""),1630.0)</f>
        <v>1630</v>
      </c>
      <c r="D155" s="13" t="str">
        <f>IFERROR(__xludf.DUMMYFUNCTION("""COMPUTED_VALUE"""),"GAL")</f>
        <v>GAL</v>
      </c>
      <c r="E155" s="28">
        <f>IFERROR(__xludf.DUMMYFUNCTION("""COMPUTED_VALUE"""),0.0)</f>
        <v>0</v>
      </c>
      <c r="F155" s="52">
        <f>SUMIF(SALES!D:D, A155, SALES!H:H) + SUMIFS('STOCK IN  TRANSFER'!G:G, 'STOCK IN  TRANSFER'!D:D, A155, 'STOCK IN  TRANSFER'!F:F, "TRANSFER") + SUMIFS('STOCK IN  TRANSFER'!G:G, 'STOCK IN  TRANSFER'!D:D, A155, 'STOCK IN  TRANSFER'!F:F, "ADJUSTMENT (-)")</f>
        <v>3</v>
      </c>
      <c r="G155" s="52">
        <f>SUMIFS('STOCK IN  TRANSFER'!G:G, 'STOCK IN  TRANSFER'!D:D, A155, 'STOCK IN  TRANSFER'!F:F, "STOCK IN") + SUMIFS('STOCK IN  TRANSFER'!G:G, 'STOCK IN  TRANSFER'!D:D, A155, 'STOCK IN  TRANSFER'!F:F, "ADJUSTMENT (+)")</f>
        <v>3</v>
      </c>
    </row>
    <row r="156" ht="22.5" customHeight="1">
      <c r="A156" s="13" t="str">
        <f>IFERROR(__xludf.DUMMYFUNCTION("""COMPUTED_VALUE"""),"EXTRMEFNESLVR-4L")</f>
        <v>EXTRMEFNESLVR-4L</v>
      </c>
      <c r="B156" s="13" t="str">
        <f>IFERROR(__xludf.DUMMYFUNCTION("""COMPUTED_VALUE"""),"NIPPON EXTREME QDU FINE SILVER 4L")</f>
        <v>NIPPON EXTREME QDU FINE SILVER 4L</v>
      </c>
      <c r="C156" s="16">
        <f>IFERROR(__xludf.DUMMYFUNCTION("""COMPUTED_VALUE"""),1485.0)</f>
        <v>1485</v>
      </c>
      <c r="D156" s="13" t="str">
        <f>IFERROR(__xludf.DUMMYFUNCTION("""COMPUTED_VALUE"""),"GAL/S")</f>
        <v>GAL/S</v>
      </c>
      <c r="E156" s="28">
        <f>IFERROR(__xludf.DUMMYFUNCTION("""COMPUTED_VALUE"""),0.0)</f>
        <v>0</v>
      </c>
      <c r="F156" s="52">
        <f>SUMIF(SALES!D:D, A156, SALES!H:H) + SUMIFS('STOCK IN  TRANSFER'!G:G, 'STOCK IN  TRANSFER'!D:D, A156, 'STOCK IN  TRANSFER'!F:F, "TRANSFER") + SUMIFS('STOCK IN  TRANSFER'!G:G, 'STOCK IN  TRANSFER'!D:D, A156, 'STOCK IN  TRANSFER'!F:F, "ADJUSTMENT (-)")</f>
        <v>0</v>
      </c>
      <c r="G156" s="52">
        <f>SUMIFS('STOCK IN  TRANSFER'!G:G, 'STOCK IN  TRANSFER'!D:D, A156, 'STOCK IN  TRANSFER'!F:F, "STOCK IN") + SUMIFS('STOCK IN  TRANSFER'!G:G, 'STOCK IN  TRANSFER'!D:D, A156, 'STOCK IN  TRANSFER'!F:F, "ADJUSTMENT (+)")</f>
        <v>0</v>
      </c>
    </row>
    <row r="157" ht="22.5" customHeight="1">
      <c r="A157" s="13" t="str">
        <f>IFERROR(__xludf.DUMMYFUNCTION("""COMPUTED_VALUE"""),"NXU1587-4L")</f>
        <v>NXU1587-4L</v>
      </c>
      <c r="B157" s="13" t="str">
        <f>IFERROR(__xludf.DUMMYFUNCTION("""COMPUTED_VALUE"""),"NIPPON EXTREME QDU BLUE 4L")</f>
        <v>NIPPON EXTREME QDU BLUE 4L</v>
      </c>
      <c r="C157" s="16">
        <f>IFERROR(__xludf.DUMMYFUNCTION("""COMPUTED_VALUE"""),1630.0)</f>
        <v>1630</v>
      </c>
      <c r="D157" s="13" t="str">
        <f>IFERROR(__xludf.DUMMYFUNCTION("""COMPUTED_VALUE"""),"GAL")</f>
        <v>GAL</v>
      </c>
      <c r="E157" s="28">
        <f>IFERROR(__xludf.DUMMYFUNCTION("""COMPUTED_VALUE"""),0.0)</f>
        <v>0</v>
      </c>
      <c r="F157" s="52">
        <f>SUMIF(SALES!D:D, A157, SALES!H:H) + SUMIFS('STOCK IN  TRANSFER'!G:G, 'STOCK IN  TRANSFER'!D:D, A157, 'STOCK IN  TRANSFER'!F:F, "TRANSFER") + SUMIFS('STOCK IN  TRANSFER'!G:G, 'STOCK IN  TRANSFER'!D:D, A157, 'STOCK IN  TRANSFER'!F:F, "ADJUSTMENT (-)")</f>
        <v>2</v>
      </c>
      <c r="G157" s="52">
        <f>SUMIFS('STOCK IN  TRANSFER'!G:G, 'STOCK IN  TRANSFER'!D:D, A157, 'STOCK IN  TRANSFER'!F:F, "STOCK IN") + SUMIFS('STOCK IN  TRANSFER'!G:G, 'STOCK IN  TRANSFER'!D:D, A157, 'STOCK IN  TRANSFER'!F:F, "ADJUSTMENT (+)")</f>
        <v>2</v>
      </c>
    </row>
    <row r="158" ht="22.5" customHeight="1">
      <c r="A158" s="13" t="str">
        <f>IFERROR(__xludf.DUMMYFUNCTION("""COMPUTED_VALUE"""),"NXU1965-4L")</f>
        <v>NXU1965-4L</v>
      </c>
      <c r="B158" s="13" t="str">
        <f>IFERROR(__xludf.DUMMYFUNCTION("""COMPUTED_VALUE"""),"NIPPON EXTREME QDU BLACK 4L")</f>
        <v>NIPPON EXTREME QDU BLACK 4L</v>
      </c>
      <c r="C158" s="16">
        <f>IFERROR(__xludf.DUMMYFUNCTION("""COMPUTED_VALUE"""),1485.0)</f>
        <v>1485</v>
      </c>
      <c r="D158" s="13" t="str">
        <f>IFERROR(__xludf.DUMMYFUNCTION("""COMPUTED_VALUE"""),"GAL")</f>
        <v>GAL</v>
      </c>
      <c r="E158" s="28">
        <f>IFERROR(__xludf.DUMMYFUNCTION("""COMPUTED_VALUE"""),3.0)</f>
        <v>3</v>
      </c>
      <c r="F158" s="52">
        <f>SUMIF(SALES!D:D, A158, SALES!H:H) + SUMIFS('STOCK IN  TRANSFER'!G:G, 'STOCK IN  TRANSFER'!D:D, A158, 'STOCK IN  TRANSFER'!F:F, "TRANSFER") + SUMIFS('STOCK IN  TRANSFER'!G:G, 'STOCK IN  TRANSFER'!D:D, A158, 'STOCK IN  TRANSFER'!F:F, "ADJUSTMENT (-)")</f>
        <v>11</v>
      </c>
      <c r="G158" s="52">
        <f>SUMIFS('STOCK IN  TRANSFER'!G:G, 'STOCK IN  TRANSFER'!D:D, A158, 'STOCK IN  TRANSFER'!F:F, "STOCK IN") + SUMIFS('STOCK IN  TRANSFER'!G:G, 'STOCK IN  TRANSFER'!D:D, A158, 'STOCK IN  TRANSFER'!F:F, "ADJUSTMENT (+)")</f>
        <v>14</v>
      </c>
    </row>
    <row r="159" ht="22.5" customHeight="1">
      <c r="A159" s="13" t="str">
        <f>IFERROR(__xludf.DUMMYFUNCTION("""COMPUTED_VALUE"""),"NXUMAROON-4L")</f>
        <v>NXUMAROON-4L</v>
      </c>
      <c r="B159" s="13" t="str">
        <f>IFERROR(__xludf.DUMMYFUNCTION("""COMPUTED_VALUE"""),"NIPPON EXTREME MAROON 4L")</f>
        <v>NIPPON EXTREME MAROON 4L</v>
      </c>
      <c r="C159" s="16">
        <f>IFERROR(__xludf.DUMMYFUNCTION("""COMPUTED_VALUE"""),1771.0)</f>
        <v>1771</v>
      </c>
      <c r="D159" s="13" t="str">
        <f>IFERROR(__xludf.DUMMYFUNCTION("""COMPUTED_VALUE"""),"GAL")</f>
        <v>GAL</v>
      </c>
      <c r="E159" s="28">
        <f>IFERROR(__xludf.DUMMYFUNCTION("""COMPUTED_VALUE"""),0.0)</f>
        <v>0</v>
      </c>
      <c r="F159" s="52">
        <f>SUMIF(SALES!D:D, A159, SALES!H:H) + SUMIFS('STOCK IN  TRANSFER'!G:G, 'STOCK IN  TRANSFER'!D:D, A159, 'STOCK IN  TRANSFER'!F:F, "TRANSFER") + SUMIFS('STOCK IN  TRANSFER'!G:G, 'STOCK IN  TRANSFER'!D:D, A159, 'STOCK IN  TRANSFER'!F:F, "ADJUSTMENT (-)")</f>
        <v>0</v>
      </c>
      <c r="G159" s="52">
        <f>SUMIFS('STOCK IN  TRANSFER'!G:G, 'STOCK IN  TRANSFER'!D:D, A159, 'STOCK IN  TRANSFER'!F:F, "STOCK IN") + SUMIFS('STOCK IN  TRANSFER'!G:G, 'STOCK IN  TRANSFER'!D:D, A159, 'STOCK IN  TRANSFER'!F:F, "ADJUSTMENT (+)")</f>
        <v>0</v>
      </c>
    </row>
    <row r="160" ht="22.5" customHeight="1">
      <c r="A160" s="13" t="str">
        <f>IFERROR(__xludf.DUMMYFUNCTION("""COMPUTED_VALUE"""),"NXUMAGENTA-4L")</f>
        <v>NXUMAGENTA-4L</v>
      </c>
      <c r="B160" s="13" t="str">
        <f>IFERROR(__xludf.DUMMYFUNCTION("""COMPUTED_VALUE"""),"NIPPON EXTREME MAGENTA 4L")</f>
        <v>NIPPON EXTREME MAGENTA 4L</v>
      </c>
      <c r="C160" s="16">
        <f>IFERROR(__xludf.DUMMYFUNCTION("""COMPUTED_VALUE"""),1870.0)</f>
        <v>1870</v>
      </c>
      <c r="D160" s="13" t="str">
        <f>IFERROR(__xludf.DUMMYFUNCTION("""COMPUTED_VALUE"""),"GAL")</f>
        <v>GAL</v>
      </c>
      <c r="E160" s="28">
        <f>IFERROR(__xludf.DUMMYFUNCTION("""COMPUTED_VALUE"""),5.0)</f>
        <v>5</v>
      </c>
      <c r="F160" s="52">
        <f>SUMIF(SALES!D:D, A160, SALES!H:H) + SUMIFS('STOCK IN  TRANSFER'!G:G, 'STOCK IN  TRANSFER'!D:D, A160, 'STOCK IN  TRANSFER'!F:F, "TRANSFER") + SUMIFS('STOCK IN  TRANSFER'!G:G, 'STOCK IN  TRANSFER'!D:D, A160, 'STOCK IN  TRANSFER'!F:F, "ADJUSTMENT (-)")</f>
        <v>1</v>
      </c>
      <c r="G160" s="52">
        <f>SUMIFS('STOCK IN  TRANSFER'!G:G, 'STOCK IN  TRANSFER'!D:D, A160, 'STOCK IN  TRANSFER'!F:F, "STOCK IN") + SUMIFS('STOCK IN  TRANSFER'!G:G, 'STOCK IN  TRANSFER'!D:D, A160, 'STOCK IN  TRANSFER'!F:F, "ADJUSTMENT (+)")</f>
        <v>6</v>
      </c>
    </row>
    <row r="161" ht="22.5" customHeight="1">
      <c r="A161" s="13" t="str">
        <f>IFERROR(__xludf.DUMMYFUNCTION("""COMPUTED_VALUE"""),"NXUCINQVIO-4L")</f>
        <v>NXUCINQVIO-4L</v>
      </c>
      <c r="B161" s="13" t="str">
        <f>IFERROR(__xludf.DUMMYFUNCTION("""COMPUTED_VALUE"""),"NIPPON EXTREME CINQUASA VIOLET 4L")</f>
        <v>NIPPON EXTREME CINQUASA VIOLET 4L</v>
      </c>
      <c r="C161" s="16">
        <f>IFERROR(__xludf.DUMMYFUNCTION("""COMPUTED_VALUE"""),1630.0)</f>
        <v>1630</v>
      </c>
      <c r="D161" s="13" t="str">
        <f>IFERROR(__xludf.DUMMYFUNCTION("""COMPUTED_VALUE"""),"GAL")</f>
        <v>GAL</v>
      </c>
      <c r="E161" s="28">
        <f>IFERROR(__xludf.DUMMYFUNCTION("""COMPUTED_VALUE"""),5.0)</f>
        <v>5</v>
      </c>
      <c r="F161" s="52">
        <f>SUMIF(SALES!D:D, A161, SALES!H:H) + SUMIFS('STOCK IN  TRANSFER'!G:G, 'STOCK IN  TRANSFER'!D:D, A161, 'STOCK IN  TRANSFER'!F:F, "TRANSFER") + SUMIFS('STOCK IN  TRANSFER'!G:G, 'STOCK IN  TRANSFER'!D:D, A161, 'STOCK IN  TRANSFER'!F:F, "ADJUSTMENT (-)")</f>
        <v>1</v>
      </c>
      <c r="G161" s="52">
        <f>SUMIFS('STOCK IN  TRANSFER'!G:G, 'STOCK IN  TRANSFER'!D:D, A161, 'STOCK IN  TRANSFER'!F:F, "STOCK IN") + SUMIFS('STOCK IN  TRANSFER'!G:G, 'STOCK IN  TRANSFER'!D:D, A161, 'STOCK IN  TRANSFER'!F:F, "ADJUSTMENT (+)")</f>
        <v>6</v>
      </c>
    </row>
    <row r="162" ht="22.5" customHeight="1">
      <c r="A162" s="13" t="str">
        <f>IFERROR(__xludf.DUMMYFUNCTION("""COMPUTED_VALUE"""),"EPOXYTHNR-4L")</f>
        <v>EPOXYTHNR-4L</v>
      </c>
      <c r="B162" s="13" t="str">
        <f>IFERROR(__xludf.DUMMYFUNCTION("""COMPUTED_VALUE"""),"NIPPON EPOXY THINNER 4L")</f>
        <v>NIPPON EPOXY THINNER 4L</v>
      </c>
      <c r="C162" s="16">
        <f>IFERROR(__xludf.DUMMYFUNCTION("""COMPUTED_VALUE"""),550.0)</f>
        <v>550</v>
      </c>
      <c r="D162" s="13" t="str">
        <f>IFERROR(__xludf.DUMMYFUNCTION("""COMPUTED_VALUE"""),"GAL/S")</f>
        <v>GAL/S</v>
      </c>
      <c r="E162" s="28">
        <f>IFERROR(__xludf.DUMMYFUNCTION("""COMPUTED_VALUE"""),0.0)</f>
        <v>0</v>
      </c>
      <c r="F162" s="52">
        <f>SUMIF(SALES!D:D, A162, SALES!H:H) + SUMIFS('STOCK IN  TRANSFER'!G:G, 'STOCK IN  TRANSFER'!D:D, A162, 'STOCK IN  TRANSFER'!F:F, "TRANSFER") + SUMIFS('STOCK IN  TRANSFER'!G:G, 'STOCK IN  TRANSFER'!D:D, A162, 'STOCK IN  TRANSFER'!F:F, "ADJUSTMENT (-)")</f>
        <v>5.7</v>
      </c>
      <c r="G162" s="52">
        <f>SUMIFS('STOCK IN  TRANSFER'!G:G, 'STOCK IN  TRANSFER'!D:D, A162, 'STOCK IN  TRANSFER'!F:F, "STOCK IN") + SUMIFS('STOCK IN  TRANSFER'!G:G, 'STOCK IN  TRANSFER'!D:D, A162, 'STOCK IN  TRANSFER'!F:F, "ADJUSTMENT (+)")</f>
        <v>5.7</v>
      </c>
    </row>
    <row r="163" ht="22.5" customHeight="1">
      <c r="A163" s="13" t="str">
        <f>IFERROR(__xludf.DUMMYFUNCTION("""COMPUTED_VALUE"""),"DCTBSG-5L")</f>
        <v>DCTBSG-5L</v>
      </c>
      <c r="B163" s="13" t="str">
        <f>IFERROR(__xludf.DUMMYFUNCTION("""COMPUTED_VALUE"""),"NIPPON DOU CLASSIC TINT BASE SEMI-GLOSS 5L")</f>
        <v>NIPPON DOU CLASSIC TINT BASE SEMI-GLOSS 5L</v>
      </c>
      <c r="C163" s="16"/>
      <c r="D163" s="13" t="str">
        <f>IFERROR(__xludf.DUMMYFUNCTION("""COMPUTED_VALUE"""),"GAL")</f>
        <v>GAL</v>
      </c>
      <c r="E163" s="28">
        <f>IFERROR(__xludf.DUMMYFUNCTION("""COMPUTED_VALUE"""),0.0)</f>
        <v>0</v>
      </c>
      <c r="F163" s="52">
        <f>SUMIF(SALES!D:D, A163, SALES!H:H) + SUMIFS('STOCK IN  TRANSFER'!G:G, 'STOCK IN  TRANSFER'!D:D, A163, 'STOCK IN  TRANSFER'!F:F, "TRANSFER") + SUMIFS('STOCK IN  TRANSFER'!G:G, 'STOCK IN  TRANSFER'!D:D, A163, 'STOCK IN  TRANSFER'!F:F, "ADJUSTMENT (-)")</f>
        <v>0</v>
      </c>
      <c r="G163" s="52">
        <f>SUMIFS('STOCK IN  TRANSFER'!G:G, 'STOCK IN  TRANSFER'!D:D, A163, 'STOCK IN  TRANSFER'!F:F, "STOCK IN") + SUMIFS('STOCK IN  TRANSFER'!G:G, 'STOCK IN  TRANSFER'!D:D, A163, 'STOCK IN  TRANSFER'!F:F, "ADJUSTMENT (+)")</f>
        <v>0</v>
      </c>
    </row>
    <row r="164" ht="22.5" customHeight="1">
      <c r="A164" s="13" t="str">
        <f>IFERROR(__xludf.DUMMYFUNCTION("""COMPUTED_VALUE"""),"DCTBSG-1L")</f>
        <v>DCTBSG-1L</v>
      </c>
      <c r="B164" s="13" t="str">
        <f>IFERROR(__xludf.DUMMYFUNCTION("""COMPUTED_VALUE"""),"NIPPON DOU CLASSIC TINT BASE SEMI-GLOSS 1L")</f>
        <v>NIPPON DOU CLASSIC TINT BASE SEMI-GLOSS 1L</v>
      </c>
      <c r="C164" s="16"/>
      <c r="D164" s="13" t="str">
        <f>IFERROR(__xludf.DUMMYFUNCTION("""COMPUTED_VALUE"""),"LITER")</f>
        <v>LITER</v>
      </c>
      <c r="E164" s="28">
        <f>IFERROR(__xludf.DUMMYFUNCTION("""COMPUTED_VALUE"""),0.0)</f>
        <v>0</v>
      </c>
      <c r="F164" s="52">
        <f>SUMIF(SALES!D:D, A164, SALES!H:H) + SUMIFS('STOCK IN  TRANSFER'!G:G, 'STOCK IN  TRANSFER'!D:D, A164, 'STOCK IN  TRANSFER'!F:F, "TRANSFER") + SUMIFS('STOCK IN  TRANSFER'!G:G, 'STOCK IN  TRANSFER'!D:D, A164, 'STOCK IN  TRANSFER'!F:F, "ADJUSTMENT (-)")</f>
        <v>0</v>
      </c>
      <c r="G164" s="52">
        <f>SUMIFS('STOCK IN  TRANSFER'!G:G, 'STOCK IN  TRANSFER'!D:D, A164, 'STOCK IN  TRANSFER'!F:F, "STOCK IN") + SUMIFS('STOCK IN  TRANSFER'!G:G, 'STOCK IN  TRANSFER'!D:D, A164, 'STOCK IN  TRANSFER'!F:F, "ADJUSTMENT (+)")</f>
        <v>0</v>
      </c>
    </row>
    <row r="165" ht="22.5" customHeight="1">
      <c r="A165" s="13" t="str">
        <f>IFERROR(__xludf.DUMMYFUNCTION("""COMPUTED_VALUE"""),"DCTBSG-15L")</f>
        <v>DCTBSG-15L</v>
      </c>
      <c r="B165" s="13" t="str">
        <f>IFERROR(__xludf.DUMMYFUNCTION("""COMPUTED_VALUE"""),"NIPPON DOU CLASSIC TINT BASE SEMI-GLOSS 15L")</f>
        <v>NIPPON DOU CLASSIC TINT BASE SEMI-GLOSS 15L</v>
      </c>
      <c r="C165" s="16"/>
      <c r="D165" s="13" t="str">
        <f>IFERROR(__xludf.DUMMYFUNCTION("""COMPUTED_VALUE"""),"PAIL")</f>
        <v>PAIL</v>
      </c>
      <c r="E165" s="28">
        <f>IFERROR(__xludf.DUMMYFUNCTION("""COMPUTED_VALUE"""),0.0)</f>
        <v>0</v>
      </c>
      <c r="F165" s="52">
        <f>SUMIF(SALES!D:D, A165, SALES!H:H) + SUMIFS('STOCK IN  TRANSFER'!G:G, 'STOCK IN  TRANSFER'!D:D, A165, 'STOCK IN  TRANSFER'!F:F, "TRANSFER") + SUMIFS('STOCK IN  TRANSFER'!G:G, 'STOCK IN  TRANSFER'!D:D, A165, 'STOCK IN  TRANSFER'!F:F, "ADJUSTMENT (-)")</f>
        <v>0</v>
      </c>
      <c r="G165" s="52">
        <f>SUMIFS('STOCK IN  TRANSFER'!G:G, 'STOCK IN  TRANSFER'!D:D, A165, 'STOCK IN  TRANSFER'!F:F, "STOCK IN") + SUMIFS('STOCK IN  TRANSFER'!G:G, 'STOCK IN  TRANSFER'!D:D, A165, 'STOCK IN  TRANSFER'!F:F, "ADJUSTMENT (+)")</f>
        <v>0</v>
      </c>
    </row>
    <row r="166" ht="22.5" customHeight="1">
      <c r="A166" s="13" t="str">
        <f>IFERROR(__xludf.DUMMYFUNCTION("""COMPUTED_VALUE"""),"DCSG715-1L")</f>
        <v>DCSG715-1L</v>
      </c>
      <c r="B166" s="13" t="str">
        <f>IFERROR(__xludf.DUMMYFUNCTION("""COMPUTED_VALUE"""),"NIPPON DOU CLASSIC SG WHITE 715 1L")</f>
        <v>NIPPON DOU CLASSIC SG WHITE 715 1L</v>
      </c>
      <c r="C166" s="16">
        <f>IFERROR(__xludf.DUMMYFUNCTION("""COMPUTED_VALUE"""),186.0)</f>
        <v>186</v>
      </c>
      <c r="D166" s="13" t="str">
        <f>IFERROR(__xludf.DUMMYFUNCTION("""COMPUTED_VALUE"""),"LITER")</f>
        <v>LITER</v>
      </c>
      <c r="E166" s="28">
        <f>IFERROR(__xludf.DUMMYFUNCTION("""COMPUTED_VALUE"""),0.0)</f>
        <v>0</v>
      </c>
      <c r="F166" s="52">
        <f>SUMIF(SALES!D:D, A166, SALES!H:H) + SUMIFS('STOCK IN  TRANSFER'!G:G, 'STOCK IN  TRANSFER'!D:D, A166, 'STOCK IN  TRANSFER'!F:F, "TRANSFER") + SUMIFS('STOCK IN  TRANSFER'!G:G, 'STOCK IN  TRANSFER'!D:D, A166, 'STOCK IN  TRANSFER'!F:F, "ADJUSTMENT (-)")</f>
        <v>0</v>
      </c>
      <c r="G166" s="52">
        <f>SUMIFS('STOCK IN  TRANSFER'!G:G, 'STOCK IN  TRANSFER'!D:D, A166, 'STOCK IN  TRANSFER'!F:F, "STOCK IN") + SUMIFS('STOCK IN  TRANSFER'!G:G, 'STOCK IN  TRANSFER'!D:D, A166, 'STOCK IN  TRANSFER'!F:F, "ADJUSTMENT (+)")</f>
        <v>0</v>
      </c>
    </row>
    <row r="167" ht="22.5" customHeight="1">
      <c r="A167" s="13" t="str">
        <f>IFERROR(__xludf.DUMMYFUNCTION("""COMPUTED_VALUE"""),"DCSG715-15L")</f>
        <v>DCSG715-15L</v>
      </c>
      <c r="B167" s="13" t="str">
        <f>IFERROR(__xludf.DUMMYFUNCTION("""COMPUTED_VALUE"""),"NIPPON DOU CLASSIC SG WHITE 715 15L")</f>
        <v>NIPPON DOU CLASSIC SG WHITE 715 15L</v>
      </c>
      <c r="C167" s="16">
        <f>IFERROR(__xludf.DUMMYFUNCTION("""COMPUTED_VALUE"""),2680.0)</f>
        <v>2680</v>
      </c>
      <c r="D167" s="13" t="str">
        <f>IFERROR(__xludf.DUMMYFUNCTION("""COMPUTED_VALUE"""),"PAIL")</f>
        <v>PAIL</v>
      </c>
      <c r="E167" s="28">
        <f>IFERROR(__xludf.DUMMYFUNCTION("""COMPUTED_VALUE"""),0.0)</f>
        <v>0</v>
      </c>
      <c r="F167" s="52">
        <f>SUMIF(SALES!D:D, A167, SALES!H:H) + SUMIFS('STOCK IN  TRANSFER'!G:G, 'STOCK IN  TRANSFER'!D:D, A167, 'STOCK IN  TRANSFER'!F:F, "TRANSFER") + SUMIFS('STOCK IN  TRANSFER'!G:G, 'STOCK IN  TRANSFER'!D:D, A167, 'STOCK IN  TRANSFER'!F:F, "ADJUSTMENT (-)")</f>
        <v>2</v>
      </c>
      <c r="G167" s="52">
        <f>SUMIFS('STOCK IN  TRANSFER'!G:G, 'STOCK IN  TRANSFER'!D:D, A167, 'STOCK IN  TRANSFER'!F:F, "STOCK IN") + SUMIFS('STOCK IN  TRANSFER'!G:G, 'STOCK IN  TRANSFER'!D:D, A167, 'STOCK IN  TRANSFER'!F:F, "ADJUSTMENT (+)")</f>
        <v>2</v>
      </c>
    </row>
    <row r="168" ht="22.5" customHeight="1">
      <c r="A168" s="13" t="str">
        <f>IFERROR(__xludf.DUMMYFUNCTION("""COMPUTED_VALUE"""),"2045T-5L")</f>
        <v>2045T-5L</v>
      </c>
      <c r="B168" s="13" t="str">
        <f>IFERROR(__xludf.DUMMYFUNCTION("""COMPUTED_VALUE"""),"NIPPON DOU CLASSIC SG SMOKING GRAY 2045T 5L")</f>
        <v>NIPPON DOU CLASSIC SG SMOKING GRAY 2045T 5L</v>
      </c>
      <c r="C168" s="16"/>
      <c r="D168" s="13" t="str">
        <f>IFERROR(__xludf.DUMMYFUNCTION("""COMPUTED_VALUE"""),"GAL/S")</f>
        <v>GAL/S</v>
      </c>
      <c r="E168" s="28">
        <f>IFERROR(__xludf.DUMMYFUNCTION("""COMPUTED_VALUE"""),0.0)</f>
        <v>0</v>
      </c>
      <c r="F168" s="52">
        <f>SUMIF(SALES!D:D, A168, SALES!H:H) + SUMIFS('STOCK IN  TRANSFER'!G:G, 'STOCK IN  TRANSFER'!D:D, A168, 'STOCK IN  TRANSFER'!F:F, "TRANSFER") + SUMIFS('STOCK IN  TRANSFER'!G:G, 'STOCK IN  TRANSFER'!D:D, A168, 'STOCK IN  TRANSFER'!F:F, "ADJUSTMENT (-)")</f>
        <v>0</v>
      </c>
      <c r="G168" s="52">
        <f>SUMIFS('STOCK IN  TRANSFER'!G:G, 'STOCK IN  TRANSFER'!D:D, A168, 'STOCK IN  TRANSFER'!F:F, "STOCK IN") + SUMIFS('STOCK IN  TRANSFER'!G:G, 'STOCK IN  TRANSFER'!D:D, A168, 'STOCK IN  TRANSFER'!F:F, "ADJUSTMENT (+)")</f>
        <v>0</v>
      </c>
    </row>
    <row r="169" ht="22.5" customHeight="1">
      <c r="A169" s="13" t="str">
        <f>IFERROR(__xludf.DUMMYFUNCTION("""COMPUTED_VALUE"""),"2027P-5L")</f>
        <v>2027P-5L</v>
      </c>
      <c r="B169" s="13" t="str">
        <f>IFERROR(__xludf.DUMMYFUNCTION("""COMPUTED_VALUE"""),"NIPPON DOU CLASSIC SG GRAY SUIT 2027P 5L")</f>
        <v>NIPPON DOU CLASSIC SG GRAY SUIT 2027P 5L</v>
      </c>
      <c r="C169" s="16"/>
      <c r="D169" s="13" t="str">
        <f>IFERROR(__xludf.DUMMYFUNCTION("""COMPUTED_VALUE"""),"GAL/S")</f>
        <v>GAL/S</v>
      </c>
      <c r="E169" s="28">
        <f>IFERROR(__xludf.DUMMYFUNCTION("""COMPUTED_VALUE"""),0.0)</f>
        <v>0</v>
      </c>
      <c r="F169" s="52">
        <f>SUMIF(SALES!D:D, A169, SALES!H:H) + SUMIFS('STOCK IN  TRANSFER'!G:G, 'STOCK IN  TRANSFER'!D:D, A169, 'STOCK IN  TRANSFER'!F:F, "TRANSFER") + SUMIFS('STOCK IN  TRANSFER'!G:G, 'STOCK IN  TRANSFER'!D:D, A169, 'STOCK IN  TRANSFER'!F:F, "ADJUSTMENT (-)")</f>
        <v>0</v>
      </c>
      <c r="G169" s="52">
        <f>SUMIFS('STOCK IN  TRANSFER'!G:G, 'STOCK IN  TRANSFER'!D:D, A169, 'STOCK IN  TRANSFER'!F:F, "STOCK IN") + SUMIFS('STOCK IN  TRANSFER'!G:G, 'STOCK IN  TRANSFER'!D:D, A169, 'STOCK IN  TRANSFER'!F:F, "ADJUSTMENT (+)")</f>
        <v>0</v>
      </c>
    </row>
    <row r="170" ht="22.5" customHeight="1">
      <c r="A170" s="13" t="str">
        <f>IFERROR(__xludf.DUMMYFUNCTION("""COMPUTED_VALUE"""),"2034P-5L")</f>
        <v>2034P-5L</v>
      </c>
      <c r="B170" s="13" t="str">
        <f>IFERROR(__xludf.DUMMYFUNCTION("""COMPUTED_VALUE"""),"NIPPON DOU CLASSIC SG ABACADABRA 2034P 5L")</f>
        <v>NIPPON DOU CLASSIC SG ABACADABRA 2034P 5L</v>
      </c>
      <c r="C170" s="16"/>
      <c r="D170" s="13" t="str">
        <f>IFERROR(__xludf.DUMMYFUNCTION("""COMPUTED_VALUE"""),"GAL/S")</f>
        <v>GAL/S</v>
      </c>
      <c r="E170" s="28">
        <f>IFERROR(__xludf.DUMMYFUNCTION("""COMPUTED_VALUE"""),0.0)</f>
        <v>0</v>
      </c>
      <c r="F170" s="52">
        <f>SUMIF(SALES!D:D, A170, SALES!H:H) + SUMIFS('STOCK IN  TRANSFER'!G:G, 'STOCK IN  TRANSFER'!D:D, A170, 'STOCK IN  TRANSFER'!F:F, "TRANSFER") + SUMIFS('STOCK IN  TRANSFER'!G:G, 'STOCK IN  TRANSFER'!D:D, A170, 'STOCK IN  TRANSFER'!F:F, "ADJUSTMENT (-)")</f>
        <v>0</v>
      </c>
      <c r="G170" s="52">
        <f>SUMIFS('STOCK IN  TRANSFER'!G:G, 'STOCK IN  TRANSFER'!D:D, A170, 'STOCK IN  TRANSFER'!F:F, "STOCK IN") + SUMIFS('STOCK IN  TRANSFER'!G:G, 'STOCK IN  TRANSFER'!D:D, A170, 'STOCK IN  TRANSFER'!F:F, "ADJUSTMENT (+)")</f>
        <v>0</v>
      </c>
    </row>
    <row r="171" ht="22.5" customHeight="1">
      <c r="A171" s="13" t="str">
        <f>IFERROR(__xludf.DUMMYFUNCTION("""COMPUTED_VALUE"""),"DCSG715-5L")</f>
        <v>DCSG715-5L</v>
      </c>
      <c r="B171" s="13" t="str">
        <f>IFERROR(__xludf.DUMMYFUNCTION("""COMPUTED_VALUE"""),"NIPPON DOU CLASSIC SG 715 WHITE 5L")</f>
        <v>NIPPON DOU CLASSIC SG 715 WHITE 5L</v>
      </c>
      <c r="C171" s="16">
        <f>IFERROR(__xludf.DUMMYFUNCTION("""COMPUTED_VALUE"""),828.0)</f>
        <v>828</v>
      </c>
      <c r="D171" s="13" t="str">
        <f>IFERROR(__xludf.DUMMYFUNCTION("""COMPUTED_VALUE"""),"GAL")</f>
        <v>GAL</v>
      </c>
      <c r="E171" s="28">
        <f>IFERROR(__xludf.DUMMYFUNCTION("""COMPUTED_VALUE"""),0.0)</f>
        <v>0</v>
      </c>
      <c r="F171" s="52">
        <f>SUMIF(SALES!D:D, A171, SALES!H:H) + SUMIFS('STOCK IN  TRANSFER'!G:G, 'STOCK IN  TRANSFER'!D:D, A171, 'STOCK IN  TRANSFER'!F:F, "TRANSFER") + SUMIFS('STOCK IN  TRANSFER'!G:G, 'STOCK IN  TRANSFER'!D:D, A171, 'STOCK IN  TRANSFER'!F:F, "ADJUSTMENT (-)")</f>
        <v>5</v>
      </c>
      <c r="G171" s="52">
        <f>SUMIFS('STOCK IN  TRANSFER'!G:G, 'STOCK IN  TRANSFER'!D:D, A171, 'STOCK IN  TRANSFER'!F:F, "STOCK IN") + SUMIFS('STOCK IN  TRANSFER'!G:G, 'STOCK IN  TRANSFER'!D:D, A171, 'STOCK IN  TRANSFER'!F:F, "ADJUSTMENT (+)")</f>
        <v>5</v>
      </c>
    </row>
    <row r="172" ht="22.5" customHeight="1">
      <c r="A172" s="13" t="str">
        <f>IFERROR(__xludf.DUMMYFUNCTION("""COMPUTED_VALUE"""),"DCPBSG-5L")</f>
        <v>DCPBSG-5L</v>
      </c>
      <c r="B172" s="13" t="str">
        <f>IFERROR(__xludf.DUMMYFUNCTION("""COMPUTED_VALUE"""),"NIPPON DOU CLASSIC PASTEL BASE SEMI-GLOSS 5L")</f>
        <v>NIPPON DOU CLASSIC PASTEL BASE SEMI-GLOSS 5L</v>
      </c>
      <c r="C172" s="16"/>
      <c r="D172" s="13" t="str">
        <f>IFERROR(__xludf.DUMMYFUNCTION("""COMPUTED_VALUE"""),"GAL")</f>
        <v>GAL</v>
      </c>
      <c r="E172" s="28">
        <f>IFERROR(__xludf.DUMMYFUNCTION("""COMPUTED_VALUE"""),0.0)</f>
        <v>0</v>
      </c>
      <c r="F172" s="52">
        <f>SUMIF(SALES!D:D, A172, SALES!H:H) + SUMIFS('STOCK IN  TRANSFER'!G:G, 'STOCK IN  TRANSFER'!D:D, A172, 'STOCK IN  TRANSFER'!F:F, "TRANSFER") + SUMIFS('STOCK IN  TRANSFER'!G:G, 'STOCK IN  TRANSFER'!D:D, A172, 'STOCK IN  TRANSFER'!F:F, "ADJUSTMENT (-)")</f>
        <v>0</v>
      </c>
      <c r="G172" s="52">
        <f>SUMIFS('STOCK IN  TRANSFER'!G:G, 'STOCK IN  TRANSFER'!D:D, A172, 'STOCK IN  TRANSFER'!F:F, "STOCK IN") + SUMIFS('STOCK IN  TRANSFER'!G:G, 'STOCK IN  TRANSFER'!D:D, A172, 'STOCK IN  TRANSFER'!F:F, "ADJUSTMENT (+)")</f>
        <v>0</v>
      </c>
    </row>
    <row r="173" ht="22.5" customHeight="1">
      <c r="A173" s="13" t="str">
        <f>IFERROR(__xludf.DUMMYFUNCTION("""COMPUTED_VALUE"""),"DCPBSG-1L")</f>
        <v>DCPBSG-1L</v>
      </c>
      <c r="B173" s="13" t="str">
        <f>IFERROR(__xludf.DUMMYFUNCTION("""COMPUTED_VALUE"""),"NIPPON DOU CLASSIC PASTEL BASE SEMI-GLOSS 1L")</f>
        <v>NIPPON DOU CLASSIC PASTEL BASE SEMI-GLOSS 1L</v>
      </c>
      <c r="C173" s="16"/>
      <c r="D173" s="13" t="str">
        <f>IFERROR(__xludf.DUMMYFUNCTION("""COMPUTED_VALUE"""),"LITER")</f>
        <v>LITER</v>
      </c>
      <c r="E173" s="28">
        <f>IFERROR(__xludf.DUMMYFUNCTION("""COMPUTED_VALUE"""),0.0)</f>
        <v>0</v>
      </c>
      <c r="F173" s="52">
        <f>SUMIF(SALES!D:D, A173, SALES!H:H) + SUMIFS('STOCK IN  TRANSFER'!G:G, 'STOCK IN  TRANSFER'!D:D, A173, 'STOCK IN  TRANSFER'!F:F, "TRANSFER") + SUMIFS('STOCK IN  TRANSFER'!G:G, 'STOCK IN  TRANSFER'!D:D, A173, 'STOCK IN  TRANSFER'!F:F, "ADJUSTMENT (-)")</f>
        <v>0</v>
      </c>
      <c r="G173" s="52">
        <f>SUMIFS('STOCK IN  TRANSFER'!G:G, 'STOCK IN  TRANSFER'!D:D, A173, 'STOCK IN  TRANSFER'!F:F, "STOCK IN") + SUMIFS('STOCK IN  TRANSFER'!G:G, 'STOCK IN  TRANSFER'!D:D, A173, 'STOCK IN  TRANSFER'!F:F, "ADJUSTMENT (+)")</f>
        <v>0</v>
      </c>
    </row>
    <row r="174" ht="22.5" customHeight="1">
      <c r="A174" s="13" t="str">
        <f>IFERROR(__xludf.DUMMYFUNCTION("""COMPUTED_VALUE"""),"DCPBSG-15L")</f>
        <v>DCPBSG-15L</v>
      </c>
      <c r="B174" s="13" t="str">
        <f>IFERROR(__xludf.DUMMYFUNCTION("""COMPUTED_VALUE"""),"NIPPON DOU CLASSIC PASTEL BASE SEMI-GLOSS 15L")</f>
        <v>NIPPON DOU CLASSIC PASTEL BASE SEMI-GLOSS 15L</v>
      </c>
      <c r="C174" s="16"/>
      <c r="D174" s="13" t="str">
        <f>IFERROR(__xludf.DUMMYFUNCTION("""COMPUTED_VALUE"""),"PAIL")</f>
        <v>PAIL</v>
      </c>
      <c r="E174" s="28">
        <f>IFERROR(__xludf.DUMMYFUNCTION("""COMPUTED_VALUE"""),0.0)</f>
        <v>0</v>
      </c>
      <c r="F174" s="52">
        <f>SUMIF(SALES!D:D, A174, SALES!H:H) + SUMIFS('STOCK IN  TRANSFER'!G:G, 'STOCK IN  TRANSFER'!D:D, A174, 'STOCK IN  TRANSFER'!F:F, "TRANSFER") + SUMIFS('STOCK IN  TRANSFER'!G:G, 'STOCK IN  TRANSFER'!D:D, A174, 'STOCK IN  TRANSFER'!F:F, "ADJUSTMENT (-)")</f>
        <v>0</v>
      </c>
      <c r="G174" s="52">
        <f>SUMIFS('STOCK IN  TRANSFER'!G:G, 'STOCK IN  TRANSFER'!D:D, A174, 'STOCK IN  TRANSFER'!F:F, "STOCK IN") + SUMIFS('STOCK IN  TRANSFER'!G:G, 'STOCK IN  TRANSFER'!D:D, A174, 'STOCK IN  TRANSFER'!F:F, "ADJUSTMENT (+)")</f>
        <v>0</v>
      </c>
    </row>
    <row r="175" ht="22.5" customHeight="1">
      <c r="A175" s="13" t="str">
        <f>IFERROR(__xludf.DUMMYFUNCTION("""COMPUTED_VALUE"""),"DCF701-5L")</f>
        <v>DCF701-5L</v>
      </c>
      <c r="B175" s="13" t="str">
        <f>IFERROR(__xludf.DUMMYFUNCTION("""COMPUTED_VALUE"""),"NIPPON DOU CLASSIC FLAT WHITE 701 5L")</f>
        <v>NIPPON DOU CLASSIC FLAT WHITE 701 5L</v>
      </c>
      <c r="C175" s="16">
        <f>IFERROR(__xludf.DUMMYFUNCTION("""COMPUTED_VALUE"""),630.0)</f>
        <v>630</v>
      </c>
      <c r="D175" s="13" t="str">
        <f>IFERROR(__xludf.DUMMYFUNCTION("""COMPUTED_VALUE"""),"GAL")</f>
        <v>GAL</v>
      </c>
      <c r="E175" s="28">
        <f>IFERROR(__xludf.DUMMYFUNCTION("""COMPUTED_VALUE"""),0.0)</f>
        <v>0</v>
      </c>
      <c r="F175" s="52">
        <f>SUMIF(SALES!D:D, A175, SALES!H:H) + SUMIFS('STOCK IN  TRANSFER'!G:G, 'STOCK IN  TRANSFER'!D:D, A175, 'STOCK IN  TRANSFER'!F:F, "TRANSFER") + SUMIFS('STOCK IN  TRANSFER'!G:G, 'STOCK IN  TRANSFER'!D:D, A175, 'STOCK IN  TRANSFER'!F:F, "ADJUSTMENT (-)")</f>
        <v>3</v>
      </c>
      <c r="G175" s="52">
        <f>SUMIFS('STOCK IN  TRANSFER'!G:G, 'STOCK IN  TRANSFER'!D:D, A175, 'STOCK IN  TRANSFER'!F:F, "STOCK IN") + SUMIFS('STOCK IN  TRANSFER'!G:G, 'STOCK IN  TRANSFER'!D:D, A175, 'STOCK IN  TRANSFER'!F:F, "ADJUSTMENT (+)")</f>
        <v>3</v>
      </c>
    </row>
    <row r="176" ht="22.5" customHeight="1">
      <c r="A176" s="13" t="str">
        <f>IFERROR(__xludf.DUMMYFUNCTION("""COMPUTED_VALUE"""),"DCF701-1L")</f>
        <v>DCF701-1L</v>
      </c>
      <c r="B176" s="13" t="str">
        <f>IFERROR(__xludf.DUMMYFUNCTION("""COMPUTED_VALUE"""),"NIPPON DOU CLASSIC FLAT WHITE 701 1L")</f>
        <v>NIPPON DOU CLASSIC FLAT WHITE 701 1L</v>
      </c>
      <c r="C176" s="16">
        <f>IFERROR(__xludf.DUMMYFUNCTION("""COMPUTED_VALUE"""),165.0)</f>
        <v>165</v>
      </c>
      <c r="D176" s="13" t="str">
        <f>IFERROR(__xludf.DUMMYFUNCTION("""COMPUTED_VALUE"""),"LITER")</f>
        <v>LITER</v>
      </c>
      <c r="E176" s="28">
        <f>IFERROR(__xludf.DUMMYFUNCTION("""COMPUTED_VALUE"""),2.0)</f>
        <v>2</v>
      </c>
      <c r="F176" s="52">
        <f>SUMIF(SALES!D:D, A176, SALES!H:H) + SUMIFS('STOCK IN  TRANSFER'!G:G, 'STOCK IN  TRANSFER'!D:D, A176, 'STOCK IN  TRANSFER'!F:F, "TRANSFER") + SUMIFS('STOCK IN  TRANSFER'!G:G, 'STOCK IN  TRANSFER'!D:D, A176, 'STOCK IN  TRANSFER'!F:F, "ADJUSTMENT (-)")</f>
        <v>6</v>
      </c>
      <c r="G176" s="52">
        <f>SUMIFS('STOCK IN  TRANSFER'!G:G, 'STOCK IN  TRANSFER'!D:D, A176, 'STOCK IN  TRANSFER'!F:F, "STOCK IN") + SUMIFS('STOCK IN  TRANSFER'!G:G, 'STOCK IN  TRANSFER'!D:D, A176, 'STOCK IN  TRANSFER'!F:F, "ADJUSTMENT (+)")</f>
        <v>8</v>
      </c>
    </row>
    <row r="177" ht="22.5" customHeight="1">
      <c r="A177" s="13" t="str">
        <f>IFERROR(__xludf.DUMMYFUNCTION("""COMPUTED_VALUE"""),"DCF701-15L")</f>
        <v>DCF701-15L</v>
      </c>
      <c r="B177" s="13" t="str">
        <f>IFERROR(__xludf.DUMMYFUNCTION("""COMPUTED_VALUE"""),"NIPPON DOU CLASSIC FLAT WHITE 701 15L")</f>
        <v>NIPPON DOU CLASSIC FLAT WHITE 701 15L</v>
      </c>
      <c r="C177" s="16">
        <f>IFERROR(__xludf.DUMMYFUNCTION("""COMPUTED_VALUE"""),2130.0)</f>
        <v>2130</v>
      </c>
      <c r="D177" s="13" t="str">
        <f>IFERROR(__xludf.DUMMYFUNCTION("""COMPUTED_VALUE"""),"PAIL")</f>
        <v>PAIL</v>
      </c>
      <c r="E177" s="28">
        <f>IFERROR(__xludf.DUMMYFUNCTION("""COMPUTED_VALUE"""),4.0)</f>
        <v>4</v>
      </c>
      <c r="F177" s="52">
        <f>SUMIF(SALES!D:D, A177, SALES!H:H) + SUMIFS('STOCK IN  TRANSFER'!G:G, 'STOCK IN  TRANSFER'!D:D, A177, 'STOCK IN  TRANSFER'!F:F, "TRANSFER") + SUMIFS('STOCK IN  TRANSFER'!G:G, 'STOCK IN  TRANSFER'!D:D, A177, 'STOCK IN  TRANSFER'!F:F, "ADJUSTMENT (-)")</f>
        <v>0</v>
      </c>
      <c r="G177" s="52">
        <f>SUMIFS('STOCK IN  TRANSFER'!G:G, 'STOCK IN  TRANSFER'!D:D, A177, 'STOCK IN  TRANSFER'!F:F, "STOCK IN") + SUMIFS('STOCK IN  TRANSFER'!G:G, 'STOCK IN  TRANSFER'!D:D, A177, 'STOCK IN  TRANSFER'!F:F, "ADJUSTMENT (+)")</f>
        <v>4</v>
      </c>
    </row>
    <row r="178" ht="22.5" customHeight="1">
      <c r="A178" s="13" t="str">
        <f>IFERROR(__xludf.DUMMYFUNCTION("""COMPUTED_VALUE"""),"DCDBSG-5L")</f>
        <v>DCDBSG-5L</v>
      </c>
      <c r="B178" s="13" t="str">
        <f>IFERROR(__xludf.DUMMYFUNCTION("""COMPUTED_VALUE"""),"NIPPON DOU CLASSIC DEEP BASE SEMI-GLOSS 5L")</f>
        <v>NIPPON DOU CLASSIC DEEP BASE SEMI-GLOSS 5L</v>
      </c>
      <c r="C178" s="16"/>
      <c r="D178" s="13" t="str">
        <f>IFERROR(__xludf.DUMMYFUNCTION("""COMPUTED_VALUE"""),"GAL")</f>
        <v>GAL</v>
      </c>
      <c r="E178" s="28">
        <f>IFERROR(__xludf.DUMMYFUNCTION("""COMPUTED_VALUE"""),0.0)</f>
        <v>0</v>
      </c>
      <c r="F178" s="52">
        <f>SUMIF(SALES!D:D, A178, SALES!H:H) + SUMIFS('STOCK IN  TRANSFER'!G:G, 'STOCK IN  TRANSFER'!D:D, A178, 'STOCK IN  TRANSFER'!F:F, "TRANSFER") + SUMIFS('STOCK IN  TRANSFER'!G:G, 'STOCK IN  TRANSFER'!D:D, A178, 'STOCK IN  TRANSFER'!F:F, "ADJUSTMENT (-)")</f>
        <v>0</v>
      </c>
      <c r="G178" s="52">
        <f>SUMIFS('STOCK IN  TRANSFER'!G:G, 'STOCK IN  TRANSFER'!D:D, A178, 'STOCK IN  TRANSFER'!F:F, "STOCK IN") + SUMIFS('STOCK IN  TRANSFER'!G:G, 'STOCK IN  TRANSFER'!D:D, A178, 'STOCK IN  TRANSFER'!F:F, "ADJUSTMENT (+)")</f>
        <v>0</v>
      </c>
    </row>
    <row r="179" ht="22.5" customHeight="1">
      <c r="A179" s="13" t="str">
        <f>IFERROR(__xludf.DUMMYFUNCTION("""COMPUTED_VALUE"""),"DCDBSG-1L")</f>
        <v>DCDBSG-1L</v>
      </c>
      <c r="B179" s="13" t="str">
        <f>IFERROR(__xludf.DUMMYFUNCTION("""COMPUTED_VALUE"""),"NIPPON DOU CLASSIC DEEP BASE SEMI-GLOSS 1L")</f>
        <v>NIPPON DOU CLASSIC DEEP BASE SEMI-GLOSS 1L</v>
      </c>
      <c r="C179" s="16"/>
      <c r="D179" s="13" t="str">
        <f>IFERROR(__xludf.DUMMYFUNCTION("""COMPUTED_VALUE"""),"LITER")</f>
        <v>LITER</v>
      </c>
      <c r="E179" s="28">
        <f>IFERROR(__xludf.DUMMYFUNCTION("""COMPUTED_VALUE"""),0.0)</f>
        <v>0</v>
      </c>
      <c r="F179" s="52">
        <f>SUMIF(SALES!D:D, A179, SALES!H:H) + SUMIFS('STOCK IN  TRANSFER'!G:G, 'STOCK IN  TRANSFER'!D:D, A179, 'STOCK IN  TRANSFER'!F:F, "TRANSFER") + SUMIFS('STOCK IN  TRANSFER'!G:G, 'STOCK IN  TRANSFER'!D:D, A179, 'STOCK IN  TRANSFER'!F:F, "ADJUSTMENT (-)")</f>
        <v>0</v>
      </c>
      <c r="G179" s="52">
        <f>SUMIFS('STOCK IN  TRANSFER'!G:G, 'STOCK IN  TRANSFER'!D:D, A179, 'STOCK IN  TRANSFER'!F:F, "STOCK IN") + SUMIFS('STOCK IN  TRANSFER'!G:G, 'STOCK IN  TRANSFER'!D:D, A179, 'STOCK IN  TRANSFER'!F:F, "ADJUSTMENT (+)")</f>
        <v>0</v>
      </c>
    </row>
    <row r="180" ht="22.5" customHeight="1">
      <c r="A180" s="13" t="str">
        <f>IFERROR(__xludf.DUMMYFUNCTION("""COMPUTED_VALUE"""),"DCDBSG-15L")</f>
        <v>DCDBSG-15L</v>
      </c>
      <c r="B180" s="13" t="str">
        <f>IFERROR(__xludf.DUMMYFUNCTION("""COMPUTED_VALUE"""),"NIPPON DOU CLASSIC DEEP BASE SEMI-GLOSS 15L")</f>
        <v>NIPPON DOU CLASSIC DEEP BASE SEMI-GLOSS 15L</v>
      </c>
      <c r="C180" s="16"/>
      <c r="D180" s="13" t="str">
        <f>IFERROR(__xludf.DUMMYFUNCTION("""COMPUTED_VALUE"""),"PAIL")</f>
        <v>PAIL</v>
      </c>
      <c r="E180" s="28">
        <f>IFERROR(__xludf.DUMMYFUNCTION("""COMPUTED_VALUE"""),0.0)</f>
        <v>0</v>
      </c>
      <c r="F180" s="52">
        <f>SUMIF(SALES!D:D, A180, SALES!H:H) + SUMIFS('STOCK IN  TRANSFER'!G:G, 'STOCK IN  TRANSFER'!D:D, A180, 'STOCK IN  TRANSFER'!F:F, "TRANSFER") + SUMIFS('STOCK IN  TRANSFER'!G:G, 'STOCK IN  TRANSFER'!D:D, A180, 'STOCK IN  TRANSFER'!F:F, "ADJUSTMENT (-)")</f>
        <v>0</v>
      </c>
      <c r="G180" s="52">
        <f>SUMIFS('STOCK IN  TRANSFER'!G:G, 'STOCK IN  TRANSFER'!D:D, A180, 'STOCK IN  TRANSFER'!F:F, "STOCK IN") + SUMIFS('STOCK IN  TRANSFER'!G:G, 'STOCK IN  TRANSFER'!D:D, A180, 'STOCK IN  TRANSFER'!F:F, "ADJUSTMENT (+)")</f>
        <v>0</v>
      </c>
    </row>
    <row r="181" ht="22.5" customHeight="1">
      <c r="A181" s="13" t="str">
        <f>IFERROR(__xludf.DUMMYFUNCTION("""COMPUTED_VALUE"""),"DCABSG-5L")</f>
        <v>DCABSG-5L</v>
      </c>
      <c r="B181" s="13" t="str">
        <f>IFERROR(__xludf.DUMMYFUNCTION("""COMPUTED_VALUE"""),"NIPPON DOU CLASSIC ACCENT BASE SEMI-GLOSS 5L")</f>
        <v>NIPPON DOU CLASSIC ACCENT BASE SEMI-GLOSS 5L</v>
      </c>
      <c r="C181" s="16"/>
      <c r="D181" s="13" t="str">
        <f>IFERROR(__xludf.DUMMYFUNCTION("""COMPUTED_VALUE"""),"GAL")</f>
        <v>GAL</v>
      </c>
      <c r="E181" s="28">
        <f>IFERROR(__xludf.DUMMYFUNCTION("""COMPUTED_VALUE"""),0.0)</f>
        <v>0</v>
      </c>
      <c r="F181" s="52">
        <f>SUMIF(SALES!D:D, A181, SALES!H:H) + SUMIFS('STOCK IN  TRANSFER'!G:G, 'STOCK IN  TRANSFER'!D:D, A181, 'STOCK IN  TRANSFER'!F:F, "TRANSFER") + SUMIFS('STOCK IN  TRANSFER'!G:G, 'STOCK IN  TRANSFER'!D:D, A181, 'STOCK IN  TRANSFER'!F:F, "ADJUSTMENT (-)")</f>
        <v>0</v>
      </c>
      <c r="G181" s="52">
        <f>SUMIFS('STOCK IN  TRANSFER'!G:G, 'STOCK IN  TRANSFER'!D:D, A181, 'STOCK IN  TRANSFER'!F:F, "STOCK IN") + SUMIFS('STOCK IN  TRANSFER'!G:G, 'STOCK IN  TRANSFER'!D:D, A181, 'STOCK IN  TRANSFER'!F:F, "ADJUSTMENT (+)")</f>
        <v>0</v>
      </c>
    </row>
    <row r="182" ht="22.5" customHeight="1">
      <c r="A182" s="13" t="str">
        <f>IFERROR(__xludf.DUMMYFUNCTION("""COMPUTED_VALUE"""),"DCABSG-1L")</f>
        <v>DCABSG-1L</v>
      </c>
      <c r="B182" s="13" t="str">
        <f>IFERROR(__xludf.DUMMYFUNCTION("""COMPUTED_VALUE"""),"NIPPON DOU CLASSIC ACCENT BASE SEMI-GLOSS 1L")</f>
        <v>NIPPON DOU CLASSIC ACCENT BASE SEMI-GLOSS 1L</v>
      </c>
      <c r="C182" s="16"/>
      <c r="D182" s="13" t="str">
        <f>IFERROR(__xludf.DUMMYFUNCTION("""COMPUTED_VALUE"""),"LITER")</f>
        <v>LITER</v>
      </c>
      <c r="E182" s="28">
        <f>IFERROR(__xludf.DUMMYFUNCTION("""COMPUTED_VALUE"""),0.0)</f>
        <v>0</v>
      </c>
      <c r="F182" s="52">
        <f>SUMIF(SALES!D:D, A182, SALES!H:H) + SUMIFS('STOCK IN  TRANSFER'!G:G, 'STOCK IN  TRANSFER'!D:D, A182, 'STOCK IN  TRANSFER'!F:F, "TRANSFER") + SUMIFS('STOCK IN  TRANSFER'!G:G, 'STOCK IN  TRANSFER'!D:D, A182, 'STOCK IN  TRANSFER'!F:F, "ADJUSTMENT (-)")</f>
        <v>0</v>
      </c>
      <c r="G182" s="52">
        <f>SUMIFS('STOCK IN  TRANSFER'!G:G, 'STOCK IN  TRANSFER'!D:D, A182, 'STOCK IN  TRANSFER'!F:F, "STOCK IN") + SUMIFS('STOCK IN  TRANSFER'!G:G, 'STOCK IN  TRANSFER'!D:D, A182, 'STOCK IN  TRANSFER'!F:F, "ADJUSTMENT (+)")</f>
        <v>0</v>
      </c>
    </row>
    <row r="183" ht="22.5" customHeight="1">
      <c r="A183" s="13" t="str">
        <f>IFERROR(__xludf.DUMMYFUNCTION("""COMPUTED_VALUE"""),"DCABSG-15L")</f>
        <v>DCABSG-15L</v>
      </c>
      <c r="B183" s="13" t="str">
        <f>IFERROR(__xludf.DUMMYFUNCTION("""COMPUTED_VALUE"""),"NIPPON DOU CLASSIC ACCENT BASE SEMI-GLOSS 15L")</f>
        <v>NIPPON DOU CLASSIC ACCENT BASE SEMI-GLOSS 15L</v>
      </c>
      <c r="C183" s="16"/>
      <c r="D183" s="13" t="str">
        <f>IFERROR(__xludf.DUMMYFUNCTION("""COMPUTED_VALUE"""),"PAIL")</f>
        <v>PAIL</v>
      </c>
      <c r="E183" s="28">
        <f>IFERROR(__xludf.DUMMYFUNCTION("""COMPUTED_VALUE"""),0.0)</f>
        <v>0</v>
      </c>
      <c r="F183" s="52">
        <f>SUMIF(SALES!D:D, A183, SALES!H:H) + SUMIFS('STOCK IN  TRANSFER'!G:G, 'STOCK IN  TRANSFER'!D:D, A183, 'STOCK IN  TRANSFER'!F:F, "TRANSFER") + SUMIFS('STOCK IN  TRANSFER'!G:G, 'STOCK IN  TRANSFER'!D:D, A183, 'STOCK IN  TRANSFER'!F:F, "ADJUSTMENT (-)")</f>
        <v>0</v>
      </c>
      <c r="G183" s="52">
        <f>SUMIFS('STOCK IN  TRANSFER'!G:G, 'STOCK IN  TRANSFER'!D:D, A183, 'STOCK IN  TRANSFER'!F:F, "STOCK IN") + SUMIFS('STOCK IN  TRANSFER'!G:G, 'STOCK IN  TRANSFER'!D:D, A183, 'STOCK IN  TRANSFER'!F:F, "ADJUSTMENT (+)")</f>
        <v>0</v>
      </c>
    </row>
    <row r="184" ht="22.5" customHeight="1">
      <c r="A184" s="13" t="str">
        <f>IFERROR(__xludf.DUMMYFUNCTION("""COMPUTED_VALUE"""),"NCGVARNISH-LTR")</f>
        <v>NCGVARNISH-LTR</v>
      </c>
      <c r="B184" s="13" t="str">
        <f>IFERROR(__xludf.DUMMYFUNCTION("""COMPUTED_VALUE"""),"NIPPON CLEAR GLOSS VARNISH LITER")</f>
        <v>NIPPON CLEAR GLOSS VARNISH LITER</v>
      </c>
      <c r="C184" s="16">
        <f>IFERROR(__xludf.DUMMYFUNCTION("""COMPUTED_VALUE"""),449.0)</f>
        <v>449</v>
      </c>
      <c r="D184" s="13" t="str">
        <f>IFERROR(__xludf.DUMMYFUNCTION("""COMPUTED_VALUE"""),"LTR")</f>
        <v>LTR</v>
      </c>
      <c r="E184" s="28">
        <f>IFERROR(__xludf.DUMMYFUNCTION("""COMPUTED_VALUE"""),1.0)</f>
        <v>1</v>
      </c>
      <c r="F184" s="52">
        <f>SUMIF(SALES!D:D, A184, SALES!H:H) + SUMIFS('STOCK IN  TRANSFER'!G:G, 'STOCK IN  TRANSFER'!D:D, A184, 'STOCK IN  TRANSFER'!F:F, "TRANSFER") + SUMIFS('STOCK IN  TRANSFER'!G:G, 'STOCK IN  TRANSFER'!D:D, A184, 'STOCK IN  TRANSFER'!F:F, "ADJUSTMENT (-)")</f>
        <v>2</v>
      </c>
      <c r="G184" s="52">
        <f>SUMIFS('STOCK IN  TRANSFER'!G:G, 'STOCK IN  TRANSFER'!D:D, A184, 'STOCK IN  TRANSFER'!F:F, "STOCK IN") + SUMIFS('STOCK IN  TRANSFER'!G:G, 'STOCK IN  TRANSFER'!D:D, A184, 'STOCK IN  TRANSFER'!F:F, "ADJUSTMENT (+)")</f>
        <v>3</v>
      </c>
    </row>
    <row r="185" ht="22.5" customHeight="1">
      <c r="A185" s="13" t="str">
        <f>IFERROR(__xludf.DUMMYFUNCTION("""COMPUTED_VALUE"""),"NCGVARNISH-GAL")</f>
        <v>NCGVARNISH-GAL</v>
      </c>
      <c r="B185" s="13" t="str">
        <f>IFERROR(__xludf.DUMMYFUNCTION("""COMPUTED_VALUE"""),"NIPPON CLEAR GLOSS VARNISH GAL")</f>
        <v>NIPPON CLEAR GLOSS VARNISH GAL</v>
      </c>
      <c r="C185" s="16">
        <f>IFERROR(__xludf.DUMMYFUNCTION("""COMPUTED_VALUE"""),1460.0)</f>
        <v>1460</v>
      </c>
      <c r="D185" s="13" t="str">
        <f>IFERROR(__xludf.DUMMYFUNCTION("""COMPUTED_VALUE"""),"GAL")</f>
        <v>GAL</v>
      </c>
      <c r="E185" s="28">
        <f>IFERROR(__xludf.DUMMYFUNCTION("""COMPUTED_VALUE"""),4.0)</f>
        <v>4</v>
      </c>
      <c r="F185" s="52">
        <f>SUMIF(SALES!D:D, A185, SALES!H:H) + SUMIFS('STOCK IN  TRANSFER'!G:G, 'STOCK IN  TRANSFER'!D:D, A185, 'STOCK IN  TRANSFER'!F:F, "TRANSFER") + SUMIFS('STOCK IN  TRANSFER'!G:G, 'STOCK IN  TRANSFER'!D:D, A185, 'STOCK IN  TRANSFER'!F:F, "ADJUSTMENT (-)")</f>
        <v>1</v>
      </c>
      <c r="G185" s="52">
        <f>SUMIFS('STOCK IN  TRANSFER'!G:G, 'STOCK IN  TRANSFER'!D:D, A185, 'STOCK IN  TRANSFER'!F:F, "STOCK IN") + SUMIFS('STOCK IN  TRANSFER'!G:G, 'STOCK IN  TRANSFER'!D:D, A185, 'STOCK IN  TRANSFER'!F:F, "ADJUSTMENT (+)")</f>
        <v>5</v>
      </c>
    </row>
    <row r="186" ht="22.5" customHeight="1">
      <c r="A186" s="13" t="str">
        <f>IFERROR(__xludf.DUMMYFUNCTION("""COMPUTED_VALUE"""),"NCGL-4L")</f>
        <v>NCGL-4L</v>
      </c>
      <c r="B186" s="13" t="str">
        <f>IFERROR(__xludf.DUMMYFUNCTION("""COMPUTED_VALUE"""),"NIPPON CLEAR GLOSS LACQUER 4L")</f>
        <v>NIPPON CLEAR GLOSS LACQUER 4L</v>
      </c>
      <c r="C186" s="16">
        <f>IFERROR(__xludf.DUMMYFUNCTION("""COMPUTED_VALUE"""),660.0)</f>
        <v>660</v>
      </c>
      <c r="D186" s="13" t="str">
        <f>IFERROR(__xludf.DUMMYFUNCTION("""COMPUTED_VALUE"""),"GAL")</f>
        <v>GAL</v>
      </c>
      <c r="E186" s="28">
        <f>IFERROR(__xludf.DUMMYFUNCTION("""COMPUTED_VALUE"""),4.0)</f>
        <v>4</v>
      </c>
      <c r="F186" s="52">
        <f>SUMIF(SALES!D:D, A186, SALES!H:H) + SUMIFS('STOCK IN  TRANSFER'!G:G, 'STOCK IN  TRANSFER'!D:D, A186, 'STOCK IN  TRANSFER'!F:F, "TRANSFER") + SUMIFS('STOCK IN  TRANSFER'!G:G, 'STOCK IN  TRANSFER'!D:D, A186, 'STOCK IN  TRANSFER'!F:F, "ADJUSTMENT (-)")</f>
        <v>0</v>
      </c>
      <c r="G186" s="52">
        <f>SUMIFS('STOCK IN  TRANSFER'!G:G, 'STOCK IN  TRANSFER'!D:D, A186, 'STOCK IN  TRANSFER'!F:F, "STOCK IN") + SUMIFS('STOCK IN  TRANSFER'!G:G, 'STOCK IN  TRANSFER'!D:D, A186, 'STOCK IN  TRANSFER'!F:F, "ADJUSTMENT (+)")</f>
        <v>4</v>
      </c>
    </row>
    <row r="187" ht="22.5" customHeight="1">
      <c r="A187" s="13" t="str">
        <f>IFERROR(__xludf.DUMMYFUNCTION("""COMPUTED_VALUE"""),"NAS-5G")</f>
        <v>NAS-5G</v>
      </c>
      <c r="B187" s="13" t="str">
        <f>IFERROR(__xludf.DUMMYFUNCTION("""COMPUTED_VALUE"""),"NIPPON ACRYLIC SKIMCOAT 5KG")</f>
        <v>NIPPON ACRYLIC SKIMCOAT 5KG</v>
      </c>
      <c r="C187" s="16">
        <f>IFERROR(__xludf.DUMMYFUNCTION("""COMPUTED_VALUE"""),402.0)</f>
        <v>402</v>
      </c>
      <c r="D187" s="13" t="str">
        <f>IFERROR(__xludf.DUMMYFUNCTION("""COMPUTED_VALUE"""),"5KG")</f>
        <v>5KG</v>
      </c>
      <c r="E187" s="28">
        <f>IFERROR(__xludf.DUMMYFUNCTION("""COMPUTED_VALUE"""),7.0)</f>
        <v>7</v>
      </c>
      <c r="F187" s="52">
        <f>SUMIF(SALES!D:D, A187, SALES!H:H) + SUMIFS('STOCK IN  TRANSFER'!G:G, 'STOCK IN  TRANSFER'!D:D, A187, 'STOCK IN  TRANSFER'!F:F, "TRANSFER") + SUMIFS('STOCK IN  TRANSFER'!G:G, 'STOCK IN  TRANSFER'!D:D, A187, 'STOCK IN  TRANSFER'!F:F, "ADJUSTMENT (-)")</f>
        <v>0</v>
      </c>
      <c r="G187" s="52">
        <f>SUMIFS('STOCK IN  TRANSFER'!G:G, 'STOCK IN  TRANSFER'!D:D, A187, 'STOCK IN  TRANSFER'!F:F, "STOCK IN") + SUMIFS('STOCK IN  TRANSFER'!G:G, 'STOCK IN  TRANSFER'!D:D, A187, 'STOCK IN  TRANSFER'!F:F, "ADJUSTMENT (+)")</f>
        <v>7</v>
      </c>
    </row>
    <row r="188" ht="22.5" customHeight="1">
      <c r="A188" s="13" t="str">
        <f>IFERROR(__xludf.DUMMYFUNCTION("""COMPUTED_VALUE"""),"NAS535")</f>
        <v>NAS535</v>
      </c>
      <c r="B188" s="13" t="str">
        <f>IFERROR(__xludf.DUMMYFUNCTION("""COMPUTED_VALUE"""),"NIPPON ACRYLIC GLOSS THINNER 4L")</f>
        <v>NIPPON ACRYLIC GLOSS THINNER 4L</v>
      </c>
      <c r="C188" s="16">
        <f>IFERROR(__xludf.DUMMYFUNCTION("""COMPUTED_VALUE"""),450.0)</f>
        <v>450</v>
      </c>
      <c r="D188" s="13" t="str">
        <f>IFERROR(__xludf.DUMMYFUNCTION("""COMPUTED_VALUE"""),"GAL/S")</f>
        <v>GAL/S</v>
      </c>
      <c r="E188" s="28">
        <f>IFERROR(__xludf.DUMMYFUNCTION("""COMPUTED_VALUE"""),13.0)</f>
        <v>13</v>
      </c>
      <c r="F188" s="52">
        <f>SUMIF(SALES!D:D, A188, SALES!H:H) + SUMIFS('STOCK IN  TRANSFER'!G:G, 'STOCK IN  TRANSFER'!D:D, A188, 'STOCK IN  TRANSFER'!F:F, "TRANSFER") + SUMIFS('STOCK IN  TRANSFER'!G:G, 'STOCK IN  TRANSFER'!D:D, A188, 'STOCK IN  TRANSFER'!F:F, "ADJUSTMENT (-)")</f>
        <v>11</v>
      </c>
      <c r="G188" s="52">
        <f>SUMIFS('STOCK IN  TRANSFER'!G:G, 'STOCK IN  TRANSFER'!D:D, A188, 'STOCK IN  TRANSFER'!F:F, "STOCK IN") + SUMIFS('STOCK IN  TRANSFER'!G:G, 'STOCK IN  TRANSFER'!D:D, A188, 'STOCK IN  TRANSFER'!F:F, "ADJUSTMENT (+)")</f>
        <v>24</v>
      </c>
    </row>
    <row r="189" ht="22.5" customHeight="1">
      <c r="A189" s="13" t="str">
        <f>IFERROR(__xludf.DUMMYFUNCTION("""COMPUTED_VALUE"""),"PNB-1L")</f>
        <v>PNB-1L</v>
      </c>
      <c r="B189" s="13" t="str">
        <f>IFERROR(__xludf.DUMMYFUNCTION("""COMPUTED_VALUE"""),"NIPPON 2K BINDER 1L")</f>
        <v>NIPPON 2K BINDER 1L</v>
      </c>
      <c r="C189" s="16">
        <f>IFERROR(__xludf.DUMMYFUNCTION("""COMPUTED_VALUE"""),900.0)</f>
        <v>900</v>
      </c>
      <c r="D189" s="13" t="str">
        <f>IFERROR(__xludf.DUMMYFUNCTION("""COMPUTED_VALUE"""),"LITER")</f>
        <v>LITER</v>
      </c>
      <c r="E189" s="28">
        <f>IFERROR(__xludf.DUMMYFUNCTION("""COMPUTED_VALUE"""),0.0)</f>
        <v>0</v>
      </c>
      <c r="F189" s="52">
        <f>SUMIF(SALES!D:D, A189, SALES!H:H) + SUMIFS('STOCK IN  TRANSFER'!G:G, 'STOCK IN  TRANSFER'!D:D, A189, 'STOCK IN  TRANSFER'!F:F, "TRANSFER") + SUMIFS('STOCK IN  TRANSFER'!G:G, 'STOCK IN  TRANSFER'!D:D, A189, 'STOCK IN  TRANSFER'!F:F, "ADJUSTMENT (-)")</f>
        <v>0</v>
      </c>
      <c r="G189" s="52">
        <f>SUMIFS('STOCK IN  TRANSFER'!G:G, 'STOCK IN  TRANSFER'!D:D, A189, 'STOCK IN  TRANSFER'!F:F, "STOCK IN") + SUMIFS('STOCK IN  TRANSFER'!G:G, 'STOCK IN  TRANSFER'!D:D, A189, 'STOCK IN  TRANSFER'!F:F, "ADJUSTMENT (+)")</f>
        <v>0</v>
      </c>
    </row>
    <row r="190" ht="22.5" customHeight="1">
      <c r="A190" s="13" t="str">
        <f>IFERROR(__xludf.DUMMYFUNCTION("""COMPUTED_VALUE"""),"NPA1487")</f>
        <v>NPA1487</v>
      </c>
      <c r="B190" s="13" t="str">
        <f>IFERROR(__xludf.DUMMYFUNCTION("""COMPUTED_VALUE"""),"NIPPELAC ACE THALO GREEN 4L")</f>
        <v>NIPPELAC ACE THALO GREEN 4L</v>
      </c>
      <c r="C190" s="16">
        <f>IFERROR(__xludf.DUMMYFUNCTION("""COMPUTED_VALUE"""),1215.0)</f>
        <v>1215</v>
      </c>
      <c r="D190" s="13" t="str">
        <f>IFERROR(__xludf.DUMMYFUNCTION("""COMPUTED_VALUE"""),"GAL")</f>
        <v>GAL</v>
      </c>
      <c r="E190" s="28">
        <f>IFERROR(__xludf.DUMMYFUNCTION("""COMPUTED_VALUE"""),6.0)</f>
        <v>6</v>
      </c>
      <c r="F190" s="52">
        <f>SUMIF(SALES!D:D, A190, SALES!H:H) + SUMIFS('STOCK IN  TRANSFER'!G:G, 'STOCK IN  TRANSFER'!D:D, A190, 'STOCK IN  TRANSFER'!F:F, "TRANSFER") + SUMIFS('STOCK IN  TRANSFER'!G:G, 'STOCK IN  TRANSFER'!D:D, A190, 'STOCK IN  TRANSFER'!F:F, "ADJUSTMENT (-)")</f>
        <v>0</v>
      </c>
      <c r="G190" s="52">
        <f>SUMIFS('STOCK IN  TRANSFER'!G:G, 'STOCK IN  TRANSFER'!D:D, A190, 'STOCK IN  TRANSFER'!F:F, "STOCK IN") + SUMIFS('STOCK IN  TRANSFER'!G:G, 'STOCK IN  TRANSFER'!D:D, A190, 'STOCK IN  TRANSFER'!F:F, "ADJUSTMENT (+)")</f>
        <v>6</v>
      </c>
    </row>
    <row r="191" ht="22.5" customHeight="1">
      <c r="A191" s="13" t="str">
        <f>IFERROR(__xludf.DUMMYFUNCTION("""COMPUTED_VALUE"""),"NPA1131")</f>
        <v>NPA1131</v>
      </c>
      <c r="B191" s="13" t="str">
        <f>IFERROR(__xludf.DUMMYFUNCTION("""COMPUTED_VALUE"""),"NIPPELAC ACE RED TRIPPLE 8 4L")</f>
        <v>NIPPELAC ACE RED TRIPPLE 8 4L</v>
      </c>
      <c r="C191" s="16">
        <f>IFERROR(__xludf.DUMMYFUNCTION("""COMPUTED_VALUE"""),1850.0)</f>
        <v>1850</v>
      </c>
      <c r="D191" s="13" t="str">
        <f>IFERROR(__xludf.DUMMYFUNCTION("""COMPUTED_VALUE"""),"GAL")</f>
        <v>GAL</v>
      </c>
      <c r="E191" s="28">
        <f>IFERROR(__xludf.DUMMYFUNCTION("""COMPUTED_VALUE"""),8.0)</f>
        <v>8</v>
      </c>
      <c r="F191" s="52">
        <f>SUMIF(SALES!D:D, A191, SALES!H:H) + SUMIFS('STOCK IN  TRANSFER'!G:G, 'STOCK IN  TRANSFER'!D:D, A191, 'STOCK IN  TRANSFER'!F:F, "TRANSFER") + SUMIFS('STOCK IN  TRANSFER'!G:G, 'STOCK IN  TRANSFER'!D:D, A191, 'STOCK IN  TRANSFER'!F:F, "ADJUSTMENT (-)")</f>
        <v>0</v>
      </c>
      <c r="G191" s="52">
        <f>SUMIFS('STOCK IN  TRANSFER'!G:G, 'STOCK IN  TRANSFER'!D:D, A191, 'STOCK IN  TRANSFER'!F:F, "STOCK IN") + SUMIFS('STOCK IN  TRANSFER'!G:G, 'STOCK IN  TRANSFER'!D:D, A191, 'STOCK IN  TRANSFER'!F:F, "ADJUSTMENT (+)")</f>
        <v>8</v>
      </c>
    </row>
    <row r="192" ht="22.5" customHeight="1">
      <c r="A192" s="13" t="str">
        <f>IFERROR(__xludf.DUMMYFUNCTION("""COMPUTED_VALUE"""),"NPA1177")</f>
        <v>NPA1177</v>
      </c>
      <c r="B192" s="13" t="str">
        <f>IFERROR(__xludf.DUMMYFUNCTION("""COMPUTED_VALUE"""),"NIPPELAC ACE PERMANENT MAROON 4L")</f>
        <v>NIPPELAC ACE PERMANENT MAROON 4L</v>
      </c>
      <c r="C192" s="16">
        <f>IFERROR(__xludf.DUMMYFUNCTION("""COMPUTED_VALUE"""),0.0)</f>
        <v>0</v>
      </c>
      <c r="D192" s="13" t="str">
        <f>IFERROR(__xludf.DUMMYFUNCTION("""COMPUTED_VALUE"""),"GAL")</f>
        <v>GAL</v>
      </c>
      <c r="E192" s="28">
        <f>IFERROR(__xludf.DUMMYFUNCTION("""COMPUTED_VALUE"""),0.0)</f>
        <v>0</v>
      </c>
      <c r="F192" s="52">
        <f>SUMIF(SALES!D:D, A192, SALES!H:H) + SUMIFS('STOCK IN  TRANSFER'!G:G, 'STOCK IN  TRANSFER'!D:D, A192, 'STOCK IN  TRANSFER'!F:F, "TRANSFER") + SUMIFS('STOCK IN  TRANSFER'!G:G, 'STOCK IN  TRANSFER'!D:D, A192, 'STOCK IN  TRANSFER'!F:F, "ADJUSTMENT (-)")</f>
        <v>0</v>
      </c>
      <c r="G192" s="52">
        <f>SUMIFS('STOCK IN  TRANSFER'!G:G, 'STOCK IN  TRANSFER'!D:D, A192, 'STOCK IN  TRANSFER'!F:F, "STOCK IN") + SUMIFS('STOCK IN  TRANSFER'!G:G, 'STOCK IN  TRANSFER'!D:D, A192, 'STOCK IN  TRANSFER'!F:F, "ADJUSTMENT (+)")</f>
        <v>0</v>
      </c>
    </row>
    <row r="193" ht="22.5" customHeight="1">
      <c r="A193" s="13" t="str">
        <f>IFERROR(__xludf.DUMMYFUNCTION("""COMPUTED_VALUE"""),"NPA1372")</f>
        <v>NPA1372</v>
      </c>
      <c r="B193" s="13" t="str">
        <f>IFERROR(__xludf.DUMMYFUNCTION("""COMPUTED_VALUE"""),"NIPPELAC ACE LEMON YELLOW 4L")</f>
        <v>NIPPELAC ACE LEMON YELLOW 4L</v>
      </c>
      <c r="C193" s="16">
        <f>IFERROR(__xludf.DUMMYFUNCTION("""COMPUTED_VALUE"""),1120.0)</f>
        <v>1120</v>
      </c>
      <c r="D193" s="13" t="str">
        <f>IFERROR(__xludf.DUMMYFUNCTION("""COMPUTED_VALUE"""),"GAL")</f>
        <v>GAL</v>
      </c>
      <c r="E193" s="28">
        <f>IFERROR(__xludf.DUMMYFUNCTION("""COMPUTED_VALUE"""),4.0)</f>
        <v>4</v>
      </c>
      <c r="F193" s="52">
        <f>SUMIF(SALES!D:D, A193, SALES!H:H) + SUMIFS('STOCK IN  TRANSFER'!G:G, 'STOCK IN  TRANSFER'!D:D, A193, 'STOCK IN  TRANSFER'!F:F, "TRANSFER") + SUMIFS('STOCK IN  TRANSFER'!G:G, 'STOCK IN  TRANSFER'!D:D, A193, 'STOCK IN  TRANSFER'!F:F, "ADJUSTMENT (-)")</f>
        <v>2</v>
      </c>
      <c r="G193" s="52">
        <f>SUMIFS('STOCK IN  TRANSFER'!G:G, 'STOCK IN  TRANSFER'!D:D, A193, 'STOCK IN  TRANSFER'!F:F, "STOCK IN") + SUMIFS('STOCK IN  TRANSFER'!G:G, 'STOCK IN  TRANSFER'!D:D, A193, 'STOCK IN  TRANSFER'!F:F, "ADJUSTMENT (+)")</f>
        <v>6</v>
      </c>
    </row>
    <row r="194" ht="22.5" customHeight="1">
      <c r="A194" s="13" t="str">
        <f>IFERROR(__xludf.DUMMYFUNCTION("""COMPUTED_VALUE"""),"NPA1983")</f>
        <v>NPA1983</v>
      </c>
      <c r="B194" s="13" t="str">
        <f>IFERROR(__xludf.DUMMYFUNCTION("""COMPUTED_VALUE"""),"NIPPELAC ACE JET BLACK 4L")</f>
        <v>NIPPELAC ACE JET BLACK 4L</v>
      </c>
      <c r="C194" s="16">
        <f>IFERROR(__xludf.DUMMYFUNCTION("""COMPUTED_VALUE"""),1050.0)</f>
        <v>1050</v>
      </c>
      <c r="D194" s="13" t="str">
        <f>IFERROR(__xludf.DUMMYFUNCTION("""COMPUTED_VALUE"""),"GAL")</f>
        <v>GAL</v>
      </c>
      <c r="E194" s="28">
        <f>IFERROR(__xludf.DUMMYFUNCTION("""COMPUTED_VALUE"""),2.0)</f>
        <v>2</v>
      </c>
      <c r="F194" s="52">
        <f>SUMIF(SALES!D:D, A194, SALES!H:H) + SUMIFS('STOCK IN  TRANSFER'!G:G, 'STOCK IN  TRANSFER'!D:D, A194, 'STOCK IN  TRANSFER'!F:F, "TRANSFER") + SUMIFS('STOCK IN  TRANSFER'!G:G, 'STOCK IN  TRANSFER'!D:D, A194, 'STOCK IN  TRANSFER'!F:F, "ADJUSTMENT (-)")</f>
        <v>7</v>
      </c>
      <c r="G194" s="52">
        <f>SUMIFS('STOCK IN  TRANSFER'!G:G, 'STOCK IN  TRANSFER'!D:D, A194, 'STOCK IN  TRANSFER'!F:F, "STOCK IN") + SUMIFS('STOCK IN  TRANSFER'!G:G, 'STOCK IN  TRANSFER'!D:D, A194, 'STOCK IN  TRANSFER'!F:F, "ADJUSTMENT (+)")</f>
        <v>9</v>
      </c>
    </row>
    <row r="195" ht="22.5" customHeight="1">
      <c r="A195" s="13" t="str">
        <f>IFERROR(__xludf.DUMMYFUNCTION("""COMPUTED_VALUE"""),"NPA4021")</f>
        <v>NPA4021</v>
      </c>
      <c r="B195" s="13" t="str">
        <f>IFERROR(__xludf.DUMMYFUNCTION("""COMPUTED_VALUE"""),"NIPPELAC ACE BRIGHT WHITE 4L")</f>
        <v>NIPPELAC ACE BRIGHT WHITE 4L</v>
      </c>
      <c r="C195" s="16">
        <f>IFERROR(__xludf.DUMMYFUNCTION("""COMPUTED_VALUE"""),1000.0)</f>
        <v>1000</v>
      </c>
      <c r="D195" s="13" t="str">
        <f>IFERROR(__xludf.DUMMYFUNCTION("""COMPUTED_VALUE"""),"GAL")</f>
        <v>GAL</v>
      </c>
      <c r="E195" s="28">
        <f>IFERROR(__xludf.DUMMYFUNCTION("""COMPUTED_VALUE"""),12.0)</f>
        <v>12</v>
      </c>
      <c r="F195" s="52">
        <f>SUMIF(SALES!D:D, A195, SALES!H:H) + SUMIFS('STOCK IN  TRANSFER'!G:G, 'STOCK IN  TRANSFER'!D:D, A195, 'STOCK IN  TRANSFER'!F:F, "TRANSFER") + SUMIFS('STOCK IN  TRANSFER'!G:G, 'STOCK IN  TRANSFER'!D:D, A195, 'STOCK IN  TRANSFER'!F:F, "ADJUSTMENT (-)")</f>
        <v>0</v>
      </c>
      <c r="G195" s="52">
        <f>SUMIFS('STOCK IN  TRANSFER'!G:G, 'STOCK IN  TRANSFER'!D:D, A195, 'STOCK IN  TRANSFER'!F:F, "STOCK IN") + SUMIFS('STOCK IN  TRANSFER'!G:G, 'STOCK IN  TRANSFER'!D:D, A195, 'STOCK IN  TRANSFER'!F:F, "ADJUSTMENT (+)")</f>
        <v>12</v>
      </c>
    </row>
    <row r="196" ht="22.5" customHeight="1">
      <c r="A196" s="13" t="str">
        <f>IFERROR(__xludf.DUMMYFUNCTION("""COMPUTED_VALUE"""),"SOD145")</f>
        <v>SOD145</v>
      </c>
      <c r="B196" s="13" t="str">
        <f>IFERROR(__xludf.DUMMYFUNCTION("""COMPUTED_VALUE"""),"NAX SOD145 SOLVENT NAPTHA/DEGREASER 4L")</f>
        <v>NAX SOD145 SOLVENT NAPTHA/DEGREASER 4L</v>
      </c>
      <c r="C196" s="16">
        <f>IFERROR(__xludf.DUMMYFUNCTION("""COMPUTED_VALUE"""),445.0)</f>
        <v>445</v>
      </c>
      <c r="D196" s="13" t="str">
        <f>IFERROR(__xludf.DUMMYFUNCTION("""COMPUTED_VALUE"""),"GAL")</f>
        <v>GAL</v>
      </c>
      <c r="E196" s="28">
        <f>IFERROR(__xludf.DUMMYFUNCTION("""COMPUTED_VALUE"""),2.7575000000000003)</f>
        <v>2.7575</v>
      </c>
      <c r="F196" s="52">
        <f>SUMIF(SALES!D:D, A196, SALES!H:H) + SUMIFS('STOCK IN  TRANSFER'!G:G, 'STOCK IN  TRANSFER'!D:D, A196, 'STOCK IN  TRANSFER'!F:F, "TRANSFER") + SUMIFS('STOCK IN  TRANSFER'!G:G, 'STOCK IN  TRANSFER'!D:D, A196, 'STOCK IN  TRANSFER'!F:F, "ADJUSTMENT (-)")</f>
        <v>8.7425</v>
      </c>
      <c r="G196" s="52">
        <f>SUMIFS('STOCK IN  TRANSFER'!G:G, 'STOCK IN  TRANSFER'!D:D, A196, 'STOCK IN  TRANSFER'!F:F, "STOCK IN") + SUMIFS('STOCK IN  TRANSFER'!G:G, 'STOCK IN  TRANSFER'!D:D, A196, 'STOCK IN  TRANSFER'!F:F, "ADJUSTMENT (+)")</f>
        <v>11.5</v>
      </c>
    </row>
    <row r="197" ht="22.5" customHeight="1">
      <c r="A197" s="13" t="str">
        <f>IFERROR(__xludf.DUMMYFUNCTION("""COMPUTED_VALUE"""),"SOB745")</f>
        <v>SOB745</v>
      </c>
      <c r="B197" s="13" t="str">
        <f>IFERROR(__xludf.DUMMYFUNCTION("""COMPUTED_VALUE"""),"NAX SOB745 BLENDING THINNER 4L")</f>
        <v>NAX SOB745 BLENDING THINNER 4L</v>
      </c>
      <c r="C197" s="16">
        <f>IFERROR(__xludf.DUMMYFUNCTION("""COMPUTED_VALUE"""),786.0)</f>
        <v>786</v>
      </c>
      <c r="D197" s="13" t="str">
        <f>IFERROR(__xludf.DUMMYFUNCTION("""COMPUTED_VALUE"""),"GAL")</f>
        <v>GAL</v>
      </c>
      <c r="E197" s="28">
        <f>IFERROR(__xludf.DUMMYFUNCTION("""COMPUTED_VALUE"""),5.15)</f>
        <v>5.15</v>
      </c>
      <c r="F197" s="52">
        <f>SUMIF(SALES!D:D, A197, SALES!H:H) + SUMIFS('STOCK IN  TRANSFER'!G:G, 'STOCK IN  TRANSFER'!D:D, A197, 'STOCK IN  TRANSFER'!F:F, "TRANSFER") + SUMIFS('STOCK IN  TRANSFER'!G:G, 'STOCK IN  TRANSFER'!D:D, A197, 'STOCK IN  TRANSFER'!F:F, "ADJUSTMENT (-)")</f>
        <v>0.75</v>
      </c>
      <c r="G197" s="52">
        <f>SUMIFS('STOCK IN  TRANSFER'!G:G, 'STOCK IN  TRANSFER'!D:D, A197, 'STOCK IN  TRANSFER'!F:F, "STOCK IN") + SUMIFS('STOCK IN  TRANSFER'!G:G, 'STOCK IN  TRANSFER'!D:D, A197, 'STOCK IN  TRANSFER'!F:F, "ADJUSTMENT (+)")</f>
        <v>5.9</v>
      </c>
    </row>
    <row r="198" ht="22.5" customHeight="1">
      <c r="A198" s="13" t="str">
        <f>IFERROR(__xludf.DUMMYFUNCTION("""COMPUTED_VALUE"""),"NP9700")</f>
        <v>NP9700</v>
      </c>
      <c r="B198" s="13" t="str">
        <f>IFERROR(__xludf.DUMMYFUNCTION("""COMPUTED_VALUE"""),"NAX PREMILA NP9700 HS 2K CLEAR WITH HARDENER 1L")</f>
        <v>NAX PREMILA NP9700 HS 2K CLEAR WITH HARDENER 1L</v>
      </c>
      <c r="C198" s="16">
        <f>IFERROR(__xludf.DUMMYFUNCTION("""COMPUTED_VALUE"""),1030.0)</f>
        <v>1030</v>
      </c>
      <c r="D198" s="13" t="str">
        <f>IFERROR(__xludf.DUMMYFUNCTION("""COMPUTED_VALUE"""),"LITER")</f>
        <v>LITER</v>
      </c>
      <c r="E198" s="28">
        <f>IFERROR(__xludf.DUMMYFUNCTION("""COMPUTED_VALUE"""),9.0)</f>
        <v>9</v>
      </c>
      <c r="F198" s="52">
        <f>SUMIF(SALES!D:D, A198, SALES!H:H) + SUMIFS('STOCK IN  TRANSFER'!G:G, 'STOCK IN  TRANSFER'!D:D, A198, 'STOCK IN  TRANSFER'!F:F, "TRANSFER") + SUMIFS('STOCK IN  TRANSFER'!G:G, 'STOCK IN  TRANSFER'!D:D, A198, 'STOCK IN  TRANSFER'!F:F, "ADJUSTMENT (-)")</f>
        <v>11</v>
      </c>
      <c r="G198" s="52">
        <f>SUMIFS('STOCK IN  TRANSFER'!G:G, 'STOCK IN  TRANSFER'!D:D, A198, 'STOCK IN  TRANSFER'!F:F, "STOCK IN") + SUMIFS('STOCK IN  TRANSFER'!G:G, 'STOCK IN  TRANSFER'!D:D, A198, 'STOCK IN  TRANSFER'!F:F, "ADJUSTMENT (+)")</f>
        <v>20</v>
      </c>
    </row>
    <row r="199" ht="22.5" customHeight="1">
      <c r="A199" s="13" t="str">
        <f>IFERROR(__xludf.DUMMYFUNCTION("""COMPUTED_VALUE"""),"NP9200")</f>
        <v>NP9200</v>
      </c>
      <c r="B199" s="13" t="str">
        <f>IFERROR(__xludf.DUMMYFUNCTION("""COMPUTED_VALUE"""),"NAX PREMILA NP9200 2K CLEAR WITH HARDENER 1L")</f>
        <v>NAX PREMILA NP9200 2K CLEAR WITH HARDENER 1L</v>
      </c>
      <c r="C199" s="16">
        <f>IFERROR(__xludf.DUMMYFUNCTION("""COMPUTED_VALUE"""),871.0)</f>
        <v>871</v>
      </c>
      <c r="D199" s="13" t="str">
        <f>IFERROR(__xludf.DUMMYFUNCTION("""COMPUTED_VALUE"""),"LITER")</f>
        <v>LITER</v>
      </c>
      <c r="E199" s="28">
        <f>IFERROR(__xludf.DUMMYFUNCTION("""COMPUTED_VALUE"""),10.0)</f>
        <v>10</v>
      </c>
      <c r="F199" s="52">
        <f>SUMIF(SALES!D:D, A199, SALES!H:H) + SUMIFS('STOCK IN  TRANSFER'!G:G, 'STOCK IN  TRANSFER'!D:D, A199, 'STOCK IN  TRANSFER'!F:F, "TRANSFER") + SUMIFS('STOCK IN  TRANSFER'!G:G, 'STOCK IN  TRANSFER'!D:D, A199, 'STOCK IN  TRANSFER'!F:F, "ADJUSTMENT (-)")</f>
        <v>36.5</v>
      </c>
      <c r="G199" s="52">
        <f>SUMIFS('STOCK IN  TRANSFER'!G:G, 'STOCK IN  TRANSFER'!D:D, A199, 'STOCK IN  TRANSFER'!F:F, "STOCK IN") + SUMIFS('STOCK IN  TRANSFER'!G:G, 'STOCK IN  TRANSFER'!D:D, A199, 'STOCK IN  TRANSFER'!F:F, "ADJUSTMENT (+)")</f>
        <v>46.5</v>
      </c>
    </row>
    <row r="200" ht="22.5" customHeight="1">
      <c r="A200" s="13" t="str">
        <f>IFERROR(__xludf.DUMMYFUNCTION("""COMPUTED_VALUE"""),"NB200")</f>
        <v>NB200</v>
      </c>
      <c r="B200" s="13" t="str">
        <f>IFERROR(__xludf.DUMMYFUNCTION("""COMPUTED_VALUE"""),"NAX PREMILA NB200 BINDER")</f>
        <v>NAX PREMILA NB200 BINDER</v>
      </c>
      <c r="C200" s="16">
        <f>IFERROR(__xludf.DUMMYFUNCTION("""COMPUTED_VALUE"""),2100.0)</f>
        <v>2100</v>
      </c>
      <c r="D200" s="13" t="str">
        <f>IFERROR(__xludf.DUMMYFUNCTION("""COMPUTED_VALUE"""),"GAL")</f>
        <v>GAL</v>
      </c>
      <c r="E200" s="28">
        <f>IFERROR(__xludf.DUMMYFUNCTION("""COMPUTED_VALUE"""),1.0)</f>
        <v>1</v>
      </c>
      <c r="F200" s="52">
        <f>SUMIF(SALES!D:D, A200, SALES!H:H) + SUMIFS('STOCK IN  TRANSFER'!G:G, 'STOCK IN  TRANSFER'!D:D, A200, 'STOCK IN  TRANSFER'!F:F, "TRANSFER") + SUMIFS('STOCK IN  TRANSFER'!G:G, 'STOCK IN  TRANSFER'!D:D, A200, 'STOCK IN  TRANSFER'!F:F, "ADJUSTMENT (-)")</f>
        <v>0</v>
      </c>
      <c r="G200" s="52">
        <f>SUMIFS('STOCK IN  TRANSFER'!G:G, 'STOCK IN  TRANSFER'!D:D, A200, 'STOCK IN  TRANSFER'!F:F, "STOCK IN") + SUMIFS('STOCK IN  TRANSFER'!G:G, 'STOCK IN  TRANSFER'!D:D, A200, 'STOCK IN  TRANSFER'!F:F, "ADJUSTMENT (+)")</f>
        <v>1</v>
      </c>
    </row>
    <row r="201" ht="22.5" customHeight="1">
      <c r="A201" s="13" t="str">
        <f>IFERROR(__xludf.DUMMYFUNCTION("""COMPUTED_VALUE"""),"PNB100")</f>
        <v>PNB100</v>
      </c>
      <c r="B201" s="13" t="str">
        <f>IFERROR(__xludf.DUMMYFUNCTION("""COMPUTED_VALUE"""),"NAX PREMILA NB100 B/C BINDER 4L")</f>
        <v>NAX PREMILA NB100 B/C BINDER 4L</v>
      </c>
      <c r="C201" s="16">
        <f>IFERROR(__xludf.DUMMYFUNCTION("""COMPUTED_VALUE"""),2100.0)</f>
        <v>2100</v>
      </c>
      <c r="D201" s="13" t="str">
        <f>IFERROR(__xludf.DUMMYFUNCTION("""COMPUTED_VALUE"""),"GAL")</f>
        <v>GAL</v>
      </c>
      <c r="E201" s="28">
        <f>IFERROR(__xludf.DUMMYFUNCTION("""COMPUTED_VALUE"""),1.0)</f>
        <v>1</v>
      </c>
      <c r="F201" s="52">
        <f>SUMIF(SALES!D:D, A201, SALES!H:H) + SUMIFS('STOCK IN  TRANSFER'!G:G, 'STOCK IN  TRANSFER'!D:D, A201, 'STOCK IN  TRANSFER'!F:F, "TRANSFER") + SUMIFS('STOCK IN  TRANSFER'!G:G, 'STOCK IN  TRANSFER'!D:D, A201, 'STOCK IN  TRANSFER'!F:F, "ADJUSTMENT (-)")</f>
        <v>22</v>
      </c>
      <c r="G201" s="52">
        <f>SUMIFS('STOCK IN  TRANSFER'!G:G, 'STOCK IN  TRANSFER'!D:D, A201, 'STOCK IN  TRANSFER'!F:F, "STOCK IN") + SUMIFS('STOCK IN  TRANSFER'!G:G, 'STOCK IN  TRANSFER'!D:D, A201, 'STOCK IN  TRANSFER'!F:F, "ADJUSTMENT (+)")</f>
        <v>23</v>
      </c>
    </row>
    <row r="202" ht="22.5" customHeight="1">
      <c r="A202" s="13" t="str">
        <f>IFERROR(__xludf.DUMMYFUNCTION("""COMPUTED_VALUE"""),"MT904")</f>
        <v>MT904</v>
      </c>
      <c r="B202" s="13" t="str">
        <f>IFERROR(__xludf.DUMMYFUNCTION("""COMPUTED_VALUE"""),"NAX PREMILA MT904 SHADOWN GREEN 1L")</f>
        <v>NAX PREMILA MT904 SHADOWN GREEN 1L</v>
      </c>
      <c r="C202" s="16">
        <f>IFERROR(__xludf.DUMMYFUNCTION("""COMPUTED_VALUE"""),1593.0)</f>
        <v>1593</v>
      </c>
      <c r="D202" s="13" t="str">
        <f>IFERROR(__xludf.DUMMYFUNCTION("""COMPUTED_VALUE"""),"LTR/S")</f>
        <v>LTR/S</v>
      </c>
      <c r="E202" s="28">
        <f>IFERROR(__xludf.DUMMYFUNCTION("""COMPUTED_VALUE"""),2.0)</f>
        <v>2</v>
      </c>
      <c r="F202" s="52">
        <f>SUMIF(SALES!D:D, A202, SALES!H:H) + SUMIFS('STOCK IN  TRANSFER'!G:G, 'STOCK IN  TRANSFER'!D:D, A202, 'STOCK IN  TRANSFER'!F:F, "TRANSFER") + SUMIFS('STOCK IN  TRANSFER'!G:G, 'STOCK IN  TRANSFER'!D:D, A202, 'STOCK IN  TRANSFER'!F:F, "ADJUSTMENT (-)")</f>
        <v>1</v>
      </c>
      <c r="G202" s="52">
        <f>SUMIFS('STOCK IN  TRANSFER'!G:G, 'STOCK IN  TRANSFER'!D:D, A202, 'STOCK IN  TRANSFER'!F:F, "STOCK IN") + SUMIFS('STOCK IN  TRANSFER'!G:G, 'STOCK IN  TRANSFER'!D:D, A202, 'STOCK IN  TRANSFER'!F:F, "ADJUSTMENT (+)")</f>
        <v>3</v>
      </c>
    </row>
    <row r="203" ht="22.5" customHeight="1">
      <c r="A203" s="13" t="str">
        <f>IFERROR(__xludf.DUMMYFUNCTION("""COMPUTED_VALUE"""),"MT903")</f>
        <v>MT903</v>
      </c>
      <c r="B203" s="13" t="str">
        <f>IFERROR(__xludf.DUMMYFUNCTION("""COMPUTED_VALUE"""),"NAX PREMILA MT903 SUN GREEN 1L")</f>
        <v>NAX PREMILA MT903 SUN GREEN 1L</v>
      </c>
      <c r="C203" s="16">
        <f>IFERROR(__xludf.DUMMYFUNCTION("""COMPUTED_VALUE"""),1561.0)</f>
        <v>1561</v>
      </c>
      <c r="D203" s="13" t="str">
        <f>IFERROR(__xludf.DUMMYFUNCTION("""COMPUTED_VALUE"""),"LTR/S")</f>
        <v>LTR/S</v>
      </c>
      <c r="E203" s="28">
        <f>IFERROR(__xludf.DUMMYFUNCTION("""COMPUTED_VALUE"""),2.0)</f>
        <v>2</v>
      </c>
      <c r="F203" s="52">
        <f>SUMIF(SALES!D:D, A203, SALES!H:H) + SUMIFS('STOCK IN  TRANSFER'!G:G, 'STOCK IN  TRANSFER'!D:D, A203, 'STOCK IN  TRANSFER'!F:F, "TRANSFER") + SUMIFS('STOCK IN  TRANSFER'!G:G, 'STOCK IN  TRANSFER'!D:D, A203, 'STOCK IN  TRANSFER'!F:F, "ADJUSTMENT (-)")</f>
        <v>1</v>
      </c>
      <c r="G203" s="52">
        <f>SUMIFS('STOCK IN  TRANSFER'!G:G, 'STOCK IN  TRANSFER'!D:D, A203, 'STOCK IN  TRANSFER'!F:F, "STOCK IN") + SUMIFS('STOCK IN  TRANSFER'!G:G, 'STOCK IN  TRANSFER'!D:D, A203, 'STOCK IN  TRANSFER'!F:F, "ADJUSTMENT (+)")</f>
        <v>3</v>
      </c>
    </row>
    <row r="204" ht="22.5" customHeight="1">
      <c r="A204" s="13" t="str">
        <f>IFERROR(__xludf.DUMMYFUNCTION("""COMPUTED_VALUE"""),"MT902")</f>
        <v>MT902</v>
      </c>
      <c r="B204" s="13" t="str">
        <f>IFERROR(__xludf.DUMMYFUNCTION("""COMPUTED_VALUE"""),"NAX PREMILA MT902 GRASS GREEN 1L")</f>
        <v>NAX PREMILA MT902 GRASS GREEN 1L</v>
      </c>
      <c r="C204" s="16">
        <f>IFERROR(__xludf.DUMMYFUNCTION("""COMPUTED_VALUE"""),1593.0)</f>
        <v>1593</v>
      </c>
      <c r="D204" s="13" t="str">
        <f>IFERROR(__xludf.DUMMYFUNCTION("""COMPUTED_VALUE"""),"LTR/S")</f>
        <v>LTR/S</v>
      </c>
      <c r="E204" s="28">
        <f>IFERROR(__xludf.DUMMYFUNCTION("""COMPUTED_VALUE"""),3.0)</f>
        <v>3</v>
      </c>
      <c r="F204" s="52">
        <f>SUMIF(SALES!D:D, A204, SALES!H:H) + SUMIFS('STOCK IN  TRANSFER'!G:G, 'STOCK IN  TRANSFER'!D:D, A204, 'STOCK IN  TRANSFER'!F:F, "TRANSFER") + SUMIFS('STOCK IN  TRANSFER'!G:G, 'STOCK IN  TRANSFER'!D:D, A204, 'STOCK IN  TRANSFER'!F:F, "ADJUSTMENT (-)")</f>
        <v>0</v>
      </c>
      <c r="G204" s="52">
        <f>SUMIFS('STOCK IN  TRANSFER'!G:G, 'STOCK IN  TRANSFER'!D:D, A204, 'STOCK IN  TRANSFER'!F:F, "STOCK IN") + SUMIFS('STOCK IN  TRANSFER'!G:G, 'STOCK IN  TRANSFER'!D:D, A204, 'STOCK IN  TRANSFER'!F:F, "ADJUSTMENT (+)")</f>
        <v>3</v>
      </c>
    </row>
    <row r="205" ht="22.5" customHeight="1">
      <c r="A205" s="13" t="str">
        <f>IFERROR(__xludf.DUMMYFUNCTION("""COMPUTED_VALUE"""),"MT901")</f>
        <v>MT901</v>
      </c>
      <c r="B205" s="13" t="str">
        <f>IFERROR(__xludf.DUMMYFUNCTION("""COMPUTED_VALUE"""),"NAX PREMILA MT901 CYANINE GREEN 1L")</f>
        <v>NAX PREMILA MT901 CYANINE GREEN 1L</v>
      </c>
      <c r="C205" s="16">
        <f>IFERROR(__xludf.DUMMYFUNCTION("""COMPUTED_VALUE"""),1593.0)</f>
        <v>1593</v>
      </c>
      <c r="D205" s="13" t="str">
        <f>IFERROR(__xludf.DUMMYFUNCTION("""COMPUTED_VALUE"""),"LTR/S")</f>
        <v>LTR/S</v>
      </c>
      <c r="E205" s="28">
        <f>IFERROR(__xludf.DUMMYFUNCTION("""COMPUTED_VALUE"""),0.0)</f>
        <v>0</v>
      </c>
      <c r="F205" s="52">
        <f>SUMIF(SALES!D:D, A205, SALES!H:H) + SUMIFS('STOCK IN  TRANSFER'!G:G, 'STOCK IN  TRANSFER'!D:D, A205, 'STOCK IN  TRANSFER'!F:F, "TRANSFER") + SUMIFS('STOCK IN  TRANSFER'!G:G, 'STOCK IN  TRANSFER'!D:D, A205, 'STOCK IN  TRANSFER'!F:F, "ADJUSTMENT (-)")</f>
        <v>0</v>
      </c>
      <c r="G205" s="52">
        <f>SUMIFS('STOCK IN  TRANSFER'!G:G, 'STOCK IN  TRANSFER'!D:D, A205, 'STOCK IN  TRANSFER'!F:F, "STOCK IN") + SUMIFS('STOCK IN  TRANSFER'!G:G, 'STOCK IN  TRANSFER'!D:D, A205, 'STOCK IN  TRANSFER'!F:F, "ADJUSTMENT (+)")</f>
        <v>0</v>
      </c>
    </row>
    <row r="206" ht="22.5" customHeight="1">
      <c r="A206" s="13" t="str">
        <f>IFERROR(__xludf.DUMMYFUNCTION("""COMPUTED_VALUE"""),"MT807")</f>
        <v>MT807</v>
      </c>
      <c r="B206" s="13" t="str">
        <f>IFERROR(__xludf.DUMMYFUNCTION("""COMPUTED_VALUE"""),"NAX PREMILA MT807 VACANCE BLUE 1L")</f>
        <v>NAX PREMILA MT807 VACANCE BLUE 1L</v>
      </c>
      <c r="C206" s="16">
        <f>IFERROR(__xludf.DUMMYFUNCTION("""COMPUTED_VALUE"""),1593.0)</f>
        <v>1593</v>
      </c>
      <c r="D206" s="13" t="str">
        <f>IFERROR(__xludf.DUMMYFUNCTION("""COMPUTED_VALUE"""),"LTR/S")</f>
        <v>LTR/S</v>
      </c>
      <c r="E206" s="28">
        <f>IFERROR(__xludf.DUMMYFUNCTION("""COMPUTED_VALUE"""),3.0)</f>
        <v>3</v>
      </c>
      <c r="F206" s="52">
        <f>SUMIF(SALES!D:D, A206, SALES!H:H) + SUMIFS('STOCK IN  TRANSFER'!G:G, 'STOCK IN  TRANSFER'!D:D, A206, 'STOCK IN  TRANSFER'!F:F, "TRANSFER") + SUMIFS('STOCK IN  TRANSFER'!G:G, 'STOCK IN  TRANSFER'!D:D, A206, 'STOCK IN  TRANSFER'!F:F, "ADJUSTMENT (-)")</f>
        <v>0</v>
      </c>
      <c r="G206" s="52">
        <f>SUMIFS('STOCK IN  TRANSFER'!G:G, 'STOCK IN  TRANSFER'!D:D, A206, 'STOCK IN  TRANSFER'!F:F, "STOCK IN") + SUMIFS('STOCK IN  TRANSFER'!G:G, 'STOCK IN  TRANSFER'!D:D, A206, 'STOCK IN  TRANSFER'!F:F, "ADJUSTMENT (+)")</f>
        <v>3</v>
      </c>
    </row>
    <row r="207" ht="22.5" customHeight="1">
      <c r="A207" s="13" t="str">
        <f>IFERROR(__xludf.DUMMYFUNCTION("""COMPUTED_VALUE"""),"MT806")</f>
        <v>MT806</v>
      </c>
      <c r="B207" s="13" t="str">
        <f>IFERROR(__xludf.DUMMYFUNCTION("""COMPUTED_VALUE"""),"NAX PREMILA MT806 HERMES BLUE 1L")</f>
        <v>NAX PREMILA MT806 HERMES BLUE 1L</v>
      </c>
      <c r="C207" s="16">
        <f>IFERROR(__xludf.DUMMYFUNCTION("""COMPUTED_VALUE"""),1593.0)</f>
        <v>1593</v>
      </c>
      <c r="D207" s="13" t="str">
        <f>IFERROR(__xludf.DUMMYFUNCTION("""COMPUTED_VALUE"""),"LTR/S")</f>
        <v>LTR/S</v>
      </c>
      <c r="E207" s="28">
        <f>IFERROR(__xludf.DUMMYFUNCTION("""COMPUTED_VALUE"""),2.0)</f>
        <v>2</v>
      </c>
      <c r="F207" s="52">
        <f>SUMIF(SALES!D:D, A207, SALES!H:H) + SUMIFS('STOCK IN  TRANSFER'!G:G, 'STOCK IN  TRANSFER'!D:D, A207, 'STOCK IN  TRANSFER'!F:F, "TRANSFER") + SUMIFS('STOCK IN  TRANSFER'!G:G, 'STOCK IN  TRANSFER'!D:D, A207, 'STOCK IN  TRANSFER'!F:F, "ADJUSTMENT (-)")</f>
        <v>0</v>
      </c>
      <c r="G207" s="52">
        <f>SUMIFS('STOCK IN  TRANSFER'!G:G, 'STOCK IN  TRANSFER'!D:D, A207, 'STOCK IN  TRANSFER'!F:F, "STOCK IN") + SUMIFS('STOCK IN  TRANSFER'!G:G, 'STOCK IN  TRANSFER'!D:D, A207, 'STOCK IN  TRANSFER'!F:F, "ADJUSTMENT (+)")</f>
        <v>2</v>
      </c>
    </row>
    <row r="208" ht="22.5" customHeight="1">
      <c r="A208" s="13" t="str">
        <f>IFERROR(__xludf.DUMMYFUNCTION("""COMPUTED_VALUE"""),"MT805")</f>
        <v>MT805</v>
      </c>
      <c r="B208" s="13" t="str">
        <f>IFERROR(__xludf.DUMMYFUNCTION("""COMPUTED_VALUE"""),"NAX PREMILA MT805 CUSTOM BLUE 1L")</f>
        <v>NAX PREMILA MT805 CUSTOM BLUE 1L</v>
      </c>
      <c r="C208" s="16">
        <f>IFERROR(__xludf.DUMMYFUNCTION("""COMPUTED_VALUE"""),1593.0)</f>
        <v>1593</v>
      </c>
      <c r="D208" s="13" t="str">
        <f>IFERROR(__xludf.DUMMYFUNCTION("""COMPUTED_VALUE"""),"LTR/S")</f>
        <v>LTR/S</v>
      </c>
      <c r="E208" s="28">
        <f>IFERROR(__xludf.DUMMYFUNCTION("""COMPUTED_VALUE"""),1.0)</f>
        <v>1</v>
      </c>
      <c r="F208" s="52">
        <f>SUMIF(SALES!D:D, A208, SALES!H:H) + SUMIFS('STOCK IN  TRANSFER'!G:G, 'STOCK IN  TRANSFER'!D:D, A208, 'STOCK IN  TRANSFER'!F:F, "TRANSFER") + SUMIFS('STOCK IN  TRANSFER'!G:G, 'STOCK IN  TRANSFER'!D:D, A208, 'STOCK IN  TRANSFER'!F:F, "ADJUSTMENT (-)")</f>
        <v>1</v>
      </c>
      <c r="G208" s="52">
        <f>SUMIFS('STOCK IN  TRANSFER'!G:G, 'STOCK IN  TRANSFER'!D:D, A208, 'STOCK IN  TRANSFER'!F:F, "STOCK IN") + SUMIFS('STOCK IN  TRANSFER'!G:G, 'STOCK IN  TRANSFER'!D:D, A208, 'STOCK IN  TRANSFER'!F:F, "ADJUSTMENT (+)")</f>
        <v>2</v>
      </c>
    </row>
    <row r="209" ht="22.5" customHeight="1">
      <c r="A209" s="13" t="str">
        <f>IFERROR(__xludf.DUMMYFUNCTION("""COMPUTED_VALUE"""),"MT804")</f>
        <v>MT804</v>
      </c>
      <c r="B209" s="13" t="str">
        <f>IFERROR(__xludf.DUMMYFUNCTION("""COMPUTED_VALUE"""),"NAX PREMILA MT804 ORIENT BLUE 1L")</f>
        <v>NAX PREMILA MT804 ORIENT BLUE 1L</v>
      </c>
      <c r="C209" s="16">
        <f>IFERROR(__xludf.DUMMYFUNCTION("""COMPUTED_VALUE"""),1593.0)</f>
        <v>1593</v>
      </c>
      <c r="D209" s="13" t="str">
        <f>IFERROR(__xludf.DUMMYFUNCTION("""COMPUTED_VALUE"""),"LTR/S")</f>
        <v>LTR/S</v>
      </c>
      <c r="E209" s="28">
        <f>IFERROR(__xludf.DUMMYFUNCTION("""COMPUTED_VALUE"""),0.0)</f>
        <v>0</v>
      </c>
      <c r="F209" s="52">
        <f>SUMIF(SALES!D:D, A209, SALES!H:H) + SUMIFS('STOCK IN  TRANSFER'!G:G, 'STOCK IN  TRANSFER'!D:D, A209, 'STOCK IN  TRANSFER'!F:F, "TRANSFER") + SUMIFS('STOCK IN  TRANSFER'!G:G, 'STOCK IN  TRANSFER'!D:D, A209, 'STOCK IN  TRANSFER'!F:F, "ADJUSTMENT (-)")</f>
        <v>3</v>
      </c>
      <c r="G209" s="52">
        <f>SUMIFS('STOCK IN  TRANSFER'!G:G, 'STOCK IN  TRANSFER'!D:D, A209, 'STOCK IN  TRANSFER'!F:F, "STOCK IN") + SUMIFS('STOCK IN  TRANSFER'!G:G, 'STOCK IN  TRANSFER'!D:D, A209, 'STOCK IN  TRANSFER'!F:F, "ADJUSTMENT (+)")</f>
        <v>3</v>
      </c>
    </row>
    <row r="210" ht="22.5" customHeight="1">
      <c r="A210" s="13" t="str">
        <f>IFERROR(__xludf.DUMMYFUNCTION("""COMPUTED_VALUE"""),"MT803")</f>
        <v>MT803</v>
      </c>
      <c r="B210" s="13" t="str">
        <f>IFERROR(__xludf.DUMMYFUNCTION("""COMPUTED_VALUE"""),"NAX PREMILA MT803 FRESH BLUE 1L")</f>
        <v>NAX PREMILA MT803 FRESH BLUE 1L</v>
      </c>
      <c r="C210" s="16">
        <f>IFERROR(__xludf.DUMMYFUNCTION("""COMPUTED_VALUE"""),1593.0)</f>
        <v>1593</v>
      </c>
      <c r="D210" s="13" t="str">
        <f>IFERROR(__xludf.DUMMYFUNCTION("""COMPUTED_VALUE"""),"LTR/S")</f>
        <v>LTR/S</v>
      </c>
      <c r="E210" s="28">
        <f>IFERROR(__xludf.DUMMYFUNCTION("""COMPUTED_VALUE"""),1.0)</f>
        <v>1</v>
      </c>
      <c r="F210" s="52">
        <f>SUMIF(SALES!D:D, A210, SALES!H:H) + SUMIFS('STOCK IN  TRANSFER'!G:G, 'STOCK IN  TRANSFER'!D:D, A210, 'STOCK IN  TRANSFER'!F:F, "TRANSFER") + SUMIFS('STOCK IN  TRANSFER'!G:G, 'STOCK IN  TRANSFER'!D:D, A210, 'STOCK IN  TRANSFER'!F:F, "ADJUSTMENT (-)")</f>
        <v>1</v>
      </c>
      <c r="G210" s="52">
        <f>SUMIFS('STOCK IN  TRANSFER'!G:G, 'STOCK IN  TRANSFER'!D:D, A210, 'STOCK IN  TRANSFER'!F:F, "STOCK IN") + SUMIFS('STOCK IN  TRANSFER'!G:G, 'STOCK IN  TRANSFER'!D:D, A210, 'STOCK IN  TRANSFER'!F:F, "ADJUSTMENT (+)")</f>
        <v>2</v>
      </c>
    </row>
    <row r="211" ht="22.5" customHeight="1">
      <c r="A211" s="13" t="str">
        <f>IFERROR(__xludf.DUMMYFUNCTION("""COMPUTED_VALUE"""),"MT801")</f>
        <v>MT801</v>
      </c>
      <c r="B211" s="13" t="str">
        <f>IFERROR(__xludf.DUMMYFUNCTION("""COMPUTED_VALUE"""),"NAX PREMILA MT801 CYANINE BLUE 1L")</f>
        <v>NAX PREMILA MT801 CYANINE BLUE 1L</v>
      </c>
      <c r="C211" s="16">
        <f>IFERROR(__xludf.DUMMYFUNCTION("""COMPUTED_VALUE"""),1593.0)</f>
        <v>1593</v>
      </c>
      <c r="D211" s="13" t="str">
        <f>IFERROR(__xludf.DUMMYFUNCTION("""COMPUTED_VALUE"""),"LTR/S")</f>
        <v>LTR/S</v>
      </c>
      <c r="E211" s="28">
        <f>IFERROR(__xludf.DUMMYFUNCTION("""COMPUTED_VALUE"""),3.0)</f>
        <v>3</v>
      </c>
      <c r="F211" s="52">
        <f>SUMIF(SALES!D:D, A211, SALES!H:H) + SUMIFS('STOCK IN  TRANSFER'!G:G, 'STOCK IN  TRANSFER'!D:D, A211, 'STOCK IN  TRANSFER'!F:F, "TRANSFER") + SUMIFS('STOCK IN  TRANSFER'!G:G, 'STOCK IN  TRANSFER'!D:D, A211, 'STOCK IN  TRANSFER'!F:F, "ADJUSTMENT (-)")</f>
        <v>0</v>
      </c>
      <c r="G211" s="52">
        <f>SUMIFS('STOCK IN  TRANSFER'!G:G, 'STOCK IN  TRANSFER'!D:D, A211, 'STOCK IN  TRANSFER'!F:F, "STOCK IN") + SUMIFS('STOCK IN  TRANSFER'!G:G, 'STOCK IN  TRANSFER'!D:D, A211, 'STOCK IN  TRANSFER'!F:F, "ADJUSTMENT (+)")</f>
        <v>3</v>
      </c>
    </row>
    <row r="212" ht="22.5" customHeight="1">
      <c r="A212" s="13" t="str">
        <f>IFERROR(__xludf.DUMMYFUNCTION("""COMPUTED_VALUE"""),"MT705")</f>
        <v>MT705</v>
      </c>
      <c r="B212" s="13" t="str">
        <f>IFERROR(__xludf.DUMMYFUNCTION("""COMPUTED_VALUE"""),"NAX PREMILA MT705 FLORA VIOLET 1L")</f>
        <v>NAX PREMILA MT705 FLORA VIOLET 1L</v>
      </c>
      <c r="C212" s="16">
        <f>IFERROR(__xludf.DUMMYFUNCTION("""COMPUTED_VALUE"""),1896.0)</f>
        <v>1896</v>
      </c>
      <c r="D212" s="13" t="str">
        <f>IFERROR(__xludf.DUMMYFUNCTION("""COMPUTED_VALUE"""),"LTR/S")</f>
        <v>LTR/S</v>
      </c>
      <c r="E212" s="28">
        <f>IFERROR(__xludf.DUMMYFUNCTION("""COMPUTED_VALUE"""),4.0)</f>
        <v>4</v>
      </c>
      <c r="F212" s="52">
        <f>SUMIF(SALES!D:D, A212, SALES!H:H) + SUMIFS('STOCK IN  TRANSFER'!G:G, 'STOCK IN  TRANSFER'!D:D, A212, 'STOCK IN  TRANSFER'!F:F, "TRANSFER") + SUMIFS('STOCK IN  TRANSFER'!G:G, 'STOCK IN  TRANSFER'!D:D, A212, 'STOCK IN  TRANSFER'!F:F, "ADJUSTMENT (-)")</f>
        <v>0</v>
      </c>
      <c r="G212" s="52">
        <f>SUMIFS('STOCK IN  TRANSFER'!G:G, 'STOCK IN  TRANSFER'!D:D, A212, 'STOCK IN  TRANSFER'!F:F, "STOCK IN") + SUMIFS('STOCK IN  TRANSFER'!G:G, 'STOCK IN  TRANSFER'!D:D, A212, 'STOCK IN  TRANSFER'!F:F, "ADJUSTMENT (+)")</f>
        <v>4</v>
      </c>
    </row>
    <row r="213" ht="22.5" customHeight="1">
      <c r="A213" s="13" t="str">
        <f>IFERROR(__xludf.DUMMYFUNCTION("""COMPUTED_VALUE"""),"MT704")</f>
        <v>MT704</v>
      </c>
      <c r="B213" s="13" t="str">
        <f>IFERROR(__xludf.DUMMYFUNCTION("""COMPUTED_VALUE"""),"NAX PREMILA MT704 FINE VIOLET 1L")</f>
        <v>NAX PREMILA MT704 FINE VIOLET 1L</v>
      </c>
      <c r="C213" s="16">
        <f>IFERROR(__xludf.DUMMYFUNCTION("""COMPUTED_VALUE"""),1593.0)</f>
        <v>1593</v>
      </c>
      <c r="D213" s="13" t="str">
        <f>IFERROR(__xludf.DUMMYFUNCTION("""COMPUTED_VALUE"""),"LTR/S")</f>
        <v>LTR/S</v>
      </c>
      <c r="E213" s="28">
        <f>IFERROR(__xludf.DUMMYFUNCTION("""COMPUTED_VALUE"""),4.0)</f>
        <v>4</v>
      </c>
      <c r="F213" s="52">
        <f>SUMIF(SALES!D:D, A213, SALES!H:H) + SUMIFS('STOCK IN  TRANSFER'!G:G, 'STOCK IN  TRANSFER'!D:D, A213, 'STOCK IN  TRANSFER'!F:F, "TRANSFER") + SUMIFS('STOCK IN  TRANSFER'!G:G, 'STOCK IN  TRANSFER'!D:D, A213, 'STOCK IN  TRANSFER'!F:F, "ADJUSTMENT (-)")</f>
        <v>0</v>
      </c>
      <c r="G213" s="52">
        <f>SUMIFS('STOCK IN  TRANSFER'!G:G, 'STOCK IN  TRANSFER'!D:D, A213, 'STOCK IN  TRANSFER'!F:F, "STOCK IN") + SUMIFS('STOCK IN  TRANSFER'!G:G, 'STOCK IN  TRANSFER'!D:D, A213, 'STOCK IN  TRANSFER'!F:F, "ADJUSTMENT (+)")</f>
        <v>4</v>
      </c>
    </row>
    <row r="214" ht="22.5" customHeight="1">
      <c r="A214" s="13" t="str">
        <f>IFERROR(__xludf.DUMMYFUNCTION("""COMPUTED_VALUE"""),"MT702")</f>
        <v>MT702</v>
      </c>
      <c r="B214" s="13" t="str">
        <f>IFERROR(__xludf.DUMMYFUNCTION("""COMPUTED_VALUE"""),"NAX PREMILA MT702 CINQUASIA VIOLET 1L")</f>
        <v>NAX PREMILA MT702 CINQUASIA VIOLET 1L</v>
      </c>
      <c r="C214" s="16">
        <f>IFERROR(__xludf.DUMMYFUNCTION("""COMPUTED_VALUE"""),0.0)</f>
        <v>0</v>
      </c>
      <c r="D214" s="13" t="str">
        <f>IFERROR(__xludf.DUMMYFUNCTION("""COMPUTED_VALUE"""),"LTR/S")</f>
        <v>LTR/S</v>
      </c>
      <c r="E214" s="28">
        <f>IFERROR(__xludf.DUMMYFUNCTION("""COMPUTED_VALUE"""),0.0)</f>
        <v>0</v>
      </c>
      <c r="F214" s="52">
        <f>SUMIF(SALES!D:D, A214, SALES!H:H) + SUMIFS('STOCK IN  TRANSFER'!G:G, 'STOCK IN  TRANSFER'!D:D, A214, 'STOCK IN  TRANSFER'!F:F, "TRANSFER") + SUMIFS('STOCK IN  TRANSFER'!G:G, 'STOCK IN  TRANSFER'!D:D, A214, 'STOCK IN  TRANSFER'!F:F, "ADJUSTMENT (-)")</f>
        <v>0</v>
      </c>
      <c r="G214" s="52">
        <f>SUMIFS('STOCK IN  TRANSFER'!G:G, 'STOCK IN  TRANSFER'!D:D, A214, 'STOCK IN  TRANSFER'!F:F, "STOCK IN") + SUMIFS('STOCK IN  TRANSFER'!G:G, 'STOCK IN  TRANSFER'!D:D, A214, 'STOCK IN  TRANSFER'!F:F, "ADJUSTMENT (+)")</f>
        <v>0</v>
      </c>
    </row>
    <row r="215" ht="22.5" customHeight="1">
      <c r="A215" s="13" t="str">
        <f>IFERROR(__xludf.DUMMYFUNCTION("""COMPUTED_VALUE"""),"MT701")</f>
        <v>MT701</v>
      </c>
      <c r="B215" s="13" t="str">
        <f>IFERROR(__xludf.DUMMYFUNCTION("""COMPUTED_VALUE"""),"NAX PREMILA MT701 FAST VIOLET 1L")</f>
        <v>NAX PREMILA MT701 FAST VIOLET 1L</v>
      </c>
      <c r="C215" s="16">
        <f>IFERROR(__xludf.DUMMYFUNCTION("""COMPUTED_VALUE"""),1744.0)</f>
        <v>1744</v>
      </c>
      <c r="D215" s="13" t="str">
        <f>IFERROR(__xludf.DUMMYFUNCTION("""COMPUTED_VALUE"""),"LTR/S")</f>
        <v>LTR/S</v>
      </c>
      <c r="E215" s="28">
        <f>IFERROR(__xludf.DUMMYFUNCTION("""COMPUTED_VALUE"""),0.0)</f>
        <v>0</v>
      </c>
      <c r="F215" s="52">
        <f>SUMIF(SALES!D:D, A215, SALES!H:H) + SUMIFS('STOCK IN  TRANSFER'!G:G, 'STOCK IN  TRANSFER'!D:D, A215, 'STOCK IN  TRANSFER'!F:F, "TRANSFER") + SUMIFS('STOCK IN  TRANSFER'!G:G, 'STOCK IN  TRANSFER'!D:D, A215, 'STOCK IN  TRANSFER'!F:F, "ADJUSTMENT (-)")</f>
        <v>2</v>
      </c>
      <c r="G215" s="52">
        <f>SUMIFS('STOCK IN  TRANSFER'!G:G, 'STOCK IN  TRANSFER'!D:D, A215, 'STOCK IN  TRANSFER'!F:F, "STOCK IN") + SUMIFS('STOCK IN  TRANSFER'!G:G, 'STOCK IN  TRANSFER'!D:D, A215, 'STOCK IN  TRANSFER'!F:F, "ADJUSTMENT (+)")</f>
        <v>2</v>
      </c>
    </row>
    <row r="216" ht="22.5" customHeight="1">
      <c r="A216" s="13" t="str">
        <f>IFERROR(__xludf.DUMMYFUNCTION("""COMPUTED_VALUE"""),"MT607")</f>
        <v>MT607</v>
      </c>
      <c r="B216" s="13" t="str">
        <f>IFERROR(__xludf.DUMMYFUNCTION("""COMPUTED_VALUE"""),"NAX PREMILA MT607 AUTUMN RED 1L")</f>
        <v>NAX PREMILA MT607 AUTUMN RED 1L</v>
      </c>
      <c r="C216" s="16">
        <f>IFERROR(__xludf.DUMMYFUNCTION("""COMPUTED_VALUE"""),2048.0)</f>
        <v>2048</v>
      </c>
      <c r="D216" s="13" t="str">
        <f>IFERROR(__xludf.DUMMYFUNCTION("""COMPUTED_VALUE"""),"LTR/S")</f>
        <v>LTR/S</v>
      </c>
      <c r="E216" s="28">
        <f>IFERROR(__xludf.DUMMYFUNCTION("""COMPUTED_VALUE"""),1.0)</f>
        <v>1</v>
      </c>
      <c r="F216" s="52">
        <f>SUMIF(SALES!D:D, A216, SALES!H:H) + SUMIFS('STOCK IN  TRANSFER'!G:G, 'STOCK IN  TRANSFER'!D:D, A216, 'STOCK IN  TRANSFER'!F:F, "TRANSFER") + SUMIFS('STOCK IN  TRANSFER'!G:G, 'STOCK IN  TRANSFER'!D:D, A216, 'STOCK IN  TRANSFER'!F:F, "ADJUSTMENT (-)")</f>
        <v>2</v>
      </c>
      <c r="G216" s="52">
        <f>SUMIFS('STOCK IN  TRANSFER'!G:G, 'STOCK IN  TRANSFER'!D:D, A216, 'STOCK IN  TRANSFER'!F:F, "STOCK IN") + SUMIFS('STOCK IN  TRANSFER'!G:G, 'STOCK IN  TRANSFER'!D:D, A216, 'STOCK IN  TRANSFER'!F:F, "ADJUSTMENT (+)")</f>
        <v>3</v>
      </c>
    </row>
    <row r="217" ht="22.5" customHeight="1">
      <c r="A217" s="13" t="str">
        <f>IFERROR(__xludf.DUMMYFUNCTION("""COMPUTED_VALUE"""),"MT606")</f>
        <v>MT606</v>
      </c>
      <c r="B217" s="13" t="str">
        <f>IFERROR(__xludf.DUMMYFUNCTION("""COMPUTED_VALUE"""),"NAX PREMILA MT606 GIRAFFE YELLOW 1L")</f>
        <v>NAX PREMILA MT606 GIRAFFE YELLOW 1L</v>
      </c>
      <c r="C217" s="16">
        <f>IFERROR(__xludf.DUMMYFUNCTION("""COMPUTED_VALUE"""),1608.0)</f>
        <v>1608</v>
      </c>
      <c r="D217" s="13" t="str">
        <f>IFERROR(__xludf.DUMMYFUNCTION("""COMPUTED_VALUE"""),"LTR/S")</f>
        <v>LTR/S</v>
      </c>
      <c r="E217" s="28">
        <f>IFERROR(__xludf.DUMMYFUNCTION("""COMPUTED_VALUE"""),2.0)</f>
        <v>2</v>
      </c>
      <c r="F217" s="52">
        <f>SUMIF(SALES!D:D, A217, SALES!H:H) + SUMIFS('STOCK IN  TRANSFER'!G:G, 'STOCK IN  TRANSFER'!D:D, A217, 'STOCK IN  TRANSFER'!F:F, "TRANSFER") + SUMIFS('STOCK IN  TRANSFER'!G:G, 'STOCK IN  TRANSFER'!D:D, A217, 'STOCK IN  TRANSFER'!F:F, "ADJUSTMENT (-)")</f>
        <v>0</v>
      </c>
      <c r="G217" s="52">
        <f>SUMIFS('STOCK IN  TRANSFER'!G:G, 'STOCK IN  TRANSFER'!D:D, A217, 'STOCK IN  TRANSFER'!F:F, "STOCK IN") + SUMIFS('STOCK IN  TRANSFER'!G:G, 'STOCK IN  TRANSFER'!D:D, A217, 'STOCK IN  TRANSFER'!F:F, "ADJUSTMENT (+)")</f>
        <v>2</v>
      </c>
    </row>
    <row r="218" ht="22.5" customHeight="1">
      <c r="A218" s="13" t="str">
        <f>IFERROR(__xludf.DUMMYFUNCTION("""COMPUTED_VALUE"""),"MT604")</f>
        <v>MT604</v>
      </c>
      <c r="B218" s="13" t="str">
        <f>IFERROR(__xludf.DUMMYFUNCTION("""COMPUTED_VALUE"""),"NAX PREMILA MT604 EXTRA MAROON 1L")</f>
        <v>NAX PREMILA MT604 EXTRA MAROON 1L</v>
      </c>
      <c r="C218" s="16">
        <f>IFERROR(__xludf.DUMMYFUNCTION("""COMPUTED_VALUE"""),2048.0)</f>
        <v>2048</v>
      </c>
      <c r="D218" s="13" t="str">
        <f>IFERROR(__xludf.DUMMYFUNCTION("""COMPUTED_VALUE"""),"LTR/S")</f>
        <v>LTR/S</v>
      </c>
      <c r="E218" s="28">
        <f>IFERROR(__xludf.DUMMYFUNCTION("""COMPUTED_VALUE"""),1.0)</f>
        <v>1</v>
      </c>
      <c r="F218" s="52">
        <f>SUMIF(SALES!D:D, A218, SALES!H:H) + SUMIFS('STOCK IN  TRANSFER'!G:G, 'STOCK IN  TRANSFER'!D:D, A218, 'STOCK IN  TRANSFER'!F:F, "TRANSFER") + SUMIFS('STOCK IN  TRANSFER'!G:G, 'STOCK IN  TRANSFER'!D:D, A218, 'STOCK IN  TRANSFER'!F:F, "ADJUSTMENT (-)")</f>
        <v>2</v>
      </c>
      <c r="G218" s="52">
        <f>SUMIFS('STOCK IN  TRANSFER'!G:G, 'STOCK IN  TRANSFER'!D:D, A218, 'STOCK IN  TRANSFER'!F:F, "STOCK IN") + SUMIFS('STOCK IN  TRANSFER'!G:G, 'STOCK IN  TRANSFER'!D:D, A218, 'STOCK IN  TRANSFER'!F:F, "ADJUSTMENT (+)")</f>
        <v>3</v>
      </c>
    </row>
    <row r="219" ht="22.5" customHeight="1">
      <c r="A219" s="13" t="str">
        <f>IFERROR(__xludf.DUMMYFUNCTION("""COMPUTED_VALUE"""),"MT603")</f>
        <v>MT603</v>
      </c>
      <c r="B219" s="13" t="str">
        <f>IFERROR(__xludf.DUMMYFUNCTION("""COMPUTED_VALUE"""),"NAX PREMILA MT603 CINQUASIA BROWN 1L")</f>
        <v>NAX PREMILA MT603 CINQUASIA BROWN 1L</v>
      </c>
      <c r="C219" s="16">
        <f>IFERROR(__xludf.DUMMYFUNCTION("""COMPUTED_VALUE"""),1896.0)</f>
        <v>1896</v>
      </c>
      <c r="D219" s="13" t="str">
        <f>IFERROR(__xludf.DUMMYFUNCTION("""COMPUTED_VALUE"""),"LTR/S")</f>
        <v>LTR/S</v>
      </c>
      <c r="E219" s="28">
        <f>IFERROR(__xludf.DUMMYFUNCTION("""COMPUTED_VALUE"""),3.0)</f>
        <v>3</v>
      </c>
      <c r="F219" s="52">
        <f>SUMIF(SALES!D:D, A219, SALES!H:H) + SUMIFS('STOCK IN  TRANSFER'!G:G, 'STOCK IN  TRANSFER'!D:D, A219, 'STOCK IN  TRANSFER'!F:F, "TRANSFER") + SUMIFS('STOCK IN  TRANSFER'!G:G, 'STOCK IN  TRANSFER'!D:D, A219, 'STOCK IN  TRANSFER'!F:F, "ADJUSTMENT (-)")</f>
        <v>0</v>
      </c>
      <c r="G219" s="52">
        <f>SUMIFS('STOCK IN  TRANSFER'!G:G, 'STOCK IN  TRANSFER'!D:D, A219, 'STOCK IN  TRANSFER'!F:F, "STOCK IN") + SUMIFS('STOCK IN  TRANSFER'!G:G, 'STOCK IN  TRANSFER'!D:D, A219, 'STOCK IN  TRANSFER'!F:F, "ADJUSTMENT (+)")</f>
        <v>3</v>
      </c>
    </row>
    <row r="220" ht="22.5" customHeight="1">
      <c r="A220" s="13" t="str">
        <f>IFERROR(__xludf.DUMMYFUNCTION("""COMPUTED_VALUE"""),"MT602")</f>
        <v>MT602</v>
      </c>
      <c r="B220" s="13" t="str">
        <f>IFERROR(__xludf.DUMMYFUNCTION("""COMPUTED_VALUE"""),"NAX PREMILA MT602 PEGASUS MAROON 1L")</f>
        <v>NAX PREMILA MT602 PEGASUS MAROON 1L</v>
      </c>
      <c r="C220" s="16">
        <f>IFERROR(__xludf.DUMMYFUNCTION("""COMPUTED_VALUE"""),2302.0)</f>
        <v>2302</v>
      </c>
      <c r="D220" s="13" t="str">
        <f>IFERROR(__xludf.DUMMYFUNCTION("""COMPUTED_VALUE"""),"LTR/S")</f>
        <v>LTR/S</v>
      </c>
      <c r="E220" s="28">
        <f>IFERROR(__xludf.DUMMYFUNCTION("""COMPUTED_VALUE"""),2.0)</f>
        <v>2</v>
      </c>
      <c r="F220" s="52">
        <f>SUMIF(SALES!D:D, A220, SALES!H:H) + SUMIFS('STOCK IN  TRANSFER'!G:G, 'STOCK IN  TRANSFER'!D:D, A220, 'STOCK IN  TRANSFER'!F:F, "TRANSFER") + SUMIFS('STOCK IN  TRANSFER'!G:G, 'STOCK IN  TRANSFER'!D:D, A220, 'STOCK IN  TRANSFER'!F:F, "ADJUSTMENT (-)")</f>
        <v>3</v>
      </c>
      <c r="G220" s="52">
        <f>SUMIFS('STOCK IN  TRANSFER'!G:G, 'STOCK IN  TRANSFER'!D:D, A220, 'STOCK IN  TRANSFER'!F:F, "STOCK IN") + SUMIFS('STOCK IN  TRANSFER'!G:G, 'STOCK IN  TRANSFER'!D:D, A220, 'STOCK IN  TRANSFER'!F:F, "ADJUSTMENT (+)")</f>
        <v>5</v>
      </c>
    </row>
    <row r="221" ht="22.5" customHeight="1">
      <c r="A221" s="13" t="str">
        <f>IFERROR(__xludf.DUMMYFUNCTION("""COMPUTED_VALUE"""),"MT601")</f>
        <v>MT601</v>
      </c>
      <c r="B221" s="13" t="str">
        <f>IFERROR(__xludf.DUMMYFUNCTION("""COMPUTED_VALUE"""),"NAX PREMILA MT601 IRON RED 1L")</f>
        <v>NAX PREMILA MT601 IRON RED 1L</v>
      </c>
      <c r="C221" s="16">
        <f>IFERROR(__xludf.DUMMYFUNCTION("""COMPUTED_VALUE"""),1849.0)</f>
        <v>1849</v>
      </c>
      <c r="D221" s="13" t="str">
        <f>IFERROR(__xludf.DUMMYFUNCTION("""COMPUTED_VALUE"""),"LTR/S")</f>
        <v>LTR/S</v>
      </c>
      <c r="E221" s="28">
        <f>IFERROR(__xludf.DUMMYFUNCTION("""COMPUTED_VALUE"""),3.0)</f>
        <v>3</v>
      </c>
      <c r="F221" s="52">
        <f>SUMIF(SALES!D:D, A221, SALES!H:H) + SUMIFS('STOCK IN  TRANSFER'!G:G, 'STOCK IN  TRANSFER'!D:D, A221, 'STOCK IN  TRANSFER'!F:F, "TRANSFER") + SUMIFS('STOCK IN  TRANSFER'!G:G, 'STOCK IN  TRANSFER'!D:D, A221, 'STOCK IN  TRANSFER'!F:F, "ADJUSTMENT (-)")</f>
        <v>0</v>
      </c>
      <c r="G221" s="52">
        <f>SUMIFS('STOCK IN  TRANSFER'!G:G, 'STOCK IN  TRANSFER'!D:D, A221, 'STOCK IN  TRANSFER'!F:F, "STOCK IN") + SUMIFS('STOCK IN  TRANSFER'!G:G, 'STOCK IN  TRANSFER'!D:D, A221, 'STOCK IN  TRANSFER'!F:F, "ADJUSTMENT (+)")</f>
        <v>3</v>
      </c>
    </row>
    <row r="222" ht="22.5" customHeight="1">
      <c r="A222" s="13" t="str">
        <f>IFERROR(__xludf.DUMMYFUNCTION("""COMPUTED_VALUE"""),"MT508")</f>
        <v>MT508</v>
      </c>
      <c r="B222" s="13" t="str">
        <f>IFERROR(__xludf.DUMMYFUNCTION("""COMPUTED_VALUE"""),"NAX PREMILA MT508 INDIAN RED 1L")</f>
        <v>NAX PREMILA MT508 INDIAN RED 1L</v>
      </c>
      <c r="C222" s="16">
        <f>IFERROR(__xludf.DUMMYFUNCTION("""COMPUTED_VALUE"""),2349.0)</f>
        <v>2349</v>
      </c>
      <c r="D222" s="13" t="str">
        <f>IFERROR(__xludf.DUMMYFUNCTION("""COMPUTED_VALUE"""),"LTR/S")</f>
        <v>LTR/S</v>
      </c>
      <c r="E222" s="28">
        <f>IFERROR(__xludf.DUMMYFUNCTION("""COMPUTED_VALUE"""),2.0)</f>
        <v>2</v>
      </c>
      <c r="F222" s="52">
        <f>SUMIF(SALES!D:D, A222, SALES!H:H) + SUMIFS('STOCK IN  TRANSFER'!G:G, 'STOCK IN  TRANSFER'!D:D, A222, 'STOCK IN  TRANSFER'!F:F, "TRANSFER") + SUMIFS('STOCK IN  TRANSFER'!G:G, 'STOCK IN  TRANSFER'!D:D, A222, 'STOCK IN  TRANSFER'!F:F, "ADJUSTMENT (-)")</f>
        <v>0</v>
      </c>
      <c r="G222" s="52">
        <f>SUMIFS('STOCK IN  TRANSFER'!G:G, 'STOCK IN  TRANSFER'!D:D, A222, 'STOCK IN  TRANSFER'!F:F, "STOCK IN") + SUMIFS('STOCK IN  TRANSFER'!G:G, 'STOCK IN  TRANSFER'!D:D, A222, 'STOCK IN  TRANSFER'!F:F, "ADJUSTMENT (+)")</f>
        <v>2</v>
      </c>
    </row>
    <row r="223" ht="22.5" customHeight="1">
      <c r="A223" s="13" t="str">
        <f>IFERROR(__xludf.DUMMYFUNCTION("""COMPUTED_VALUE"""),"MT507")</f>
        <v>MT507</v>
      </c>
      <c r="B223" s="13" t="str">
        <f>IFERROR(__xludf.DUMMYFUNCTION("""COMPUTED_VALUE"""),"NAX PREMILA MT507 RUBY RED 1L")</f>
        <v>NAX PREMILA MT507 RUBY RED 1L</v>
      </c>
      <c r="C223" s="16">
        <f>IFERROR(__xludf.DUMMYFUNCTION("""COMPUTED_VALUE"""),2867.0)</f>
        <v>2867</v>
      </c>
      <c r="D223" s="13" t="str">
        <f>IFERROR(__xludf.DUMMYFUNCTION("""COMPUTED_VALUE"""),"LTR/S")</f>
        <v>LTR/S</v>
      </c>
      <c r="E223" s="28">
        <f>IFERROR(__xludf.DUMMYFUNCTION("""COMPUTED_VALUE"""),2.0)</f>
        <v>2</v>
      </c>
      <c r="F223" s="52">
        <f>SUMIF(SALES!D:D, A223, SALES!H:H) + SUMIFS('STOCK IN  TRANSFER'!G:G, 'STOCK IN  TRANSFER'!D:D, A223, 'STOCK IN  TRANSFER'!F:F, "TRANSFER") + SUMIFS('STOCK IN  TRANSFER'!G:G, 'STOCK IN  TRANSFER'!D:D, A223, 'STOCK IN  TRANSFER'!F:F, "ADJUSTMENT (-)")</f>
        <v>1</v>
      </c>
      <c r="G223" s="52">
        <f>SUMIFS('STOCK IN  TRANSFER'!G:G, 'STOCK IN  TRANSFER'!D:D, A223, 'STOCK IN  TRANSFER'!F:F, "STOCK IN") + SUMIFS('STOCK IN  TRANSFER'!G:G, 'STOCK IN  TRANSFER'!D:D, A223, 'STOCK IN  TRANSFER'!F:F, "ADJUSTMENT (+)")</f>
        <v>3</v>
      </c>
    </row>
    <row r="224" ht="22.5" customHeight="1">
      <c r="A224" s="13" t="str">
        <f>IFERROR(__xludf.DUMMYFUNCTION("""COMPUTED_VALUE"""),"MT506")</f>
        <v>MT506</v>
      </c>
      <c r="B224" s="13" t="str">
        <f>IFERROR(__xludf.DUMMYFUNCTION("""COMPUTED_VALUE"""),"NAX PREMILA MT506 CINQUASIA RED 1L")</f>
        <v>NAX PREMILA MT506 CINQUASIA RED 1L</v>
      </c>
      <c r="C224" s="16">
        <f>IFERROR(__xludf.DUMMYFUNCTION("""COMPUTED_VALUE"""),1896.0)</f>
        <v>1896</v>
      </c>
      <c r="D224" s="13" t="str">
        <f>IFERROR(__xludf.DUMMYFUNCTION("""COMPUTED_VALUE"""),"LTR/S")</f>
        <v>LTR/S</v>
      </c>
      <c r="E224" s="28">
        <f>IFERROR(__xludf.DUMMYFUNCTION("""COMPUTED_VALUE"""),3.0)</f>
        <v>3</v>
      </c>
      <c r="F224" s="52">
        <f>SUMIF(SALES!D:D, A224, SALES!H:H) + SUMIFS('STOCK IN  TRANSFER'!G:G, 'STOCK IN  TRANSFER'!D:D, A224, 'STOCK IN  TRANSFER'!F:F, "TRANSFER") + SUMIFS('STOCK IN  TRANSFER'!G:G, 'STOCK IN  TRANSFER'!D:D, A224, 'STOCK IN  TRANSFER'!F:F, "ADJUSTMENT (-)")</f>
        <v>0</v>
      </c>
      <c r="G224" s="52">
        <f>SUMIFS('STOCK IN  TRANSFER'!G:G, 'STOCK IN  TRANSFER'!D:D, A224, 'STOCK IN  TRANSFER'!F:F, "STOCK IN") + SUMIFS('STOCK IN  TRANSFER'!G:G, 'STOCK IN  TRANSFER'!D:D, A224, 'STOCK IN  TRANSFER'!F:F, "ADJUSTMENT (+)")</f>
        <v>3</v>
      </c>
    </row>
    <row r="225" ht="22.5" customHeight="1">
      <c r="A225" s="13" t="str">
        <f>IFERROR(__xludf.DUMMYFUNCTION("""COMPUTED_VALUE"""),"MT505")</f>
        <v>MT505</v>
      </c>
      <c r="B225" s="13" t="str">
        <f>IFERROR(__xludf.DUMMYFUNCTION("""COMPUTED_VALUE"""),"NAX PREMILA MT505 SPARK RED 1L")</f>
        <v>NAX PREMILA MT505 SPARK RED 1L</v>
      </c>
      <c r="C225" s="16">
        <f>IFERROR(__xludf.DUMMYFUNCTION("""COMPUTED_VALUE"""),2900.0)</f>
        <v>2900</v>
      </c>
      <c r="D225" s="13" t="str">
        <f>IFERROR(__xludf.DUMMYFUNCTION("""COMPUTED_VALUE"""),"LTR/S")</f>
        <v>LTR/S</v>
      </c>
      <c r="E225" s="28">
        <f>IFERROR(__xludf.DUMMYFUNCTION("""COMPUTED_VALUE"""),3.0)</f>
        <v>3</v>
      </c>
      <c r="F225" s="52">
        <f>SUMIF(SALES!D:D, A225, SALES!H:H) + SUMIFS('STOCK IN  TRANSFER'!G:G, 'STOCK IN  TRANSFER'!D:D, A225, 'STOCK IN  TRANSFER'!F:F, "TRANSFER") + SUMIFS('STOCK IN  TRANSFER'!G:G, 'STOCK IN  TRANSFER'!D:D, A225, 'STOCK IN  TRANSFER'!F:F, "ADJUSTMENT (-)")</f>
        <v>0</v>
      </c>
      <c r="G225" s="52">
        <f>SUMIFS('STOCK IN  TRANSFER'!G:G, 'STOCK IN  TRANSFER'!D:D, A225, 'STOCK IN  TRANSFER'!F:F, "STOCK IN") + SUMIFS('STOCK IN  TRANSFER'!G:G, 'STOCK IN  TRANSFER'!D:D, A225, 'STOCK IN  TRANSFER'!F:F, "ADJUSTMENT (+)")</f>
        <v>3</v>
      </c>
    </row>
    <row r="226" ht="22.5" customHeight="1">
      <c r="A226" s="13" t="str">
        <f>IFERROR(__xludf.DUMMYFUNCTION("""COMPUTED_VALUE"""),"MT503")</f>
        <v>MT503</v>
      </c>
      <c r="B226" s="13" t="str">
        <f>IFERROR(__xludf.DUMMYFUNCTION("""COMPUTED_VALUE"""),"NAX PREMILA MT503 THRENE RED G 1L")</f>
        <v>NAX PREMILA MT503 THRENE RED G 1L</v>
      </c>
      <c r="C226" s="16">
        <f>IFERROR(__xludf.DUMMYFUNCTION("""COMPUTED_VALUE"""),1896.0)</f>
        <v>1896</v>
      </c>
      <c r="D226" s="13" t="str">
        <f>IFERROR(__xludf.DUMMYFUNCTION("""COMPUTED_VALUE"""),"LTR/S")</f>
        <v>LTR/S</v>
      </c>
      <c r="E226" s="28">
        <f>IFERROR(__xludf.DUMMYFUNCTION("""COMPUTED_VALUE"""),0.0)</f>
        <v>0</v>
      </c>
      <c r="F226" s="52">
        <f>SUMIF(SALES!D:D, A226, SALES!H:H) + SUMIFS('STOCK IN  TRANSFER'!G:G, 'STOCK IN  TRANSFER'!D:D, A226, 'STOCK IN  TRANSFER'!F:F, "TRANSFER") + SUMIFS('STOCK IN  TRANSFER'!G:G, 'STOCK IN  TRANSFER'!D:D, A226, 'STOCK IN  TRANSFER'!F:F, "ADJUSTMENT (-)")</f>
        <v>1</v>
      </c>
      <c r="G226" s="52">
        <f>SUMIFS('STOCK IN  TRANSFER'!G:G, 'STOCK IN  TRANSFER'!D:D, A226, 'STOCK IN  TRANSFER'!F:F, "STOCK IN") + SUMIFS('STOCK IN  TRANSFER'!G:G, 'STOCK IN  TRANSFER'!D:D, A226, 'STOCK IN  TRANSFER'!F:F, "ADJUSTMENT (+)")</f>
        <v>1</v>
      </c>
    </row>
    <row r="227" ht="22.5" customHeight="1">
      <c r="A227" s="13" t="str">
        <f>IFERROR(__xludf.DUMMYFUNCTION("""COMPUTED_VALUE"""),"MT501")</f>
        <v>MT501</v>
      </c>
      <c r="B227" s="13" t="str">
        <f>IFERROR(__xludf.DUMMYFUNCTION("""COMPUTED_VALUE"""),"NAX PREMILA MT501 STRONG RED 1L")</f>
        <v>NAX PREMILA MT501 STRONG RED 1L</v>
      </c>
      <c r="C227" s="16">
        <f>IFERROR(__xludf.DUMMYFUNCTION("""COMPUTED_VALUE"""),2048.0)</f>
        <v>2048</v>
      </c>
      <c r="D227" s="13" t="str">
        <f>IFERROR(__xludf.DUMMYFUNCTION("""COMPUTED_VALUE"""),"LTR/S")</f>
        <v>LTR/S</v>
      </c>
      <c r="E227" s="28">
        <f>IFERROR(__xludf.DUMMYFUNCTION("""COMPUTED_VALUE"""),4.0)</f>
        <v>4</v>
      </c>
      <c r="F227" s="52">
        <f>SUMIF(SALES!D:D, A227, SALES!H:H) + SUMIFS('STOCK IN  TRANSFER'!G:G, 'STOCK IN  TRANSFER'!D:D, A227, 'STOCK IN  TRANSFER'!F:F, "TRANSFER") + SUMIFS('STOCK IN  TRANSFER'!G:G, 'STOCK IN  TRANSFER'!D:D, A227, 'STOCK IN  TRANSFER'!F:F, "ADJUSTMENT (-)")</f>
        <v>0</v>
      </c>
      <c r="G227" s="52">
        <f>SUMIFS('STOCK IN  TRANSFER'!G:G, 'STOCK IN  TRANSFER'!D:D, A227, 'STOCK IN  TRANSFER'!F:F, "STOCK IN") + SUMIFS('STOCK IN  TRANSFER'!G:G, 'STOCK IN  TRANSFER'!D:D, A227, 'STOCK IN  TRANSFER'!F:F, "ADJUSTMENT (+)")</f>
        <v>4</v>
      </c>
    </row>
    <row r="228" ht="22.5" customHeight="1">
      <c r="A228" s="13" t="str">
        <f>IFERROR(__xludf.DUMMYFUNCTION("""COMPUTED_VALUE"""),"MT405")</f>
        <v>MT405</v>
      </c>
      <c r="B228" s="13" t="str">
        <f>IFERROR(__xludf.DUMMYFUNCTION("""COMPUTED_VALUE"""),"NAX PREMILA MT405 SUN ORANGE 1L")</f>
        <v>NAX PREMILA MT405 SUN ORANGE 1L</v>
      </c>
      <c r="C228" s="16">
        <f>IFERROR(__xludf.DUMMYFUNCTION("""COMPUTED_VALUE"""),1896.0)</f>
        <v>1896</v>
      </c>
      <c r="D228" s="13" t="str">
        <f>IFERROR(__xludf.DUMMYFUNCTION("""COMPUTED_VALUE"""),"LTR/S")</f>
        <v>LTR/S</v>
      </c>
      <c r="E228" s="28">
        <f>IFERROR(__xludf.DUMMYFUNCTION("""COMPUTED_VALUE"""),1.0)</f>
        <v>1</v>
      </c>
      <c r="F228" s="52">
        <f>SUMIF(SALES!D:D, A228, SALES!H:H) + SUMIFS('STOCK IN  TRANSFER'!G:G, 'STOCK IN  TRANSFER'!D:D, A228, 'STOCK IN  TRANSFER'!F:F, "TRANSFER") + SUMIFS('STOCK IN  TRANSFER'!G:G, 'STOCK IN  TRANSFER'!D:D, A228, 'STOCK IN  TRANSFER'!F:F, "ADJUSTMENT (-)")</f>
        <v>0</v>
      </c>
      <c r="G228" s="52">
        <f>SUMIFS('STOCK IN  TRANSFER'!G:G, 'STOCK IN  TRANSFER'!D:D, A228, 'STOCK IN  TRANSFER'!F:F, "STOCK IN") + SUMIFS('STOCK IN  TRANSFER'!G:G, 'STOCK IN  TRANSFER'!D:D, A228, 'STOCK IN  TRANSFER'!F:F, "ADJUSTMENT (+)")</f>
        <v>1</v>
      </c>
    </row>
    <row r="229" ht="22.5" customHeight="1">
      <c r="A229" s="13" t="str">
        <f>IFERROR(__xludf.DUMMYFUNCTION("""COMPUTED_VALUE"""),"MT401")</f>
        <v>MT401</v>
      </c>
      <c r="B229" s="13" t="str">
        <f>IFERROR(__xludf.DUMMYFUNCTION("""COMPUTED_VALUE"""),"NAX PREMILA MT401 MAXIM ORANGE 1L")</f>
        <v>NAX PREMILA MT401 MAXIM ORANGE 1L</v>
      </c>
      <c r="C229" s="16">
        <f>IFERROR(__xludf.DUMMYFUNCTION("""COMPUTED_VALUE"""),2426.0)</f>
        <v>2426</v>
      </c>
      <c r="D229" s="13" t="str">
        <f>IFERROR(__xludf.DUMMYFUNCTION("""COMPUTED_VALUE"""),"LTR/S")</f>
        <v>LTR/S</v>
      </c>
      <c r="E229" s="28">
        <f>IFERROR(__xludf.DUMMYFUNCTION("""COMPUTED_VALUE"""),2.0)</f>
        <v>2</v>
      </c>
      <c r="F229" s="52">
        <f>SUMIF(SALES!D:D, A229, SALES!H:H) + SUMIFS('STOCK IN  TRANSFER'!G:G, 'STOCK IN  TRANSFER'!D:D, A229, 'STOCK IN  TRANSFER'!F:F, "TRANSFER") + SUMIFS('STOCK IN  TRANSFER'!G:G, 'STOCK IN  TRANSFER'!D:D, A229, 'STOCK IN  TRANSFER'!F:F, "ADJUSTMENT (-)")</f>
        <v>0</v>
      </c>
      <c r="G229" s="52">
        <f>SUMIFS('STOCK IN  TRANSFER'!G:G, 'STOCK IN  TRANSFER'!D:D, A229, 'STOCK IN  TRANSFER'!F:F, "STOCK IN") + SUMIFS('STOCK IN  TRANSFER'!G:G, 'STOCK IN  TRANSFER'!D:D, A229, 'STOCK IN  TRANSFER'!F:F, "ADJUSTMENT (+)")</f>
        <v>2</v>
      </c>
    </row>
    <row r="230" ht="22.5" customHeight="1">
      <c r="A230" s="13" t="str">
        <f>IFERROR(__xludf.DUMMYFUNCTION("""COMPUTED_VALUE"""),"MT307")</f>
        <v>MT307</v>
      </c>
      <c r="B230" s="13" t="str">
        <f>IFERROR(__xludf.DUMMYFUNCTION("""COMPUTED_VALUE"""),"NAX PREMILA MT307 EXTRA YELLOW 1L")</f>
        <v>NAX PREMILA MT307 EXTRA YELLOW 1L</v>
      </c>
      <c r="C230" s="16">
        <f>IFERROR(__xludf.DUMMYFUNCTION("""COMPUTED_VALUE"""),2958.0)</f>
        <v>2958</v>
      </c>
      <c r="D230" s="13" t="str">
        <f>IFERROR(__xludf.DUMMYFUNCTION("""COMPUTED_VALUE"""),"LTR/S")</f>
        <v>LTR/S</v>
      </c>
      <c r="E230" s="28">
        <f>IFERROR(__xludf.DUMMYFUNCTION("""COMPUTED_VALUE"""),2.0)</f>
        <v>2</v>
      </c>
      <c r="F230" s="52">
        <f>SUMIF(SALES!D:D, A230, SALES!H:H) + SUMIFS('STOCK IN  TRANSFER'!G:G, 'STOCK IN  TRANSFER'!D:D, A230, 'STOCK IN  TRANSFER'!F:F, "TRANSFER") + SUMIFS('STOCK IN  TRANSFER'!G:G, 'STOCK IN  TRANSFER'!D:D, A230, 'STOCK IN  TRANSFER'!F:F, "ADJUSTMENT (-)")</f>
        <v>0</v>
      </c>
      <c r="G230" s="52">
        <f>SUMIFS('STOCK IN  TRANSFER'!G:G, 'STOCK IN  TRANSFER'!D:D, A230, 'STOCK IN  TRANSFER'!F:F, "STOCK IN") + SUMIFS('STOCK IN  TRANSFER'!G:G, 'STOCK IN  TRANSFER'!D:D, A230, 'STOCK IN  TRANSFER'!F:F, "ADJUSTMENT (+)")</f>
        <v>2</v>
      </c>
    </row>
    <row r="231" ht="22.5" customHeight="1">
      <c r="A231" s="13" t="str">
        <f>IFERROR(__xludf.DUMMYFUNCTION("""COMPUTED_VALUE"""),"MT305")</f>
        <v>MT305</v>
      </c>
      <c r="B231" s="13" t="str">
        <f>IFERROR(__xludf.DUMMYFUNCTION("""COMPUTED_VALUE"""),"NAX PREMILA MT305 NATURAL YELLOW 1L")</f>
        <v>NAX PREMILA MT305 NATURAL YELLOW 1L</v>
      </c>
      <c r="C231" s="16">
        <f>IFERROR(__xludf.DUMMYFUNCTION("""COMPUTED_VALUE"""),1744.0)</f>
        <v>1744</v>
      </c>
      <c r="D231" s="13" t="str">
        <f>IFERROR(__xludf.DUMMYFUNCTION("""COMPUTED_VALUE"""),"LTR/S")</f>
        <v>LTR/S</v>
      </c>
      <c r="E231" s="28">
        <f>IFERROR(__xludf.DUMMYFUNCTION("""COMPUTED_VALUE"""),2.0)</f>
        <v>2</v>
      </c>
      <c r="F231" s="52">
        <f>SUMIF(SALES!D:D, A231, SALES!H:H) + SUMIFS('STOCK IN  TRANSFER'!G:G, 'STOCK IN  TRANSFER'!D:D, A231, 'STOCK IN  TRANSFER'!F:F, "TRANSFER") + SUMIFS('STOCK IN  TRANSFER'!G:G, 'STOCK IN  TRANSFER'!D:D, A231, 'STOCK IN  TRANSFER'!F:F, "ADJUSTMENT (-)")</f>
        <v>0</v>
      </c>
      <c r="G231" s="52">
        <f>SUMIFS('STOCK IN  TRANSFER'!G:G, 'STOCK IN  TRANSFER'!D:D, A231, 'STOCK IN  TRANSFER'!F:F, "STOCK IN") + SUMIFS('STOCK IN  TRANSFER'!G:G, 'STOCK IN  TRANSFER'!D:D, A231, 'STOCK IN  TRANSFER'!F:F, "ADJUSTMENT (+)")</f>
        <v>2</v>
      </c>
    </row>
    <row r="232" ht="22.5" customHeight="1">
      <c r="A232" s="13" t="str">
        <f>IFERROR(__xludf.DUMMYFUNCTION("""COMPUTED_VALUE"""),"MT304")</f>
        <v>MT304</v>
      </c>
      <c r="B232" s="13" t="str">
        <f>IFERROR(__xludf.DUMMYFUNCTION("""COMPUTED_VALUE"""),"NAX PREMILA MT304 GAILY YELLOW 1L")</f>
        <v>NAX PREMILA MT304 GAILY YELLOW 1L</v>
      </c>
      <c r="C232" s="16">
        <f>IFERROR(__xludf.DUMMYFUNCTION("""COMPUTED_VALUE"""),3600.0)</f>
        <v>3600</v>
      </c>
      <c r="D232" s="13" t="str">
        <f>IFERROR(__xludf.DUMMYFUNCTION("""COMPUTED_VALUE"""),"LTR/S")</f>
        <v>LTR/S</v>
      </c>
      <c r="E232" s="28">
        <f>IFERROR(__xludf.DUMMYFUNCTION("""COMPUTED_VALUE"""),2.0)</f>
        <v>2</v>
      </c>
      <c r="F232" s="52">
        <f>SUMIF(SALES!D:D, A232, SALES!H:H) + SUMIFS('STOCK IN  TRANSFER'!G:G, 'STOCK IN  TRANSFER'!D:D, A232, 'STOCK IN  TRANSFER'!F:F, "TRANSFER") + SUMIFS('STOCK IN  TRANSFER'!G:G, 'STOCK IN  TRANSFER'!D:D, A232, 'STOCK IN  TRANSFER'!F:F, "ADJUSTMENT (-)")</f>
        <v>0</v>
      </c>
      <c r="G232" s="52">
        <f>SUMIFS('STOCK IN  TRANSFER'!G:G, 'STOCK IN  TRANSFER'!D:D, A232, 'STOCK IN  TRANSFER'!F:F, "STOCK IN") + SUMIFS('STOCK IN  TRANSFER'!G:G, 'STOCK IN  TRANSFER'!D:D, A232, 'STOCK IN  TRANSFER'!F:F, "ADJUSTMENT (+)")</f>
        <v>2</v>
      </c>
    </row>
    <row r="233" ht="22.5" customHeight="1">
      <c r="A233" s="13" t="str">
        <f>IFERROR(__xludf.DUMMYFUNCTION("""COMPUTED_VALUE"""),"MT303")</f>
        <v>MT303</v>
      </c>
      <c r="B233" s="13" t="str">
        <f>IFERROR(__xludf.DUMMYFUNCTION("""COMPUTED_VALUE"""),"NAX PREMILA MT303 FINE YELLOW 1L")</f>
        <v>NAX PREMILA MT303 FINE YELLOW 1L</v>
      </c>
      <c r="C233" s="16">
        <f>IFERROR(__xludf.DUMMYFUNCTION("""COMPUTED_VALUE"""),1896.0)</f>
        <v>1896</v>
      </c>
      <c r="D233" s="13" t="str">
        <f>IFERROR(__xludf.DUMMYFUNCTION("""COMPUTED_VALUE"""),"LTR/S")</f>
        <v>LTR/S</v>
      </c>
      <c r="E233" s="28">
        <f>IFERROR(__xludf.DUMMYFUNCTION("""COMPUTED_VALUE"""),1.0)</f>
        <v>1</v>
      </c>
      <c r="F233" s="52">
        <f>SUMIF(SALES!D:D, A233, SALES!H:H) + SUMIFS('STOCK IN  TRANSFER'!G:G, 'STOCK IN  TRANSFER'!D:D, A233, 'STOCK IN  TRANSFER'!F:F, "TRANSFER") + SUMIFS('STOCK IN  TRANSFER'!G:G, 'STOCK IN  TRANSFER'!D:D, A233, 'STOCK IN  TRANSFER'!F:F, "ADJUSTMENT (-)")</f>
        <v>0</v>
      </c>
      <c r="G233" s="52">
        <f>SUMIFS('STOCK IN  TRANSFER'!G:G, 'STOCK IN  TRANSFER'!D:D, A233, 'STOCK IN  TRANSFER'!F:F, "STOCK IN") + SUMIFS('STOCK IN  TRANSFER'!G:G, 'STOCK IN  TRANSFER'!D:D, A233, 'STOCK IN  TRANSFER'!F:F, "ADJUSTMENT (+)")</f>
        <v>1</v>
      </c>
    </row>
    <row r="234" ht="22.5" customHeight="1">
      <c r="A234" s="13" t="str">
        <f>IFERROR(__xludf.DUMMYFUNCTION("""COMPUTED_VALUE"""),"MT302")</f>
        <v>MT302</v>
      </c>
      <c r="B234" s="13" t="str">
        <f>IFERROR(__xludf.DUMMYFUNCTION("""COMPUTED_VALUE"""),"NAX PREMILA MT302 JEWEL YELLOW 1L")</f>
        <v>NAX PREMILA MT302 JEWEL YELLOW 1L</v>
      </c>
      <c r="C234" s="16">
        <f>IFERROR(__xludf.DUMMYFUNCTION("""COMPUTED_VALUE"""),1896.0)</f>
        <v>1896</v>
      </c>
      <c r="D234" s="13" t="str">
        <f>IFERROR(__xludf.DUMMYFUNCTION("""COMPUTED_VALUE"""),"LTR/S")</f>
        <v>LTR/S</v>
      </c>
      <c r="E234" s="28">
        <f>IFERROR(__xludf.DUMMYFUNCTION("""COMPUTED_VALUE"""),2.0)</f>
        <v>2</v>
      </c>
      <c r="F234" s="52">
        <f>SUMIF(SALES!D:D, A234, SALES!H:H) + SUMIFS('STOCK IN  TRANSFER'!G:G, 'STOCK IN  TRANSFER'!D:D, A234, 'STOCK IN  TRANSFER'!F:F, "TRANSFER") + SUMIFS('STOCK IN  TRANSFER'!G:G, 'STOCK IN  TRANSFER'!D:D, A234, 'STOCK IN  TRANSFER'!F:F, "ADJUSTMENT (-)")</f>
        <v>0</v>
      </c>
      <c r="G234" s="52">
        <f>SUMIFS('STOCK IN  TRANSFER'!G:G, 'STOCK IN  TRANSFER'!D:D, A234, 'STOCK IN  TRANSFER'!F:F, "STOCK IN") + SUMIFS('STOCK IN  TRANSFER'!G:G, 'STOCK IN  TRANSFER'!D:D, A234, 'STOCK IN  TRANSFER'!F:F, "ADJUSTMENT (+)")</f>
        <v>2</v>
      </c>
    </row>
    <row r="235" ht="22.5" customHeight="1">
      <c r="A235" s="13" t="str">
        <f>IFERROR(__xludf.DUMMYFUNCTION("""COMPUTED_VALUE"""),"MT301")</f>
        <v>MT301</v>
      </c>
      <c r="B235" s="13" t="str">
        <f>IFERROR(__xludf.DUMMYFUNCTION("""COMPUTED_VALUE"""),"NAX PREMILA MT301 MAPICO YELLOW 1L")</f>
        <v>NAX PREMILA MT301 MAPICO YELLOW 1L</v>
      </c>
      <c r="C235" s="16">
        <f>IFERROR(__xludf.DUMMYFUNCTION("""COMPUTED_VALUE"""),1896.0)</f>
        <v>1896</v>
      </c>
      <c r="D235" s="13" t="str">
        <f>IFERROR(__xludf.DUMMYFUNCTION("""COMPUTED_VALUE"""),"LTR/S")</f>
        <v>LTR/S</v>
      </c>
      <c r="E235" s="28">
        <f>IFERROR(__xludf.DUMMYFUNCTION("""COMPUTED_VALUE"""),3.0)</f>
        <v>3</v>
      </c>
      <c r="F235" s="52">
        <f>SUMIF(SALES!D:D, A235, SALES!H:H) + SUMIFS('STOCK IN  TRANSFER'!G:G, 'STOCK IN  TRANSFER'!D:D, A235, 'STOCK IN  TRANSFER'!F:F, "TRANSFER") + SUMIFS('STOCK IN  TRANSFER'!G:G, 'STOCK IN  TRANSFER'!D:D, A235, 'STOCK IN  TRANSFER'!F:F, "ADJUSTMENT (-)")</f>
        <v>0</v>
      </c>
      <c r="G235" s="52">
        <f>SUMIFS('STOCK IN  TRANSFER'!G:G, 'STOCK IN  TRANSFER'!D:D, A235, 'STOCK IN  TRANSFER'!F:F, "STOCK IN") + SUMIFS('STOCK IN  TRANSFER'!G:G, 'STOCK IN  TRANSFER'!D:D, A235, 'STOCK IN  TRANSFER'!F:F, "ADJUSTMENT (+)")</f>
        <v>3</v>
      </c>
    </row>
    <row r="236" ht="22.5" customHeight="1">
      <c r="A236" s="13" t="str">
        <f>IFERROR(__xludf.DUMMYFUNCTION("""COMPUTED_VALUE"""),"MT203")</f>
        <v>MT203</v>
      </c>
      <c r="B236" s="13" t="str">
        <f>IFERROR(__xludf.DUMMYFUNCTION("""COMPUTED_VALUE"""),"NAX PREMILA MT203 DEEP BLACK 1L")</f>
        <v>NAX PREMILA MT203 DEEP BLACK 1L</v>
      </c>
      <c r="C236" s="16">
        <f>IFERROR(__xludf.DUMMYFUNCTION("""COMPUTED_VALUE"""),1668.0)</f>
        <v>1668</v>
      </c>
      <c r="D236" s="13" t="str">
        <f>IFERROR(__xludf.DUMMYFUNCTION("""COMPUTED_VALUE"""),"LTR/S")</f>
        <v>LTR/S</v>
      </c>
      <c r="E236" s="28">
        <f>IFERROR(__xludf.DUMMYFUNCTION("""COMPUTED_VALUE"""),-1.0)</f>
        <v>-1</v>
      </c>
      <c r="F236" s="52">
        <f>SUMIF(SALES!D:D, A236, SALES!H:H) + SUMIFS('STOCK IN  TRANSFER'!G:G, 'STOCK IN  TRANSFER'!D:D, A236, 'STOCK IN  TRANSFER'!F:F, "TRANSFER") + SUMIFS('STOCK IN  TRANSFER'!G:G, 'STOCK IN  TRANSFER'!D:D, A236, 'STOCK IN  TRANSFER'!F:F, "ADJUSTMENT (-)")</f>
        <v>7</v>
      </c>
      <c r="G236" s="52">
        <f>SUMIFS('STOCK IN  TRANSFER'!G:G, 'STOCK IN  TRANSFER'!D:D, A236, 'STOCK IN  TRANSFER'!F:F, "STOCK IN") + SUMIFS('STOCK IN  TRANSFER'!G:G, 'STOCK IN  TRANSFER'!D:D, A236, 'STOCK IN  TRANSFER'!F:F, "ADJUSTMENT (+)")</f>
        <v>6</v>
      </c>
    </row>
    <row r="237" ht="22.5" customHeight="1">
      <c r="A237" s="13" t="str">
        <f>IFERROR(__xludf.DUMMYFUNCTION("""COMPUTED_VALUE"""),"MT202-1L")</f>
        <v>MT202-1L</v>
      </c>
      <c r="B237" s="13" t="str">
        <f>IFERROR(__xludf.DUMMYFUNCTION("""COMPUTED_VALUE"""),"NAX PREMILA MT202 TINTING BLACK NP 1L")</f>
        <v>NAX PREMILA MT202 TINTING BLACK NP 1L</v>
      </c>
      <c r="C237" s="16">
        <f>IFERROR(__xludf.DUMMYFUNCTION("""COMPUTED_VALUE"""),1090.0)</f>
        <v>1090</v>
      </c>
      <c r="D237" s="13" t="str">
        <f>IFERROR(__xludf.DUMMYFUNCTION("""COMPUTED_VALUE"""),"LTR/S")</f>
        <v>LTR/S</v>
      </c>
      <c r="E237" s="28">
        <f>IFERROR(__xludf.DUMMYFUNCTION("""COMPUTED_VALUE"""),2.0)</f>
        <v>2</v>
      </c>
      <c r="F237" s="52">
        <f>SUMIF(SALES!D:D, A237, SALES!H:H) + SUMIFS('STOCK IN  TRANSFER'!G:G, 'STOCK IN  TRANSFER'!D:D, A237, 'STOCK IN  TRANSFER'!F:F, "TRANSFER") + SUMIFS('STOCK IN  TRANSFER'!G:G, 'STOCK IN  TRANSFER'!D:D, A237, 'STOCK IN  TRANSFER'!F:F, "ADJUSTMENT (-)")</f>
        <v>3</v>
      </c>
      <c r="G237" s="52">
        <f>SUMIFS('STOCK IN  TRANSFER'!G:G, 'STOCK IN  TRANSFER'!D:D, A237, 'STOCK IN  TRANSFER'!F:F, "STOCK IN") + SUMIFS('STOCK IN  TRANSFER'!G:G, 'STOCK IN  TRANSFER'!D:D, A237, 'STOCK IN  TRANSFER'!F:F, "ADJUSTMENT (+)")</f>
        <v>5</v>
      </c>
    </row>
    <row r="238" ht="22.5" customHeight="1">
      <c r="A238" s="13" t="str">
        <f>IFERROR(__xludf.DUMMYFUNCTION("""COMPUTED_VALUE"""),"MT201")</f>
        <v>MT201</v>
      </c>
      <c r="B238" s="13" t="str">
        <f>IFERROR(__xludf.DUMMYFUNCTION("""COMPUTED_VALUE"""),"NAX PREMILA MT201 BLUE BLACK 1L")</f>
        <v>NAX PREMILA MT201 BLUE BLACK 1L</v>
      </c>
      <c r="C238" s="16">
        <f>IFERROR(__xludf.DUMMYFUNCTION("""COMPUTED_VALUE"""),1090.0)</f>
        <v>1090</v>
      </c>
      <c r="D238" s="13" t="str">
        <f>IFERROR(__xludf.DUMMYFUNCTION("""COMPUTED_VALUE"""),"LTR/S")</f>
        <v>LTR/S</v>
      </c>
      <c r="E238" s="28">
        <f>IFERROR(__xludf.DUMMYFUNCTION("""COMPUTED_VALUE"""),4.0)</f>
        <v>4</v>
      </c>
      <c r="F238" s="52">
        <f>SUMIF(SALES!D:D, A238, SALES!H:H) + SUMIFS('STOCK IN  TRANSFER'!G:G, 'STOCK IN  TRANSFER'!D:D, A238, 'STOCK IN  TRANSFER'!F:F, "TRANSFER") + SUMIFS('STOCK IN  TRANSFER'!G:G, 'STOCK IN  TRANSFER'!D:D, A238, 'STOCK IN  TRANSFER'!F:F, "ADJUSTMENT (-)")</f>
        <v>0</v>
      </c>
      <c r="G238" s="52">
        <f>SUMIFS('STOCK IN  TRANSFER'!G:G, 'STOCK IN  TRANSFER'!D:D, A238, 'STOCK IN  TRANSFER'!F:F, "STOCK IN") + SUMIFS('STOCK IN  TRANSFER'!G:G, 'STOCK IN  TRANSFER'!D:D, A238, 'STOCK IN  TRANSFER'!F:F, "ADJUSTMENT (+)")</f>
        <v>4</v>
      </c>
    </row>
    <row r="239" ht="22.5" customHeight="1">
      <c r="A239" s="13" t="str">
        <f>IFERROR(__xludf.DUMMYFUNCTION("""COMPUTED_VALUE"""),"MT175")</f>
        <v>MT175</v>
      </c>
      <c r="B239" s="13" t="str">
        <f>IFERROR(__xludf.DUMMYFUNCTION("""COMPUTED_VALUE"""),"NAX PREMILA MT175 GRAPHITE 1L")</f>
        <v>NAX PREMILA MT175 GRAPHITE 1L</v>
      </c>
      <c r="C239" s="16">
        <f>IFERROR(__xludf.DUMMYFUNCTION("""COMPUTED_VALUE"""),1896.0)</f>
        <v>1896</v>
      </c>
      <c r="D239" s="13" t="str">
        <f>IFERROR(__xludf.DUMMYFUNCTION("""COMPUTED_VALUE"""),"LTR/S")</f>
        <v>LTR/S</v>
      </c>
      <c r="E239" s="28">
        <f>IFERROR(__xludf.DUMMYFUNCTION("""COMPUTED_VALUE"""),2.0)</f>
        <v>2</v>
      </c>
      <c r="F239" s="52">
        <f>SUMIF(SALES!D:D, A239, SALES!H:H) + SUMIFS('STOCK IN  TRANSFER'!G:G, 'STOCK IN  TRANSFER'!D:D, A239, 'STOCK IN  TRANSFER'!F:F, "TRANSFER") + SUMIFS('STOCK IN  TRANSFER'!G:G, 'STOCK IN  TRANSFER'!D:D, A239, 'STOCK IN  TRANSFER'!F:F, "ADJUSTMENT (-)")</f>
        <v>0</v>
      </c>
      <c r="G239" s="52">
        <f>SUMIFS('STOCK IN  TRANSFER'!G:G, 'STOCK IN  TRANSFER'!D:D, A239, 'STOCK IN  TRANSFER'!F:F, "STOCK IN") + SUMIFS('STOCK IN  TRANSFER'!G:G, 'STOCK IN  TRANSFER'!D:D, A239, 'STOCK IN  TRANSFER'!F:F, "ADJUSTMENT (+)")</f>
        <v>2</v>
      </c>
    </row>
    <row r="240" ht="22.5" customHeight="1">
      <c r="A240" s="13" t="str">
        <f>IFERROR(__xludf.DUMMYFUNCTION("""COMPUTED_VALUE"""),"MT172")</f>
        <v>MT172</v>
      </c>
      <c r="B240" s="13" t="str">
        <f>IFERROR(__xludf.DUMMYFUNCTION("""COMPUTED_VALUE"""),"NAX PREMILA MT172 OPAL COLOR 1L")</f>
        <v>NAX PREMILA MT172 OPAL COLOR 1L</v>
      </c>
      <c r="C240" s="16">
        <f>IFERROR(__xludf.DUMMYFUNCTION("""COMPUTED_VALUE"""),2996.0)</f>
        <v>2996</v>
      </c>
      <c r="D240" s="13" t="str">
        <f>IFERROR(__xludf.DUMMYFUNCTION("""COMPUTED_VALUE"""),"LTR/S")</f>
        <v>LTR/S</v>
      </c>
      <c r="E240" s="28">
        <f>IFERROR(__xludf.DUMMYFUNCTION("""COMPUTED_VALUE"""),3.0)</f>
        <v>3</v>
      </c>
      <c r="F240" s="52">
        <f>SUMIF(SALES!D:D, A240, SALES!H:H) + SUMIFS('STOCK IN  TRANSFER'!G:G, 'STOCK IN  TRANSFER'!D:D, A240, 'STOCK IN  TRANSFER'!F:F, "TRANSFER") + SUMIFS('STOCK IN  TRANSFER'!G:G, 'STOCK IN  TRANSFER'!D:D, A240, 'STOCK IN  TRANSFER'!F:F, "ADJUSTMENT (-)")</f>
        <v>0</v>
      </c>
      <c r="G240" s="52">
        <f>SUMIFS('STOCK IN  TRANSFER'!G:G, 'STOCK IN  TRANSFER'!D:D, A240, 'STOCK IN  TRANSFER'!F:F, "STOCK IN") + SUMIFS('STOCK IN  TRANSFER'!G:G, 'STOCK IN  TRANSFER'!D:D, A240, 'STOCK IN  TRANSFER'!F:F, "ADJUSTMENT (+)")</f>
        <v>3</v>
      </c>
    </row>
    <row r="241" ht="22.5" customHeight="1">
      <c r="A241" s="13" t="str">
        <f>IFERROR(__xludf.DUMMYFUNCTION("""COMPUTED_VALUE"""),"MT170")</f>
        <v>MT170</v>
      </c>
      <c r="B241" s="13" t="str">
        <f>IFERROR(__xludf.DUMMYFUNCTION("""COMPUTED_VALUE"""),"NAX PREMILA MT170 OPAL COLOR LS 1L")</f>
        <v>NAX PREMILA MT170 OPAL COLOR LS 1L</v>
      </c>
      <c r="C241" s="16">
        <f>IFERROR(__xludf.DUMMYFUNCTION("""COMPUTED_VALUE"""),1376.0)</f>
        <v>1376</v>
      </c>
      <c r="D241" s="13" t="str">
        <f>IFERROR(__xludf.DUMMYFUNCTION("""COMPUTED_VALUE"""),"LTR/S")</f>
        <v>LTR/S</v>
      </c>
      <c r="E241" s="28">
        <f>IFERROR(__xludf.DUMMYFUNCTION("""COMPUTED_VALUE"""),2.0)</f>
        <v>2</v>
      </c>
      <c r="F241" s="52">
        <f>SUMIF(SALES!D:D, A241, SALES!H:H) + SUMIFS('STOCK IN  TRANSFER'!G:G, 'STOCK IN  TRANSFER'!D:D, A241, 'STOCK IN  TRANSFER'!F:F, "TRANSFER") + SUMIFS('STOCK IN  TRANSFER'!G:G, 'STOCK IN  TRANSFER'!D:D, A241, 'STOCK IN  TRANSFER'!F:F, "ADJUSTMENT (-)")</f>
        <v>0</v>
      </c>
      <c r="G241" s="52">
        <f>SUMIFS('STOCK IN  TRANSFER'!G:G, 'STOCK IN  TRANSFER'!D:D, A241, 'STOCK IN  TRANSFER'!F:F, "STOCK IN") + SUMIFS('STOCK IN  TRANSFER'!G:G, 'STOCK IN  TRANSFER'!D:D, A241, 'STOCK IN  TRANSFER'!F:F, "ADJUSTMENT (+)")</f>
        <v>2</v>
      </c>
    </row>
    <row r="242" ht="22.5" customHeight="1">
      <c r="A242" s="13" t="str">
        <f>IFERROR(__xludf.DUMMYFUNCTION("""COMPUTED_VALUE"""),"MT136")</f>
        <v>MT136</v>
      </c>
      <c r="B242" s="13" t="str">
        <f>IFERROR(__xludf.DUMMYFUNCTION("""COMPUTED_VALUE"""),"NAX PREMILA MT136 METALLIC ORANGE 1L")</f>
        <v>NAX PREMILA MT136 METALLIC ORANGE 1L</v>
      </c>
      <c r="C242" s="16">
        <f>IFERROR(__xludf.DUMMYFUNCTION("""COMPUTED_VALUE"""),5050.0)</f>
        <v>5050</v>
      </c>
      <c r="D242" s="13" t="str">
        <f>IFERROR(__xludf.DUMMYFUNCTION("""COMPUTED_VALUE"""),"LTR/S")</f>
        <v>LTR/S</v>
      </c>
      <c r="E242" s="28">
        <f>IFERROR(__xludf.DUMMYFUNCTION("""COMPUTED_VALUE"""),0.0)</f>
        <v>0</v>
      </c>
      <c r="F242" s="52">
        <f>SUMIF(SALES!D:D, A242, SALES!H:H) + SUMIFS('STOCK IN  TRANSFER'!G:G, 'STOCK IN  TRANSFER'!D:D, A242, 'STOCK IN  TRANSFER'!F:F, "TRANSFER") + SUMIFS('STOCK IN  TRANSFER'!G:G, 'STOCK IN  TRANSFER'!D:D, A242, 'STOCK IN  TRANSFER'!F:F, "ADJUSTMENT (-)")</f>
        <v>2</v>
      </c>
      <c r="G242" s="52">
        <f>SUMIFS('STOCK IN  TRANSFER'!G:G, 'STOCK IN  TRANSFER'!D:D, A242, 'STOCK IN  TRANSFER'!F:F, "STOCK IN") + SUMIFS('STOCK IN  TRANSFER'!G:G, 'STOCK IN  TRANSFER'!D:D, A242, 'STOCK IN  TRANSFER'!F:F, "ADJUSTMENT (+)")</f>
        <v>2</v>
      </c>
    </row>
    <row r="243" ht="22.5" customHeight="1">
      <c r="A243" s="13" t="str">
        <f>IFERROR(__xludf.DUMMYFUNCTION("""COMPUTED_VALUE"""),"MT134")</f>
        <v>MT134</v>
      </c>
      <c r="B243" s="13" t="str">
        <f>IFERROR(__xludf.DUMMYFUNCTION("""COMPUTED_VALUE"""),"NAX PREMILA MT134 METALLIC GOLD 1L")</f>
        <v>NAX PREMILA MT134 METALLIC GOLD 1L</v>
      </c>
      <c r="C243" s="16">
        <f>IFERROR(__xludf.DUMMYFUNCTION("""COMPUTED_VALUE"""),3600.0)</f>
        <v>3600</v>
      </c>
      <c r="D243" s="13" t="str">
        <f>IFERROR(__xludf.DUMMYFUNCTION("""COMPUTED_VALUE"""),"LTR/S")</f>
        <v>LTR/S</v>
      </c>
      <c r="E243" s="28">
        <f>IFERROR(__xludf.DUMMYFUNCTION("""COMPUTED_VALUE"""),3.0)</f>
        <v>3</v>
      </c>
      <c r="F243" s="52">
        <f>SUMIF(SALES!D:D, A243, SALES!H:H) + SUMIFS('STOCK IN  TRANSFER'!G:G, 'STOCK IN  TRANSFER'!D:D, A243, 'STOCK IN  TRANSFER'!F:F, "TRANSFER") + SUMIFS('STOCK IN  TRANSFER'!G:G, 'STOCK IN  TRANSFER'!D:D, A243, 'STOCK IN  TRANSFER'!F:F, "ADJUSTMENT (-)")</f>
        <v>0</v>
      </c>
      <c r="G243" s="52">
        <f>SUMIFS('STOCK IN  TRANSFER'!G:G, 'STOCK IN  TRANSFER'!D:D, A243, 'STOCK IN  TRANSFER'!F:F, "STOCK IN") + SUMIFS('STOCK IN  TRANSFER'!G:G, 'STOCK IN  TRANSFER'!D:D, A243, 'STOCK IN  TRANSFER'!F:F, "ADJUSTMENT (+)")</f>
        <v>3</v>
      </c>
    </row>
    <row r="244" ht="22.5" customHeight="1">
      <c r="A244" s="13" t="str">
        <f>IFERROR(__xludf.DUMMYFUNCTION("""COMPUTED_VALUE"""),"MT103")</f>
        <v>MT103</v>
      </c>
      <c r="B244" s="13" t="str">
        <f>IFERROR(__xludf.DUMMYFUNCTION("""COMPUTED_VALUE"""),"NAX PREMILA MT103 WHITE LS 1L")</f>
        <v>NAX PREMILA MT103 WHITE LS 1L</v>
      </c>
      <c r="C244" s="16">
        <f>IFERROR(__xludf.DUMMYFUNCTION("""COMPUTED_VALUE"""),1090.0)</f>
        <v>1090</v>
      </c>
      <c r="D244" s="13" t="str">
        <f>IFERROR(__xludf.DUMMYFUNCTION("""COMPUTED_VALUE"""),"LTR/S")</f>
        <v>LTR/S</v>
      </c>
      <c r="E244" s="28">
        <f>IFERROR(__xludf.DUMMYFUNCTION("""COMPUTED_VALUE"""),2.0)</f>
        <v>2</v>
      </c>
      <c r="F244" s="52">
        <f>SUMIF(SALES!D:D, A244, SALES!H:H) + SUMIFS('STOCK IN  TRANSFER'!G:G, 'STOCK IN  TRANSFER'!D:D, A244, 'STOCK IN  TRANSFER'!F:F, "TRANSFER") + SUMIFS('STOCK IN  TRANSFER'!G:G, 'STOCK IN  TRANSFER'!D:D, A244, 'STOCK IN  TRANSFER'!F:F, "ADJUSTMENT (-)")</f>
        <v>1</v>
      </c>
      <c r="G244" s="52">
        <f>SUMIFS('STOCK IN  TRANSFER'!G:G, 'STOCK IN  TRANSFER'!D:D, A244, 'STOCK IN  TRANSFER'!F:F, "STOCK IN") + SUMIFS('STOCK IN  TRANSFER'!G:G, 'STOCK IN  TRANSFER'!D:D, A244, 'STOCK IN  TRANSFER'!F:F, "ADJUSTMENT (+)")</f>
        <v>3</v>
      </c>
    </row>
    <row r="245" ht="22.5" customHeight="1">
      <c r="A245" s="13" t="str">
        <f>IFERROR(__xludf.DUMMYFUNCTION("""COMPUTED_VALUE"""),"MT100-4L")</f>
        <v>MT100-4L</v>
      </c>
      <c r="B245" s="13" t="str">
        <f>IFERROR(__xludf.DUMMYFUNCTION("""COMPUTED_VALUE"""),"NAX PREMILA MT100 WHITE HS 4L")</f>
        <v>NAX PREMILA MT100 WHITE HS 4L</v>
      </c>
      <c r="C245" s="16">
        <f>IFERROR(__xludf.DUMMYFUNCTION("""COMPUTED_VALUE"""),4160.0)</f>
        <v>4160</v>
      </c>
      <c r="D245" s="13" t="str">
        <f>IFERROR(__xludf.DUMMYFUNCTION("""COMPUTED_VALUE"""),"GAL/S")</f>
        <v>GAL/S</v>
      </c>
      <c r="E245" s="28">
        <f>IFERROR(__xludf.DUMMYFUNCTION("""COMPUTED_VALUE"""),1.0)</f>
        <v>1</v>
      </c>
      <c r="F245" s="52">
        <f>SUMIF(SALES!D:D, A245, SALES!H:H) + SUMIFS('STOCK IN  TRANSFER'!G:G, 'STOCK IN  TRANSFER'!D:D, A245, 'STOCK IN  TRANSFER'!F:F, "TRANSFER") + SUMIFS('STOCK IN  TRANSFER'!G:G, 'STOCK IN  TRANSFER'!D:D, A245, 'STOCK IN  TRANSFER'!F:F, "ADJUSTMENT (-)")</f>
        <v>2</v>
      </c>
      <c r="G245" s="52">
        <f>SUMIFS('STOCK IN  TRANSFER'!G:G, 'STOCK IN  TRANSFER'!D:D, A245, 'STOCK IN  TRANSFER'!F:F, "STOCK IN") + SUMIFS('STOCK IN  TRANSFER'!G:G, 'STOCK IN  TRANSFER'!D:D, A245, 'STOCK IN  TRANSFER'!F:F, "ADJUSTMENT (+)")</f>
        <v>3</v>
      </c>
    </row>
    <row r="246" ht="22.5" customHeight="1">
      <c r="A246" s="13" t="str">
        <f>IFERROR(__xludf.DUMMYFUNCTION("""COMPUTED_VALUE"""),"MT100-1L")</f>
        <v>MT100-1L</v>
      </c>
      <c r="B246" s="13" t="str">
        <f>IFERROR(__xludf.DUMMYFUNCTION("""COMPUTED_VALUE"""),"NAX PREMILA MT100 WHITE HS 1L")</f>
        <v>NAX PREMILA MT100 WHITE HS 1L</v>
      </c>
      <c r="C246" s="16">
        <f>IFERROR(__xludf.DUMMYFUNCTION("""COMPUTED_VALUE"""),1090.0)</f>
        <v>1090</v>
      </c>
      <c r="D246" s="13" t="str">
        <f>IFERROR(__xludf.DUMMYFUNCTION("""COMPUTED_VALUE"""),"LTR/S")</f>
        <v>LTR/S</v>
      </c>
      <c r="E246" s="28">
        <f>IFERROR(__xludf.DUMMYFUNCTION("""COMPUTED_VALUE"""),2.0)</f>
        <v>2</v>
      </c>
      <c r="F246" s="52">
        <f>SUMIF(SALES!D:D, A246, SALES!H:H) + SUMIFS('STOCK IN  TRANSFER'!G:G, 'STOCK IN  TRANSFER'!D:D, A246, 'STOCK IN  TRANSFER'!F:F, "TRANSFER") + SUMIFS('STOCK IN  TRANSFER'!G:G, 'STOCK IN  TRANSFER'!D:D, A246, 'STOCK IN  TRANSFER'!F:F, "ADJUSTMENT (-)")</f>
        <v>4</v>
      </c>
      <c r="G246" s="52">
        <f>SUMIFS('STOCK IN  TRANSFER'!G:G, 'STOCK IN  TRANSFER'!D:D, A246, 'STOCK IN  TRANSFER'!F:F, "STOCK IN") + SUMIFS('STOCK IN  TRANSFER'!G:G, 'STOCK IN  TRANSFER'!D:D, A246, 'STOCK IN  TRANSFER'!F:F, "ADJUSTMENT (+)")</f>
        <v>6</v>
      </c>
    </row>
    <row r="247" ht="22.5" customHeight="1">
      <c r="A247" s="13" t="str">
        <f>IFERROR(__xludf.DUMMYFUNCTION("""COMPUTED_VALUE"""),"MT096")</f>
        <v>MT096</v>
      </c>
      <c r="B247" s="13" t="str">
        <f>IFERROR(__xludf.DUMMYFUNCTION("""COMPUTED_VALUE"""),"NAX PREMILA MT096 MICA BASE 3M CRYSTAL SILVER 1L")</f>
        <v>NAX PREMILA MT096 MICA BASE 3M CRYSTAL SILVER 1L</v>
      </c>
      <c r="C247" s="16">
        <f>IFERROR(__xludf.DUMMYFUNCTION("""COMPUTED_VALUE"""),6000.0)</f>
        <v>6000</v>
      </c>
      <c r="D247" s="13" t="str">
        <f>IFERROR(__xludf.DUMMYFUNCTION("""COMPUTED_VALUE"""),"LTR/S")</f>
        <v>LTR/S</v>
      </c>
      <c r="E247" s="28">
        <f>IFERROR(__xludf.DUMMYFUNCTION("""COMPUTED_VALUE"""),0.0)</f>
        <v>0</v>
      </c>
      <c r="F247" s="52">
        <f>SUMIF(SALES!D:D, A247, SALES!H:H) + SUMIFS('STOCK IN  TRANSFER'!G:G, 'STOCK IN  TRANSFER'!D:D, A247, 'STOCK IN  TRANSFER'!F:F, "TRANSFER") + SUMIFS('STOCK IN  TRANSFER'!G:G, 'STOCK IN  TRANSFER'!D:D, A247, 'STOCK IN  TRANSFER'!F:F, "ADJUSTMENT (-)")</f>
        <v>3</v>
      </c>
      <c r="G247" s="52">
        <f>SUMIFS('STOCK IN  TRANSFER'!G:G, 'STOCK IN  TRANSFER'!D:D, A247, 'STOCK IN  TRANSFER'!F:F, "STOCK IN") + SUMIFS('STOCK IN  TRANSFER'!G:G, 'STOCK IN  TRANSFER'!D:D, A247, 'STOCK IN  TRANSFER'!F:F, "ADJUSTMENT (+)")</f>
        <v>3</v>
      </c>
    </row>
    <row r="248" ht="22.5" customHeight="1">
      <c r="A248" s="13" t="str">
        <f>IFERROR(__xludf.DUMMYFUNCTION("""COMPUTED_VALUE"""),"MT093")</f>
        <v>MT093</v>
      </c>
      <c r="B248" s="13" t="str">
        <f>IFERROR(__xludf.DUMMYFUNCTION("""COMPUTED_VALUE"""),"NAX PREMILA MT093 MICA BASE 5G BLUE GREEN 1L")</f>
        <v>NAX PREMILA MT093 MICA BASE 5G BLUE GREEN 1L</v>
      </c>
      <c r="C248" s="16">
        <f>IFERROR(__xludf.DUMMYFUNCTION("""COMPUTED_VALUE"""),3000.0)</f>
        <v>3000</v>
      </c>
      <c r="D248" s="13" t="str">
        <f>IFERROR(__xludf.DUMMYFUNCTION("""COMPUTED_VALUE"""),"LTR/S")</f>
        <v>LTR/S</v>
      </c>
      <c r="E248" s="28">
        <f>IFERROR(__xludf.DUMMYFUNCTION("""COMPUTED_VALUE"""),2.0)</f>
        <v>2</v>
      </c>
      <c r="F248" s="52">
        <f>SUMIF(SALES!D:D, A248, SALES!H:H) + SUMIFS('STOCK IN  TRANSFER'!G:G, 'STOCK IN  TRANSFER'!D:D, A248, 'STOCK IN  TRANSFER'!F:F, "TRANSFER") + SUMIFS('STOCK IN  TRANSFER'!G:G, 'STOCK IN  TRANSFER'!D:D, A248, 'STOCK IN  TRANSFER'!F:F, "ADJUSTMENT (-)")</f>
        <v>0</v>
      </c>
      <c r="G248" s="52">
        <f>SUMIFS('STOCK IN  TRANSFER'!G:G, 'STOCK IN  TRANSFER'!D:D, A248, 'STOCK IN  TRANSFER'!F:F, "STOCK IN") + SUMIFS('STOCK IN  TRANSFER'!G:G, 'STOCK IN  TRANSFER'!D:D, A248, 'STOCK IN  TRANSFER'!F:F, "ADJUSTMENT (+)")</f>
        <v>2</v>
      </c>
    </row>
    <row r="249" ht="22.5" customHeight="1">
      <c r="A249" s="13" t="str">
        <f>IFERROR(__xludf.DUMMYFUNCTION("""COMPUTED_VALUE"""),"MT086")</f>
        <v>MT086</v>
      </c>
      <c r="B249" s="13" t="str">
        <f>IFERROR(__xludf.DUMMYFUNCTION("""COMPUTED_VALUE"""),"NAX PREMILA MT086 MICA BASE 6B MEDIUM BLUE 1L")</f>
        <v>NAX PREMILA MT086 MICA BASE 6B MEDIUM BLUE 1L</v>
      </c>
      <c r="C249" s="16">
        <f>IFERROR(__xludf.DUMMYFUNCTION("""COMPUTED_VALUE"""),3000.0)</f>
        <v>3000</v>
      </c>
      <c r="D249" s="13" t="str">
        <f>IFERROR(__xludf.DUMMYFUNCTION("""COMPUTED_VALUE"""),"LTR/S")</f>
        <v>LTR/S</v>
      </c>
      <c r="E249" s="28">
        <f>IFERROR(__xludf.DUMMYFUNCTION("""COMPUTED_VALUE"""),2.0)</f>
        <v>2</v>
      </c>
      <c r="F249" s="52">
        <f>SUMIF(SALES!D:D, A249, SALES!H:H) + SUMIFS('STOCK IN  TRANSFER'!G:G, 'STOCK IN  TRANSFER'!D:D, A249, 'STOCK IN  TRANSFER'!F:F, "TRANSFER") + SUMIFS('STOCK IN  TRANSFER'!G:G, 'STOCK IN  TRANSFER'!D:D, A249, 'STOCK IN  TRANSFER'!F:F, "ADJUSTMENT (-)")</f>
        <v>0</v>
      </c>
      <c r="G249" s="52">
        <f>SUMIFS('STOCK IN  TRANSFER'!G:G, 'STOCK IN  TRANSFER'!D:D, A249, 'STOCK IN  TRANSFER'!F:F, "STOCK IN") + SUMIFS('STOCK IN  TRANSFER'!G:G, 'STOCK IN  TRANSFER'!D:D, A249, 'STOCK IN  TRANSFER'!F:F, "ADJUSTMENT (+)")</f>
        <v>2</v>
      </c>
    </row>
    <row r="250" ht="22.5" customHeight="1">
      <c r="A250" s="13" t="str">
        <f>IFERROR(__xludf.DUMMYFUNCTION("""COMPUTED_VALUE"""),"MT085")</f>
        <v>MT085</v>
      </c>
      <c r="B250" s="13" t="str">
        <f>IFERROR(__xludf.DUMMYFUNCTION("""COMPUTED_VALUE"""),"NAX PREMILA MT085 MICA BASE 4G GREEN 1L")</f>
        <v>NAX PREMILA MT085 MICA BASE 4G GREEN 1L</v>
      </c>
      <c r="C250" s="16">
        <f>IFERROR(__xludf.DUMMYFUNCTION("""COMPUTED_VALUE"""),3000.0)</f>
        <v>3000</v>
      </c>
      <c r="D250" s="13" t="str">
        <f>IFERROR(__xludf.DUMMYFUNCTION("""COMPUTED_VALUE"""),"LTR/S")</f>
        <v>LTR/S</v>
      </c>
      <c r="E250" s="28">
        <f>IFERROR(__xludf.DUMMYFUNCTION("""COMPUTED_VALUE"""),3.0)</f>
        <v>3</v>
      </c>
      <c r="F250" s="52">
        <f>SUMIF(SALES!D:D, A250, SALES!H:H) + SUMIFS('STOCK IN  TRANSFER'!G:G, 'STOCK IN  TRANSFER'!D:D, A250, 'STOCK IN  TRANSFER'!F:F, "TRANSFER") + SUMIFS('STOCK IN  TRANSFER'!G:G, 'STOCK IN  TRANSFER'!D:D, A250, 'STOCK IN  TRANSFER'!F:F, "ADJUSTMENT (-)")</f>
        <v>0</v>
      </c>
      <c r="G250" s="52">
        <f>SUMIFS('STOCK IN  TRANSFER'!G:G, 'STOCK IN  TRANSFER'!D:D, A250, 'STOCK IN  TRANSFER'!F:F, "STOCK IN") + SUMIFS('STOCK IN  TRANSFER'!G:G, 'STOCK IN  TRANSFER'!D:D, A250, 'STOCK IN  TRANSFER'!F:F, "ADJUSTMENT (+)")</f>
        <v>3</v>
      </c>
    </row>
    <row r="251" ht="22.5" customHeight="1">
      <c r="A251" s="13" t="str">
        <f>IFERROR(__xludf.DUMMYFUNCTION("""COMPUTED_VALUE"""),"MT083")</f>
        <v>MT083</v>
      </c>
      <c r="B251" s="13" t="str">
        <f>IFERROR(__xludf.DUMMYFUNCTION("""COMPUTED_VALUE"""),"NAX PREMILA MT083 MICA BASE 4R RED 1L")</f>
        <v>NAX PREMILA MT083 MICA BASE 4R RED 1L</v>
      </c>
      <c r="C251" s="16">
        <f>IFERROR(__xludf.DUMMYFUNCTION("""COMPUTED_VALUE"""),3000.0)</f>
        <v>3000</v>
      </c>
      <c r="D251" s="13" t="str">
        <f>IFERROR(__xludf.DUMMYFUNCTION("""COMPUTED_VALUE"""),"LTR/S")</f>
        <v>LTR/S</v>
      </c>
      <c r="E251" s="28">
        <f>IFERROR(__xludf.DUMMYFUNCTION("""COMPUTED_VALUE"""),3.0)</f>
        <v>3</v>
      </c>
      <c r="F251" s="52">
        <f>SUMIF(SALES!D:D, A251, SALES!H:H) + SUMIFS('STOCK IN  TRANSFER'!G:G, 'STOCK IN  TRANSFER'!D:D, A251, 'STOCK IN  TRANSFER'!F:F, "TRANSFER") + SUMIFS('STOCK IN  TRANSFER'!G:G, 'STOCK IN  TRANSFER'!D:D, A251, 'STOCK IN  TRANSFER'!F:F, "ADJUSTMENT (-)")</f>
        <v>1</v>
      </c>
      <c r="G251" s="52">
        <f>SUMIFS('STOCK IN  TRANSFER'!G:G, 'STOCK IN  TRANSFER'!D:D, A251, 'STOCK IN  TRANSFER'!F:F, "STOCK IN") + SUMIFS('STOCK IN  TRANSFER'!G:G, 'STOCK IN  TRANSFER'!D:D, A251, 'STOCK IN  TRANSFER'!F:F, "ADJUSTMENT (+)")</f>
        <v>4</v>
      </c>
    </row>
    <row r="252" ht="22.5" customHeight="1">
      <c r="A252" s="13" t="str">
        <f>IFERROR(__xludf.DUMMYFUNCTION("""COMPUTED_VALUE"""),"MT081")</f>
        <v>MT081</v>
      </c>
      <c r="B252" s="13" t="str">
        <f>IFERROR(__xludf.DUMMYFUNCTION("""COMPUTED_VALUE"""),"NAX PREMILA MT081 MICA BASE 3PK RUTILE RED 1L")</f>
        <v>NAX PREMILA MT081 MICA BASE 3PK RUTILE RED 1L</v>
      </c>
      <c r="C252" s="16">
        <f>IFERROR(__xludf.DUMMYFUNCTION("""COMPUTED_VALUE"""),3000.0)</f>
        <v>3000</v>
      </c>
      <c r="D252" s="13" t="str">
        <f>IFERROR(__xludf.DUMMYFUNCTION("""COMPUTED_VALUE"""),"LTR/S")</f>
        <v>LTR/S</v>
      </c>
      <c r="E252" s="28">
        <f>IFERROR(__xludf.DUMMYFUNCTION("""COMPUTED_VALUE"""),2.0)</f>
        <v>2</v>
      </c>
      <c r="F252" s="52">
        <f>SUMIF(SALES!D:D, A252, SALES!H:H) + SUMIFS('STOCK IN  TRANSFER'!G:G, 'STOCK IN  TRANSFER'!D:D, A252, 'STOCK IN  TRANSFER'!F:F, "TRANSFER") + SUMIFS('STOCK IN  TRANSFER'!G:G, 'STOCK IN  TRANSFER'!D:D, A252, 'STOCK IN  TRANSFER'!F:F, "ADJUSTMENT (-)")</f>
        <v>1</v>
      </c>
      <c r="G252" s="52">
        <f>SUMIFS('STOCK IN  TRANSFER'!G:G, 'STOCK IN  TRANSFER'!D:D, A252, 'STOCK IN  TRANSFER'!F:F, "STOCK IN") + SUMIFS('STOCK IN  TRANSFER'!G:G, 'STOCK IN  TRANSFER'!D:D, A252, 'STOCK IN  TRANSFER'!F:F, "ADJUSTMENT (+)")</f>
        <v>3</v>
      </c>
    </row>
    <row r="253" ht="22.5" customHeight="1">
      <c r="A253" s="13" t="str">
        <f>IFERROR(__xludf.DUMMYFUNCTION("""COMPUTED_VALUE"""),"MT080")</f>
        <v>MT080</v>
      </c>
      <c r="B253" s="13" t="str">
        <f>IFERROR(__xludf.DUMMYFUNCTION("""COMPUTED_VALUE"""),"NAX PREMILA MT080 MICA BASE 3G FINE GREEN 1L")</f>
        <v>NAX PREMILA MT080 MICA BASE 3G FINE GREEN 1L</v>
      </c>
      <c r="C253" s="16">
        <f>IFERROR(__xludf.DUMMYFUNCTION("""COMPUTED_VALUE"""),3000.0)</f>
        <v>3000</v>
      </c>
      <c r="D253" s="13" t="str">
        <f>IFERROR(__xludf.DUMMYFUNCTION("""COMPUTED_VALUE"""),"LTR/S")</f>
        <v>LTR/S</v>
      </c>
      <c r="E253" s="28">
        <f>IFERROR(__xludf.DUMMYFUNCTION("""COMPUTED_VALUE"""),4.0)</f>
        <v>4</v>
      </c>
      <c r="F253" s="52">
        <f>SUMIF(SALES!D:D, A253, SALES!H:H) + SUMIFS('STOCK IN  TRANSFER'!G:G, 'STOCK IN  TRANSFER'!D:D, A253, 'STOCK IN  TRANSFER'!F:F, "TRANSFER") + SUMIFS('STOCK IN  TRANSFER'!G:G, 'STOCK IN  TRANSFER'!D:D, A253, 'STOCK IN  TRANSFER'!F:F, "ADJUSTMENT (-)")</f>
        <v>0</v>
      </c>
      <c r="G253" s="52">
        <f>SUMIFS('STOCK IN  TRANSFER'!G:G, 'STOCK IN  TRANSFER'!D:D, A253, 'STOCK IN  TRANSFER'!F:F, "STOCK IN") + SUMIFS('STOCK IN  TRANSFER'!G:G, 'STOCK IN  TRANSFER'!D:D, A253, 'STOCK IN  TRANSFER'!F:F, "ADJUSTMENT (+)")</f>
        <v>4</v>
      </c>
    </row>
    <row r="254" ht="22.5" customHeight="1">
      <c r="A254" s="13" t="str">
        <f>IFERROR(__xludf.DUMMYFUNCTION("""COMPUTED_VALUE"""),"MT079")</f>
        <v>MT079</v>
      </c>
      <c r="B254" s="13" t="str">
        <f>IFERROR(__xludf.DUMMYFUNCTION("""COMPUTED_VALUE"""),"NAX PREMILA MT079 MICA BASE 2V VIOLET 1L")</f>
        <v>NAX PREMILA MT079 MICA BASE 2V VIOLET 1L</v>
      </c>
      <c r="C254" s="16">
        <f>IFERROR(__xludf.DUMMYFUNCTION("""COMPUTED_VALUE"""),3000.0)</f>
        <v>3000</v>
      </c>
      <c r="D254" s="13" t="str">
        <f>IFERROR(__xludf.DUMMYFUNCTION("""COMPUTED_VALUE"""),"LTR/S")</f>
        <v>LTR/S</v>
      </c>
      <c r="E254" s="28">
        <f>IFERROR(__xludf.DUMMYFUNCTION("""COMPUTED_VALUE"""),3.0)</f>
        <v>3</v>
      </c>
      <c r="F254" s="52">
        <f>SUMIF(SALES!D:D, A254, SALES!H:H) + SUMIFS('STOCK IN  TRANSFER'!G:G, 'STOCK IN  TRANSFER'!D:D, A254, 'STOCK IN  TRANSFER'!F:F, "TRANSFER") + SUMIFS('STOCK IN  TRANSFER'!G:G, 'STOCK IN  TRANSFER'!D:D, A254, 'STOCK IN  TRANSFER'!F:F, "ADJUSTMENT (-)")</f>
        <v>0</v>
      </c>
      <c r="G254" s="52">
        <f>SUMIFS('STOCK IN  TRANSFER'!G:G, 'STOCK IN  TRANSFER'!D:D, A254, 'STOCK IN  TRANSFER'!F:F, "STOCK IN") + SUMIFS('STOCK IN  TRANSFER'!G:G, 'STOCK IN  TRANSFER'!D:D, A254, 'STOCK IN  TRANSFER'!F:F, "ADJUSTMENT (+)")</f>
        <v>3</v>
      </c>
    </row>
    <row r="255" ht="22.5" customHeight="1">
      <c r="A255" s="13" t="str">
        <f>IFERROR(__xludf.DUMMYFUNCTION("""COMPUTED_VALUE"""),"MT078")</f>
        <v>MT078</v>
      </c>
      <c r="B255" s="13" t="str">
        <f>IFERROR(__xludf.DUMMYFUNCTION("""COMPUTED_VALUE"""),"NAX PREMILA MT078 MICA BASE 5W BRIGHT WHITE 1L")</f>
        <v>NAX PREMILA MT078 MICA BASE 5W BRIGHT WHITE 1L</v>
      </c>
      <c r="C255" s="16">
        <f>IFERROR(__xludf.DUMMYFUNCTION("""COMPUTED_VALUE"""),3000.0)</f>
        <v>3000</v>
      </c>
      <c r="D255" s="13" t="str">
        <f>IFERROR(__xludf.DUMMYFUNCTION("""COMPUTED_VALUE"""),"LTR/S")</f>
        <v>LTR/S</v>
      </c>
      <c r="E255" s="28">
        <f>IFERROR(__xludf.DUMMYFUNCTION("""COMPUTED_VALUE"""),1.0)</f>
        <v>1</v>
      </c>
      <c r="F255" s="52">
        <f>SUMIF(SALES!D:D, A255, SALES!H:H) + SUMIFS('STOCK IN  TRANSFER'!G:G, 'STOCK IN  TRANSFER'!D:D, A255, 'STOCK IN  TRANSFER'!F:F, "TRANSFER") + SUMIFS('STOCK IN  TRANSFER'!G:G, 'STOCK IN  TRANSFER'!D:D, A255, 'STOCK IN  TRANSFER'!F:F, "ADJUSTMENT (-)")</f>
        <v>1</v>
      </c>
      <c r="G255" s="52">
        <f>SUMIFS('STOCK IN  TRANSFER'!G:G, 'STOCK IN  TRANSFER'!D:D, A255, 'STOCK IN  TRANSFER'!F:F, "STOCK IN") + SUMIFS('STOCK IN  TRANSFER'!G:G, 'STOCK IN  TRANSFER'!D:D, A255, 'STOCK IN  TRANSFER'!F:F, "ADJUSTMENT (+)")</f>
        <v>2</v>
      </c>
    </row>
    <row r="256" ht="22.5" customHeight="1">
      <c r="A256" s="13" t="str">
        <f>IFERROR(__xludf.DUMMYFUNCTION("""COMPUTED_VALUE"""),"MT076")</f>
        <v>MT076</v>
      </c>
      <c r="B256" s="13" t="str">
        <f>IFERROR(__xludf.DUMMYFUNCTION("""COMPUTED_VALUE"""),"NAX PREMILA MT076 MICA BASE 4Y PLATINUM GOLD 1L")</f>
        <v>NAX PREMILA MT076 MICA BASE 4Y PLATINUM GOLD 1L</v>
      </c>
      <c r="C256" s="16">
        <f>IFERROR(__xludf.DUMMYFUNCTION("""COMPUTED_VALUE"""),3000.0)</f>
        <v>3000</v>
      </c>
      <c r="D256" s="13" t="str">
        <f>IFERROR(__xludf.DUMMYFUNCTION("""COMPUTED_VALUE"""),"LTR/S")</f>
        <v>LTR/S</v>
      </c>
      <c r="E256" s="28">
        <f>IFERROR(__xludf.DUMMYFUNCTION("""COMPUTED_VALUE"""),2.0)</f>
        <v>2</v>
      </c>
      <c r="F256" s="52">
        <f>SUMIF(SALES!D:D, A256, SALES!H:H) + SUMIFS('STOCK IN  TRANSFER'!G:G, 'STOCK IN  TRANSFER'!D:D, A256, 'STOCK IN  TRANSFER'!F:F, "TRANSFER") + SUMIFS('STOCK IN  TRANSFER'!G:G, 'STOCK IN  TRANSFER'!D:D, A256, 'STOCK IN  TRANSFER'!F:F, "ADJUSTMENT (-)")</f>
        <v>0</v>
      </c>
      <c r="G256" s="52">
        <f>SUMIFS('STOCK IN  TRANSFER'!G:G, 'STOCK IN  TRANSFER'!D:D, A256, 'STOCK IN  TRANSFER'!F:F, "STOCK IN") + SUMIFS('STOCK IN  TRANSFER'!G:G, 'STOCK IN  TRANSFER'!D:D, A256, 'STOCK IN  TRANSFER'!F:F, "ADJUSTMENT (+)")</f>
        <v>2</v>
      </c>
    </row>
    <row r="257" ht="22.5" customHeight="1">
      <c r="A257" s="13" t="str">
        <f>IFERROR(__xludf.DUMMYFUNCTION("""COMPUTED_VALUE"""),"MT075")</f>
        <v>MT075</v>
      </c>
      <c r="B257" s="13" t="str">
        <f>IFERROR(__xludf.DUMMYFUNCTION("""COMPUTED_VALUE"""),"NAX PREMILA MT075 MICA BASE 3Y FINE GOLD 1L")</f>
        <v>NAX PREMILA MT075 MICA BASE 3Y FINE GOLD 1L</v>
      </c>
      <c r="C257" s="16">
        <f>IFERROR(__xludf.DUMMYFUNCTION("""COMPUTED_VALUE"""),3000.0)</f>
        <v>3000</v>
      </c>
      <c r="D257" s="13" t="str">
        <f>IFERROR(__xludf.DUMMYFUNCTION("""COMPUTED_VALUE"""),"LTR/S")</f>
        <v>LTR/S</v>
      </c>
      <c r="E257" s="28">
        <f>IFERROR(__xludf.DUMMYFUNCTION("""COMPUTED_VALUE"""),2.0)</f>
        <v>2</v>
      </c>
      <c r="F257" s="52">
        <f>SUMIF(SALES!D:D, A257, SALES!H:H) + SUMIFS('STOCK IN  TRANSFER'!G:G, 'STOCK IN  TRANSFER'!D:D, A257, 'STOCK IN  TRANSFER'!F:F, "TRANSFER") + SUMIFS('STOCK IN  TRANSFER'!G:G, 'STOCK IN  TRANSFER'!D:D, A257, 'STOCK IN  TRANSFER'!F:F, "ADJUSTMENT (-)")</f>
        <v>1</v>
      </c>
      <c r="G257" s="52">
        <f>SUMIFS('STOCK IN  TRANSFER'!G:G, 'STOCK IN  TRANSFER'!D:D, A257, 'STOCK IN  TRANSFER'!F:F, "STOCK IN") + SUMIFS('STOCK IN  TRANSFER'!G:G, 'STOCK IN  TRANSFER'!D:D, A257, 'STOCK IN  TRANSFER'!F:F, "ADJUSTMENT (+)")</f>
        <v>3</v>
      </c>
    </row>
    <row r="258" ht="22.5" customHeight="1">
      <c r="A258" s="13" t="str">
        <f>IFERROR(__xludf.DUMMYFUNCTION("""COMPUTED_VALUE"""),"MT072")</f>
        <v>MT072</v>
      </c>
      <c r="B258" s="13" t="str">
        <f>IFERROR(__xludf.DUMMYFUNCTION("""COMPUTED_VALUE"""),"NAX PREMILA MT072 MICA BASE 2W LUSTRE SATIN 1L")</f>
        <v>NAX PREMILA MT072 MICA BASE 2W LUSTRE SATIN 1L</v>
      </c>
      <c r="C258" s="16">
        <f>IFERROR(__xludf.DUMMYFUNCTION("""COMPUTED_VALUE"""),3000.0)</f>
        <v>3000</v>
      </c>
      <c r="D258" s="13" t="str">
        <f>IFERROR(__xludf.DUMMYFUNCTION("""COMPUTED_VALUE"""),"LTR/S")</f>
        <v>LTR/S</v>
      </c>
      <c r="E258" s="28">
        <f>IFERROR(__xludf.DUMMYFUNCTION("""COMPUTED_VALUE"""),3.0)</f>
        <v>3</v>
      </c>
      <c r="F258" s="52">
        <f>SUMIF(SALES!D:D, A258, SALES!H:H) + SUMIFS('STOCK IN  TRANSFER'!G:G, 'STOCK IN  TRANSFER'!D:D, A258, 'STOCK IN  TRANSFER'!F:F, "TRANSFER") + SUMIFS('STOCK IN  TRANSFER'!G:G, 'STOCK IN  TRANSFER'!D:D, A258, 'STOCK IN  TRANSFER'!F:F, "ADJUSTMENT (-)")</f>
        <v>0</v>
      </c>
      <c r="G258" s="52">
        <f>SUMIFS('STOCK IN  TRANSFER'!G:G, 'STOCK IN  TRANSFER'!D:D, A258, 'STOCK IN  TRANSFER'!F:F, "STOCK IN") + SUMIFS('STOCK IN  TRANSFER'!G:G, 'STOCK IN  TRANSFER'!D:D, A258, 'STOCK IN  TRANSFER'!F:F, "ADJUSTMENT (+)")</f>
        <v>3</v>
      </c>
    </row>
    <row r="259" ht="22.5" customHeight="1">
      <c r="A259" s="13" t="str">
        <f>IFERROR(__xludf.DUMMYFUNCTION("""COMPUTED_VALUE"""),"MT071")</f>
        <v>MT071</v>
      </c>
      <c r="B259" s="13" t="str">
        <f>IFERROR(__xludf.DUMMYFUNCTION("""COMPUTED_VALUE"""),"NAX PREMILA MT071 MICA BASE 5B BLUE 1L")</f>
        <v>NAX PREMILA MT071 MICA BASE 5B BLUE 1L</v>
      </c>
      <c r="C259" s="16">
        <f>IFERROR(__xludf.DUMMYFUNCTION("""COMPUTED_VALUE"""),3000.0)</f>
        <v>3000</v>
      </c>
      <c r="D259" s="13" t="str">
        <f>IFERROR(__xludf.DUMMYFUNCTION("""COMPUTED_VALUE"""),"LTR/S")</f>
        <v>LTR/S</v>
      </c>
      <c r="E259" s="28">
        <f>IFERROR(__xludf.DUMMYFUNCTION("""COMPUTED_VALUE"""),1.0)</f>
        <v>1</v>
      </c>
      <c r="F259" s="52">
        <f>SUMIF(SALES!D:D, A259, SALES!H:H) + SUMIFS('STOCK IN  TRANSFER'!G:G, 'STOCK IN  TRANSFER'!D:D, A259, 'STOCK IN  TRANSFER'!F:F, "TRANSFER") + SUMIFS('STOCK IN  TRANSFER'!G:G, 'STOCK IN  TRANSFER'!D:D, A259, 'STOCK IN  TRANSFER'!F:F, "ADJUSTMENT (-)")</f>
        <v>1</v>
      </c>
      <c r="G259" s="52">
        <f>SUMIFS('STOCK IN  TRANSFER'!G:G, 'STOCK IN  TRANSFER'!D:D, A259, 'STOCK IN  TRANSFER'!F:F, "STOCK IN") + SUMIFS('STOCK IN  TRANSFER'!G:G, 'STOCK IN  TRANSFER'!D:D, A259, 'STOCK IN  TRANSFER'!F:F, "ADJUSTMENT (+)")</f>
        <v>2</v>
      </c>
    </row>
    <row r="260" ht="22.5" customHeight="1">
      <c r="A260" s="13" t="str">
        <f>IFERROR(__xludf.DUMMYFUNCTION("""COMPUTED_VALUE"""),"MT06H")</f>
        <v>MT06H</v>
      </c>
      <c r="B260" s="13" t="str">
        <f>IFERROR(__xludf.DUMMYFUNCTION("""COMPUTED_VALUE"""),"NAX PREMILA MT06H NEO MICA BASE 3AB BLUE 1L")</f>
        <v>NAX PREMILA MT06H NEO MICA BASE 3AB BLUE 1L</v>
      </c>
      <c r="C260" s="16">
        <f>IFERROR(__xludf.DUMMYFUNCTION("""COMPUTED_VALUE"""),3650.0)</f>
        <v>3650</v>
      </c>
      <c r="D260" s="13" t="str">
        <f>IFERROR(__xludf.DUMMYFUNCTION("""COMPUTED_VALUE"""),"LTR/S")</f>
        <v>LTR/S</v>
      </c>
      <c r="E260" s="28">
        <f>IFERROR(__xludf.DUMMYFUNCTION("""COMPUTED_VALUE"""),0.0)</f>
        <v>0</v>
      </c>
      <c r="F260" s="52">
        <f>SUMIF(SALES!D:D, A260, SALES!H:H) + SUMIFS('STOCK IN  TRANSFER'!G:G, 'STOCK IN  TRANSFER'!D:D, A260, 'STOCK IN  TRANSFER'!F:F, "TRANSFER") + SUMIFS('STOCK IN  TRANSFER'!G:G, 'STOCK IN  TRANSFER'!D:D, A260, 'STOCK IN  TRANSFER'!F:F, "ADJUSTMENT (-)")</f>
        <v>2</v>
      </c>
      <c r="G260" s="52">
        <f>SUMIFS('STOCK IN  TRANSFER'!G:G, 'STOCK IN  TRANSFER'!D:D, A260, 'STOCK IN  TRANSFER'!F:F, "STOCK IN") + SUMIFS('STOCK IN  TRANSFER'!G:G, 'STOCK IN  TRANSFER'!D:D, A260, 'STOCK IN  TRANSFER'!F:F, "ADJUSTMENT (+)")</f>
        <v>2</v>
      </c>
    </row>
    <row r="261" ht="22.5" customHeight="1">
      <c r="A261" s="13" t="str">
        <f>IFERROR(__xludf.DUMMYFUNCTION("""COMPUTED_VALUE"""),"MT06A")</f>
        <v>MT06A</v>
      </c>
      <c r="B261" s="13" t="str">
        <f>IFERROR(__xludf.DUMMYFUNCTION("""COMPUTED_VALUE"""),"NAX PREMILA MT06A NEO MICA BASE 3YG YELLOW 1L")</f>
        <v>NAX PREMILA MT06A NEO MICA BASE 3YG YELLOW 1L</v>
      </c>
      <c r="C261" s="16">
        <f>IFERROR(__xludf.DUMMYFUNCTION("""COMPUTED_VALUE"""),3650.0)</f>
        <v>3650</v>
      </c>
      <c r="D261" s="13" t="str">
        <f>IFERROR(__xludf.DUMMYFUNCTION("""COMPUTED_VALUE"""),"LTR/S")</f>
        <v>LTR/S</v>
      </c>
      <c r="E261" s="28">
        <f>IFERROR(__xludf.DUMMYFUNCTION("""COMPUTED_VALUE"""),1.0)</f>
        <v>1</v>
      </c>
      <c r="F261" s="52">
        <f>SUMIF(SALES!D:D, A261, SALES!H:H) + SUMIFS('STOCK IN  TRANSFER'!G:G, 'STOCK IN  TRANSFER'!D:D, A261, 'STOCK IN  TRANSFER'!F:F, "TRANSFER") + SUMIFS('STOCK IN  TRANSFER'!G:G, 'STOCK IN  TRANSFER'!D:D, A261, 'STOCK IN  TRANSFER'!F:F, "ADJUSTMENT (-)")</f>
        <v>1</v>
      </c>
      <c r="G261" s="52">
        <f>SUMIFS('STOCK IN  TRANSFER'!G:G, 'STOCK IN  TRANSFER'!D:D, A261, 'STOCK IN  TRANSFER'!F:F, "STOCK IN") + SUMIFS('STOCK IN  TRANSFER'!G:G, 'STOCK IN  TRANSFER'!D:D, A261, 'STOCK IN  TRANSFER'!F:F, "ADJUSTMENT (+)")</f>
        <v>2</v>
      </c>
    </row>
    <row r="262" ht="22.5" customHeight="1">
      <c r="A262" s="13" t="str">
        <f>IFERROR(__xludf.DUMMYFUNCTION("""COMPUTED_VALUE"""),"MT068")</f>
        <v>MT068</v>
      </c>
      <c r="B262" s="13" t="str">
        <f>IFERROR(__xludf.DUMMYFUNCTION("""COMPUTED_VALUE"""),"NAX PREMILA MT068 MICA BASE 3U RADIANT RED 1L")</f>
        <v>NAX PREMILA MT068 MICA BASE 3U RADIANT RED 1L</v>
      </c>
      <c r="C262" s="16">
        <f>IFERROR(__xludf.DUMMYFUNCTION("""COMPUTED_VALUE"""),6000.0)</f>
        <v>6000</v>
      </c>
      <c r="D262" s="13" t="str">
        <f>IFERROR(__xludf.DUMMYFUNCTION("""COMPUTED_VALUE"""),"LTR/S")</f>
        <v>LTR/S</v>
      </c>
      <c r="E262" s="28">
        <f>IFERROR(__xludf.DUMMYFUNCTION("""COMPUTED_VALUE"""),2.0)</f>
        <v>2</v>
      </c>
      <c r="F262" s="52">
        <f>SUMIF(SALES!D:D, A262, SALES!H:H) + SUMIFS('STOCK IN  TRANSFER'!G:G, 'STOCK IN  TRANSFER'!D:D, A262, 'STOCK IN  TRANSFER'!F:F, "TRANSFER") + SUMIFS('STOCK IN  TRANSFER'!G:G, 'STOCK IN  TRANSFER'!D:D, A262, 'STOCK IN  TRANSFER'!F:F, "ADJUSTMENT (-)")</f>
        <v>1</v>
      </c>
      <c r="G262" s="52">
        <f>SUMIFS('STOCK IN  TRANSFER'!G:G, 'STOCK IN  TRANSFER'!D:D, A262, 'STOCK IN  TRANSFER'!F:F, "STOCK IN") + SUMIFS('STOCK IN  TRANSFER'!G:G, 'STOCK IN  TRANSFER'!D:D, A262, 'STOCK IN  TRANSFER'!F:F, "ADJUSTMENT (+)")</f>
        <v>3</v>
      </c>
    </row>
    <row r="263" ht="22.5" customHeight="1">
      <c r="A263" s="13" t="str">
        <f>IFERROR(__xludf.DUMMYFUNCTION("""COMPUTED_VALUE"""),"MT067")</f>
        <v>MT067</v>
      </c>
      <c r="B263" s="13" t="str">
        <f>IFERROR(__xludf.DUMMYFUNCTION("""COMPUTED_VALUE"""),"NAX PREMILA MT067 MICA BASE 2K RED BROWN 1L")</f>
        <v>NAX PREMILA MT067 MICA BASE 2K RED BROWN 1L</v>
      </c>
      <c r="C263" s="16">
        <f>IFERROR(__xludf.DUMMYFUNCTION("""COMPUTED_VALUE"""),3000.0)</f>
        <v>3000</v>
      </c>
      <c r="D263" s="13" t="str">
        <f>IFERROR(__xludf.DUMMYFUNCTION("""COMPUTED_VALUE"""),"LTR/S")</f>
        <v>LTR/S</v>
      </c>
      <c r="E263" s="28">
        <f>IFERROR(__xludf.DUMMYFUNCTION("""COMPUTED_VALUE"""),3.0)</f>
        <v>3</v>
      </c>
      <c r="F263" s="52">
        <f>SUMIF(SALES!D:D, A263, SALES!H:H) + SUMIFS('STOCK IN  TRANSFER'!G:G, 'STOCK IN  TRANSFER'!D:D, A263, 'STOCK IN  TRANSFER'!F:F, "TRANSFER") + SUMIFS('STOCK IN  TRANSFER'!G:G, 'STOCK IN  TRANSFER'!D:D, A263, 'STOCK IN  TRANSFER'!F:F, "ADJUSTMENT (-)")</f>
        <v>1</v>
      </c>
      <c r="G263" s="52">
        <f>SUMIFS('STOCK IN  TRANSFER'!G:G, 'STOCK IN  TRANSFER'!D:D, A263, 'STOCK IN  TRANSFER'!F:F, "STOCK IN") + SUMIFS('STOCK IN  TRANSFER'!G:G, 'STOCK IN  TRANSFER'!D:D, A263, 'STOCK IN  TRANSFER'!F:F, "ADJUSTMENT (+)")</f>
        <v>4</v>
      </c>
    </row>
    <row r="264" ht="22.5" customHeight="1">
      <c r="A264" s="13" t="str">
        <f>IFERROR(__xludf.DUMMYFUNCTION("""COMPUTED_VALUE"""),"MT066")</f>
        <v>MT066</v>
      </c>
      <c r="B264" s="13" t="str">
        <f>IFERROR(__xludf.DUMMYFUNCTION("""COMPUTED_VALUE"""),"NAX PREMILA MT066 MICA BASE 2R FINE RUSSET 1L")</f>
        <v>NAX PREMILA MT066 MICA BASE 2R FINE RUSSET 1L</v>
      </c>
      <c r="C264" s="16">
        <f>IFERROR(__xludf.DUMMYFUNCTION("""COMPUTED_VALUE"""),3000.0)</f>
        <v>3000</v>
      </c>
      <c r="D264" s="13" t="str">
        <f>IFERROR(__xludf.DUMMYFUNCTION("""COMPUTED_VALUE"""),"LTR/S")</f>
        <v>LTR/S</v>
      </c>
      <c r="E264" s="28">
        <f>IFERROR(__xludf.DUMMYFUNCTION("""COMPUTED_VALUE"""),4.0)</f>
        <v>4</v>
      </c>
      <c r="F264" s="52">
        <f>SUMIF(SALES!D:D, A264, SALES!H:H) + SUMIFS('STOCK IN  TRANSFER'!G:G, 'STOCK IN  TRANSFER'!D:D, A264, 'STOCK IN  TRANSFER'!F:F, "TRANSFER") + SUMIFS('STOCK IN  TRANSFER'!G:G, 'STOCK IN  TRANSFER'!D:D, A264, 'STOCK IN  TRANSFER'!F:F, "ADJUSTMENT (-)")</f>
        <v>0</v>
      </c>
      <c r="G264" s="52">
        <f>SUMIFS('STOCK IN  TRANSFER'!G:G, 'STOCK IN  TRANSFER'!D:D, A264, 'STOCK IN  TRANSFER'!F:F, "STOCK IN") + SUMIFS('STOCK IN  TRANSFER'!G:G, 'STOCK IN  TRANSFER'!D:D, A264, 'STOCK IN  TRANSFER'!F:F, "ADJUSTMENT (+)")</f>
        <v>4</v>
      </c>
    </row>
    <row r="265" ht="22.5" customHeight="1">
      <c r="A265" s="13" t="str">
        <f>IFERROR(__xludf.DUMMYFUNCTION("""COMPUTED_VALUE"""),"MT065")</f>
        <v>MT065</v>
      </c>
      <c r="B265" s="13" t="str">
        <f>IFERROR(__xludf.DUMMYFUNCTION("""COMPUTED_VALUE"""),"NAX PREMILA MT065 MICA BASE 3B FINE BLUE 1L")</f>
        <v>NAX PREMILA MT065 MICA BASE 3B FINE BLUE 1L</v>
      </c>
      <c r="C265" s="16">
        <f>IFERROR(__xludf.DUMMYFUNCTION("""COMPUTED_VALUE"""),3000.0)</f>
        <v>3000</v>
      </c>
      <c r="D265" s="13" t="str">
        <f>IFERROR(__xludf.DUMMYFUNCTION("""COMPUTED_VALUE"""),"LTR/S")</f>
        <v>LTR/S</v>
      </c>
      <c r="E265" s="28">
        <f>IFERROR(__xludf.DUMMYFUNCTION("""COMPUTED_VALUE"""),3.0)</f>
        <v>3</v>
      </c>
      <c r="F265" s="52">
        <f>SUMIF(SALES!D:D, A265, SALES!H:H) + SUMIFS('STOCK IN  TRANSFER'!G:G, 'STOCK IN  TRANSFER'!D:D, A265, 'STOCK IN  TRANSFER'!F:F, "TRANSFER") + SUMIFS('STOCK IN  TRANSFER'!G:G, 'STOCK IN  TRANSFER'!D:D, A265, 'STOCK IN  TRANSFER'!F:F, "ADJUSTMENT (-)")</f>
        <v>0</v>
      </c>
      <c r="G265" s="52">
        <f>SUMIFS('STOCK IN  TRANSFER'!G:G, 'STOCK IN  TRANSFER'!D:D, A265, 'STOCK IN  TRANSFER'!F:F, "STOCK IN") + SUMIFS('STOCK IN  TRANSFER'!G:G, 'STOCK IN  TRANSFER'!D:D, A265, 'STOCK IN  TRANSFER'!F:F, "ADJUSTMENT (+)")</f>
        <v>3</v>
      </c>
    </row>
    <row r="266" ht="22.5" customHeight="1">
      <c r="A266" s="13" t="str">
        <f>IFERROR(__xludf.DUMMYFUNCTION("""COMPUTED_VALUE"""),"MT061")</f>
        <v>MT061</v>
      </c>
      <c r="B266" s="13" t="str">
        <f>IFERROR(__xludf.DUMMYFUNCTION("""COMPUTED_VALUE"""),"NAX PREMILA MT061 MICA BASE 6W FINE SATIN 1L")</f>
        <v>NAX PREMILA MT061 MICA BASE 6W FINE SATIN 1L</v>
      </c>
      <c r="C266" s="16">
        <f>IFERROR(__xludf.DUMMYFUNCTION("""COMPUTED_VALUE"""),3000.0)</f>
        <v>3000</v>
      </c>
      <c r="D266" s="13" t="str">
        <f>IFERROR(__xludf.DUMMYFUNCTION("""COMPUTED_VALUE"""),"LTR/S")</f>
        <v>LTR/S</v>
      </c>
      <c r="E266" s="28">
        <f>IFERROR(__xludf.DUMMYFUNCTION("""COMPUTED_VALUE"""),2.0)</f>
        <v>2</v>
      </c>
      <c r="F266" s="52">
        <f>SUMIF(SALES!D:D, A266, SALES!H:H) + SUMIFS('STOCK IN  TRANSFER'!G:G, 'STOCK IN  TRANSFER'!D:D, A266, 'STOCK IN  TRANSFER'!F:F, "TRANSFER") + SUMIFS('STOCK IN  TRANSFER'!G:G, 'STOCK IN  TRANSFER'!D:D, A266, 'STOCK IN  TRANSFER'!F:F, "ADJUSTMENT (-)")</f>
        <v>1</v>
      </c>
      <c r="G266" s="52">
        <f>SUMIFS('STOCK IN  TRANSFER'!G:G, 'STOCK IN  TRANSFER'!D:D, A266, 'STOCK IN  TRANSFER'!F:F, "STOCK IN") + SUMIFS('STOCK IN  TRANSFER'!G:G, 'STOCK IN  TRANSFER'!D:D, A266, 'STOCK IN  TRANSFER'!F:F, "ADJUSTMENT (+)")</f>
        <v>3</v>
      </c>
    </row>
    <row r="267" ht="22.5" customHeight="1">
      <c r="A267" s="13" t="str">
        <f>IFERROR(__xludf.DUMMYFUNCTION("""COMPUTED_VALUE"""),"MT051")</f>
        <v>MT051</v>
      </c>
      <c r="B267" s="13" t="str">
        <f>IFERROR(__xludf.DUMMYFUNCTION("""COMPUTED_VALUE"""),"NAX PREMILA MT051 MICA BASE 2BZ BRONZE 1L")</f>
        <v>NAX PREMILA MT051 MICA BASE 2BZ BRONZE 1L</v>
      </c>
      <c r="C267" s="16">
        <f>IFERROR(__xludf.DUMMYFUNCTION("""COMPUTED_VALUE"""),3000.0)</f>
        <v>3000</v>
      </c>
      <c r="D267" s="13" t="str">
        <f>IFERROR(__xludf.DUMMYFUNCTION("""COMPUTED_VALUE"""),"LTR/S")</f>
        <v>LTR/S</v>
      </c>
      <c r="E267" s="28">
        <f>IFERROR(__xludf.DUMMYFUNCTION("""COMPUTED_VALUE"""),1.0)</f>
        <v>1</v>
      </c>
      <c r="F267" s="52">
        <f>SUMIF(SALES!D:D, A267, SALES!H:H) + SUMIFS('STOCK IN  TRANSFER'!G:G, 'STOCK IN  TRANSFER'!D:D, A267, 'STOCK IN  TRANSFER'!F:F, "TRANSFER") + SUMIFS('STOCK IN  TRANSFER'!G:G, 'STOCK IN  TRANSFER'!D:D, A267, 'STOCK IN  TRANSFER'!F:F, "ADJUSTMENT (-)")</f>
        <v>1</v>
      </c>
      <c r="G267" s="52">
        <f>SUMIFS('STOCK IN  TRANSFER'!G:G, 'STOCK IN  TRANSFER'!D:D, A267, 'STOCK IN  TRANSFER'!F:F, "STOCK IN") + SUMIFS('STOCK IN  TRANSFER'!G:G, 'STOCK IN  TRANSFER'!D:D, A267, 'STOCK IN  TRANSFER'!F:F, "ADJUSTMENT (+)")</f>
        <v>2</v>
      </c>
    </row>
    <row r="268" ht="22.5" customHeight="1">
      <c r="A268" s="13" t="str">
        <f>IFERROR(__xludf.DUMMYFUNCTION("""COMPUTED_VALUE"""),"MT050")</f>
        <v>MT050</v>
      </c>
      <c r="B268" s="13" t="str">
        <f>IFERROR(__xludf.DUMMYFUNCTION("""COMPUTED_VALUE"""),"NAX PREMILA MT050 MICA BASE 2ST SCRAB RED 1L")</f>
        <v>NAX PREMILA MT050 MICA BASE 2ST SCRAB RED 1L</v>
      </c>
      <c r="C268" s="16">
        <f>IFERROR(__xludf.DUMMYFUNCTION("""COMPUTED_VALUE"""),3000.0)</f>
        <v>3000</v>
      </c>
      <c r="D268" s="13" t="str">
        <f>IFERROR(__xludf.DUMMYFUNCTION("""COMPUTED_VALUE"""),"LTR/S")</f>
        <v>LTR/S</v>
      </c>
      <c r="E268" s="28">
        <f>IFERROR(__xludf.DUMMYFUNCTION("""COMPUTED_VALUE"""),1.0)</f>
        <v>1</v>
      </c>
      <c r="F268" s="52">
        <f>SUMIF(SALES!D:D, A268, SALES!H:H) + SUMIFS('STOCK IN  TRANSFER'!G:G, 'STOCK IN  TRANSFER'!D:D, A268, 'STOCK IN  TRANSFER'!F:F, "TRANSFER") + SUMIFS('STOCK IN  TRANSFER'!G:G, 'STOCK IN  TRANSFER'!D:D, A268, 'STOCK IN  TRANSFER'!F:F, "ADJUSTMENT (-)")</f>
        <v>0</v>
      </c>
      <c r="G268" s="52">
        <f>SUMIFS('STOCK IN  TRANSFER'!G:G, 'STOCK IN  TRANSFER'!D:D, A268, 'STOCK IN  TRANSFER'!F:F, "STOCK IN") + SUMIFS('STOCK IN  TRANSFER'!G:G, 'STOCK IN  TRANSFER'!D:D, A268, 'STOCK IN  TRANSFER'!F:F, "ADJUSTMENT (+)")</f>
        <v>1</v>
      </c>
    </row>
    <row r="269" ht="22.5" customHeight="1">
      <c r="A269" s="13" t="str">
        <f>IFERROR(__xludf.DUMMYFUNCTION("""COMPUTED_VALUE"""),"MT033-4L")</f>
        <v>MT033-4L</v>
      </c>
      <c r="B269" s="13" t="str">
        <f>IFERROR(__xludf.DUMMYFUNCTION("""COMPUTED_VALUE"""),"NAX PREMILA MT033 WHITE MET. MEDIUM FINE 4L")</f>
        <v>NAX PREMILA MT033 WHITE MET. MEDIUM FINE 4L</v>
      </c>
      <c r="C269" s="16">
        <f>IFERROR(__xludf.DUMMYFUNCTION("""COMPUTED_VALUE"""),6430.0)</f>
        <v>6430</v>
      </c>
      <c r="D269" s="13" t="str">
        <f>IFERROR(__xludf.DUMMYFUNCTION("""COMPUTED_VALUE"""),"GAL/S")</f>
        <v>GAL/S</v>
      </c>
      <c r="E269" s="28">
        <f>IFERROR(__xludf.DUMMYFUNCTION("""COMPUTED_VALUE"""),0.0)</f>
        <v>0</v>
      </c>
      <c r="F269" s="52">
        <f>SUMIF(SALES!D:D, A269, SALES!H:H) + SUMIFS('STOCK IN  TRANSFER'!G:G, 'STOCK IN  TRANSFER'!D:D, A269, 'STOCK IN  TRANSFER'!F:F, "TRANSFER") + SUMIFS('STOCK IN  TRANSFER'!G:G, 'STOCK IN  TRANSFER'!D:D, A269, 'STOCK IN  TRANSFER'!F:F, "ADJUSTMENT (-)")</f>
        <v>0</v>
      </c>
      <c r="G269" s="52">
        <f>SUMIFS('STOCK IN  TRANSFER'!G:G, 'STOCK IN  TRANSFER'!D:D, A269, 'STOCK IN  TRANSFER'!F:F, "STOCK IN") + SUMIFS('STOCK IN  TRANSFER'!G:G, 'STOCK IN  TRANSFER'!D:D, A269, 'STOCK IN  TRANSFER'!F:F, "ADJUSTMENT (+)")</f>
        <v>0</v>
      </c>
    </row>
    <row r="270" ht="22.5" customHeight="1">
      <c r="A270" s="13" t="str">
        <f>IFERROR(__xludf.DUMMYFUNCTION("""COMPUTED_VALUE"""),"MT033")</f>
        <v>MT033</v>
      </c>
      <c r="B270" s="13" t="str">
        <f>IFERROR(__xludf.DUMMYFUNCTION("""COMPUTED_VALUE"""),"NAX PREMILA MT033 WHITE MET. MEDIUM FINE 1L")</f>
        <v>NAX PREMILA MT033 WHITE MET. MEDIUM FINE 1L</v>
      </c>
      <c r="C270" s="16">
        <f>IFERROR(__xludf.DUMMYFUNCTION("""COMPUTED_VALUE"""),1995.0)</f>
        <v>1995</v>
      </c>
      <c r="D270" s="13" t="str">
        <f>IFERROR(__xludf.DUMMYFUNCTION("""COMPUTED_VALUE"""),"LTR/S")</f>
        <v>LTR/S</v>
      </c>
      <c r="E270" s="28">
        <f>IFERROR(__xludf.DUMMYFUNCTION("""COMPUTED_VALUE"""),2.0)</f>
        <v>2</v>
      </c>
      <c r="F270" s="52">
        <f>SUMIF(SALES!D:D, A270, SALES!H:H) + SUMIFS('STOCK IN  TRANSFER'!G:G, 'STOCK IN  TRANSFER'!D:D, A270, 'STOCK IN  TRANSFER'!F:F, "TRANSFER") + SUMIFS('STOCK IN  TRANSFER'!G:G, 'STOCK IN  TRANSFER'!D:D, A270, 'STOCK IN  TRANSFER'!F:F, "ADJUSTMENT (-)")</f>
        <v>0</v>
      </c>
      <c r="G270" s="52">
        <f>SUMIFS('STOCK IN  TRANSFER'!G:G, 'STOCK IN  TRANSFER'!D:D, A270, 'STOCK IN  TRANSFER'!F:F, "STOCK IN") + SUMIFS('STOCK IN  TRANSFER'!G:G, 'STOCK IN  TRANSFER'!D:D, A270, 'STOCK IN  TRANSFER'!F:F, "ADJUSTMENT (+)")</f>
        <v>2</v>
      </c>
    </row>
    <row r="271" ht="22.5" customHeight="1">
      <c r="A271" s="13" t="str">
        <f>IFERROR(__xludf.DUMMYFUNCTION("""COMPUTED_VALUE"""),"MT030")</f>
        <v>MT030</v>
      </c>
      <c r="B271" s="13" t="str">
        <f>IFERROR(__xludf.DUMMYFUNCTION("""COMPUTED_VALUE"""),"NAX PREMILA MT030 WHITE MET. SNOW FINE 1L")</f>
        <v>NAX PREMILA MT030 WHITE MET. SNOW FINE 1L</v>
      </c>
      <c r="C271" s="16">
        <f>IFERROR(__xludf.DUMMYFUNCTION("""COMPUTED_VALUE"""),1745.0)</f>
        <v>1745</v>
      </c>
      <c r="D271" s="13" t="str">
        <f>IFERROR(__xludf.DUMMYFUNCTION("""COMPUTED_VALUE"""),"LTR/S")</f>
        <v>LTR/S</v>
      </c>
      <c r="E271" s="28">
        <f>IFERROR(__xludf.DUMMYFUNCTION("""COMPUTED_VALUE"""),1.0)</f>
        <v>1</v>
      </c>
      <c r="F271" s="52">
        <f>SUMIF(SALES!D:D, A271, SALES!H:H) + SUMIFS('STOCK IN  TRANSFER'!G:G, 'STOCK IN  TRANSFER'!D:D, A271, 'STOCK IN  TRANSFER'!F:F, "TRANSFER") + SUMIFS('STOCK IN  TRANSFER'!G:G, 'STOCK IN  TRANSFER'!D:D, A271, 'STOCK IN  TRANSFER'!F:F, "ADJUSTMENT (-)")</f>
        <v>0</v>
      </c>
      <c r="G271" s="52">
        <f>SUMIFS('STOCK IN  TRANSFER'!G:G, 'STOCK IN  TRANSFER'!D:D, A271, 'STOCK IN  TRANSFER'!F:F, "STOCK IN") + SUMIFS('STOCK IN  TRANSFER'!G:G, 'STOCK IN  TRANSFER'!D:D, A271, 'STOCK IN  TRANSFER'!F:F, "ADJUSTMENT (+)")</f>
        <v>1</v>
      </c>
    </row>
    <row r="272" ht="22.5" customHeight="1">
      <c r="A272" s="13" t="str">
        <f>IFERROR(__xludf.DUMMYFUNCTION("""COMPUTED_VALUE"""),"MT028")</f>
        <v>MT028</v>
      </c>
      <c r="B272" s="13" t="str">
        <f>IFERROR(__xludf.DUMMYFUNCTION("""COMPUTED_VALUE"""),"NAX PREMILA MT028 HIGH SPARKLE SUPER GLAMOUR 1L")</f>
        <v>NAX PREMILA MT028 HIGH SPARKLE SUPER GLAMOUR 1L</v>
      </c>
      <c r="C272" s="16">
        <f>IFERROR(__xludf.DUMMYFUNCTION("""COMPUTED_VALUE"""),2150.0)</f>
        <v>2150</v>
      </c>
      <c r="D272" s="13" t="str">
        <f>IFERROR(__xludf.DUMMYFUNCTION("""COMPUTED_VALUE"""),"LTR/S")</f>
        <v>LTR/S</v>
      </c>
      <c r="E272" s="28">
        <f>IFERROR(__xludf.DUMMYFUNCTION("""COMPUTED_VALUE"""),4.0)</f>
        <v>4</v>
      </c>
      <c r="F272" s="52">
        <f>SUMIF(SALES!D:D, A272, SALES!H:H) + SUMIFS('STOCK IN  TRANSFER'!G:G, 'STOCK IN  TRANSFER'!D:D, A272, 'STOCK IN  TRANSFER'!F:F, "TRANSFER") + SUMIFS('STOCK IN  TRANSFER'!G:G, 'STOCK IN  TRANSFER'!D:D, A272, 'STOCK IN  TRANSFER'!F:F, "ADJUSTMENT (-)")</f>
        <v>0</v>
      </c>
      <c r="G272" s="52">
        <f>SUMIFS('STOCK IN  TRANSFER'!G:G, 'STOCK IN  TRANSFER'!D:D, A272, 'STOCK IN  TRANSFER'!F:F, "STOCK IN") + SUMIFS('STOCK IN  TRANSFER'!G:G, 'STOCK IN  TRANSFER'!D:D, A272, 'STOCK IN  TRANSFER'!F:F, "ADJUSTMENT (+)")</f>
        <v>4</v>
      </c>
    </row>
    <row r="273" ht="22.5" customHeight="1">
      <c r="A273" s="13" t="str">
        <f>IFERROR(__xludf.DUMMYFUNCTION("""COMPUTED_VALUE"""),"MT025")</f>
        <v>MT025</v>
      </c>
      <c r="B273" s="13" t="str">
        <f>IFERROR(__xludf.DUMMYFUNCTION("""COMPUTED_VALUE"""),"NAX PREMILA MT025 HIGH SPARKLE SUPER COARSE 1L")</f>
        <v>NAX PREMILA MT025 HIGH SPARKLE SUPER COARSE 1L</v>
      </c>
      <c r="C273" s="16">
        <f>IFERROR(__xludf.DUMMYFUNCTION("""COMPUTED_VALUE"""),1745.0)</f>
        <v>1745</v>
      </c>
      <c r="D273" s="13" t="str">
        <f>IFERROR(__xludf.DUMMYFUNCTION("""COMPUTED_VALUE"""),"LTR/S")</f>
        <v>LTR/S</v>
      </c>
      <c r="E273" s="28">
        <f>IFERROR(__xludf.DUMMYFUNCTION("""COMPUTED_VALUE"""),0.0)</f>
        <v>0</v>
      </c>
      <c r="F273" s="52">
        <f>SUMIF(SALES!D:D, A273, SALES!H:H) + SUMIFS('STOCK IN  TRANSFER'!G:G, 'STOCK IN  TRANSFER'!D:D, A273, 'STOCK IN  TRANSFER'!F:F, "TRANSFER") + SUMIFS('STOCK IN  TRANSFER'!G:G, 'STOCK IN  TRANSFER'!D:D, A273, 'STOCK IN  TRANSFER'!F:F, "ADJUSTMENT (-)")</f>
        <v>1</v>
      </c>
      <c r="G273" s="52">
        <f>SUMIFS('STOCK IN  TRANSFER'!G:G, 'STOCK IN  TRANSFER'!D:D, A273, 'STOCK IN  TRANSFER'!F:F, "STOCK IN") + SUMIFS('STOCK IN  TRANSFER'!G:G, 'STOCK IN  TRANSFER'!D:D, A273, 'STOCK IN  TRANSFER'!F:F, "ADJUSTMENT (+)")</f>
        <v>1</v>
      </c>
    </row>
    <row r="274" ht="22.5" customHeight="1">
      <c r="A274" s="13" t="str">
        <f>IFERROR(__xludf.DUMMYFUNCTION("""COMPUTED_VALUE"""),"MT023-4L")</f>
        <v>MT023-4L</v>
      </c>
      <c r="B274" s="13" t="str">
        <f>IFERROR(__xludf.DUMMYFUNCTION("""COMPUTED_VALUE"""),"NAX PREMILA MT023 HIGH SPARKLE FINE 4L")</f>
        <v>NAX PREMILA MT023 HIGH SPARKLE FINE 4L</v>
      </c>
      <c r="C274" s="16">
        <f>IFERROR(__xludf.DUMMYFUNCTION("""COMPUTED_VALUE"""),6430.0)</f>
        <v>6430</v>
      </c>
      <c r="D274" s="13" t="str">
        <f>IFERROR(__xludf.DUMMYFUNCTION("""COMPUTED_VALUE"""),"GAL/S")</f>
        <v>GAL/S</v>
      </c>
      <c r="E274" s="28">
        <f>IFERROR(__xludf.DUMMYFUNCTION("""COMPUTED_VALUE"""),0.0)</f>
        <v>0</v>
      </c>
      <c r="F274" s="52">
        <f>SUMIF(SALES!D:D, A274, SALES!H:H) + SUMIFS('STOCK IN  TRANSFER'!G:G, 'STOCK IN  TRANSFER'!D:D, A274, 'STOCK IN  TRANSFER'!F:F, "TRANSFER") + SUMIFS('STOCK IN  TRANSFER'!G:G, 'STOCK IN  TRANSFER'!D:D, A274, 'STOCK IN  TRANSFER'!F:F, "ADJUSTMENT (-)")</f>
        <v>0</v>
      </c>
      <c r="G274" s="52">
        <f>SUMIFS('STOCK IN  TRANSFER'!G:G, 'STOCK IN  TRANSFER'!D:D, A274, 'STOCK IN  TRANSFER'!F:F, "STOCK IN") + SUMIFS('STOCK IN  TRANSFER'!G:G, 'STOCK IN  TRANSFER'!D:D, A274, 'STOCK IN  TRANSFER'!F:F, "ADJUSTMENT (+)")</f>
        <v>0</v>
      </c>
    </row>
    <row r="275" ht="22.5" customHeight="1">
      <c r="A275" s="13" t="str">
        <f>IFERROR(__xludf.DUMMYFUNCTION("""COMPUTED_VALUE"""),"MT023")</f>
        <v>MT023</v>
      </c>
      <c r="B275" s="13" t="str">
        <f>IFERROR(__xludf.DUMMYFUNCTION("""COMPUTED_VALUE"""),"NAX PREMILA MT023 HIGH SPARKLE FINE 1L")</f>
        <v>NAX PREMILA MT023 HIGH SPARKLE FINE 1L</v>
      </c>
      <c r="C275" s="16">
        <f>IFERROR(__xludf.DUMMYFUNCTION("""COMPUTED_VALUE"""),1994.0)</f>
        <v>1994</v>
      </c>
      <c r="D275" s="13" t="str">
        <f>IFERROR(__xludf.DUMMYFUNCTION("""COMPUTED_VALUE"""),"LTR/S")</f>
        <v>LTR/S</v>
      </c>
      <c r="E275" s="28">
        <f>IFERROR(__xludf.DUMMYFUNCTION("""COMPUTED_VALUE"""),1.0)</f>
        <v>1</v>
      </c>
      <c r="F275" s="52">
        <f>SUMIF(SALES!D:D, A275, SALES!H:H) + SUMIFS('STOCK IN  TRANSFER'!G:G, 'STOCK IN  TRANSFER'!D:D, A275, 'STOCK IN  TRANSFER'!F:F, "TRANSFER") + SUMIFS('STOCK IN  TRANSFER'!G:G, 'STOCK IN  TRANSFER'!D:D, A275, 'STOCK IN  TRANSFER'!F:F, "ADJUSTMENT (-)")</f>
        <v>2</v>
      </c>
      <c r="G275" s="52">
        <f>SUMIFS('STOCK IN  TRANSFER'!G:G, 'STOCK IN  TRANSFER'!D:D, A275, 'STOCK IN  TRANSFER'!F:F, "STOCK IN") + SUMIFS('STOCK IN  TRANSFER'!G:G, 'STOCK IN  TRANSFER'!D:D, A275, 'STOCK IN  TRANSFER'!F:F, "ADJUSTMENT (+)")</f>
        <v>3</v>
      </c>
    </row>
    <row r="276" ht="22.5" customHeight="1">
      <c r="A276" s="13" t="str">
        <f>IFERROR(__xludf.DUMMYFUNCTION("""COMPUTED_VALUE"""),"MT012")</f>
        <v>MT012</v>
      </c>
      <c r="B276" s="13" t="str">
        <f>IFERROR(__xludf.DUMMYFUNCTION("""COMPUTED_VALUE"""),"NAX PREMILA MT012 MET. BASE FINE 1L")</f>
        <v>NAX PREMILA MT012 MET. BASE FINE 1L</v>
      </c>
      <c r="C276" s="16">
        <f>IFERROR(__xludf.DUMMYFUNCTION("""COMPUTED_VALUE"""),1745.0)</f>
        <v>1745</v>
      </c>
      <c r="D276" s="13" t="str">
        <f>IFERROR(__xludf.DUMMYFUNCTION("""COMPUTED_VALUE"""),"LTR/S")</f>
        <v>LTR/S</v>
      </c>
      <c r="E276" s="28">
        <f>IFERROR(__xludf.DUMMYFUNCTION("""COMPUTED_VALUE"""),1.0)</f>
        <v>1</v>
      </c>
      <c r="F276" s="52">
        <f>SUMIF(SALES!D:D, A276, SALES!H:H) + SUMIFS('STOCK IN  TRANSFER'!G:G, 'STOCK IN  TRANSFER'!D:D, A276, 'STOCK IN  TRANSFER'!F:F, "TRANSFER") + SUMIFS('STOCK IN  TRANSFER'!G:G, 'STOCK IN  TRANSFER'!D:D, A276, 'STOCK IN  TRANSFER'!F:F, "ADJUSTMENT (-)")</f>
        <v>0</v>
      </c>
      <c r="G276" s="52">
        <f>SUMIFS('STOCK IN  TRANSFER'!G:G, 'STOCK IN  TRANSFER'!D:D, A276, 'STOCK IN  TRANSFER'!F:F, "STOCK IN") + SUMIFS('STOCK IN  TRANSFER'!G:G, 'STOCK IN  TRANSFER'!D:D, A276, 'STOCK IN  TRANSFER'!F:F, "ADJUSTMENT (+)")</f>
        <v>1</v>
      </c>
    </row>
    <row r="277" ht="22.5" customHeight="1">
      <c r="A277" s="13" t="str">
        <f>IFERROR(__xludf.DUMMYFUNCTION("""COMPUTED_VALUE"""),"MT008")</f>
        <v>MT008</v>
      </c>
      <c r="B277" s="13" t="str">
        <f>IFERROR(__xludf.DUMMYFUNCTION("""COMPUTED_VALUE"""),"NAX PREMILA MT008 CRYSTAL SILVER COARSE 1L")</f>
        <v>NAX PREMILA MT008 CRYSTAL SILVER COARSE 1L</v>
      </c>
      <c r="C277" s="16">
        <f>IFERROR(__xludf.DUMMYFUNCTION("""COMPUTED_VALUE"""),2150.0)</f>
        <v>2150</v>
      </c>
      <c r="D277" s="13" t="str">
        <f>IFERROR(__xludf.DUMMYFUNCTION("""COMPUTED_VALUE"""),"LTR/S")</f>
        <v>LTR/S</v>
      </c>
      <c r="E277" s="28">
        <f>IFERROR(__xludf.DUMMYFUNCTION("""COMPUTED_VALUE"""),3.0)</f>
        <v>3</v>
      </c>
      <c r="F277" s="52">
        <f>SUMIF(SALES!D:D, A277, SALES!H:H) + SUMIFS('STOCK IN  TRANSFER'!G:G, 'STOCK IN  TRANSFER'!D:D, A277, 'STOCK IN  TRANSFER'!F:F, "TRANSFER") + SUMIFS('STOCK IN  TRANSFER'!G:G, 'STOCK IN  TRANSFER'!D:D, A277, 'STOCK IN  TRANSFER'!F:F, "ADJUSTMENT (-)")</f>
        <v>0</v>
      </c>
      <c r="G277" s="52">
        <f>SUMIFS('STOCK IN  TRANSFER'!G:G, 'STOCK IN  TRANSFER'!D:D, A277, 'STOCK IN  TRANSFER'!F:F, "STOCK IN") + SUMIFS('STOCK IN  TRANSFER'!G:G, 'STOCK IN  TRANSFER'!D:D, A277, 'STOCK IN  TRANSFER'!F:F, "ADJUSTMENT (+)")</f>
        <v>3</v>
      </c>
    </row>
    <row r="278" ht="22.5" customHeight="1">
      <c r="A278" s="13" t="str">
        <f>IFERROR(__xludf.DUMMYFUNCTION("""COMPUTED_VALUE"""),"MT006")</f>
        <v>MT006</v>
      </c>
      <c r="B278" s="13" t="str">
        <f>IFERROR(__xludf.DUMMYFUNCTION("""COMPUTED_VALUE"""),"NAX PREMILA MT006 CRYSTAL SILVER MEDIUM 1L")</f>
        <v>NAX PREMILA MT006 CRYSTAL SILVER MEDIUM 1L</v>
      </c>
      <c r="C278" s="16">
        <f>IFERROR(__xludf.DUMMYFUNCTION("""COMPUTED_VALUE"""),2150.0)</f>
        <v>2150</v>
      </c>
      <c r="D278" s="13" t="str">
        <f>IFERROR(__xludf.DUMMYFUNCTION("""COMPUTED_VALUE"""),"LTR/S")</f>
        <v>LTR/S</v>
      </c>
      <c r="E278" s="28">
        <f>IFERROR(__xludf.DUMMYFUNCTION("""COMPUTED_VALUE"""),2.0)</f>
        <v>2</v>
      </c>
      <c r="F278" s="52">
        <f>SUMIF(SALES!D:D, A278, SALES!H:H) + SUMIFS('STOCK IN  TRANSFER'!G:G, 'STOCK IN  TRANSFER'!D:D, A278, 'STOCK IN  TRANSFER'!F:F, "TRANSFER") + SUMIFS('STOCK IN  TRANSFER'!G:G, 'STOCK IN  TRANSFER'!D:D, A278, 'STOCK IN  TRANSFER'!F:F, "ADJUSTMENT (-)")</f>
        <v>0</v>
      </c>
      <c r="G278" s="52">
        <f>SUMIFS('STOCK IN  TRANSFER'!G:G, 'STOCK IN  TRANSFER'!D:D, A278, 'STOCK IN  TRANSFER'!F:F, "STOCK IN") + SUMIFS('STOCK IN  TRANSFER'!G:G, 'STOCK IN  TRANSFER'!D:D, A278, 'STOCK IN  TRANSFER'!F:F, "ADJUSTMENT (+)")</f>
        <v>2</v>
      </c>
    </row>
    <row r="279" ht="22.5" customHeight="1">
      <c r="A279" s="13" t="str">
        <f>IFERROR(__xludf.DUMMYFUNCTION("""COMPUTED_VALUE"""),"MT004")</f>
        <v>MT004</v>
      </c>
      <c r="B279" s="13" t="str">
        <f>IFERROR(__xludf.DUMMYFUNCTION("""COMPUTED_VALUE"""),"NAX PREMILA MT004 CRYSTAL SILVER COARSE 1L")</f>
        <v>NAX PREMILA MT004 CRYSTAL SILVER COARSE 1L</v>
      </c>
      <c r="C279" s="16">
        <f>IFERROR(__xludf.DUMMYFUNCTION("""COMPUTED_VALUE"""),2150.0)</f>
        <v>2150</v>
      </c>
      <c r="D279" s="13" t="str">
        <f>IFERROR(__xludf.DUMMYFUNCTION("""COMPUTED_VALUE"""),"LTR/S")</f>
        <v>LTR/S</v>
      </c>
      <c r="E279" s="28">
        <f>IFERROR(__xludf.DUMMYFUNCTION("""COMPUTED_VALUE"""),1.0)</f>
        <v>1</v>
      </c>
      <c r="F279" s="52">
        <f>SUMIF(SALES!D:D, A279, SALES!H:H) + SUMIFS('STOCK IN  TRANSFER'!G:G, 'STOCK IN  TRANSFER'!D:D, A279, 'STOCK IN  TRANSFER'!F:F, "TRANSFER") + SUMIFS('STOCK IN  TRANSFER'!G:G, 'STOCK IN  TRANSFER'!D:D, A279, 'STOCK IN  TRANSFER'!F:F, "ADJUSTMENT (-)")</f>
        <v>1</v>
      </c>
      <c r="G279" s="52">
        <f>SUMIFS('STOCK IN  TRANSFER'!G:G, 'STOCK IN  TRANSFER'!D:D, A279, 'STOCK IN  TRANSFER'!F:F, "STOCK IN") + SUMIFS('STOCK IN  TRANSFER'!G:G, 'STOCK IN  TRANSFER'!D:D, A279, 'STOCK IN  TRANSFER'!F:F, "ADJUSTMENT (+)")</f>
        <v>2</v>
      </c>
    </row>
    <row r="280" ht="22.5" customHeight="1">
      <c r="A280" s="13" t="str">
        <f>IFERROR(__xludf.DUMMYFUNCTION("""COMPUTED_VALUE"""),"MT003")</f>
        <v>MT003</v>
      </c>
      <c r="B280" s="13" t="str">
        <f>IFERROR(__xludf.DUMMYFUNCTION("""COMPUTED_VALUE"""),"NAX PREMILA MT003 CRYSTAL SILVER MEDIUM 1L")</f>
        <v>NAX PREMILA MT003 CRYSTAL SILVER MEDIUM 1L</v>
      </c>
      <c r="C280" s="16">
        <f>IFERROR(__xludf.DUMMYFUNCTION("""COMPUTED_VALUE"""),2150.0)</f>
        <v>2150</v>
      </c>
      <c r="D280" s="13" t="str">
        <f>IFERROR(__xludf.DUMMYFUNCTION("""COMPUTED_VALUE"""),"LTR/S")</f>
        <v>LTR/S</v>
      </c>
      <c r="E280" s="28">
        <f>IFERROR(__xludf.DUMMYFUNCTION("""COMPUTED_VALUE"""),0.0)</f>
        <v>0</v>
      </c>
      <c r="F280" s="52">
        <f>SUMIF(SALES!D:D, A280, SALES!H:H) + SUMIFS('STOCK IN  TRANSFER'!G:G, 'STOCK IN  TRANSFER'!D:D, A280, 'STOCK IN  TRANSFER'!F:F, "TRANSFER") + SUMIFS('STOCK IN  TRANSFER'!G:G, 'STOCK IN  TRANSFER'!D:D, A280, 'STOCK IN  TRANSFER'!F:F, "ADJUSTMENT (-)")</f>
        <v>2</v>
      </c>
      <c r="G280" s="52">
        <f>SUMIFS('STOCK IN  TRANSFER'!G:G, 'STOCK IN  TRANSFER'!D:D, A280, 'STOCK IN  TRANSFER'!F:F, "STOCK IN") + SUMIFS('STOCK IN  TRANSFER'!G:G, 'STOCK IN  TRANSFER'!D:D, A280, 'STOCK IN  TRANSFER'!F:F, "ADJUSTMENT (+)")</f>
        <v>2</v>
      </c>
    </row>
    <row r="281" ht="22.5" customHeight="1">
      <c r="A281" s="13" t="str">
        <f>IFERROR(__xludf.DUMMYFUNCTION("""COMPUTED_VALUE"""),"MT002-4L")</f>
        <v>MT002-4L</v>
      </c>
      <c r="B281" s="13" t="str">
        <f>IFERROR(__xludf.DUMMYFUNCTION("""COMPUTED_VALUE"""),"NAX PREMILA MT002 CRYSTAL SILVER FINE 4L")</f>
        <v>NAX PREMILA MT002 CRYSTAL SILVER FINE 4L</v>
      </c>
      <c r="C281" s="16">
        <f>IFERROR(__xludf.DUMMYFUNCTION("""COMPUTED_VALUE"""),6563.0)</f>
        <v>6563</v>
      </c>
      <c r="D281" s="13" t="str">
        <f>IFERROR(__xludf.DUMMYFUNCTION("""COMPUTED_VALUE"""),"GAL/S")</f>
        <v>GAL/S</v>
      </c>
      <c r="E281" s="28">
        <f>IFERROR(__xludf.DUMMYFUNCTION("""COMPUTED_VALUE"""),0.0)</f>
        <v>0</v>
      </c>
      <c r="F281" s="52">
        <f>SUMIF(SALES!D:D, A281, SALES!H:H) + SUMIFS('STOCK IN  TRANSFER'!G:G, 'STOCK IN  TRANSFER'!D:D, A281, 'STOCK IN  TRANSFER'!F:F, "TRANSFER") + SUMIFS('STOCK IN  TRANSFER'!G:G, 'STOCK IN  TRANSFER'!D:D, A281, 'STOCK IN  TRANSFER'!F:F, "ADJUSTMENT (-)")</f>
        <v>0</v>
      </c>
      <c r="G281" s="52">
        <f>SUMIFS('STOCK IN  TRANSFER'!G:G, 'STOCK IN  TRANSFER'!D:D, A281, 'STOCK IN  TRANSFER'!F:F, "STOCK IN") + SUMIFS('STOCK IN  TRANSFER'!G:G, 'STOCK IN  TRANSFER'!D:D, A281, 'STOCK IN  TRANSFER'!F:F, "ADJUSTMENT (+)")</f>
        <v>0</v>
      </c>
    </row>
    <row r="282" ht="22.5" customHeight="1">
      <c r="A282" s="13" t="str">
        <f>IFERROR(__xludf.DUMMYFUNCTION("""COMPUTED_VALUE"""),"MT002-1L")</f>
        <v>MT002-1L</v>
      </c>
      <c r="B282" s="13" t="str">
        <f>IFERROR(__xludf.DUMMYFUNCTION("""COMPUTED_VALUE"""),"NAX PREMILA MT002 CRYSTAL SILVER FINE 1L")</f>
        <v>NAX PREMILA MT002 CRYSTAL SILVER FINE 1L</v>
      </c>
      <c r="C282" s="16">
        <f>IFERROR(__xludf.DUMMYFUNCTION("""COMPUTED_VALUE"""),2150.0)</f>
        <v>2150</v>
      </c>
      <c r="D282" s="13" t="str">
        <f>IFERROR(__xludf.DUMMYFUNCTION("""COMPUTED_VALUE"""),"LTR/S")</f>
        <v>LTR/S</v>
      </c>
      <c r="E282" s="28">
        <f>IFERROR(__xludf.DUMMYFUNCTION("""COMPUTED_VALUE"""),3.0)</f>
        <v>3</v>
      </c>
      <c r="F282" s="52">
        <f>SUMIF(SALES!D:D, A282, SALES!H:H) + SUMIFS('STOCK IN  TRANSFER'!G:G, 'STOCK IN  TRANSFER'!D:D, A282, 'STOCK IN  TRANSFER'!F:F, "TRANSFER") + SUMIFS('STOCK IN  TRANSFER'!G:G, 'STOCK IN  TRANSFER'!D:D, A282, 'STOCK IN  TRANSFER'!F:F, "ADJUSTMENT (-)")</f>
        <v>1</v>
      </c>
      <c r="G282" s="52">
        <f>SUMIFS('STOCK IN  TRANSFER'!G:G, 'STOCK IN  TRANSFER'!D:D, A282, 'STOCK IN  TRANSFER'!F:F, "STOCK IN") + SUMIFS('STOCK IN  TRANSFER'!G:G, 'STOCK IN  TRANSFER'!D:D, A282, 'STOCK IN  TRANSFER'!F:F, "ADJUSTMENT (+)")</f>
        <v>4</v>
      </c>
    </row>
    <row r="283" ht="22.5" customHeight="1">
      <c r="A283" s="13" t="str">
        <f>IFERROR(__xludf.DUMMYFUNCTION("""COMPUTED_VALUE"""),"MT001")</f>
        <v>MT001</v>
      </c>
      <c r="B283" s="13" t="str">
        <f>IFERROR(__xludf.DUMMYFUNCTION("""COMPUTED_VALUE"""),"NAX PREMILA MT001 CRYSTAL SILVER EXTRA FINE 1L")</f>
        <v>NAX PREMILA MT001 CRYSTAL SILVER EXTRA FINE 1L</v>
      </c>
      <c r="C283" s="16">
        <f>IFERROR(__xludf.DUMMYFUNCTION("""COMPUTED_VALUE"""),2150.0)</f>
        <v>2150</v>
      </c>
      <c r="D283" s="13" t="str">
        <f>IFERROR(__xludf.DUMMYFUNCTION("""COMPUTED_VALUE"""),"LTR/S")</f>
        <v>LTR/S</v>
      </c>
      <c r="E283" s="28">
        <f>IFERROR(__xludf.DUMMYFUNCTION("""COMPUTED_VALUE"""),3.0)</f>
        <v>3</v>
      </c>
      <c r="F283" s="52">
        <f>SUMIF(SALES!D:D, A283, SALES!H:H) + SUMIFS('STOCK IN  TRANSFER'!G:G, 'STOCK IN  TRANSFER'!D:D, A283, 'STOCK IN  TRANSFER'!F:F, "TRANSFER") + SUMIFS('STOCK IN  TRANSFER'!G:G, 'STOCK IN  TRANSFER'!D:D, A283, 'STOCK IN  TRANSFER'!F:F, "ADJUSTMENT (-)")</f>
        <v>0</v>
      </c>
      <c r="G283" s="52">
        <f>SUMIFS('STOCK IN  TRANSFER'!G:G, 'STOCK IN  TRANSFER'!D:D, A283, 'STOCK IN  TRANSFER'!F:F, "STOCK IN") + SUMIFS('STOCK IN  TRANSFER'!G:G, 'STOCK IN  TRANSFER'!D:D, A283, 'STOCK IN  TRANSFER'!F:F, "ADJUSTMENT (+)")</f>
        <v>3</v>
      </c>
    </row>
    <row r="284" ht="22.5" customHeight="1">
      <c r="A284" s="13" t="str">
        <f>IFERROR(__xludf.DUMMYFUNCTION("""COMPUTED_VALUE"""),"MT06M")</f>
        <v>MT06M</v>
      </c>
      <c r="B284" s="13" t="str">
        <f>IFERROR(__xludf.DUMMYFUNCTION("""COMPUTED_VALUE"""),"NAX PREMILA MT 06M NEO MICA BASE 3AG GREEN 1L")</f>
        <v>NAX PREMILA MT 06M NEO MICA BASE 3AG GREEN 1L</v>
      </c>
      <c r="C284" s="16">
        <f>IFERROR(__xludf.DUMMYFUNCTION("""COMPUTED_VALUE"""),3650.0)</f>
        <v>3650</v>
      </c>
      <c r="D284" s="13" t="str">
        <f>IFERROR(__xludf.DUMMYFUNCTION("""COMPUTED_VALUE"""),"LTR/S")</f>
        <v>LTR/S</v>
      </c>
      <c r="E284" s="28">
        <f>IFERROR(__xludf.DUMMYFUNCTION("""COMPUTED_VALUE"""),3.0)</f>
        <v>3</v>
      </c>
      <c r="F284" s="52">
        <f>SUMIF(SALES!D:D, A284, SALES!H:H) + SUMIFS('STOCK IN  TRANSFER'!G:G, 'STOCK IN  TRANSFER'!D:D, A284, 'STOCK IN  TRANSFER'!F:F, "TRANSFER") + SUMIFS('STOCK IN  TRANSFER'!G:G, 'STOCK IN  TRANSFER'!D:D, A284, 'STOCK IN  TRANSFER'!F:F, "ADJUSTMENT (-)")</f>
        <v>0</v>
      </c>
      <c r="G284" s="52">
        <f>SUMIFS('STOCK IN  TRANSFER'!G:G, 'STOCK IN  TRANSFER'!D:D, A284, 'STOCK IN  TRANSFER'!F:F, "STOCK IN") + SUMIFS('STOCK IN  TRANSFER'!G:G, 'STOCK IN  TRANSFER'!D:D, A284, 'STOCK IN  TRANSFER'!F:F, "ADJUSTMENT (+)")</f>
        <v>3</v>
      </c>
    </row>
    <row r="285" ht="22.5" customHeight="1">
      <c r="A285" s="13" t="str">
        <f>IFERROR(__xludf.DUMMYFUNCTION("""COMPUTED_VALUE"""),"NB200-HAR")</f>
        <v>NB200-HAR</v>
      </c>
      <c r="B285" s="13" t="str">
        <f>IFERROR(__xludf.DUMMYFUNCTION("""COMPUTED_VALUE"""),"NAX PREMILA 2K NB200 HARDENER")</f>
        <v>NAX PREMILA 2K NB200 HARDENER</v>
      </c>
      <c r="C285" s="16">
        <f>IFERROR(__xludf.DUMMYFUNCTION("""COMPUTED_VALUE"""),1030.0)</f>
        <v>1030</v>
      </c>
      <c r="D285" s="13" t="str">
        <f>IFERROR(__xludf.DUMMYFUNCTION("""COMPUTED_VALUE"""),"LTR")</f>
        <v>LTR</v>
      </c>
      <c r="E285" s="28">
        <f>IFERROR(__xludf.DUMMYFUNCTION("""COMPUTED_VALUE"""),0.0)</f>
        <v>0</v>
      </c>
      <c r="F285" s="52">
        <f>SUMIF(SALES!D:D, A285, SALES!H:H) + SUMIFS('STOCK IN  TRANSFER'!G:G, 'STOCK IN  TRANSFER'!D:D, A285, 'STOCK IN  TRANSFER'!F:F, "TRANSFER") + SUMIFS('STOCK IN  TRANSFER'!G:G, 'STOCK IN  TRANSFER'!D:D, A285, 'STOCK IN  TRANSFER'!F:F, "ADJUSTMENT (-)")</f>
        <v>1</v>
      </c>
      <c r="G285" s="52">
        <f>SUMIFS('STOCK IN  TRANSFER'!G:G, 'STOCK IN  TRANSFER'!D:D, A285, 'STOCK IN  TRANSFER'!F:F, "STOCK IN") + SUMIFS('STOCK IN  TRANSFER'!G:G, 'STOCK IN  TRANSFER'!D:D, A285, 'STOCK IN  TRANSFER'!F:F, "ADJUSTMENT (+)")</f>
        <v>1</v>
      </c>
    </row>
    <row r="286" ht="22.5" customHeight="1">
      <c r="A286" s="13" t="str">
        <f>IFERROR(__xludf.DUMMYFUNCTION("""COMPUTED_VALUE"""),"NAX21")</f>
        <v>NAX21</v>
      </c>
      <c r="B286" s="13" t="str">
        <f>IFERROR(__xludf.DUMMYFUNCTION("""COMPUTED_VALUE"""),"NAX NAX21 URETHANE HAEDENER")</f>
        <v>NAX NAX21 URETHANE HAEDENER</v>
      </c>
      <c r="C286" s="16">
        <f>IFERROR(__xludf.DUMMYFUNCTION("""COMPUTED_VALUE"""),190.0)</f>
        <v>190</v>
      </c>
      <c r="D286" s="13" t="str">
        <f>IFERROR(__xludf.DUMMYFUNCTION("""COMPUTED_VALUE"""),"CANS")</f>
        <v>CANS</v>
      </c>
      <c r="E286" s="28">
        <f>IFERROR(__xludf.DUMMYFUNCTION("""COMPUTED_VALUE"""),-11.0)</f>
        <v>-11</v>
      </c>
      <c r="F286" s="52">
        <f>SUMIF(SALES!D:D, A286, SALES!H:H) + SUMIFS('STOCK IN  TRANSFER'!G:G, 'STOCK IN  TRANSFER'!D:D, A286, 'STOCK IN  TRANSFER'!F:F, "TRANSFER") + SUMIFS('STOCK IN  TRANSFER'!G:G, 'STOCK IN  TRANSFER'!D:D, A286, 'STOCK IN  TRANSFER'!F:F, "ADJUSTMENT (-)")</f>
        <v>41</v>
      </c>
      <c r="G286" s="52">
        <f>SUMIFS('STOCK IN  TRANSFER'!G:G, 'STOCK IN  TRANSFER'!D:D, A286, 'STOCK IN  TRANSFER'!F:F, "STOCK IN") + SUMIFS('STOCK IN  TRANSFER'!G:G, 'STOCK IN  TRANSFER'!D:D, A286, 'STOCK IN  TRANSFER'!F:F, "ADJUSTMENT (+)")</f>
        <v>30</v>
      </c>
    </row>
    <row r="287" ht="22.5" customHeight="1">
      <c r="A287" s="13" t="str">
        <f>IFERROR(__xludf.DUMMYFUNCTION("""COMPUTED_VALUE"""),"NAT992")</f>
        <v>NAT992</v>
      </c>
      <c r="B287" s="13" t="str">
        <f>IFERROR(__xludf.DUMMYFUNCTION("""COMPUTED_VALUE"""),"NAX NAT-992 TTC BLACK NO.8 1L")</f>
        <v>NAX NAT-992 TTC BLACK NO.8 1L</v>
      </c>
      <c r="C287" s="16">
        <f>IFERROR(__xludf.DUMMYFUNCTION("""COMPUTED_VALUE"""),410.0)</f>
        <v>410</v>
      </c>
      <c r="D287" s="13" t="str">
        <f>IFERROR(__xludf.DUMMYFUNCTION("""COMPUTED_VALUE"""),"LITER")</f>
        <v>LITER</v>
      </c>
      <c r="E287" s="28">
        <f>IFERROR(__xludf.DUMMYFUNCTION("""COMPUTED_VALUE"""),6.0)</f>
        <v>6</v>
      </c>
      <c r="F287" s="52">
        <f>SUMIF(SALES!D:D, A287, SALES!H:H) + SUMIFS('STOCK IN  TRANSFER'!G:G, 'STOCK IN  TRANSFER'!D:D, A287, 'STOCK IN  TRANSFER'!F:F, "TRANSFER") + SUMIFS('STOCK IN  TRANSFER'!G:G, 'STOCK IN  TRANSFER'!D:D, A287, 'STOCK IN  TRANSFER'!F:F, "ADJUSTMENT (-)")</f>
        <v>0</v>
      </c>
      <c r="G287" s="52">
        <f>SUMIFS('STOCK IN  TRANSFER'!G:G, 'STOCK IN  TRANSFER'!D:D, A287, 'STOCK IN  TRANSFER'!F:F, "STOCK IN") + SUMIFS('STOCK IN  TRANSFER'!G:G, 'STOCK IN  TRANSFER'!D:D, A287, 'STOCK IN  TRANSFER'!F:F, "ADJUSTMENT (+)")</f>
        <v>6</v>
      </c>
    </row>
    <row r="288" ht="22.5" customHeight="1">
      <c r="A288" s="13" t="str">
        <f>IFERROR(__xludf.DUMMYFUNCTION("""COMPUTED_VALUE"""),"NAT990-4L")</f>
        <v>NAT990-4L</v>
      </c>
      <c r="B288" s="13" t="str">
        <f>IFERROR(__xludf.DUMMYFUNCTION("""COMPUTED_VALUE"""),"NAX NAT-990 TTC BLACK 4L")</f>
        <v>NAX NAT-990 TTC BLACK 4L</v>
      </c>
      <c r="C288" s="16">
        <f>IFERROR(__xludf.DUMMYFUNCTION("""COMPUTED_VALUE"""),1518.0)</f>
        <v>1518</v>
      </c>
      <c r="D288" s="13" t="str">
        <f>IFERROR(__xludf.DUMMYFUNCTION("""COMPUTED_VALUE"""),"GAL")</f>
        <v>GAL</v>
      </c>
      <c r="E288" s="28">
        <f>IFERROR(__xludf.DUMMYFUNCTION("""COMPUTED_VALUE"""),3.0)</f>
        <v>3</v>
      </c>
      <c r="F288" s="52">
        <f>SUMIF(SALES!D:D, A288, SALES!H:H) + SUMIFS('STOCK IN  TRANSFER'!G:G, 'STOCK IN  TRANSFER'!D:D, A288, 'STOCK IN  TRANSFER'!F:F, "TRANSFER") + SUMIFS('STOCK IN  TRANSFER'!G:G, 'STOCK IN  TRANSFER'!D:D, A288, 'STOCK IN  TRANSFER'!F:F, "ADJUSTMENT (-)")</f>
        <v>7</v>
      </c>
      <c r="G288" s="52">
        <f>SUMIFS('STOCK IN  TRANSFER'!G:G, 'STOCK IN  TRANSFER'!D:D, A288, 'STOCK IN  TRANSFER'!F:F, "STOCK IN") + SUMIFS('STOCK IN  TRANSFER'!G:G, 'STOCK IN  TRANSFER'!D:D, A288, 'STOCK IN  TRANSFER'!F:F, "ADJUSTMENT (+)")</f>
        <v>10</v>
      </c>
    </row>
    <row r="289" ht="22.5" customHeight="1">
      <c r="A289" s="13" t="str">
        <f>IFERROR(__xludf.DUMMYFUNCTION("""COMPUTED_VALUE"""),"NAT990-1L")</f>
        <v>NAT990-1L</v>
      </c>
      <c r="B289" s="13" t="str">
        <f>IFERROR(__xludf.DUMMYFUNCTION("""COMPUTED_VALUE"""),"NAX NAT-990 TTC BLACK 1L")</f>
        <v>NAX NAT-990 TTC BLACK 1L</v>
      </c>
      <c r="C289" s="16">
        <f>IFERROR(__xludf.DUMMYFUNCTION("""COMPUTED_VALUE"""),409.0)</f>
        <v>409</v>
      </c>
      <c r="D289" s="13" t="str">
        <f>IFERROR(__xludf.DUMMYFUNCTION("""COMPUTED_VALUE"""),"LITER")</f>
        <v>LITER</v>
      </c>
      <c r="E289" s="28">
        <f>IFERROR(__xludf.DUMMYFUNCTION("""COMPUTED_VALUE"""),4.0)</f>
        <v>4</v>
      </c>
      <c r="F289" s="52">
        <f>SUMIF(SALES!D:D, A289, SALES!H:H) + SUMIFS('STOCK IN  TRANSFER'!G:G, 'STOCK IN  TRANSFER'!D:D, A289, 'STOCK IN  TRANSFER'!F:F, "TRANSFER") + SUMIFS('STOCK IN  TRANSFER'!G:G, 'STOCK IN  TRANSFER'!D:D, A289, 'STOCK IN  TRANSFER'!F:F, "ADJUSTMENT (-)")</f>
        <v>7</v>
      </c>
      <c r="G289" s="52">
        <f>SUMIFS('STOCK IN  TRANSFER'!G:G, 'STOCK IN  TRANSFER'!D:D, A289, 'STOCK IN  TRANSFER'!F:F, "STOCK IN") + SUMIFS('STOCK IN  TRANSFER'!G:G, 'STOCK IN  TRANSFER'!D:D, A289, 'STOCK IN  TRANSFER'!F:F, "ADJUSTMENT (+)")</f>
        <v>11</v>
      </c>
    </row>
    <row r="290" ht="22.5" customHeight="1">
      <c r="A290" s="13" t="str">
        <f>IFERROR(__xludf.DUMMYFUNCTION("""COMPUTED_VALUE"""),"NAT745")</f>
        <v>NAT745</v>
      </c>
      <c r="B290" s="13" t="str">
        <f>IFERROR(__xludf.DUMMYFUNCTION("""COMPUTED_VALUE"""),"NAX NAT-745 TTC MEDIUM SPARKLE SILVER 1L")</f>
        <v>NAX NAT-745 TTC MEDIUM SPARKLE SILVER 1L</v>
      </c>
      <c r="C290" s="16">
        <f>IFERROR(__xludf.DUMMYFUNCTION("""COMPUTED_VALUE"""),830.0)</f>
        <v>830</v>
      </c>
      <c r="D290" s="13" t="str">
        <f>IFERROR(__xludf.DUMMYFUNCTION("""COMPUTED_VALUE"""),"LITER")</f>
        <v>LITER</v>
      </c>
      <c r="E290" s="28">
        <f>IFERROR(__xludf.DUMMYFUNCTION("""COMPUTED_VALUE"""),7.0)</f>
        <v>7</v>
      </c>
      <c r="F290" s="52">
        <f>SUMIF(SALES!D:D, A290, SALES!H:H) + SUMIFS('STOCK IN  TRANSFER'!G:G, 'STOCK IN  TRANSFER'!D:D, A290, 'STOCK IN  TRANSFER'!F:F, "TRANSFER") + SUMIFS('STOCK IN  TRANSFER'!G:G, 'STOCK IN  TRANSFER'!D:D, A290, 'STOCK IN  TRANSFER'!F:F, "ADJUSTMENT (-)")</f>
        <v>0</v>
      </c>
      <c r="G290" s="52">
        <f>SUMIFS('STOCK IN  TRANSFER'!G:G, 'STOCK IN  TRANSFER'!D:D, A290, 'STOCK IN  TRANSFER'!F:F, "STOCK IN") + SUMIFS('STOCK IN  TRANSFER'!G:G, 'STOCK IN  TRANSFER'!D:D, A290, 'STOCK IN  TRANSFER'!F:F, "ADJUSTMENT (+)")</f>
        <v>7</v>
      </c>
    </row>
    <row r="291" ht="22.5" customHeight="1">
      <c r="A291" s="13" t="str">
        <f>IFERROR(__xludf.DUMMYFUNCTION("""COMPUTED_VALUE"""),"NAT740")</f>
        <v>NAT740</v>
      </c>
      <c r="B291" s="13" t="str">
        <f>IFERROR(__xludf.DUMMYFUNCTION("""COMPUTED_VALUE"""),"NAX NAT-740 TTC ULTRA FINE SILVER 1L")</f>
        <v>NAX NAT-740 TTC ULTRA FINE SILVER 1L</v>
      </c>
      <c r="C291" s="16">
        <f>IFERROR(__xludf.DUMMYFUNCTION("""COMPUTED_VALUE"""),470.0)</f>
        <v>470</v>
      </c>
      <c r="D291" s="13" t="str">
        <f>IFERROR(__xludf.DUMMYFUNCTION("""COMPUTED_VALUE"""),"LITER")</f>
        <v>LITER</v>
      </c>
      <c r="E291" s="28">
        <f>IFERROR(__xludf.DUMMYFUNCTION("""COMPUTED_VALUE"""),2.0)</f>
        <v>2</v>
      </c>
      <c r="F291" s="52">
        <f>SUMIF(SALES!D:D, A291, SALES!H:H) + SUMIFS('STOCK IN  TRANSFER'!G:G, 'STOCK IN  TRANSFER'!D:D, A291, 'STOCK IN  TRANSFER'!F:F, "TRANSFER") + SUMIFS('STOCK IN  TRANSFER'!G:G, 'STOCK IN  TRANSFER'!D:D, A291, 'STOCK IN  TRANSFER'!F:F, "ADJUSTMENT (-)")</f>
        <v>4</v>
      </c>
      <c r="G291" s="52">
        <f>SUMIFS('STOCK IN  TRANSFER'!G:G, 'STOCK IN  TRANSFER'!D:D, A291, 'STOCK IN  TRANSFER'!F:F, "STOCK IN") + SUMIFS('STOCK IN  TRANSFER'!G:G, 'STOCK IN  TRANSFER'!D:D, A291, 'STOCK IN  TRANSFER'!F:F, "ADJUSTMENT (+)")</f>
        <v>6</v>
      </c>
    </row>
    <row r="292" ht="22.5" customHeight="1">
      <c r="A292" s="13" t="str">
        <f>IFERROR(__xludf.DUMMYFUNCTION("""COMPUTED_VALUE"""),"NAT736")</f>
        <v>NAT736</v>
      </c>
      <c r="B292" s="13" t="str">
        <f>IFERROR(__xludf.DUMMYFUNCTION("""COMPUTED_VALUE"""),"NAX NAT-736 TTC HI-SPARKLE EXTRA COARSE 1L")</f>
        <v>NAX NAT-736 TTC HI-SPARKLE EXTRA COARSE 1L</v>
      </c>
      <c r="C292" s="16">
        <f>IFERROR(__xludf.DUMMYFUNCTION("""COMPUTED_VALUE"""),685.0)</f>
        <v>685</v>
      </c>
      <c r="D292" s="13" t="str">
        <f>IFERROR(__xludf.DUMMYFUNCTION("""COMPUTED_VALUE"""),"LITER")</f>
        <v>LITER</v>
      </c>
      <c r="E292" s="28">
        <f>IFERROR(__xludf.DUMMYFUNCTION("""COMPUTED_VALUE"""),0.0)</f>
        <v>0</v>
      </c>
      <c r="F292" s="52">
        <f>SUMIF(SALES!D:D, A292, SALES!H:H) + SUMIFS('STOCK IN  TRANSFER'!G:G, 'STOCK IN  TRANSFER'!D:D, A292, 'STOCK IN  TRANSFER'!F:F, "TRANSFER") + SUMIFS('STOCK IN  TRANSFER'!G:G, 'STOCK IN  TRANSFER'!D:D, A292, 'STOCK IN  TRANSFER'!F:F, "ADJUSTMENT (-)")</f>
        <v>3</v>
      </c>
      <c r="G292" s="52">
        <f>SUMIFS('STOCK IN  TRANSFER'!G:G, 'STOCK IN  TRANSFER'!D:D, A292, 'STOCK IN  TRANSFER'!F:F, "STOCK IN") + SUMIFS('STOCK IN  TRANSFER'!G:G, 'STOCK IN  TRANSFER'!D:D, A292, 'STOCK IN  TRANSFER'!F:F, "ADJUSTMENT (+)")</f>
        <v>3</v>
      </c>
    </row>
    <row r="293" ht="22.5" customHeight="1">
      <c r="A293" s="13" t="str">
        <f>IFERROR(__xludf.DUMMYFUNCTION("""COMPUTED_VALUE"""),"NAT733")</f>
        <v>NAT733</v>
      </c>
      <c r="B293" s="13" t="str">
        <f>IFERROR(__xludf.DUMMYFUNCTION("""COMPUTED_VALUE"""),"NAX NAT-733 TTC SUPER FINE WHITE SILVER 1L")</f>
        <v>NAX NAT-733 TTC SUPER FINE WHITE SILVER 1L</v>
      </c>
      <c r="C293" s="16">
        <f>IFERROR(__xludf.DUMMYFUNCTION("""COMPUTED_VALUE"""),436.0)</f>
        <v>436</v>
      </c>
      <c r="D293" s="13" t="str">
        <f>IFERROR(__xludf.DUMMYFUNCTION("""COMPUTED_VALUE"""),"LITER")</f>
        <v>LITER</v>
      </c>
      <c r="E293" s="28">
        <f>IFERROR(__xludf.DUMMYFUNCTION("""COMPUTED_VALUE"""),9.0)</f>
        <v>9</v>
      </c>
      <c r="F293" s="52">
        <f>SUMIF(SALES!D:D, A293, SALES!H:H) + SUMIFS('STOCK IN  TRANSFER'!G:G, 'STOCK IN  TRANSFER'!D:D, A293, 'STOCK IN  TRANSFER'!F:F, "TRANSFER") + SUMIFS('STOCK IN  TRANSFER'!G:G, 'STOCK IN  TRANSFER'!D:D, A293, 'STOCK IN  TRANSFER'!F:F, "ADJUSTMENT (-)")</f>
        <v>0</v>
      </c>
      <c r="G293" s="52">
        <f>SUMIFS('STOCK IN  TRANSFER'!G:G, 'STOCK IN  TRANSFER'!D:D, A293, 'STOCK IN  TRANSFER'!F:F, "STOCK IN") + SUMIFS('STOCK IN  TRANSFER'!G:G, 'STOCK IN  TRANSFER'!D:D, A293, 'STOCK IN  TRANSFER'!F:F, "ADJUSTMENT (+)")</f>
        <v>9</v>
      </c>
    </row>
    <row r="294" ht="22.5" customHeight="1">
      <c r="A294" s="13" t="str">
        <f>IFERROR(__xludf.DUMMYFUNCTION("""COMPUTED_VALUE"""),"NAT729")</f>
        <v>NAT729</v>
      </c>
      <c r="B294" s="13" t="str">
        <f>IFERROR(__xludf.DUMMYFUNCTION("""COMPUTED_VALUE"""),"NAX NAT-729 TTC HI-SPARKLE FINE SILVER 1L")</f>
        <v>NAX NAT-729 TTC HI-SPARKLE FINE SILVER 1L</v>
      </c>
      <c r="C294" s="16">
        <f>IFERROR(__xludf.DUMMYFUNCTION("""COMPUTED_VALUE"""),760.0)</f>
        <v>760</v>
      </c>
      <c r="D294" s="13" t="str">
        <f>IFERROR(__xludf.DUMMYFUNCTION("""COMPUTED_VALUE"""),"LITER")</f>
        <v>LITER</v>
      </c>
      <c r="E294" s="28">
        <f>IFERROR(__xludf.DUMMYFUNCTION("""COMPUTED_VALUE"""),6.0)</f>
        <v>6</v>
      </c>
      <c r="F294" s="52">
        <f>SUMIF(SALES!D:D, A294, SALES!H:H) + SUMIFS('STOCK IN  TRANSFER'!G:G, 'STOCK IN  TRANSFER'!D:D, A294, 'STOCK IN  TRANSFER'!F:F, "TRANSFER") + SUMIFS('STOCK IN  TRANSFER'!G:G, 'STOCK IN  TRANSFER'!D:D, A294, 'STOCK IN  TRANSFER'!F:F, "ADJUSTMENT (-)")</f>
        <v>0</v>
      </c>
      <c r="G294" s="52">
        <f>SUMIFS('STOCK IN  TRANSFER'!G:G, 'STOCK IN  TRANSFER'!D:D, A294, 'STOCK IN  TRANSFER'!F:F, "STOCK IN") + SUMIFS('STOCK IN  TRANSFER'!G:G, 'STOCK IN  TRANSFER'!D:D, A294, 'STOCK IN  TRANSFER'!F:F, "ADJUSTMENT (+)")</f>
        <v>6</v>
      </c>
    </row>
    <row r="295" ht="22.5" customHeight="1">
      <c r="A295" s="13" t="str">
        <f>IFERROR(__xludf.DUMMYFUNCTION("""COMPUTED_VALUE"""),"NAT728")</f>
        <v>NAT728</v>
      </c>
      <c r="B295" s="13" t="str">
        <f>IFERROR(__xludf.DUMMYFUNCTION("""COMPUTED_VALUE"""),"NAX NAT-728 TTC SPARKLE ORANGE METALLIC 1L")</f>
        <v>NAX NAT-728 TTC SPARKLE ORANGE METALLIC 1L</v>
      </c>
      <c r="C295" s="16">
        <f>IFERROR(__xludf.DUMMYFUNCTION("""COMPUTED_VALUE"""),995.0)</f>
        <v>995</v>
      </c>
      <c r="D295" s="13" t="str">
        <f>IFERROR(__xludf.DUMMYFUNCTION("""COMPUTED_VALUE"""),"LITER")</f>
        <v>LITER</v>
      </c>
      <c r="E295" s="28">
        <f>IFERROR(__xludf.DUMMYFUNCTION("""COMPUTED_VALUE"""),1.0)</f>
        <v>1</v>
      </c>
      <c r="F295" s="52">
        <f>SUMIF(SALES!D:D, A295, SALES!H:H) + SUMIFS('STOCK IN  TRANSFER'!G:G, 'STOCK IN  TRANSFER'!D:D, A295, 'STOCK IN  TRANSFER'!F:F, "TRANSFER") + SUMIFS('STOCK IN  TRANSFER'!G:G, 'STOCK IN  TRANSFER'!D:D, A295, 'STOCK IN  TRANSFER'!F:F, "ADJUSTMENT (-)")</f>
        <v>0</v>
      </c>
      <c r="G295" s="52">
        <f>SUMIFS('STOCK IN  TRANSFER'!G:G, 'STOCK IN  TRANSFER'!D:D, A295, 'STOCK IN  TRANSFER'!F:F, "STOCK IN") + SUMIFS('STOCK IN  TRANSFER'!G:G, 'STOCK IN  TRANSFER'!D:D, A295, 'STOCK IN  TRANSFER'!F:F, "ADJUSTMENT (+)")</f>
        <v>1</v>
      </c>
    </row>
    <row r="296" ht="22.5" customHeight="1">
      <c r="A296" s="13" t="str">
        <f>IFERROR(__xludf.DUMMYFUNCTION("""COMPUTED_VALUE"""),"NAT727")</f>
        <v>NAT727</v>
      </c>
      <c r="B296" s="13" t="str">
        <f>IFERROR(__xludf.DUMMYFUNCTION("""COMPUTED_VALUE"""),"NAX NAT-727 TTC HI-SPARKLE MIDCOARSE SILVER 1L")</f>
        <v>NAX NAT-727 TTC HI-SPARKLE MIDCOARSE SILVER 1L</v>
      </c>
      <c r="C296" s="16">
        <f>IFERROR(__xludf.DUMMYFUNCTION("""COMPUTED_VALUE"""),1085.0)</f>
        <v>1085</v>
      </c>
      <c r="D296" s="13" t="str">
        <f>IFERROR(__xludf.DUMMYFUNCTION("""COMPUTED_VALUE"""),"LITER")</f>
        <v>LITER</v>
      </c>
      <c r="E296" s="28">
        <f>IFERROR(__xludf.DUMMYFUNCTION("""COMPUTED_VALUE"""),6.0)</f>
        <v>6</v>
      </c>
      <c r="F296" s="52">
        <f>SUMIF(SALES!D:D, A296, SALES!H:H) + SUMIFS('STOCK IN  TRANSFER'!G:G, 'STOCK IN  TRANSFER'!D:D, A296, 'STOCK IN  TRANSFER'!F:F, "TRANSFER") + SUMIFS('STOCK IN  TRANSFER'!G:G, 'STOCK IN  TRANSFER'!D:D, A296, 'STOCK IN  TRANSFER'!F:F, "ADJUSTMENT (-)")</f>
        <v>0</v>
      </c>
      <c r="G296" s="52">
        <f>SUMIFS('STOCK IN  TRANSFER'!G:G, 'STOCK IN  TRANSFER'!D:D, A296, 'STOCK IN  TRANSFER'!F:F, "STOCK IN") + SUMIFS('STOCK IN  TRANSFER'!G:G, 'STOCK IN  TRANSFER'!D:D, A296, 'STOCK IN  TRANSFER'!F:F, "ADJUSTMENT (+)")</f>
        <v>6</v>
      </c>
    </row>
    <row r="297" ht="22.5" customHeight="1">
      <c r="A297" s="13" t="str">
        <f>IFERROR(__xludf.DUMMYFUNCTION("""COMPUTED_VALUE"""),"NAT725")</f>
        <v>NAT725</v>
      </c>
      <c r="B297" s="13" t="str">
        <f>IFERROR(__xludf.DUMMYFUNCTION("""COMPUTED_VALUE"""),"NAX NAT-725 TTC SPARKLE MID-COARSE SILVER 1L")</f>
        <v>NAX NAT-725 TTC SPARKLE MID-COARSE SILVER 1L</v>
      </c>
      <c r="C297" s="16">
        <f>IFERROR(__xludf.DUMMYFUNCTION("""COMPUTED_VALUE"""),652.0)</f>
        <v>652</v>
      </c>
      <c r="D297" s="13" t="str">
        <f>IFERROR(__xludf.DUMMYFUNCTION("""COMPUTED_VALUE"""),"LITER")</f>
        <v>LITER</v>
      </c>
      <c r="E297" s="28">
        <f>IFERROR(__xludf.DUMMYFUNCTION("""COMPUTED_VALUE"""),6.0)</f>
        <v>6</v>
      </c>
      <c r="F297" s="52">
        <f>SUMIF(SALES!D:D, A297, SALES!H:H) + SUMIFS('STOCK IN  TRANSFER'!G:G, 'STOCK IN  TRANSFER'!D:D, A297, 'STOCK IN  TRANSFER'!F:F, "TRANSFER") + SUMIFS('STOCK IN  TRANSFER'!G:G, 'STOCK IN  TRANSFER'!D:D, A297, 'STOCK IN  TRANSFER'!F:F, "ADJUSTMENT (-)")</f>
        <v>0</v>
      </c>
      <c r="G297" s="52">
        <f>SUMIFS('STOCK IN  TRANSFER'!G:G, 'STOCK IN  TRANSFER'!D:D, A297, 'STOCK IN  TRANSFER'!F:F, "STOCK IN") + SUMIFS('STOCK IN  TRANSFER'!G:G, 'STOCK IN  TRANSFER'!D:D, A297, 'STOCK IN  TRANSFER'!F:F, "ADJUSTMENT (+)")</f>
        <v>6</v>
      </c>
    </row>
    <row r="298" ht="22.5" customHeight="1">
      <c r="A298" s="13" t="str">
        <f>IFERROR(__xludf.DUMMYFUNCTION("""COMPUTED_VALUE"""),"NAT720")</f>
        <v>NAT720</v>
      </c>
      <c r="B298" s="13" t="str">
        <f>IFERROR(__xludf.DUMMYFUNCTION("""COMPUTED_VALUE"""),"NAX NAT-720 TTC SPARKLE WHITE SILVER 1L")</f>
        <v>NAX NAT-720 TTC SPARKLE WHITE SILVER 1L</v>
      </c>
      <c r="C298" s="16">
        <f>IFERROR(__xludf.DUMMYFUNCTION("""COMPUTED_VALUE"""),621.0)</f>
        <v>621</v>
      </c>
      <c r="D298" s="13" t="str">
        <f>IFERROR(__xludf.DUMMYFUNCTION("""COMPUTED_VALUE"""),"LITER")</f>
        <v>LITER</v>
      </c>
      <c r="E298" s="28">
        <f>IFERROR(__xludf.DUMMYFUNCTION("""COMPUTED_VALUE"""),6.0)</f>
        <v>6</v>
      </c>
      <c r="F298" s="52">
        <f>SUMIF(SALES!D:D, A298, SALES!H:H) + SUMIFS('STOCK IN  TRANSFER'!G:G, 'STOCK IN  TRANSFER'!D:D, A298, 'STOCK IN  TRANSFER'!F:F, "TRANSFER") + SUMIFS('STOCK IN  TRANSFER'!G:G, 'STOCK IN  TRANSFER'!D:D, A298, 'STOCK IN  TRANSFER'!F:F, "ADJUSTMENT (-)")</f>
        <v>0</v>
      </c>
      <c r="G298" s="52">
        <f>SUMIFS('STOCK IN  TRANSFER'!G:G, 'STOCK IN  TRANSFER'!D:D, A298, 'STOCK IN  TRANSFER'!F:F, "STOCK IN") + SUMIFS('STOCK IN  TRANSFER'!G:G, 'STOCK IN  TRANSFER'!D:D, A298, 'STOCK IN  TRANSFER'!F:F, "ADJUSTMENT (+)")</f>
        <v>6</v>
      </c>
    </row>
    <row r="299" ht="22.5" customHeight="1">
      <c r="A299" s="13" t="str">
        <f>IFERROR(__xludf.DUMMYFUNCTION("""COMPUTED_VALUE"""),"NAT719-4L")</f>
        <v>NAT719-4L</v>
      </c>
      <c r="B299" s="13" t="str">
        <f>IFERROR(__xludf.DUMMYFUNCTION("""COMPUTED_VALUE"""),"NAX NAT-719 TTC COARSE SILVER 4L")</f>
        <v>NAX NAT-719 TTC COARSE SILVER 4L</v>
      </c>
      <c r="C299" s="16">
        <f>IFERROR(__xludf.DUMMYFUNCTION("""COMPUTED_VALUE"""),2325.0)</f>
        <v>2325</v>
      </c>
      <c r="D299" s="13" t="str">
        <f>IFERROR(__xludf.DUMMYFUNCTION("""COMPUTED_VALUE"""),"GAL")</f>
        <v>GAL</v>
      </c>
      <c r="E299" s="28">
        <f>IFERROR(__xludf.DUMMYFUNCTION("""COMPUTED_VALUE"""),1.0)</f>
        <v>1</v>
      </c>
      <c r="F299" s="52">
        <f>SUMIF(SALES!D:D, A299, SALES!H:H) + SUMIFS('STOCK IN  TRANSFER'!G:G, 'STOCK IN  TRANSFER'!D:D, A299, 'STOCK IN  TRANSFER'!F:F, "TRANSFER") + SUMIFS('STOCK IN  TRANSFER'!G:G, 'STOCK IN  TRANSFER'!D:D, A299, 'STOCK IN  TRANSFER'!F:F, "ADJUSTMENT (-)")</f>
        <v>3</v>
      </c>
      <c r="G299" s="52">
        <f>SUMIFS('STOCK IN  TRANSFER'!G:G, 'STOCK IN  TRANSFER'!D:D, A299, 'STOCK IN  TRANSFER'!F:F, "STOCK IN") + SUMIFS('STOCK IN  TRANSFER'!G:G, 'STOCK IN  TRANSFER'!D:D, A299, 'STOCK IN  TRANSFER'!F:F, "ADJUSTMENT (+)")</f>
        <v>4</v>
      </c>
    </row>
    <row r="300" ht="22.5" customHeight="1">
      <c r="A300" s="13" t="str">
        <f>IFERROR(__xludf.DUMMYFUNCTION("""COMPUTED_VALUE"""),"NAT719-1L")</f>
        <v>NAT719-1L</v>
      </c>
      <c r="B300" s="13" t="str">
        <f>IFERROR(__xludf.DUMMYFUNCTION("""COMPUTED_VALUE"""),"NAX NAT-719 TTC COARSE SILVER 1L")</f>
        <v>NAX NAT-719 TTC COARSE SILVER 1L</v>
      </c>
      <c r="C300" s="16">
        <f>IFERROR(__xludf.DUMMYFUNCTION("""COMPUTED_VALUE"""),595.0)</f>
        <v>595</v>
      </c>
      <c r="D300" s="13" t="str">
        <f>IFERROR(__xludf.DUMMYFUNCTION("""COMPUTED_VALUE"""),"LITER")</f>
        <v>LITER</v>
      </c>
      <c r="E300" s="28">
        <f>IFERROR(__xludf.DUMMYFUNCTION("""COMPUTED_VALUE"""),9.0)</f>
        <v>9</v>
      </c>
      <c r="F300" s="52">
        <f>SUMIF(SALES!D:D, A300, SALES!H:H) + SUMIFS('STOCK IN  TRANSFER'!G:G, 'STOCK IN  TRANSFER'!D:D, A300, 'STOCK IN  TRANSFER'!F:F, "TRANSFER") + SUMIFS('STOCK IN  TRANSFER'!G:G, 'STOCK IN  TRANSFER'!D:D, A300, 'STOCK IN  TRANSFER'!F:F, "ADJUSTMENT (-)")</f>
        <v>0</v>
      </c>
      <c r="G300" s="52">
        <f>SUMIFS('STOCK IN  TRANSFER'!G:G, 'STOCK IN  TRANSFER'!D:D, A300, 'STOCK IN  TRANSFER'!F:F, "STOCK IN") + SUMIFS('STOCK IN  TRANSFER'!G:G, 'STOCK IN  TRANSFER'!D:D, A300, 'STOCK IN  TRANSFER'!F:F, "ADJUSTMENT (+)")</f>
        <v>9</v>
      </c>
    </row>
    <row r="301" ht="22.5" customHeight="1">
      <c r="A301" s="13" t="str">
        <f>IFERROR(__xludf.DUMMYFUNCTION("""COMPUTED_VALUE"""),"NAT716")</f>
        <v>NAT716</v>
      </c>
      <c r="B301" s="13" t="str">
        <f>IFERROR(__xludf.DUMMYFUNCTION("""COMPUTED_VALUE"""),"NAX NAT-716 TTC SPARKLE SILVER 1L")</f>
        <v>NAX NAT-716 TTC SPARKLE SILVER 1L</v>
      </c>
      <c r="C301" s="16">
        <f>IFERROR(__xludf.DUMMYFUNCTION("""COMPUTED_VALUE"""),422.0)</f>
        <v>422</v>
      </c>
      <c r="D301" s="13" t="str">
        <f>IFERROR(__xludf.DUMMYFUNCTION("""COMPUTED_VALUE"""),"LITER")</f>
        <v>LITER</v>
      </c>
      <c r="E301" s="28">
        <f>IFERROR(__xludf.DUMMYFUNCTION("""COMPUTED_VALUE"""),6.0)</f>
        <v>6</v>
      </c>
      <c r="F301" s="52">
        <f>SUMIF(SALES!D:D, A301, SALES!H:H) + SUMIFS('STOCK IN  TRANSFER'!G:G, 'STOCK IN  TRANSFER'!D:D, A301, 'STOCK IN  TRANSFER'!F:F, "TRANSFER") + SUMIFS('STOCK IN  TRANSFER'!G:G, 'STOCK IN  TRANSFER'!D:D, A301, 'STOCK IN  TRANSFER'!F:F, "ADJUSTMENT (-)")</f>
        <v>0</v>
      </c>
      <c r="G301" s="52">
        <f>SUMIFS('STOCK IN  TRANSFER'!G:G, 'STOCK IN  TRANSFER'!D:D, A301, 'STOCK IN  TRANSFER'!F:F, "STOCK IN") + SUMIFS('STOCK IN  TRANSFER'!G:G, 'STOCK IN  TRANSFER'!D:D, A301, 'STOCK IN  TRANSFER'!F:F, "ADJUSTMENT (+)")</f>
        <v>6</v>
      </c>
    </row>
    <row r="302" ht="22.5" customHeight="1">
      <c r="A302" s="13" t="str">
        <f>IFERROR(__xludf.DUMMYFUNCTION("""COMPUTED_VALUE"""),"NAT715-1L")</f>
        <v>NAT715-1L</v>
      </c>
      <c r="B302" s="13" t="str">
        <f>IFERROR(__xludf.DUMMYFUNCTION("""COMPUTED_VALUE"""),"NAX NAT-715 TTC FINE SILVER 1L")</f>
        <v>NAX NAT-715 TTC FINE SILVER 1L</v>
      </c>
      <c r="C302" s="16">
        <f>IFERROR(__xludf.DUMMYFUNCTION("""COMPUTED_VALUE"""),422.0)</f>
        <v>422</v>
      </c>
      <c r="D302" s="13" t="str">
        <f>IFERROR(__xludf.DUMMYFUNCTION("""COMPUTED_VALUE"""),"LITER")</f>
        <v>LITER</v>
      </c>
      <c r="E302" s="28">
        <f>IFERROR(__xludf.DUMMYFUNCTION("""COMPUTED_VALUE"""),0.0)</f>
        <v>0</v>
      </c>
      <c r="F302" s="52">
        <f>SUMIF(SALES!D:D, A302, SALES!H:H) + SUMIFS('STOCK IN  TRANSFER'!G:G, 'STOCK IN  TRANSFER'!D:D, A302, 'STOCK IN  TRANSFER'!F:F, "TRANSFER") + SUMIFS('STOCK IN  TRANSFER'!G:G, 'STOCK IN  TRANSFER'!D:D, A302, 'STOCK IN  TRANSFER'!F:F, "ADJUSTMENT (-)")</f>
        <v>3</v>
      </c>
      <c r="G302" s="52">
        <f>SUMIFS('STOCK IN  TRANSFER'!G:G, 'STOCK IN  TRANSFER'!D:D, A302, 'STOCK IN  TRANSFER'!F:F, "STOCK IN") + SUMIFS('STOCK IN  TRANSFER'!G:G, 'STOCK IN  TRANSFER'!D:D, A302, 'STOCK IN  TRANSFER'!F:F, "ADJUSTMENT (+)")</f>
        <v>3</v>
      </c>
    </row>
    <row r="303" ht="22.5" customHeight="1">
      <c r="A303" s="13" t="str">
        <f>IFERROR(__xludf.DUMMYFUNCTION("""COMPUTED_VALUE"""),"NAT712-4L")</f>
        <v>NAT712-4L</v>
      </c>
      <c r="B303" s="13" t="str">
        <f>IFERROR(__xludf.DUMMYFUNCTION("""COMPUTED_VALUE"""),"NAX NAT-712 TTC MEDIUM FINE SILVER 4L")</f>
        <v>NAX NAT-712 TTC MEDIUM FINE SILVER 4L</v>
      </c>
      <c r="C303" s="16">
        <f>IFERROR(__xludf.DUMMYFUNCTION("""COMPUTED_VALUE"""),2180.0)</f>
        <v>2180</v>
      </c>
      <c r="D303" s="13" t="str">
        <f>IFERROR(__xludf.DUMMYFUNCTION("""COMPUTED_VALUE"""),"GAL")</f>
        <v>GAL</v>
      </c>
      <c r="E303" s="28">
        <f>IFERROR(__xludf.DUMMYFUNCTION("""COMPUTED_VALUE"""),0.0)</f>
        <v>0</v>
      </c>
      <c r="F303" s="52">
        <f>SUMIF(SALES!D:D, A303, SALES!H:H) + SUMIFS('STOCK IN  TRANSFER'!G:G, 'STOCK IN  TRANSFER'!D:D, A303, 'STOCK IN  TRANSFER'!F:F, "TRANSFER") + SUMIFS('STOCK IN  TRANSFER'!G:G, 'STOCK IN  TRANSFER'!D:D, A303, 'STOCK IN  TRANSFER'!F:F, "ADJUSTMENT (-)")</f>
        <v>0</v>
      </c>
      <c r="G303" s="52">
        <f>SUMIFS('STOCK IN  TRANSFER'!G:G, 'STOCK IN  TRANSFER'!D:D, A303, 'STOCK IN  TRANSFER'!F:F, "STOCK IN") + SUMIFS('STOCK IN  TRANSFER'!G:G, 'STOCK IN  TRANSFER'!D:D, A303, 'STOCK IN  TRANSFER'!F:F, "ADJUSTMENT (+)")</f>
        <v>0</v>
      </c>
    </row>
    <row r="304" ht="22.5" customHeight="1">
      <c r="A304" s="13" t="str">
        <f>IFERROR(__xludf.DUMMYFUNCTION("""COMPUTED_VALUE"""),"NAT712-1L")</f>
        <v>NAT712-1L</v>
      </c>
      <c r="B304" s="13" t="str">
        <f>IFERROR(__xludf.DUMMYFUNCTION("""COMPUTED_VALUE"""),"NAX NAT-712 TTC MEDIUM FINE SILVER 1L")</f>
        <v>NAX NAT-712 TTC MEDIUM FINE SILVER 1L</v>
      </c>
      <c r="C304" s="16">
        <f>IFERROR(__xludf.DUMMYFUNCTION("""COMPUTED_VALUE"""),581.0)</f>
        <v>581</v>
      </c>
      <c r="D304" s="13" t="str">
        <f>IFERROR(__xludf.DUMMYFUNCTION("""COMPUTED_VALUE"""),"LITER")</f>
        <v>LITER</v>
      </c>
      <c r="E304" s="28">
        <f>IFERROR(__xludf.DUMMYFUNCTION("""COMPUTED_VALUE"""),0.0)</f>
        <v>0</v>
      </c>
      <c r="F304" s="52">
        <f>SUMIF(SALES!D:D, A304, SALES!H:H) + SUMIFS('STOCK IN  TRANSFER'!G:G, 'STOCK IN  TRANSFER'!D:D, A304, 'STOCK IN  TRANSFER'!F:F, "TRANSFER") + SUMIFS('STOCK IN  TRANSFER'!G:G, 'STOCK IN  TRANSFER'!D:D, A304, 'STOCK IN  TRANSFER'!F:F, "ADJUSTMENT (-)")</f>
        <v>7</v>
      </c>
      <c r="G304" s="52">
        <f>SUMIFS('STOCK IN  TRANSFER'!G:G, 'STOCK IN  TRANSFER'!D:D, A304, 'STOCK IN  TRANSFER'!F:F, "STOCK IN") + SUMIFS('STOCK IN  TRANSFER'!G:G, 'STOCK IN  TRANSFER'!D:D, A304, 'STOCK IN  TRANSFER'!F:F, "ADJUSTMENT (+)")</f>
        <v>7</v>
      </c>
    </row>
    <row r="305" ht="22.5" customHeight="1">
      <c r="A305" s="13" t="str">
        <f>IFERROR(__xludf.DUMMYFUNCTION("""COMPUTED_VALUE"""),"NAT707-1L")</f>
        <v>NAT707-1L</v>
      </c>
      <c r="B305" s="13" t="str">
        <f>IFERROR(__xludf.DUMMYFUNCTION("""COMPUTED_VALUE"""),"NAX NAT707 HI-SPARKLE SILVER 1L")</f>
        <v>NAX NAT707 HI-SPARKLE SILVER 1L</v>
      </c>
      <c r="C305" s="16">
        <f>IFERROR(__xludf.DUMMYFUNCTION("""COMPUTED_VALUE"""),581.0)</f>
        <v>581</v>
      </c>
      <c r="D305" s="13" t="str">
        <f>IFERROR(__xludf.DUMMYFUNCTION("""COMPUTED_VALUE"""),"LITER")</f>
        <v>LITER</v>
      </c>
      <c r="E305" s="28">
        <f>IFERROR(__xludf.DUMMYFUNCTION("""COMPUTED_VALUE"""),5.0)</f>
        <v>5</v>
      </c>
      <c r="F305" s="52">
        <f>SUMIF(SALES!D:D, A305, SALES!H:H) + SUMIFS('STOCK IN  TRANSFER'!G:G, 'STOCK IN  TRANSFER'!D:D, A305, 'STOCK IN  TRANSFER'!F:F, "TRANSFER") + SUMIFS('STOCK IN  TRANSFER'!G:G, 'STOCK IN  TRANSFER'!D:D, A305, 'STOCK IN  TRANSFER'!F:F, "ADJUSTMENT (-)")</f>
        <v>0</v>
      </c>
      <c r="G305" s="52">
        <f>SUMIFS('STOCK IN  TRANSFER'!G:G, 'STOCK IN  TRANSFER'!D:D, A305, 'STOCK IN  TRANSFER'!F:F, "STOCK IN") + SUMIFS('STOCK IN  TRANSFER'!G:G, 'STOCK IN  TRANSFER'!D:D, A305, 'STOCK IN  TRANSFER'!F:F, "ADJUSTMENT (+)")</f>
        <v>5</v>
      </c>
    </row>
    <row r="306" ht="22.5" customHeight="1">
      <c r="A306" s="13" t="str">
        <f>IFERROR(__xludf.DUMMYFUNCTION("""COMPUTED_VALUE"""),"NAT706-1L")</f>
        <v>NAT706-1L</v>
      </c>
      <c r="B306" s="13" t="str">
        <f>IFERROR(__xludf.DUMMYFUNCTION("""COMPUTED_VALUE"""),"NAX NAT706 MEDIUM COARSE SILVER 1L")</f>
        <v>NAX NAT706 MEDIUM COARSE SILVER 1L</v>
      </c>
      <c r="C306" s="16">
        <f>IFERROR(__xludf.DUMMYFUNCTION("""COMPUTED_VALUE"""),422.0)</f>
        <v>422</v>
      </c>
      <c r="D306" s="13" t="str">
        <f>IFERROR(__xludf.DUMMYFUNCTION("""COMPUTED_VALUE"""),"LITER")</f>
        <v>LITER</v>
      </c>
      <c r="E306" s="28">
        <f>IFERROR(__xludf.DUMMYFUNCTION("""COMPUTED_VALUE"""),6.0)</f>
        <v>6</v>
      </c>
      <c r="F306" s="52">
        <f>SUMIF(SALES!D:D, A306, SALES!H:H) + SUMIFS('STOCK IN  TRANSFER'!G:G, 'STOCK IN  TRANSFER'!D:D, A306, 'STOCK IN  TRANSFER'!F:F, "TRANSFER") + SUMIFS('STOCK IN  TRANSFER'!G:G, 'STOCK IN  TRANSFER'!D:D, A306, 'STOCK IN  TRANSFER'!F:F, "ADJUSTMENT (-)")</f>
        <v>0</v>
      </c>
      <c r="G306" s="52">
        <f>SUMIFS('STOCK IN  TRANSFER'!G:G, 'STOCK IN  TRANSFER'!D:D, A306, 'STOCK IN  TRANSFER'!F:F, "STOCK IN") + SUMIFS('STOCK IN  TRANSFER'!G:G, 'STOCK IN  TRANSFER'!D:D, A306, 'STOCK IN  TRANSFER'!F:F, "ADJUSTMENT (+)")</f>
        <v>6</v>
      </c>
    </row>
    <row r="307" ht="22.5" customHeight="1">
      <c r="A307" s="13" t="str">
        <f>IFERROR(__xludf.DUMMYFUNCTION("""COMPUTED_VALUE"""),"NAT705-1L")</f>
        <v>NAT705-1L</v>
      </c>
      <c r="B307" s="13" t="str">
        <f>IFERROR(__xludf.DUMMYFUNCTION("""COMPUTED_VALUE"""),"NAX NAT705 SUPER FINE SILVER 1L")</f>
        <v>NAX NAT705 SUPER FINE SILVER 1L</v>
      </c>
      <c r="C307" s="16">
        <f>IFERROR(__xludf.DUMMYFUNCTION("""COMPUTED_VALUE"""),422.0)</f>
        <v>422</v>
      </c>
      <c r="D307" s="13" t="str">
        <f>IFERROR(__xludf.DUMMYFUNCTION("""COMPUTED_VALUE"""),"LITER")</f>
        <v>LITER</v>
      </c>
      <c r="E307" s="28">
        <f>IFERROR(__xludf.DUMMYFUNCTION("""COMPUTED_VALUE"""),3.0)</f>
        <v>3</v>
      </c>
      <c r="F307" s="52">
        <f>SUMIF(SALES!D:D, A307, SALES!H:H) + SUMIFS('STOCK IN  TRANSFER'!G:G, 'STOCK IN  TRANSFER'!D:D, A307, 'STOCK IN  TRANSFER'!F:F, "TRANSFER") + SUMIFS('STOCK IN  TRANSFER'!G:G, 'STOCK IN  TRANSFER'!D:D, A307, 'STOCK IN  TRANSFER'!F:F, "ADJUSTMENT (-)")</f>
        <v>1</v>
      </c>
      <c r="G307" s="52">
        <f>SUMIFS('STOCK IN  TRANSFER'!G:G, 'STOCK IN  TRANSFER'!D:D, A307, 'STOCK IN  TRANSFER'!F:F, "STOCK IN") + SUMIFS('STOCK IN  TRANSFER'!G:G, 'STOCK IN  TRANSFER'!D:D, A307, 'STOCK IN  TRANSFER'!F:F, "ADJUSTMENT (+)")</f>
        <v>4</v>
      </c>
    </row>
    <row r="308" ht="22.5" customHeight="1">
      <c r="A308" s="13" t="str">
        <f>IFERROR(__xludf.DUMMYFUNCTION("""COMPUTED_VALUE"""),"NAT595")</f>
        <v>NAT595</v>
      </c>
      <c r="B308" s="13" t="str">
        <f>IFERROR(__xludf.DUMMYFUNCTION("""COMPUTED_VALUE"""),"NAX NAT-595 TTC CYANINE BLUE 1L")</f>
        <v>NAX NAT-595 TTC CYANINE BLUE 1L</v>
      </c>
      <c r="C308" s="16">
        <f>IFERROR(__xludf.DUMMYFUNCTION("""COMPUTED_VALUE"""),498.0)</f>
        <v>498</v>
      </c>
      <c r="D308" s="13" t="str">
        <f>IFERROR(__xludf.DUMMYFUNCTION("""COMPUTED_VALUE"""),"LITER")</f>
        <v>LITER</v>
      </c>
      <c r="E308" s="28">
        <f>IFERROR(__xludf.DUMMYFUNCTION("""COMPUTED_VALUE"""),5.0)</f>
        <v>5</v>
      </c>
      <c r="F308" s="52">
        <f>SUMIF(SALES!D:D, A308, SALES!H:H) + SUMIFS('STOCK IN  TRANSFER'!G:G, 'STOCK IN  TRANSFER'!D:D, A308, 'STOCK IN  TRANSFER'!F:F, "TRANSFER") + SUMIFS('STOCK IN  TRANSFER'!G:G, 'STOCK IN  TRANSFER'!D:D, A308, 'STOCK IN  TRANSFER'!F:F, "ADJUSTMENT (-)")</f>
        <v>0</v>
      </c>
      <c r="G308" s="52">
        <f>SUMIFS('STOCK IN  TRANSFER'!G:G, 'STOCK IN  TRANSFER'!D:D, A308, 'STOCK IN  TRANSFER'!F:F, "STOCK IN") + SUMIFS('STOCK IN  TRANSFER'!G:G, 'STOCK IN  TRANSFER'!D:D, A308, 'STOCK IN  TRANSFER'!F:F, "ADJUSTMENT (+)")</f>
        <v>5</v>
      </c>
    </row>
    <row r="309" ht="22.5" customHeight="1">
      <c r="A309" s="13" t="str">
        <f>IFERROR(__xludf.DUMMYFUNCTION("""COMPUTED_VALUE"""),"NAT557")</f>
        <v>NAT557</v>
      </c>
      <c r="B309" s="13" t="str">
        <f>IFERROR(__xludf.DUMMYFUNCTION("""COMPUTED_VALUE"""),"NAX NAT-557 TTC BLUE NO.9 1L")</f>
        <v>NAX NAT-557 TTC BLUE NO.9 1L</v>
      </c>
      <c r="C309" s="16">
        <f>IFERROR(__xludf.DUMMYFUNCTION("""COMPUTED_VALUE"""),450.0)</f>
        <v>450</v>
      </c>
      <c r="D309" s="13" t="str">
        <f>IFERROR(__xludf.DUMMYFUNCTION("""COMPUTED_VALUE"""),"LITER")</f>
        <v>LITER</v>
      </c>
      <c r="E309" s="28">
        <f>IFERROR(__xludf.DUMMYFUNCTION("""COMPUTED_VALUE"""),6.0)</f>
        <v>6</v>
      </c>
      <c r="F309" s="52">
        <f>SUMIF(SALES!D:D, A309, SALES!H:H) + SUMIFS('STOCK IN  TRANSFER'!G:G, 'STOCK IN  TRANSFER'!D:D, A309, 'STOCK IN  TRANSFER'!F:F, "TRANSFER") + SUMIFS('STOCK IN  TRANSFER'!G:G, 'STOCK IN  TRANSFER'!D:D, A309, 'STOCK IN  TRANSFER'!F:F, "ADJUSTMENT (-)")</f>
        <v>0</v>
      </c>
      <c r="G309" s="52">
        <f>SUMIFS('STOCK IN  TRANSFER'!G:G, 'STOCK IN  TRANSFER'!D:D, A309, 'STOCK IN  TRANSFER'!F:F, "STOCK IN") + SUMIFS('STOCK IN  TRANSFER'!G:G, 'STOCK IN  TRANSFER'!D:D, A309, 'STOCK IN  TRANSFER'!F:F, "ADJUSTMENT (+)")</f>
        <v>6</v>
      </c>
    </row>
    <row r="310" ht="22.5" customHeight="1">
      <c r="A310" s="13" t="str">
        <f>IFERROR(__xludf.DUMMYFUNCTION("""COMPUTED_VALUE"""),"NAT556")</f>
        <v>NAT556</v>
      </c>
      <c r="B310" s="13" t="str">
        <f>IFERROR(__xludf.DUMMYFUNCTION("""COMPUTED_VALUE"""),"NAX NAT-556 TTC BLUE NO.8 1L")</f>
        <v>NAX NAT-556 TTC BLUE NO.8 1L</v>
      </c>
      <c r="C310" s="16">
        <f>IFERROR(__xludf.DUMMYFUNCTION("""COMPUTED_VALUE"""),620.0)</f>
        <v>620</v>
      </c>
      <c r="D310" s="13" t="str">
        <f>IFERROR(__xludf.DUMMYFUNCTION("""COMPUTED_VALUE"""),"LITER")</f>
        <v>LITER</v>
      </c>
      <c r="E310" s="28">
        <f>IFERROR(__xludf.DUMMYFUNCTION("""COMPUTED_VALUE"""),1.0)</f>
        <v>1</v>
      </c>
      <c r="F310" s="52">
        <f>SUMIF(SALES!D:D, A310, SALES!H:H) + SUMIFS('STOCK IN  TRANSFER'!G:G, 'STOCK IN  TRANSFER'!D:D, A310, 'STOCK IN  TRANSFER'!F:F, "TRANSFER") + SUMIFS('STOCK IN  TRANSFER'!G:G, 'STOCK IN  TRANSFER'!D:D, A310, 'STOCK IN  TRANSFER'!F:F, "ADJUSTMENT (-)")</f>
        <v>1</v>
      </c>
      <c r="G310" s="52">
        <f>SUMIFS('STOCK IN  TRANSFER'!G:G, 'STOCK IN  TRANSFER'!D:D, A310, 'STOCK IN  TRANSFER'!F:F, "STOCK IN") + SUMIFS('STOCK IN  TRANSFER'!G:G, 'STOCK IN  TRANSFER'!D:D, A310, 'STOCK IN  TRANSFER'!F:F, "ADJUSTMENT (+)")</f>
        <v>2</v>
      </c>
    </row>
    <row r="311" ht="22.5" customHeight="1">
      <c r="A311" s="13" t="str">
        <f>IFERROR(__xludf.DUMMYFUNCTION("""COMPUTED_VALUE"""),"NAT555")</f>
        <v>NAT555</v>
      </c>
      <c r="B311" s="13" t="str">
        <f>IFERROR(__xludf.DUMMYFUNCTION("""COMPUTED_VALUE"""),"NAX NAT-555 TTC BLUE NO.7 1L")</f>
        <v>NAX NAT-555 TTC BLUE NO.7 1L</v>
      </c>
      <c r="C311" s="16">
        <f>IFERROR(__xludf.DUMMYFUNCTION("""COMPUTED_VALUE"""),517.0)</f>
        <v>517</v>
      </c>
      <c r="D311" s="13" t="str">
        <f>IFERROR(__xludf.DUMMYFUNCTION("""COMPUTED_VALUE"""),"LITER")</f>
        <v>LITER</v>
      </c>
      <c r="E311" s="28">
        <f>IFERROR(__xludf.DUMMYFUNCTION("""COMPUTED_VALUE"""),6.0)</f>
        <v>6</v>
      </c>
      <c r="F311" s="52">
        <f>SUMIF(SALES!D:D, A311, SALES!H:H) + SUMIFS('STOCK IN  TRANSFER'!G:G, 'STOCK IN  TRANSFER'!D:D, A311, 'STOCK IN  TRANSFER'!F:F, "TRANSFER") + SUMIFS('STOCK IN  TRANSFER'!G:G, 'STOCK IN  TRANSFER'!D:D, A311, 'STOCK IN  TRANSFER'!F:F, "ADJUSTMENT (-)")</f>
        <v>0</v>
      </c>
      <c r="G311" s="52">
        <f>SUMIFS('STOCK IN  TRANSFER'!G:G, 'STOCK IN  TRANSFER'!D:D, A311, 'STOCK IN  TRANSFER'!F:F, "STOCK IN") + SUMIFS('STOCK IN  TRANSFER'!G:G, 'STOCK IN  TRANSFER'!D:D, A311, 'STOCK IN  TRANSFER'!F:F, "ADJUSTMENT (+)")</f>
        <v>6</v>
      </c>
    </row>
    <row r="312" ht="22.5" customHeight="1">
      <c r="A312" s="13" t="str">
        <f>IFERROR(__xludf.DUMMYFUNCTION("""COMPUTED_VALUE"""),"NAT550")</f>
        <v>NAT550</v>
      </c>
      <c r="B312" s="13" t="str">
        <f>IFERROR(__xludf.DUMMYFUNCTION("""COMPUTED_VALUE"""),"NAX NAT-550 TTC SUPER BLUE 1L")</f>
        <v>NAX NAT-550 TTC SUPER BLUE 1L</v>
      </c>
      <c r="C312" s="16">
        <f>IFERROR(__xludf.DUMMYFUNCTION("""COMPUTED_VALUE"""),435.0)</f>
        <v>435</v>
      </c>
      <c r="D312" s="13" t="str">
        <f>IFERROR(__xludf.DUMMYFUNCTION("""COMPUTED_VALUE"""),"LITER")</f>
        <v>LITER</v>
      </c>
      <c r="E312" s="28">
        <f>IFERROR(__xludf.DUMMYFUNCTION("""COMPUTED_VALUE"""),2.0)</f>
        <v>2</v>
      </c>
      <c r="F312" s="52">
        <f>SUMIF(SALES!D:D, A312, SALES!H:H) + SUMIFS('STOCK IN  TRANSFER'!G:G, 'STOCK IN  TRANSFER'!D:D, A312, 'STOCK IN  TRANSFER'!F:F, "TRANSFER") + SUMIFS('STOCK IN  TRANSFER'!G:G, 'STOCK IN  TRANSFER'!D:D, A312, 'STOCK IN  TRANSFER'!F:F, "ADJUSTMENT (-)")</f>
        <v>0</v>
      </c>
      <c r="G312" s="52">
        <f>SUMIFS('STOCK IN  TRANSFER'!G:G, 'STOCK IN  TRANSFER'!D:D, A312, 'STOCK IN  TRANSFER'!F:F, "STOCK IN") + SUMIFS('STOCK IN  TRANSFER'!G:G, 'STOCK IN  TRANSFER'!D:D, A312, 'STOCK IN  TRANSFER'!F:F, "ADJUSTMENT (+)")</f>
        <v>2</v>
      </c>
    </row>
    <row r="313" ht="22.5" customHeight="1">
      <c r="A313" s="13" t="str">
        <f>IFERROR(__xludf.DUMMYFUNCTION("""COMPUTED_VALUE"""),"NAT530")</f>
        <v>NAT530</v>
      </c>
      <c r="B313" s="13" t="str">
        <f>IFERROR(__xludf.DUMMYFUNCTION("""COMPUTED_VALUE"""),"NAX NAT-530 TTC FINE BLUE 1L")</f>
        <v>NAX NAT-530 TTC FINE BLUE 1L</v>
      </c>
      <c r="C313" s="16">
        <f>IFERROR(__xludf.DUMMYFUNCTION("""COMPUTED_VALUE"""),1090.0)</f>
        <v>1090</v>
      </c>
      <c r="D313" s="13" t="str">
        <f>IFERROR(__xludf.DUMMYFUNCTION("""COMPUTED_VALUE"""),"LITER")</f>
        <v>LITER</v>
      </c>
      <c r="E313" s="28">
        <f>IFERROR(__xludf.DUMMYFUNCTION("""COMPUTED_VALUE"""),2.0)</f>
        <v>2</v>
      </c>
      <c r="F313" s="52">
        <f>SUMIF(SALES!D:D, A313, SALES!H:H) + SUMIFS('STOCK IN  TRANSFER'!G:G, 'STOCK IN  TRANSFER'!D:D, A313, 'STOCK IN  TRANSFER'!F:F, "TRANSFER") + SUMIFS('STOCK IN  TRANSFER'!G:G, 'STOCK IN  TRANSFER'!D:D, A313, 'STOCK IN  TRANSFER'!F:F, "ADJUSTMENT (-)")</f>
        <v>1</v>
      </c>
      <c r="G313" s="52">
        <f>SUMIFS('STOCK IN  TRANSFER'!G:G, 'STOCK IN  TRANSFER'!D:D, A313, 'STOCK IN  TRANSFER'!F:F, "STOCK IN") + SUMIFS('STOCK IN  TRANSFER'!G:G, 'STOCK IN  TRANSFER'!D:D, A313, 'STOCK IN  TRANSFER'!F:F, "ADJUSTMENT (+)")</f>
        <v>3</v>
      </c>
    </row>
    <row r="314" ht="22.5" customHeight="1">
      <c r="A314" s="13" t="str">
        <f>IFERROR(__xludf.DUMMYFUNCTION("""COMPUTED_VALUE"""),"NAT490")</f>
        <v>NAT490</v>
      </c>
      <c r="B314" s="13" t="str">
        <f>IFERROR(__xludf.DUMMYFUNCTION("""COMPUTED_VALUE"""),"NAX NAT-490 TTC EVERGREEN 1L")</f>
        <v>NAX NAT-490 TTC EVERGREEN 1L</v>
      </c>
      <c r="C314" s="16">
        <f>IFERROR(__xludf.DUMMYFUNCTION("""COMPUTED_VALUE"""),500.0)</f>
        <v>500</v>
      </c>
      <c r="D314" s="13" t="str">
        <f>IFERROR(__xludf.DUMMYFUNCTION("""COMPUTED_VALUE"""),"LITER")</f>
        <v>LITER</v>
      </c>
      <c r="E314" s="28">
        <f>IFERROR(__xludf.DUMMYFUNCTION("""COMPUTED_VALUE"""),5.0)</f>
        <v>5</v>
      </c>
      <c r="F314" s="52">
        <f>SUMIF(SALES!D:D, A314, SALES!H:H) + SUMIFS('STOCK IN  TRANSFER'!G:G, 'STOCK IN  TRANSFER'!D:D, A314, 'STOCK IN  TRANSFER'!F:F, "TRANSFER") + SUMIFS('STOCK IN  TRANSFER'!G:G, 'STOCK IN  TRANSFER'!D:D, A314, 'STOCK IN  TRANSFER'!F:F, "ADJUSTMENT (-)")</f>
        <v>0</v>
      </c>
      <c r="G314" s="52">
        <f>SUMIFS('STOCK IN  TRANSFER'!G:G, 'STOCK IN  TRANSFER'!D:D, A314, 'STOCK IN  TRANSFER'!F:F, "STOCK IN") + SUMIFS('STOCK IN  TRANSFER'!G:G, 'STOCK IN  TRANSFER'!D:D, A314, 'STOCK IN  TRANSFER'!F:F, "ADJUSTMENT (+)")</f>
        <v>5</v>
      </c>
    </row>
    <row r="315" ht="22.5" customHeight="1">
      <c r="A315" s="13" t="str">
        <f>IFERROR(__xludf.DUMMYFUNCTION("""COMPUTED_VALUE"""),"NAT410")</f>
        <v>NAT410</v>
      </c>
      <c r="B315" s="13" t="str">
        <f>IFERROR(__xludf.DUMMYFUNCTION("""COMPUTED_VALUE"""),"NAX NAT-410 TTC CYANINE GREEN 1L")</f>
        <v>NAX NAT-410 TTC CYANINE GREEN 1L</v>
      </c>
      <c r="C315" s="16">
        <f>IFERROR(__xludf.DUMMYFUNCTION("""COMPUTED_VALUE"""),683.0)</f>
        <v>683</v>
      </c>
      <c r="D315" s="13" t="str">
        <f>IFERROR(__xludf.DUMMYFUNCTION("""COMPUTED_VALUE"""),"LITER")</f>
        <v>LITER</v>
      </c>
      <c r="E315" s="28">
        <f>IFERROR(__xludf.DUMMYFUNCTION("""COMPUTED_VALUE"""),6.0)</f>
        <v>6</v>
      </c>
      <c r="F315" s="52">
        <f>SUMIF(SALES!D:D, A315, SALES!H:H) + SUMIFS('STOCK IN  TRANSFER'!G:G, 'STOCK IN  TRANSFER'!D:D, A315, 'STOCK IN  TRANSFER'!F:F, "TRANSFER") + SUMIFS('STOCK IN  TRANSFER'!G:G, 'STOCK IN  TRANSFER'!D:D, A315, 'STOCK IN  TRANSFER'!F:F, "ADJUSTMENT (-)")</f>
        <v>1</v>
      </c>
      <c r="G315" s="52">
        <f>SUMIFS('STOCK IN  TRANSFER'!G:G, 'STOCK IN  TRANSFER'!D:D, A315, 'STOCK IN  TRANSFER'!F:F, "STOCK IN") + SUMIFS('STOCK IN  TRANSFER'!G:G, 'STOCK IN  TRANSFER'!D:D, A315, 'STOCK IN  TRANSFER'!F:F, "ADJUSTMENT (+)")</f>
        <v>7</v>
      </c>
    </row>
    <row r="316" ht="22.5" customHeight="1">
      <c r="A316" s="13" t="str">
        <f>IFERROR(__xludf.DUMMYFUNCTION("""COMPUTED_VALUE"""),"NAT3974")</f>
        <v>NAT3974</v>
      </c>
      <c r="B316" s="13" t="str">
        <f>IFERROR(__xludf.DUMMYFUNCTION("""COMPUTED_VALUE"""),"NAX NAT-3974 QDU FLAT BLACK 1L")</f>
        <v>NAX NAT-3974 QDU FLAT BLACK 1L</v>
      </c>
      <c r="C316" s="16">
        <f>IFERROR(__xludf.DUMMYFUNCTION("""COMPUTED_VALUE"""),451.0)</f>
        <v>451</v>
      </c>
      <c r="D316" s="13" t="str">
        <f>IFERROR(__xludf.DUMMYFUNCTION("""COMPUTED_VALUE"""),"LITER")</f>
        <v>LITER</v>
      </c>
      <c r="E316" s="28">
        <f>IFERROR(__xludf.DUMMYFUNCTION("""COMPUTED_VALUE"""),-1.25)</f>
        <v>-1.25</v>
      </c>
      <c r="F316" s="52">
        <f>SUMIF(SALES!D:D, A316, SALES!H:H) + SUMIFS('STOCK IN  TRANSFER'!G:G, 'STOCK IN  TRANSFER'!D:D, A316, 'STOCK IN  TRANSFER'!F:F, "TRANSFER") + SUMIFS('STOCK IN  TRANSFER'!G:G, 'STOCK IN  TRANSFER'!D:D, A316, 'STOCK IN  TRANSFER'!F:F, "ADJUSTMENT (-)")</f>
        <v>3.75</v>
      </c>
      <c r="G316" s="52">
        <f>SUMIFS('STOCK IN  TRANSFER'!G:G, 'STOCK IN  TRANSFER'!D:D, A316, 'STOCK IN  TRANSFER'!F:F, "STOCK IN") + SUMIFS('STOCK IN  TRANSFER'!G:G, 'STOCK IN  TRANSFER'!D:D, A316, 'STOCK IN  TRANSFER'!F:F, "ADJUSTMENT (+)")</f>
        <v>2.5</v>
      </c>
    </row>
    <row r="317" ht="22.5" customHeight="1">
      <c r="A317" s="13" t="str">
        <f>IFERROR(__xludf.DUMMYFUNCTION("""COMPUTED_VALUE"""),"NAT390")</f>
        <v>NAT390</v>
      </c>
      <c r="B317" s="13" t="str">
        <f>IFERROR(__xludf.DUMMYFUNCTION("""COMPUTED_VALUE"""),"NAX NAT-390 TTC IRON YELLOW 1L")</f>
        <v>NAX NAT-390 TTC IRON YELLOW 1L</v>
      </c>
      <c r="C317" s="16">
        <f>IFERROR(__xludf.DUMMYFUNCTION("""COMPUTED_VALUE"""),367.0)</f>
        <v>367</v>
      </c>
      <c r="D317" s="13" t="str">
        <f>IFERROR(__xludf.DUMMYFUNCTION("""COMPUTED_VALUE"""),"LITER")</f>
        <v>LITER</v>
      </c>
      <c r="E317" s="28">
        <f>IFERROR(__xludf.DUMMYFUNCTION("""COMPUTED_VALUE"""),9.0)</f>
        <v>9</v>
      </c>
      <c r="F317" s="52">
        <f>SUMIF(SALES!D:D, A317, SALES!H:H) + SUMIFS('STOCK IN  TRANSFER'!G:G, 'STOCK IN  TRANSFER'!D:D, A317, 'STOCK IN  TRANSFER'!F:F, "TRANSFER") + SUMIFS('STOCK IN  TRANSFER'!G:G, 'STOCK IN  TRANSFER'!D:D, A317, 'STOCK IN  TRANSFER'!F:F, "ADJUSTMENT (-)")</f>
        <v>0</v>
      </c>
      <c r="G317" s="52">
        <f>SUMIFS('STOCK IN  TRANSFER'!G:G, 'STOCK IN  TRANSFER'!D:D, A317, 'STOCK IN  TRANSFER'!F:F, "STOCK IN") + SUMIFS('STOCK IN  TRANSFER'!G:G, 'STOCK IN  TRANSFER'!D:D, A317, 'STOCK IN  TRANSFER'!F:F, "ADJUSTMENT (+)")</f>
        <v>9</v>
      </c>
    </row>
    <row r="318" ht="22.5" customHeight="1">
      <c r="A318" s="13" t="str">
        <f>IFERROR(__xludf.DUMMYFUNCTION("""COMPUTED_VALUE"""),"NAT380")</f>
        <v>NAT380</v>
      </c>
      <c r="B318" s="13" t="str">
        <f>IFERROR(__xludf.DUMMYFUNCTION("""COMPUTED_VALUE"""),"NAX NAT-380 TTC SUPER YELLOW 1L")</f>
        <v>NAX NAT-380 TTC SUPER YELLOW 1L</v>
      </c>
      <c r="C318" s="16">
        <f>IFERROR(__xludf.DUMMYFUNCTION("""COMPUTED_VALUE"""),1035.0)</f>
        <v>1035</v>
      </c>
      <c r="D318" s="13" t="str">
        <f>IFERROR(__xludf.DUMMYFUNCTION("""COMPUTED_VALUE"""),"LITER")</f>
        <v>LITER</v>
      </c>
      <c r="E318" s="28">
        <f>IFERROR(__xludf.DUMMYFUNCTION("""COMPUTED_VALUE"""),4.0)</f>
        <v>4</v>
      </c>
      <c r="F318" s="52">
        <f>SUMIF(SALES!D:D, A318, SALES!H:H) + SUMIFS('STOCK IN  TRANSFER'!G:G, 'STOCK IN  TRANSFER'!D:D, A318, 'STOCK IN  TRANSFER'!F:F, "TRANSFER") + SUMIFS('STOCK IN  TRANSFER'!G:G, 'STOCK IN  TRANSFER'!D:D, A318, 'STOCK IN  TRANSFER'!F:F, "ADJUSTMENT (-)")</f>
        <v>0</v>
      </c>
      <c r="G318" s="52">
        <f>SUMIFS('STOCK IN  TRANSFER'!G:G, 'STOCK IN  TRANSFER'!D:D, A318, 'STOCK IN  TRANSFER'!F:F, "STOCK IN") + SUMIFS('STOCK IN  TRANSFER'!G:G, 'STOCK IN  TRANSFER'!D:D, A318, 'STOCK IN  TRANSFER'!F:F, "ADJUSTMENT (+)")</f>
        <v>4</v>
      </c>
    </row>
    <row r="319" ht="22.5" customHeight="1">
      <c r="A319" s="13" t="str">
        <f>IFERROR(__xludf.DUMMYFUNCTION("""COMPUTED_VALUE"""),"NAT321")</f>
        <v>NAT321</v>
      </c>
      <c r="B319" s="13" t="str">
        <f>IFERROR(__xludf.DUMMYFUNCTION("""COMPUTED_VALUE"""),"NAX NAT-321 TTC HOSTAPERM YELLOW 1L")</f>
        <v>NAX NAT-321 TTC HOSTAPERM YELLOW 1L</v>
      </c>
      <c r="C319" s="16">
        <f>IFERROR(__xludf.DUMMYFUNCTION("""COMPUTED_VALUE"""),897.0)</f>
        <v>897</v>
      </c>
      <c r="D319" s="13" t="str">
        <f>IFERROR(__xludf.DUMMYFUNCTION("""COMPUTED_VALUE"""),"LITER")</f>
        <v>LITER</v>
      </c>
      <c r="E319" s="28">
        <f>IFERROR(__xludf.DUMMYFUNCTION("""COMPUTED_VALUE"""),10.0)</f>
        <v>10</v>
      </c>
      <c r="F319" s="52">
        <f>SUMIF(SALES!D:D, A319, SALES!H:H) + SUMIFS('STOCK IN  TRANSFER'!G:G, 'STOCK IN  TRANSFER'!D:D, A319, 'STOCK IN  TRANSFER'!F:F, "TRANSFER") + SUMIFS('STOCK IN  TRANSFER'!G:G, 'STOCK IN  TRANSFER'!D:D, A319, 'STOCK IN  TRANSFER'!F:F, "ADJUSTMENT (-)")</f>
        <v>1</v>
      </c>
      <c r="G319" s="52">
        <f>SUMIFS('STOCK IN  TRANSFER'!G:G, 'STOCK IN  TRANSFER'!D:D, A319, 'STOCK IN  TRANSFER'!F:F, "STOCK IN") + SUMIFS('STOCK IN  TRANSFER'!G:G, 'STOCK IN  TRANSFER'!D:D, A319, 'STOCK IN  TRANSFER'!F:F, "ADJUSTMENT (+)")</f>
        <v>11</v>
      </c>
    </row>
    <row r="320" ht="22.5" customHeight="1">
      <c r="A320" s="13" t="str">
        <f>IFERROR(__xludf.DUMMYFUNCTION("""COMPUTED_VALUE"""),"NAT320")</f>
        <v>NAT320</v>
      </c>
      <c r="B320" s="13" t="str">
        <f>IFERROR(__xludf.DUMMYFUNCTION("""COMPUTED_VALUE"""),"NAX NAT-320 TTC GOLD YELLOW 1L")</f>
        <v>NAX NAT-320 TTC GOLD YELLOW 1L</v>
      </c>
      <c r="C320" s="16">
        <f>IFERROR(__xludf.DUMMYFUNCTION("""COMPUTED_VALUE"""),425.0)</f>
        <v>425</v>
      </c>
      <c r="D320" s="13" t="str">
        <f>IFERROR(__xludf.DUMMYFUNCTION("""COMPUTED_VALUE"""),"LITER")</f>
        <v>LITER</v>
      </c>
      <c r="E320" s="28">
        <f>IFERROR(__xludf.DUMMYFUNCTION("""COMPUTED_VALUE"""),5.0)</f>
        <v>5</v>
      </c>
      <c r="F320" s="52">
        <f>SUMIF(SALES!D:D, A320, SALES!H:H) + SUMIFS('STOCK IN  TRANSFER'!G:G, 'STOCK IN  TRANSFER'!D:D, A320, 'STOCK IN  TRANSFER'!F:F, "TRANSFER") + SUMIFS('STOCK IN  TRANSFER'!G:G, 'STOCK IN  TRANSFER'!D:D, A320, 'STOCK IN  TRANSFER'!F:F, "ADJUSTMENT (-)")</f>
        <v>2</v>
      </c>
      <c r="G320" s="52">
        <f>SUMIFS('STOCK IN  TRANSFER'!G:G, 'STOCK IN  TRANSFER'!D:D, A320, 'STOCK IN  TRANSFER'!F:F, "STOCK IN") + SUMIFS('STOCK IN  TRANSFER'!G:G, 'STOCK IN  TRANSFER'!D:D, A320, 'STOCK IN  TRANSFER'!F:F, "ADJUSTMENT (+)")</f>
        <v>7</v>
      </c>
    </row>
    <row r="321" ht="22.5" customHeight="1">
      <c r="A321" s="13" t="str">
        <f>IFERROR(__xludf.DUMMYFUNCTION("""COMPUTED_VALUE"""),"NAT305")</f>
        <v>NAT305</v>
      </c>
      <c r="B321" s="13" t="str">
        <f>IFERROR(__xludf.DUMMYFUNCTION("""COMPUTED_VALUE"""),"NAX NAT-305 TTC GREEN YELLOW 1L")</f>
        <v>NAX NAT-305 TTC GREEN YELLOW 1L</v>
      </c>
      <c r="C321" s="16">
        <f>IFERROR(__xludf.DUMMYFUNCTION("""COMPUTED_VALUE"""),1380.0)</f>
        <v>1380</v>
      </c>
      <c r="D321" s="13" t="str">
        <f>IFERROR(__xludf.DUMMYFUNCTION("""COMPUTED_VALUE"""),"LITER")</f>
        <v>LITER</v>
      </c>
      <c r="E321" s="28">
        <f>IFERROR(__xludf.DUMMYFUNCTION("""COMPUTED_VALUE"""),4.0)</f>
        <v>4</v>
      </c>
      <c r="F321" s="52">
        <f>SUMIF(SALES!D:D, A321, SALES!H:H) + SUMIFS('STOCK IN  TRANSFER'!G:G, 'STOCK IN  TRANSFER'!D:D, A321, 'STOCK IN  TRANSFER'!F:F, "TRANSFER") + SUMIFS('STOCK IN  TRANSFER'!G:G, 'STOCK IN  TRANSFER'!D:D, A321, 'STOCK IN  TRANSFER'!F:F, "ADJUSTMENT (-)")</f>
        <v>1</v>
      </c>
      <c r="G321" s="52">
        <f>SUMIFS('STOCK IN  TRANSFER'!G:G, 'STOCK IN  TRANSFER'!D:D, A321, 'STOCK IN  TRANSFER'!F:F, "STOCK IN") + SUMIFS('STOCK IN  TRANSFER'!G:G, 'STOCK IN  TRANSFER'!D:D, A321, 'STOCK IN  TRANSFER'!F:F, "ADJUSTMENT (+)")</f>
        <v>5</v>
      </c>
    </row>
    <row r="322" ht="22.5" customHeight="1">
      <c r="A322" s="13" t="str">
        <f>IFERROR(__xludf.DUMMYFUNCTION("""COMPUTED_VALUE"""),"NAX2930")</f>
        <v>NAX2930</v>
      </c>
      <c r="B322" s="13" t="str">
        <f>IFERROR(__xludf.DUMMYFUNCTION("""COMPUTED_VALUE"""),"NAX NAT-2930 TTC QDU SASH BLACK 1L")</f>
        <v>NAX NAT-2930 TTC QDU SASH BLACK 1L</v>
      </c>
      <c r="C322" s="55"/>
      <c r="D322" s="13" t="str">
        <f>IFERROR(__xludf.DUMMYFUNCTION("""COMPUTED_VALUE"""),"LITER")</f>
        <v>LITER</v>
      </c>
      <c r="E322" s="28">
        <f>IFERROR(__xludf.DUMMYFUNCTION("""COMPUTED_VALUE"""),0.0)</f>
        <v>0</v>
      </c>
      <c r="F322" s="52">
        <f>SUMIF(SALES!D:D, A322, SALES!H:H) + SUMIFS('STOCK IN  TRANSFER'!G:G, 'STOCK IN  TRANSFER'!D:D, A322, 'STOCK IN  TRANSFER'!F:F, "TRANSFER") + SUMIFS('STOCK IN  TRANSFER'!G:G, 'STOCK IN  TRANSFER'!D:D, A322, 'STOCK IN  TRANSFER'!F:F, "ADJUSTMENT (-)")</f>
        <v>0</v>
      </c>
      <c r="G322" s="52">
        <f>SUMIFS('STOCK IN  TRANSFER'!G:G, 'STOCK IN  TRANSFER'!D:D, A322, 'STOCK IN  TRANSFER'!F:F, "STOCK IN") + SUMIFS('STOCK IN  TRANSFER'!G:G, 'STOCK IN  TRANSFER'!D:D, A322, 'STOCK IN  TRANSFER'!F:F, "ADJUSTMENT (+)")</f>
        <v>0</v>
      </c>
    </row>
    <row r="323" ht="22.5" customHeight="1">
      <c r="A323" s="13" t="str">
        <f>IFERROR(__xludf.DUMMYFUNCTION("""COMPUTED_VALUE"""),"NAT210")</f>
        <v>NAT210</v>
      </c>
      <c r="B323" s="13" t="str">
        <f>IFERROR(__xludf.DUMMYFUNCTION("""COMPUTED_VALUE"""),"NAX NAT-210 TTC SUPER ORANGE 1L")</f>
        <v>NAX NAT-210 TTC SUPER ORANGE 1L</v>
      </c>
      <c r="C323" s="16">
        <f>IFERROR(__xludf.DUMMYFUNCTION("""COMPUTED_VALUE"""),1511.0)</f>
        <v>1511</v>
      </c>
      <c r="D323" s="13" t="str">
        <f>IFERROR(__xludf.DUMMYFUNCTION("""COMPUTED_VALUE"""),"LITER")</f>
        <v>LITER</v>
      </c>
      <c r="E323" s="28">
        <f>IFERROR(__xludf.DUMMYFUNCTION("""COMPUTED_VALUE"""),6.0)</f>
        <v>6</v>
      </c>
      <c r="F323" s="52">
        <f>SUMIF(SALES!D:D, A323, SALES!H:H) + SUMIFS('STOCK IN  TRANSFER'!G:G, 'STOCK IN  TRANSFER'!D:D, A323, 'STOCK IN  TRANSFER'!F:F, "TRANSFER") + SUMIFS('STOCK IN  TRANSFER'!G:G, 'STOCK IN  TRANSFER'!D:D, A323, 'STOCK IN  TRANSFER'!F:F, "ADJUSTMENT (-)")</f>
        <v>0</v>
      </c>
      <c r="G323" s="52">
        <f>SUMIFS('STOCK IN  TRANSFER'!G:G, 'STOCK IN  TRANSFER'!D:D, A323, 'STOCK IN  TRANSFER'!F:F, "STOCK IN") + SUMIFS('STOCK IN  TRANSFER'!G:G, 'STOCK IN  TRANSFER'!D:D, A323, 'STOCK IN  TRANSFER'!F:F, "ADJUSTMENT (+)")</f>
        <v>6</v>
      </c>
    </row>
    <row r="324" ht="22.5" customHeight="1">
      <c r="A324" s="13" t="str">
        <f>IFERROR(__xludf.DUMMYFUNCTION("""COMPUTED_VALUE"""),"NAT100-1L")</f>
        <v>NAT100-1L</v>
      </c>
      <c r="B324" s="13" t="str">
        <f>IFERROR(__xludf.DUMMYFUNCTION("""COMPUTED_VALUE"""),"NAX NAT-1OO TTC WHITE 1L")</f>
        <v>NAX NAT-1OO TTC WHITE 1L</v>
      </c>
      <c r="C324" s="16">
        <f>IFERROR(__xludf.DUMMYFUNCTION("""COMPUTED_VALUE"""),425.0)</f>
        <v>425</v>
      </c>
      <c r="D324" s="13" t="str">
        <f>IFERROR(__xludf.DUMMYFUNCTION("""COMPUTED_VALUE"""),"LITER")</f>
        <v>LITER</v>
      </c>
      <c r="E324" s="28">
        <f>IFERROR(__xludf.DUMMYFUNCTION("""COMPUTED_VALUE"""),0.0)</f>
        <v>0</v>
      </c>
      <c r="F324" s="52">
        <f>SUMIF(SALES!D:D, A324, SALES!H:H) + SUMIFS('STOCK IN  TRANSFER'!G:G, 'STOCK IN  TRANSFER'!D:D, A324, 'STOCK IN  TRANSFER'!F:F, "TRANSFER") + SUMIFS('STOCK IN  TRANSFER'!G:G, 'STOCK IN  TRANSFER'!D:D, A324, 'STOCK IN  TRANSFER'!F:F, "ADJUSTMENT (-)")</f>
        <v>3</v>
      </c>
      <c r="G324" s="52">
        <f>SUMIFS('STOCK IN  TRANSFER'!G:G, 'STOCK IN  TRANSFER'!D:D, A324, 'STOCK IN  TRANSFER'!F:F, "STOCK IN") + SUMIFS('STOCK IN  TRANSFER'!G:G, 'STOCK IN  TRANSFER'!D:D, A324, 'STOCK IN  TRANSFER'!F:F, "ADJUSTMENT (+)")</f>
        <v>3</v>
      </c>
    </row>
    <row r="325" ht="22.5" customHeight="1">
      <c r="A325" s="13" t="str">
        <f>IFERROR(__xludf.DUMMYFUNCTION("""COMPUTED_VALUE"""),"NAT196")</f>
        <v>NAT196</v>
      </c>
      <c r="B325" s="13" t="str">
        <f>IFERROR(__xludf.DUMMYFUNCTION("""COMPUTED_VALUE"""),"NAX NAT-196 TTC PURPLISH RED 1L")</f>
        <v>NAX NAT-196 TTC PURPLISH RED 1L</v>
      </c>
      <c r="C325" s="16">
        <f>IFERROR(__xludf.DUMMYFUNCTION("""COMPUTED_VALUE"""),1125.0)</f>
        <v>1125</v>
      </c>
      <c r="D325" s="13" t="str">
        <f>IFERROR(__xludf.DUMMYFUNCTION("""COMPUTED_VALUE"""),"LITER")</f>
        <v>LITER</v>
      </c>
      <c r="E325" s="28">
        <f>IFERROR(__xludf.DUMMYFUNCTION("""COMPUTED_VALUE"""),14.0)</f>
        <v>14</v>
      </c>
      <c r="F325" s="52">
        <f>SUMIF(SALES!D:D, A325, SALES!H:H) + SUMIFS('STOCK IN  TRANSFER'!G:G, 'STOCK IN  TRANSFER'!D:D, A325, 'STOCK IN  TRANSFER'!F:F, "TRANSFER") + SUMIFS('STOCK IN  TRANSFER'!G:G, 'STOCK IN  TRANSFER'!D:D, A325, 'STOCK IN  TRANSFER'!F:F, "ADJUSTMENT (-)")</f>
        <v>0</v>
      </c>
      <c r="G325" s="52">
        <f>SUMIFS('STOCK IN  TRANSFER'!G:G, 'STOCK IN  TRANSFER'!D:D, A325, 'STOCK IN  TRANSFER'!F:F, "STOCK IN") + SUMIFS('STOCK IN  TRANSFER'!G:G, 'STOCK IN  TRANSFER'!D:D, A325, 'STOCK IN  TRANSFER'!F:F, "ADJUSTMENT (+)")</f>
        <v>14</v>
      </c>
    </row>
    <row r="326" ht="22.5" customHeight="1">
      <c r="A326" s="13" t="str">
        <f>IFERROR(__xludf.DUMMYFUNCTION("""COMPUTED_VALUE"""),"NAT192")</f>
        <v>NAT192</v>
      </c>
      <c r="B326" s="13" t="str">
        <f>IFERROR(__xludf.DUMMYFUNCTION("""COMPUTED_VALUE"""),"NAX NAT-192 TTC BRIGHT RED 1L")</f>
        <v>NAX NAT-192 TTC BRIGHT RED 1L</v>
      </c>
      <c r="C326" s="16">
        <f>IFERROR(__xludf.DUMMYFUNCTION("""COMPUTED_VALUE"""),540.0)</f>
        <v>540</v>
      </c>
      <c r="D326" s="13" t="str">
        <f>IFERROR(__xludf.DUMMYFUNCTION("""COMPUTED_VALUE"""),"LITER")</f>
        <v>LITER</v>
      </c>
      <c r="E326" s="28">
        <f>IFERROR(__xludf.DUMMYFUNCTION("""COMPUTED_VALUE"""),3.0)</f>
        <v>3</v>
      </c>
      <c r="F326" s="52">
        <f>SUMIF(SALES!D:D, A326, SALES!H:H) + SUMIFS('STOCK IN  TRANSFER'!G:G, 'STOCK IN  TRANSFER'!D:D, A326, 'STOCK IN  TRANSFER'!F:F, "TRANSFER") + SUMIFS('STOCK IN  TRANSFER'!G:G, 'STOCK IN  TRANSFER'!D:D, A326, 'STOCK IN  TRANSFER'!F:F, "ADJUSTMENT (-)")</f>
        <v>1</v>
      </c>
      <c r="G326" s="52">
        <f>SUMIFS('STOCK IN  TRANSFER'!G:G, 'STOCK IN  TRANSFER'!D:D, A326, 'STOCK IN  TRANSFER'!F:F, "STOCK IN") + SUMIFS('STOCK IN  TRANSFER'!G:G, 'STOCK IN  TRANSFER'!D:D, A326, 'STOCK IN  TRANSFER'!F:F, "ADJUSTMENT (+)")</f>
        <v>4</v>
      </c>
    </row>
    <row r="327" ht="22.5" customHeight="1">
      <c r="A327" s="13" t="str">
        <f>IFERROR(__xludf.DUMMYFUNCTION("""COMPUTED_VALUE"""),"NAT190")</f>
        <v>NAT190</v>
      </c>
      <c r="B327" s="13" t="str">
        <f>IFERROR(__xludf.DUMMYFUNCTION("""COMPUTED_VALUE"""),"NAX NAT-190 TTC IRON RED 1L")</f>
        <v>NAX NAT-190 TTC IRON RED 1L</v>
      </c>
      <c r="C327" s="16">
        <f>IFERROR(__xludf.DUMMYFUNCTION("""COMPUTED_VALUE"""),395.0)</f>
        <v>395</v>
      </c>
      <c r="D327" s="13" t="str">
        <f>IFERROR(__xludf.DUMMYFUNCTION("""COMPUTED_VALUE"""),"LITER")</f>
        <v>LITER</v>
      </c>
      <c r="E327" s="28">
        <f>IFERROR(__xludf.DUMMYFUNCTION("""COMPUTED_VALUE"""),5.0)</f>
        <v>5</v>
      </c>
      <c r="F327" s="52">
        <f>SUMIF(SALES!D:D, A327, SALES!H:H) + SUMIFS('STOCK IN  TRANSFER'!G:G, 'STOCK IN  TRANSFER'!D:D, A327, 'STOCK IN  TRANSFER'!F:F, "TRANSFER") + SUMIFS('STOCK IN  TRANSFER'!G:G, 'STOCK IN  TRANSFER'!D:D, A327, 'STOCK IN  TRANSFER'!F:F, "ADJUSTMENT (-)")</f>
        <v>0</v>
      </c>
      <c r="G327" s="52">
        <f>SUMIFS('STOCK IN  TRANSFER'!G:G, 'STOCK IN  TRANSFER'!D:D, A327, 'STOCK IN  TRANSFER'!F:F, "STOCK IN") + SUMIFS('STOCK IN  TRANSFER'!G:G, 'STOCK IN  TRANSFER'!D:D, A327, 'STOCK IN  TRANSFER'!F:F, "ADJUSTMENT (+)")</f>
        <v>5</v>
      </c>
    </row>
    <row r="328" ht="22.5" customHeight="1">
      <c r="A328" s="13" t="str">
        <f>IFERROR(__xludf.DUMMYFUNCTION("""COMPUTED_VALUE"""),"NAT180")</f>
        <v>NAT180</v>
      </c>
      <c r="B328" s="13" t="str">
        <f>IFERROR(__xludf.DUMMYFUNCTION("""COMPUTED_VALUE"""),"NAX NAT-180 TTC STRAWBERRY RED 1L")</f>
        <v>NAX NAT-180 TTC STRAWBERRY RED 1L</v>
      </c>
      <c r="C328" s="16">
        <f>IFERROR(__xludf.DUMMYFUNCTION("""COMPUTED_VALUE"""),895.0)</f>
        <v>895</v>
      </c>
      <c r="D328" s="13" t="str">
        <f>IFERROR(__xludf.DUMMYFUNCTION("""COMPUTED_VALUE"""),"LITER")</f>
        <v>LITER</v>
      </c>
      <c r="E328" s="28">
        <f>IFERROR(__xludf.DUMMYFUNCTION("""COMPUTED_VALUE"""),6.0)</f>
        <v>6</v>
      </c>
      <c r="F328" s="52">
        <f>SUMIF(SALES!D:D, A328, SALES!H:H) + SUMIFS('STOCK IN  TRANSFER'!G:G, 'STOCK IN  TRANSFER'!D:D, A328, 'STOCK IN  TRANSFER'!F:F, "TRANSFER") + SUMIFS('STOCK IN  TRANSFER'!G:G, 'STOCK IN  TRANSFER'!D:D, A328, 'STOCK IN  TRANSFER'!F:F, "ADJUSTMENT (-)")</f>
        <v>0</v>
      </c>
      <c r="G328" s="52">
        <f>SUMIFS('STOCK IN  TRANSFER'!G:G, 'STOCK IN  TRANSFER'!D:D, A328, 'STOCK IN  TRANSFER'!F:F, "STOCK IN") + SUMIFS('STOCK IN  TRANSFER'!G:G, 'STOCK IN  TRANSFER'!D:D, A328, 'STOCK IN  TRANSFER'!F:F, "ADJUSTMENT (+)")</f>
        <v>6</v>
      </c>
    </row>
    <row r="329" ht="22.5" customHeight="1">
      <c r="A329" s="13" t="str">
        <f>IFERROR(__xludf.DUMMYFUNCTION("""COMPUTED_VALUE"""),"NAT158")</f>
        <v>NAT158</v>
      </c>
      <c r="B329" s="13" t="str">
        <f>IFERROR(__xludf.DUMMYFUNCTION("""COMPUTED_VALUE"""),"NAX NAT158 CINQUASIA VIOLET 1L")</f>
        <v>NAX NAT158 CINQUASIA VIOLET 1L</v>
      </c>
      <c r="C329" s="16">
        <f>IFERROR(__xludf.DUMMYFUNCTION("""COMPUTED_VALUE"""),1310.0)</f>
        <v>1310</v>
      </c>
      <c r="D329" s="13" t="str">
        <f>IFERROR(__xludf.DUMMYFUNCTION("""COMPUTED_VALUE"""),"LITER")</f>
        <v>LITER</v>
      </c>
      <c r="E329" s="28">
        <f>IFERROR(__xludf.DUMMYFUNCTION("""COMPUTED_VALUE"""),2.0)</f>
        <v>2</v>
      </c>
      <c r="F329" s="52">
        <f>SUMIF(SALES!D:D, A329, SALES!H:H) + SUMIFS('STOCK IN  TRANSFER'!G:G, 'STOCK IN  TRANSFER'!D:D, A329, 'STOCK IN  TRANSFER'!F:F, "TRANSFER") + SUMIFS('STOCK IN  TRANSFER'!G:G, 'STOCK IN  TRANSFER'!D:D, A329, 'STOCK IN  TRANSFER'!F:F, "ADJUSTMENT (-)")</f>
        <v>0</v>
      </c>
      <c r="G329" s="52">
        <f>SUMIFS('STOCK IN  TRANSFER'!G:G, 'STOCK IN  TRANSFER'!D:D, A329, 'STOCK IN  TRANSFER'!F:F, "STOCK IN") + SUMIFS('STOCK IN  TRANSFER'!G:G, 'STOCK IN  TRANSFER'!D:D, A329, 'STOCK IN  TRANSFER'!F:F, "ADJUSTMENT (+)")</f>
        <v>2</v>
      </c>
    </row>
    <row r="330" ht="22.5" customHeight="1">
      <c r="A330" s="13" t="str">
        <f>IFERROR(__xludf.DUMMYFUNCTION("""COMPUTED_VALUE"""),"NAT149")</f>
        <v>NAT149</v>
      </c>
      <c r="B330" s="13" t="str">
        <f>IFERROR(__xludf.DUMMYFUNCTION("""COMPUTED_VALUE"""),"NAX NAT-149 TTC DARK MAROON 1L")</f>
        <v>NAX NAT-149 TTC DARK MAROON 1L</v>
      </c>
      <c r="C330" s="16">
        <f>IFERROR(__xludf.DUMMYFUNCTION("""COMPUTED_VALUE"""),1110.0)</f>
        <v>1110</v>
      </c>
      <c r="D330" s="13" t="str">
        <f>IFERROR(__xludf.DUMMYFUNCTION("""COMPUTED_VALUE"""),"LITER")</f>
        <v>LITER</v>
      </c>
      <c r="E330" s="28">
        <f>IFERROR(__xludf.DUMMYFUNCTION("""COMPUTED_VALUE"""),10.0)</f>
        <v>10</v>
      </c>
      <c r="F330" s="52">
        <f>SUMIF(SALES!D:D, A330, SALES!H:H) + SUMIFS('STOCK IN  TRANSFER'!G:G, 'STOCK IN  TRANSFER'!D:D, A330, 'STOCK IN  TRANSFER'!F:F, "TRANSFER") + SUMIFS('STOCK IN  TRANSFER'!G:G, 'STOCK IN  TRANSFER'!D:D, A330, 'STOCK IN  TRANSFER'!F:F, "ADJUSTMENT (-)")</f>
        <v>2</v>
      </c>
      <c r="G330" s="52">
        <f>SUMIFS('STOCK IN  TRANSFER'!G:G, 'STOCK IN  TRANSFER'!D:D, A330, 'STOCK IN  TRANSFER'!F:F, "STOCK IN") + SUMIFS('STOCK IN  TRANSFER'!G:G, 'STOCK IN  TRANSFER'!D:D, A330, 'STOCK IN  TRANSFER'!F:F, "ADJUSTMENT (+)")</f>
        <v>12</v>
      </c>
    </row>
    <row r="331" ht="22.5" customHeight="1">
      <c r="A331" s="13" t="str">
        <f>IFERROR(__xludf.DUMMYFUNCTION("""COMPUTED_VALUE"""),"NAT147")</f>
        <v>NAT147</v>
      </c>
      <c r="B331" s="13" t="str">
        <f>IFERROR(__xludf.DUMMYFUNCTION("""COMPUTED_VALUE"""),"NAX NAT-147 TTC THRENE RED 1L")</f>
        <v>NAX NAT-147 TTC THRENE RED 1L</v>
      </c>
      <c r="C331" s="16">
        <f>IFERROR(__xludf.DUMMYFUNCTION("""COMPUTED_VALUE"""),1120.0)</f>
        <v>1120</v>
      </c>
      <c r="D331" s="13" t="str">
        <f>IFERROR(__xludf.DUMMYFUNCTION("""COMPUTED_VALUE"""),"LITER")</f>
        <v>LITER</v>
      </c>
      <c r="E331" s="28">
        <f>IFERROR(__xludf.DUMMYFUNCTION("""COMPUTED_VALUE"""),7.0)</f>
        <v>7</v>
      </c>
      <c r="F331" s="52">
        <f>SUMIF(SALES!D:D, A331, SALES!H:H) + SUMIFS('STOCK IN  TRANSFER'!G:G, 'STOCK IN  TRANSFER'!D:D, A331, 'STOCK IN  TRANSFER'!F:F, "TRANSFER") + SUMIFS('STOCK IN  TRANSFER'!G:G, 'STOCK IN  TRANSFER'!D:D, A331, 'STOCK IN  TRANSFER'!F:F, "ADJUSTMENT (-)")</f>
        <v>2</v>
      </c>
      <c r="G331" s="52">
        <f>SUMIFS('STOCK IN  TRANSFER'!G:G, 'STOCK IN  TRANSFER'!D:D, A331, 'STOCK IN  TRANSFER'!F:F, "STOCK IN") + SUMIFS('STOCK IN  TRANSFER'!G:G, 'STOCK IN  TRANSFER'!D:D, A331, 'STOCK IN  TRANSFER'!F:F, "ADJUSTMENT (+)")</f>
        <v>9</v>
      </c>
    </row>
    <row r="332" ht="22.5" customHeight="1">
      <c r="A332" s="13" t="str">
        <f>IFERROR(__xludf.DUMMYFUNCTION("""COMPUTED_VALUE"""),"NAT143")</f>
        <v>NAT143</v>
      </c>
      <c r="B332" s="13" t="str">
        <f>IFERROR(__xludf.DUMMYFUNCTION("""COMPUTED_VALUE"""),"NAX NAT-143 TTC FLAME RED 1L")</f>
        <v>NAX NAT-143 TTC FLAME RED 1L</v>
      </c>
      <c r="C332" s="16">
        <f>IFERROR(__xludf.DUMMYFUNCTION("""COMPUTED_VALUE"""),1315.0)</f>
        <v>1315</v>
      </c>
      <c r="D332" s="13" t="str">
        <f>IFERROR(__xludf.DUMMYFUNCTION("""COMPUTED_VALUE"""),"LITER")</f>
        <v>LITER</v>
      </c>
      <c r="E332" s="28">
        <f>IFERROR(__xludf.DUMMYFUNCTION("""COMPUTED_VALUE"""),12.0)</f>
        <v>12</v>
      </c>
      <c r="F332" s="52">
        <f>SUMIF(SALES!D:D, A332, SALES!H:H) + SUMIFS('STOCK IN  TRANSFER'!G:G, 'STOCK IN  TRANSFER'!D:D, A332, 'STOCK IN  TRANSFER'!F:F, "TRANSFER") + SUMIFS('STOCK IN  TRANSFER'!G:G, 'STOCK IN  TRANSFER'!D:D, A332, 'STOCK IN  TRANSFER'!F:F, "ADJUSTMENT (-)")</f>
        <v>0</v>
      </c>
      <c r="G332" s="52">
        <f>SUMIFS('STOCK IN  TRANSFER'!G:G, 'STOCK IN  TRANSFER'!D:D, A332, 'STOCK IN  TRANSFER'!F:F, "STOCK IN") + SUMIFS('STOCK IN  TRANSFER'!G:G, 'STOCK IN  TRANSFER'!D:D, A332, 'STOCK IN  TRANSFER'!F:F, "ADJUSTMENT (+)")</f>
        <v>12</v>
      </c>
    </row>
    <row r="333" ht="22.5" customHeight="1">
      <c r="A333" s="13" t="str">
        <f>IFERROR(__xludf.DUMMYFUNCTION("""COMPUTED_VALUE"""),"NAT1305")</f>
        <v>NAT1305</v>
      </c>
      <c r="B333" s="13" t="str">
        <f>IFERROR(__xludf.DUMMYFUNCTION("""COMPUTED_VALUE"""),"NAX NAT-1305 TTC 211 MICA BASE 1L")</f>
        <v>NAX NAT-1305 TTC 211 MICA BASE 1L</v>
      </c>
      <c r="C333" s="16">
        <f>IFERROR(__xludf.DUMMYFUNCTION("""COMPUTED_VALUE"""),1542.0)</f>
        <v>1542</v>
      </c>
      <c r="D333" s="13" t="str">
        <f>IFERROR(__xludf.DUMMYFUNCTION("""COMPUTED_VALUE"""),"LITER")</f>
        <v>LITER</v>
      </c>
      <c r="E333" s="28">
        <f>IFERROR(__xludf.DUMMYFUNCTION("""COMPUTED_VALUE"""),6.0)</f>
        <v>6</v>
      </c>
      <c r="F333" s="52">
        <f>SUMIF(SALES!D:D, A333, SALES!H:H) + SUMIFS('STOCK IN  TRANSFER'!G:G, 'STOCK IN  TRANSFER'!D:D, A333, 'STOCK IN  TRANSFER'!F:F, "TRANSFER") + SUMIFS('STOCK IN  TRANSFER'!G:G, 'STOCK IN  TRANSFER'!D:D, A333, 'STOCK IN  TRANSFER'!F:F, "ADJUSTMENT (-)")</f>
        <v>0</v>
      </c>
      <c r="G333" s="52">
        <f>SUMIFS('STOCK IN  TRANSFER'!G:G, 'STOCK IN  TRANSFER'!D:D, A333, 'STOCK IN  TRANSFER'!F:F, "STOCK IN") + SUMIFS('STOCK IN  TRANSFER'!G:G, 'STOCK IN  TRANSFER'!D:D, A333, 'STOCK IN  TRANSFER'!F:F, "ADJUSTMENT (+)")</f>
        <v>6</v>
      </c>
    </row>
    <row r="334" ht="22.5" customHeight="1">
      <c r="A334" s="13" t="str">
        <f>IFERROR(__xludf.DUMMYFUNCTION("""COMPUTED_VALUE"""),"NAT1304")</f>
        <v>NAT1304</v>
      </c>
      <c r="B334" s="13" t="str">
        <f>IFERROR(__xludf.DUMMYFUNCTION("""COMPUTED_VALUE"""),"NAX NAT-1304 TTC CRYSTALLINE ORANGE 1L")</f>
        <v>NAX NAT-1304 TTC CRYSTALLINE ORANGE 1L</v>
      </c>
      <c r="C334" s="16">
        <f>IFERROR(__xludf.DUMMYFUNCTION("""COMPUTED_VALUE"""),1956.0)</f>
        <v>1956</v>
      </c>
      <c r="D334" s="13" t="str">
        <f>IFERROR(__xludf.DUMMYFUNCTION("""COMPUTED_VALUE"""),"LITER")</f>
        <v>LITER</v>
      </c>
      <c r="E334" s="28">
        <f>IFERROR(__xludf.DUMMYFUNCTION("""COMPUTED_VALUE"""),2.0)</f>
        <v>2</v>
      </c>
      <c r="F334" s="52">
        <f>SUMIF(SALES!D:D, A334, SALES!H:H) + SUMIFS('STOCK IN  TRANSFER'!G:G, 'STOCK IN  TRANSFER'!D:D, A334, 'STOCK IN  TRANSFER'!F:F, "TRANSFER") + SUMIFS('STOCK IN  TRANSFER'!G:G, 'STOCK IN  TRANSFER'!D:D, A334, 'STOCK IN  TRANSFER'!F:F, "ADJUSTMENT (-)")</f>
        <v>1</v>
      </c>
      <c r="G334" s="52">
        <f>SUMIFS('STOCK IN  TRANSFER'!G:G, 'STOCK IN  TRANSFER'!D:D, A334, 'STOCK IN  TRANSFER'!F:F, "STOCK IN") + SUMIFS('STOCK IN  TRANSFER'!G:G, 'STOCK IN  TRANSFER'!D:D, A334, 'STOCK IN  TRANSFER'!F:F, "ADJUSTMENT (+)")</f>
        <v>3</v>
      </c>
    </row>
    <row r="335" ht="22.5" customHeight="1">
      <c r="A335" s="13" t="str">
        <f>IFERROR(__xludf.DUMMYFUNCTION("""COMPUTED_VALUE"""),"NAT1303")</f>
        <v>NAT1303</v>
      </c>
      <c r="B335" s="13" t="str">
        <f>IFERROR(__xludf.DUMMYFUNCTION("""COMPUTED_VALUE"""),"NAX NAT-1303 TTC OMEGA PEARL 1L")</f>
        <v>NAX NAT-1303 TTC OMEGA PEARL 1L</v>
      </c>
      <c r="C335" s="16">
        <f>IFERROR(__xludf.DUMMYFUNCTION("""COMPUTED_VALUE"""),1956.0)</f>
        <v>1956</v>
      </c>
      <c r="D335" s="13" t="str">
        <f>IFERROR(__xludf.DUMMYFUNCTION("""COMPUTED_VALUE"""),"LITER")</f>
        <v>LITER</v>
      </c>
      <c r="E335" s="28">
        <f>IFERROR(__xludf.DUMMYFUNCTION("""COMPUTED_VALUE"""),6.0)</f>
        <v>6</v>
      </c>
      <c r="F335" s="52">
        <f>SUMIF(SALES!D:D, A335, SALES!H:H) + SUMIFS('STOCK IN  TRANSFER'!G:G, 'STOCK IN  TRANSFER'!D:D, A335, 'STOCK IN  TRANSFER'!F:F, "TRANSFER") + SUMIFS('STOCK IN  TRANSFER'!G:G, 'STOCK IN  TRANSFER'!D:D, A335, 'STOCK IN  TRANSFER'!F:F, "ADJUSTMENT (-)")</f>
        <v>0</v>
      </c>
      <c r="G335" s="52">
        <f>SUMIFS('STOCK IN  TRANSFER'!G:G, 'STOCK IN  TRANSFER'!D:D, A335, 'STOCK IN  TRANSFER'!F:F, "STOCK IN") + SUMIFS('STOCK IN  TRANSFER'!G:G, 'STOCK IN  TRANSFER'!D:D, A335, 'STOCK IN  TRANSFER'!F:F, "ADJUSTMENT (+)")</f>
        <v>6</v>
      </c>
    </row>
    <row r="336" ht="22.5" customHeight="1">
      <c r="A336" s="13" t="str">
        <f>IFERROR(__xludf.DUMMYFUNCTION("""COMPUTED_VALUE"""),"NAT1301")</f>
        <v>NAT1301</v>
      </c>
      <c r="B336" s="13" t="str">
        <f>IFERROR(__xludf.DUMMYFUNCTION("""COMPUTED_VALUE"""),"NAX NAT-1301 TTC XIRALLIC BLUE MICA 1L")</f>
        <v>NAX NAT-1301 TTC XIRALLIC BLUE MICA 1L</v>
      </c>
      <c r="C336" s="16">
        <f>IFERROR(__xludf.DUMMYFUNCTION("""COMPUTED_VALUE"""),1956.0)</f>
        <v>1956</v>
      </c>
      <c r="D336" s="13" t="str">
        <f>IFERROR(__xludf.DUMMYFUNCTION("""COMPUTED_VALUE"""),"LITER")</f>
        <v>LITER</v>
      </c>
      <c r="E336" s="28">
        <f>IFERROR(__xludf.DUMMYFUNCTION("""COMPUTED_VALUE"""),5.0)</f>
        <v>5</v>
      </c>
      <c r="F336" s="52">
        <f>SUMIF(SALES!D:D, A336, SALES!H:H) + SUMIFS('STOCK IN  TRANSFER'!G:G, 'STOCK IN  TRANSFER'!D:D, A336, 'STOCK IN  TRANSFER'!F:F, "TRANSFER") + SUMIFS('STOCK IN  TRANSFER'!G:G, 'STOCK IN  TRANSFER'!D:D, A336, 'STOCK IN  TRANSFER'!F:F, "ADJUSTMENT (-)")</f>
        <v>0</v>
      </c>
      <c r="G336" s="52">
        <f>SUMIFS('STOCK IN  TRANSFER'!G:G, 'STOCK IN  TRANSFER'!D:D, A336, 'STOCK IN  TRANSFER'!F:F, "STOCK IN") + SUMIFS('STOCK IN  TRANSFER'!G:G, 'STOCK IN  TRANSFER'!D:D, A336, 'STOCK IN  TRANSFER'!F:F, "ADJUSTMENT (+)")</f>
        <v>5</v>
      </c>
    </row>
    <row r="337" ht="22.5" customHeight="1">
      <c r="A337" s="13" t="str">
        <f>IFERROR(__xludf.DUMMYFUNCTION("""COMPUTED_VALUE"""),"NAT1300")</f>
        <v>NAT1300</v>
      </c>
      <c r="B337" s="13" t="str">
        <f>IFERROR(__xludf.DUMMYFUNCTION("""COMPUTED_VALUE"""),"NAX NAT-1300 TTC CRYSTALLINE SILVER 1L")</f>
        <v>NAX NAT-1300 TTC CRYSTALLINE SILVER 1L</v>
      </c>
      <c r="C337" s="16">
        <f>IFERROR(__xludf.DUMMYFUNCTION("""COMPUTED_VALUE"""),1956.0)</f>
        <v>1956</v>
      </c>
      <c r="D337" s="13" t="str">
        <f>IFERROR(__xludf.DUMMYFUNCTION("""COMPUTED_VALUE"""),"LITER")</f>
        <v>LITER</v>
      </c>
      <c r="E337" s="28">
        <f>IFERROR(__xludf.DUMMYFUNCTION("""COMPUTED_VALUE"""),5.0)</f>
        <v>5</v>
      </c>
      <c r="F337" s="52">
        <f>SUMIF(SALES!D:D, A337, SALES!H:H) + SUMIFS('STOCK IN  TRANSFER'!G:G, 'STOCK IN  TRANSFER'!D:D, A337, 'STOCK IN  TRANSFER'!F:F, "TRANSFER") + SUMIFS('STOCK IN  TRANSFER'!G:G, 'STOCK IN  TRANSFER'!D:D, A337, 'STOCK IN  TRANSFER'!F:F, "ADJUSTMENT (-)")</f>
        <v>0</v>
      </c>
      <c r="G337" s="52">
        <f>SUMIFS('STOCK IN  TRANSFER'!G:G, 'STOCK IN  TRANSFER'!D:D, A337, 'STOCK IN  TRANSFER'!F:F, "STOCK IN") + SUMIFS('STOCK IN  TRANSFER'!G:G, 'STOCK IN  TRANSFER'!D:D, A337, 'STOCK IN  TRANSFER'!F:F, "ADJUSTMENT (+)")</f>
        <v>5</v>
      </c>
    </row>
    <row r="338" ht="22.5" customHeight="1">
      <c r="A338" s="13" t="str">
        <f>IFERROR(__xludf.DUMMYFUNCTION("""COMPUTED_VALUE"""),"NAT1180")</f>
        <v>NAT1180</v>
      </c>
      <c r="B338" s="13" t="str">
        <f>IFERROR(__xludf.DUMMYFUNCTION("""COMPUTED_VALUE"""),"NAX NAT-1180 TTC OYSTER WHITE MICA 1L")</f>
        <v>NAX NAT-1180 TTC OYSTER WHITE MICA 1L</v>
      </c>
      <c r="C338" s="16">
        <f>IFERROR(__xludf.DUMMYFUNCTION("""COMPUTED_VALUE"""),1543.0)</f>
        <v>1543</v>
      </c>
      <c r="D338" s="13" t="str">
        <f>IFERROR(__xludf.DUMMYFUNCTION("""COMPUTED_VALUE"""),"LITER")</f>
        <v>LITER</v>
      </c>
      <c r="E338" s="28">
        <f>IFERROR(__xludf.DUMMYFUNCTION("""COMPUTED_VALUE"""),6.0)</f>
        <v>6</v>
      </c>
      <c r="F338" s="52">
        <f>SUMIF(SALES!D:D, A338, SALES!H:H) + SUMIFS('STOCK IN  TRANSFER'!G:G, 'STOCK IN  TRANSFER'!D:D, A338, 'STOCK IN  TRANSFER'!F:F, "TRANSFER") + SUMIFS('STOCK IN  TRANSFER'!G:G, 'STOCK IN  TRANSFER'!D:D, A338, 'STOCK IN  TRANSFER'!F:F, "ADJUSTMENT (-)")</f>
        <v>0</v>
      </c>
      <c r="G338" s="52">
        <f>SUMIFS('STOCK IN  TRANSFER'!G:G, 'STOCK IN  TRANSFER'!D:D, A338, 'STOCK IN  TRANSFER'!F:F, "STOCK IN") + SUMIFS('STOCK IN  TRANSFER'!G:G, 'STOCK IN  TRANSFER'!D:D, A338, 'STOCK IN  TRANSFER'!F:F, "ADJUSTMENT (+)")</f>
        <v>6</v>
      </c>
    </row>
    <row r="339" ht="22.5" customHeight="1">
      <c r="A339" s="13" t="str">
        <f>IFERROR(__xludf.DUMMYFUNCTION("""COMPUTED_VALUE"""),"NAT1175")</f>
        <v>NAT1175</v>
      </c>
      <c r="B339" s="13" t="str">
        <f>IFERROR(__xludf.DUMMYFUNCTION("""COMPUTED_VALUE"""),"NAX NAT-1175 TTC MEDIUM FINE BLUE MICA 1L")</f>
        <v>NAX NAT-1175 TTC MEDIUM FINE BLUE MICA 1L</v>
      </c>
      <c r="C339" s="16">
        <f>IFERROR(__xludf.DUMMYFUNCTION("""COMPUTED_VALUE"""),798.0)</f>
        <v>798</v>
      </c>
      <c r="D339" s="13" t="str">
        <f>IFERROR(__xludf.DUMMYFUNCTION("""COMPUTED_VALUE"""),"LITER")</f>
        <v>LITER</v>
      </c>
      <c r="E339" s="28">
        <f>IFERROR(__xludf.DUMMYFUNCTION("""COMPUTED_VALUE"""),5.0)</f>
        <v>5</v>
      </c>
      <c r="F339" s="52">
        <f>SUMIF(SALES!D:D, A339, SALES!H:H) + SUMIFS('STOCK IN  TRANSFER'!G:G, 'STOCK IN  TRANSFER'!D:D, A339, 'STOCK IN  TRANSFER'!F:F, "TRANSFER") + SUMIFS('STOCK IN  TRANSFER'!G:G, 'STOCK IN  TRANSFER'!D:D, A339, 'STOCK IN  TRANSFER'!F:F, "ADJUSTMENT (-)")</f>
        <v>0</v>
      </c>
      <c r="G339" s="52">
        <f>SUMIFS('STOCK IN  TRANSFER'!G:G, 'STOCK IN  TRANSFER'!D:D, A339, 'STOCK IN  TRANSFER'!F:F, "STOCK IN") + SUMIFS('STOCK IN  TRANSFER'!G:G, 'STOCK IN  TRANSFER'!D:D, A339, 'STOCK IN  TRANSFER'!F:F, "ADJUSTMENT (+)")</f>
        <v>5</v>
      </c>
    </row>
    <row r="340" ht="22.5" customHeight="1">
      <c r="A340" s="13" t="str">
        <f>IFERROR(__xludf.DUMMYFUNCTION("""COMPUTED_VALUE"""),"NAT1173")</f>
        <v>NAT1173</v>
      </c>
      <c r="B340" s="13" t="str">
        <f>IFERROR(__xludf.DUMMYFUNCTION("""COMPUTED_VALUE"""),"NAX NAT-1173 TTC EXTRA FINE WHITE MICA 1L")</f>
        <v>NAX NAT-1173 TTC EXTRA FINE WHITE MICA 1L</v>
      </c>
      <c r="C340" s="16">
        <f>IFERROR(__xludf.DUMMYFUNCTION("""COMPUTED_VALUE"""),1599.0)</f>
        <v>1599</v>
      </c>
      <c r="D340" s="13" t="str">
        <f>IFERROR(__xludf.DUMMYFUNCTION("""COMPUTED_VALUE"""),"LITER")</f>
        <v>LITER</v>
      </c>
      <c r="E340" s="28">
        <f>IFERROR(__xludf.DUMMYFUNCTION("""COMPUTED_VALUE"""),6.0)</f>
        <v>6</v>
      </c>
      <c r="F340" s="52">
        <f>SUMIF(SALES!D:D, A340, SALES!H:H) + SUMIFS('STOCK IN  TRANSFER'!G:G, 'STOCK IN  TRANSFER'!D:D, A340, 'STOCK IN  TRANSFER'!F:F, "TRANSFER") + SUMIFS('STOCK IN  TRANSFER'!G:G, 'STOCK IN  TRANSFER'!D:D, A340, 'STOCK IN  TRANSFER'!F:F, "ADJUSTMENT (-)")</f>
        <v>0</v>
      </c>
      <c r="G340" s="52">
        <f>SUMIFS('STOCK IN  TRANSFER'!G:G, 'STOCK IN  TRANSFER'!D:D, A340, 'STOCK IN  TRANSFER'!F:F, "STOCK IN") + SUMIFS('STOCK IN  TRANSFER'!G:G, 'STOCK IN  TRANSFER'!D:D, A340, 'STOCK IN  TRANSFER'!F:F, "ADJUSTMENT (+)")</f>
        <v>6</v>
      </c>
    </row>
    <row r="341" ht="22.5" customHeight="1">
      <c r="A341" s="13" t="str">
        <f>IFERROR(__xludf.DUMMYFUNCTION("""COMPUTED_VALUE"""),"NAT1172")</f>
        <v>NAT1172</v>
      </c>
      <c r="B341" s="13" t="str">
        <f>IFERROR(__xludf.DUMMYFUNCTION("""COMPUTED_VALUE"""),"NAX NAT-1172 TTC BRIGHT GREEN MICA 1L")</f>
        <v>NAX NAT-1172 TTC BRIGHT GREEN MICA 1L</v>
      </c>
      <c r="C341" s="16">
        <f>IFERROR(__xludf.DUMMYFUNCTION("""COMPUTED_VALUE"""),910.0)</f>
        <v>910</v>
      </c>
      <c r="D341" s="13" t="str">
        <f>IFERROR(__xludf.DUMMYFUNCTION("""COMPUTED_VALUE"""),"LITER")</f>
        <v>LITER</v>
      </c>
      <c r="E341" s="28">
        <f>IFERROR(__xludf.DUMMYFUNCTION("""COMPUTED_VALUE"""),6.0)</f>
        <v>6</v>
      </c>
      <c r="F341" s="52">
        <f>SUMIF(SALES!D:D, A341, SALES!H:H) + SUMIFS('STOCK IN  TRANSFER'!G:G, 'STOCK IN  TRANSFER'!D:D, A341, 'STOCK IN  TRANSFER'!F:F, "TRANSFER") + SUMIFS('STOCK IN  TRANSFER'!G:G, 'STOCK IN  TRANSFER'!D:D, A341, 'STOCK IN  TRANSFER'!F:F, "ADJUSTMENT (-)")</f>
        <v>0</v>
      </c>
      <c r="G341" s="52">
        <f>SUMIFS('STOCK IN  TRANSFER'!G:G, 'STOCK IN  TRANSFER'!D:D, A341, 'STOCK IN  TRANSFER'!F:F, "STOCK IN") + SUMIFS('STOCK IN  TRANSFER'!G:G, 'STOCK IN  TRANSFER'!D:D, A341, 'STOCK IN  TRANSFER'!F:F, "ADJUSTMENT (+)")</f>
        <v>6</v>
      </c>
    </row>
    <row r="342" ht="22.5" customHeight="1">
      <c r="A342" s="13" t="str">
        <f>IFERROR(__xludf.DUMMYFUNCTION("""COMPUTED_VALUE"""),"NAT1171")</f>
        <v>NAT1171</v>
      </c>
      <c r="B342" s="13" t="str">
        <f>IFERROR(__xludf.DUMMYFUNCTION("""COMPUTED_VALUE"""),"NAX NAT-1171 TTC ULTRA FINE BLUE MICA 1L")</f>
        <v>NAX NAT-1171 TTC ULTRA FINE BLUE MICA 1L</v>
      </c>
      <c r="C342" s="16">
        <f>IFERROR(__xludf.DUMMYFUNCTION("""COMPUTED_VALUE"""),840.0)</f>
        <v>840</v>
      </c>
      <c r="D342" s="13" t="str">
        <f>IFERROR(__xludf.DUMMYFUNCTION("""COMPUTED_VALUE"""),"LITER")</f>
        <v>LITER</v>
      </c>
      <c r="E342" s="28">
        <f>IFERROR(__xludf.DUMMYFUNCTION("""COMPUTED_VALUE"""),6.0)</f>
        <v>6</v>
      </c>
      <c r="F342" s="52">
        <f>SUMIF(SALES!D:D, A342, SALES!H:H) + SUMIFS('STOCK IN  TRANSFER'!G:G, 'STOCK IN  TRANSFER'!D:D, A342, 'STOCK IN  TRANSFER'!F:F, "TRANSFER") + SUMIFS('STOCK IN  TRANSFER'!G:G, 'STOCK IN  TRANSFER'!D:D, A342, 'STOCK IN  TRANSFER'!F:F, "ADJUSTMENT (-)")</f>
        <v>0</v>
      </c>
      <c r="G342" s="52">
        <f>SUMIFS('STOCK IN  TRANSFER'!G:G, 'STOCK IN  TRANSFER'!D:D, A342, 'STOCK IN  TRANSFER'!F:F, "STOCK IN") + SUMIFS('STOCK IN  TRANSFER'!G:G, 'STOCK IN  TRANSFER'!D:D, A342, 'STOCK IN  TRANSFER'!F:F, "ADJUSTMENT (+)")</f>
        <v>6</v>
      </c>
    </row>
    <row r="343" ht="22.5" customHeight="1">
      <c r="A343" s="13" t="str">
        <f>IFERROR(__xludf.DUMMYFUNCTION("""COMPUTED_VALUE"""),"NAT1167")</f>
        <v>NAT1167</v>
      </c>
      <c r="B343" s="13" t="str">
        <f>IFERROR(__xludf.DUMMYFUNCTION("""COMPUTED_VALUE"""),"NAX NAT-1167 TTC PALE GREEN MICA 1L")</f>
        <v>NAX NAT-1167 TTC PALE GREEN MICA 1L</v>
      </c>
      <c r="C343" s="16">
        <f>IFERROR(__xludf.DUMMYFUNCTION("""COMPUTED_VALUE"""),840.0)</f>
        <v>840</v>
      </c>
      <c r="D343" s="13" t="str">
        <f>IFERROR(__xludf.DUMMYFUNCTION("""COMPUTED_VALUE"""),"LITER")</f>
        <v>LITER</v>
      </c>
      <c r="E343" s="28">
        <f>IFERROR(__xludf.DUMMYFUNCTION("""COMPUTED_VALUE"""),6.0)</f>
        <v>6</v>
      </c>
      <c r="F343" s="52">
        <f>SUMIF(SALES!D:D, A343, SALES!H:H) + SUMIFS('STOCK IN  TRANSFER'!G:G, 'STOCK IN  TRANSFER'!D:D, A343, 'STOCK IN  TRANSFER'!F:F, "TRANSFER") + SUMIFS('STOCK IN  TRANSFER'!G:G, 'STOCK IN  TRANSFER'!D:D, A343, 'STOCK IN  TRANSFER'!F:F, "ADJUSTMENT (-)")</f>
        <v>0</v>
      </c>
      <c r="G343" s="52">
        <f>SUMIFS('STOCK IN  TRANSFER'!G:G, 'STOCK IN  TRANSFER'!D:D, A343, 'STOCK IN  TRANSFER'!F:F, "STOCK IN") + SUMIFS('STOCK IN  TRANSFER'!G:G, 'STOCK IN  TRANSFER'!D:D, A343, 'STOCK IN  TRANSFER'!F:F, "ADJUSTMENT (+)")</f>
        <v>6</v>
      </c>
    </row>
    <row r="344" ht="22.5" customHeight="1">
      <c r="A344" s="13" t="str">
        <f>IFERROR(__xludf.DUMMYFUNCTION("""COMPUTED_VALUE"""),"NAT1166")</f>
        <v>NAT1166</v>
      </c>
      <c r="B344" s="13" t="str">
        <f>IFERROR(__xludf.DUMMYFUNCTION("""COMPUTED_VALUE"""),"NAX NAT-1166 TTC EARTH BROWN MICA 1L")</f>
        <v>NAX NAT-1166 TTC EARTH BROWN MICA 1L</v>
      </c>
      <c r="C344" s="16">
        <f>IFERROR(__xludf.DUMMYFUNCTION("""COMPUTED_VALUE"""),886.0)</f>
        <v>886</v>
      </c>
      <c r="D344" s="13" t="str">
        <f>IFERROR(__xludf.DUMMYFUNCTION("""COMPUTED_VALUE"""),"LITER")</f>
        <v>LITER</v>
      </c>
      <c r="E344" s="28">
        <f>IFERROR(__xludf.DUMMYFUNCTION("""COMPUTED_VALUE"""),6.0)</f>
        <v>6</v>
      </c>
      <c r="F344" s="52">
        <f>SUMIF(SALES!D:D, A344, SALES!H:H) + SUMIFS('STOCK IN  TRANSFER'!G:G, 'STOCK IN  TRANSFER'!D:D, A344, 'STOCK IN  TRANSFER'!F:F, "TRANSFER") + SUMIFS('STOCK IN  TRANSFER'!G:G, 'STOCK IN  TRANSFER'!D:D, A344, 'STOCK IN  TRANSFER'!F:F, "ADJUSTMENT (-)")</f>
        <v>0</v>
      </c>
      <c r="G344" s="52">
        <f>SUMIFS('STOCK IN  TRANSFER'!G:G, 'STOCK IN  TRANSFER'!D:D, A344, 'STOCK IN  TRANSFER'!F:F, "STOCK IN") + SUMIFS('STOCK IN  TRANSFER'!G:G, 'STOCK IN  TRANSFER'!D:D, A344, 'STOCK IN  TRANSFER'!F:F, "ADJUSTMENT (+)")</f>
        <v>6</v>
      </c>
    </row>
    <row r="345" ht="22.5" customHeight="1">
      <c r="A345" s="13" t="str">
        <f>IFERROR(__xludf.DUMMYFUNCTION("""COMPUTED_VALUE"""),"NAT1165")</f>
        <v>NAT1165</v>
      </c>
      <c r="B345" s="13" t="str">
        <f>IFERROR(__xludf.DUMMYFUNCTION("""COMPUTED_VALUE"""),"NAX NAT-1165 TTC HI-LITE RED 1L")</f>
        <v>NAX NAT-1165 TTC HI-LITE RED 1L</v>
      </c>
      <c r="C345" s="16">
        <f>IFERROR(__xludf.DUMMYFUNCTION("""COMPUTED_VALUE"""),780.0)</f>
        <v>780</v>
      </c>
      <c r="D345" s="13" t="str">
        <f>IFERROR(__xludf.DUMMYFUNCTION("""COMPUTED_VALUE"""),"LITER")</f>
        <v>LITER</v>
      </c>
      <c r="E345" s="28">
        <f>IFERROR(__xludf.DUMMYFUNCTION("""COMPUTED_VALUE"""),0.0)</f>
        <v>0</v>
      </c>
      <c r="F345" s="52">
        <f>SUMIF(SALES!D:D, A345, SALES!H:H) + SUMIFS('STOCK IN  TRANSFER'!G:G, 'STOCK IN  TRANSFER'!D:D, A345, 'STOCK IN  TRANSFER'!F:F, "TRANSFER") + SUMIFS('STOCK IN  TRANSFER'!G:G, 'STOCK IN  TRANSFER'!D:D, A345, 'STOCK IN  TRANSFER'!F:F, "ADJUSTMENT (-)")</f>
        <v>1</v>
      </c>
      <c r="G345" s="52">
        <f>SUMIFS('STOCK IN  TRANSFER'!G:G, 'STOCK IN  TRANSFER'!D:D, A345, 'STOCK IN  TRANSFER'!F:F, "STOCK IN") + SUMIFS('STOCK IN  TRANSFER'!G:G, 'STOCK IN  TRANSFER'!D:D, A345, 'STOCK IN  TRANSFER'!F:F, "ADJUSTMENT (+)")</f>
        <v>1</v>
      </c>
    </row>
    <row r="346" ht="22.5" customHeight="1">
      <c r="A346" s="13" t="str">
        <f>IFERROR(__xludf.DUMMYFUNCTION("""COMPUTED_VALUE"""),"NAT1164")</f>
        <v>NAT1164</v>
      </c>
      <c r="B346" s="13" t="str">
        <f>IFERROR(__xludf.DUMMYFUNCTION("""COMPUTED_VALUE"""),"NAX NAT-1164 TTC BRIGHT GOLD MICA 1L")</f>
        <v>NAX NAT-1164 TTC BRIGHT GOLD MICA 1L</v>
      </c>
      <c r="C346" s="16">
        <f>IFERROR(__xludf.DUMMYFUNCTION("""COMPUTED_VALUE"""),640.0)</f>
        <v>640</v>
      </c>
      <c r="D346" s="13" t="str">
        <f>IFERROR(__xludf.DUMMYFUNCTION("""COMPUTED_VALUE"""),"LITER")</f>
        <v>LITER</v>
      </c>
      <c r="E346" s="28">
        <f>IFERROR(__xludf.DUMMYFUNCTION("""COMPUTED_VALUE"""),0.0)</f>
        <v>0</v>
      </c>
      <c r="F346" s="52">
        <f>SUMIF(SALES!D:D, A346, SALES!H:H) + SUMIFS('STOCK IN  TRANSFER'!G:G, 'STOCK IN  TRANSFER'!D:D, A346, 'STOCK IN  TRANSFER'!F:F, "TRANSFER") + SUMIFS('STOCK IN  TRANSFER'!G:G, 'STOCK IN  TRANSFER'!D:D, A346, 'STOCK IN  TRANSFER'!F:F, "ADJUSTMENT (-)")</f>
        <v>5</v>
      </c>
      <c r="G346" s="52">
        <f>SUMIFS('STOCK IN  TRANSFER'!G:G, 'STOCK IN  TRANSFER'!D:D, A346, 'STOCK IN  TRANSFER'!F:F, "STOCK IN") + SUMIFS('STOCK IN  TRANSFER'!G:G, 'STOCK IN  TRANSFER'!D:D, A346, 'STOCK IN  TRANSFER'!F:F, "ADJUSTMENT (+)")</f>
        <v>5</v>
      </c>
    </row>
    <row r="347" ht="22.5" customHeight="1">
      <c r="A347" s="13" t="str">
        <f>IFERROR(__xludf.DUMMYFUNCTION("""COMPUTED_VALUE"""),"NAT1163")</f>
        <v>NAT1163</v>
      </c>
      <c r="B347" s="13" t="str">
        <f>IFERROR(__xludf.DUMMYFUNCTION("""COMPUTED_VALUE"""),"NAX NAT-1163 TTC FINE GREEN MICA 1L")</f>
        <v>NAX NAT-1163 TTC FINE GREEN MICA 1L</v>
      </c>
      <c r="C347" s="16">
        <f>IFERROR(__xludf.DUMMYFUNCTION("""COMPUTED_VALUE"""),780.0)</f>
        <v>780</v>
      </c>
      <c r="D347" s="13" t="str">
        <f>IFERROR(__xludf.DUMMYFUNCTION("""COMPUTED_VALUE"""),"LITER")</f>
        <v>LITER</v>
      </c>
      <c r="E347" s="28">
        <f>IFERROR(__xludf.DUMMYFUNCTION("""COMPUTED_VALUE"""),5.0)</f>
        <v>5</v>
      </c>
      <c r="F347" s="52">
        <f>SUMIF(SALES!D:D, A347, SALES!H:H) + SUMIFS('STOCK IN  TRANSFER'!G:G, 'STOCK IN  TRANSFER'!D:D, A347, 'STOCK IN  TRANSFER'!F:F, "TRANSFER") + SUMIFS('STOCK IN  TRANSFER'!G:G, 'STOCK IN  TRANSFER'!D:D, A347, 'STOCK IN  TRANSFER'!F:F, "ADJUSTMENT (-)")</f>
        <v>0</v>
      </c>
      <c r="G347" s="52">
        <f>SUMIFS('STOCK IN  TRANSFER'!G:G, 'STOCK IN  TRANSFER'!D:D, A347, 'STOCK IN  TRANSFER'!F:F, "STOCK IN") + SUMIFS('STOCK IN  TRANSFER'!G:G, 'STOCK IN  TRANSFER'!D:D, A347, 'STOCK IN  TRANSFER'!F:F, "ADJUSTMENT (+)")</f>
        <v>5</v>
      </c>
    </row>
    <row r="348" ht="22.5" customHeight="1">
      <c r="A348" s="13" t="str">
        <f>IFERROR(__xludf.DUMMYFUNCTION("""COMPUTED_VALUE"""),"NAT1161")</f>
        <v>NAT1161</v>
      </c>
      <c r="B348" s="13" t="str">
        <f>IFERROR(__xludf.DUMMYFUNCTION("""COMPUTED_VALUE"""),"NAX NAT-1161 TTC LAVENDER MICA 1L")</f>
        <v>NAX NAT-1161 TTC LAVENDER MICA 1L</v>
      </c>
      <c r="C348" s="16">
        <f>IFERROR(__xludf.DUMMYFUNCTION("""COMPUTED_VALUE"""),780.0)</f>
        <v>780</v>
      </c>
      <c r="D348" s="13" t="str">
        <f>IFERROR(__xludf.DUMMYFUNCTION("""COMPUTED_VALUE"""),"LITER")</f>
        <v>LITER</v>
      </c>
      <c r="E348" s="28">
        <f>IFERROR(__xludf.DUMMYFUNCTION("""COMPUTED_VALUE"""),0.0)</f>
        <v>0</v>
      </c>
      <c r="F348" s="52">
        <f>SUMIF(SALES!D:D, A348, SALES!H:H) + SUMIFS('STOCK IN  TRANSFER'!G:G, 'STOCK IN  TRANSFER'!D:D, A348, 'STOCK IN  TRANSFER'!F:F, "TRANSFER") + SUMIFS('STOCK IN  TRANSFER'!G:G, 'STOCK IN  TRANSFER'!D:D, A348, 'STOCK IN  TRANSFER'!F:F, "ADJUSTMENT (-)")</f>
        <v>1</v>
      </c>
      <c r="G348" s="52">
        <f>SUMIFS('STOCK IN  TRANSFER'!G:G, 'STOCK IN  TRANSFER'!D:D, A348, 'STOCK IN  TRANSFER'!F:F, "STOCK IN") + SUMIFS('STOCK IN  TRANSFER'!G:G, 'STOCK IN  TRANSFER'!D:D, A348, 'STOCK IN  TRANSFER'!F:F, "ADJUSTMENT (+)")</f>
        <v>1</v>
      </c>
    </row>
    <row r="349" ht="22.5" customHeight="1">
      <c r="A349" s="13" t="str">
        <f>IFERROR(__xludf.DUMMYFUNCTION("""COMPUTED_VALUE"""),"NAT1160")</f>
        <v>NAT1160</v>
      </c>
      <c r="B349" s="13" t="str">
        <f>IFERROR(__xludf.DUMMYFUNCTION("""COMPUTED_VALUE"""),"NAX NAT-1160 TTC RED COPPER MICA 1L")</f>
        <v>NAX NAT-1160 TTC RED COPPER MICA 1L</v>
      </c>
      <c r="C349" s="16">
        <f>IFERROR(__xludf.DUMMYFUNCTION("""COMPUTED_VALUE"""),694.0)</f>
        <v>694</v>
      </c>
      <c r="D349" s="13" t="str">
        <f>IFERROR(__xludf.DUMMYFUNCTION("""COMPUTED_VALUE"""),"LITER")</f>
        <v>LITER</v>
      </c>
      <c r="E349" s="28">
        <f>IFERROR(__xludf.DUMMYFUNCTION("""COMPUTED_VALUE"""),6.0)</f>
        <v>6</v>
      </c>
      <c r="F349" s="52">
        <f>SUMIF(SALES!D:D, A349, SALES!H:H) + SUMIFS('STOCK IN  TRANSFER'!G:G, 'STOCK IN  TRANSFER'!D:D, A349, 'STOCK IN  TRANSFER'!F:F, "TRANSFER") + SUMIFS('STOCK IN  TRANSFER'!G:G, 'STOCK IN  TRANSFER'!D:D, A349, 'STOCK IN  TRANSFER'!F:F, "ADJUSTMENT (-)")</f>
        <v>0</v>
      </c>
      <c r="G349" s="52">
        <f>SUMIFS('STOCK IN  TRANSFER'!G:G, 'STOCK IN  TRANSFER'!D:D, A349, 'STOCK IN  TRANSFER'!F:F, "STOCK IN") + SUMIFS('STOCK IN  TRANSFER'!G:G, 'STOCK IN  TRANSFER'!D:D, A349, 'STOCK IN  TRANSFER'!F:F, "ADJUSTMENT (+)")</f>
        <v>6</v>
      </c>
    </row>
    <row r="350" ht="22.5" customHeight="1">
      <c r="A350" s="13" t="str">
        <f>IFERROR(__xludf.DUMMYFUNCTION("""COMPUTED_VALUE"""),"NAT1159")</f>
        <v>NAT1159</v>
      </c>
      <c r="B350" s="13" t="str">
        <f>IFERROR(__xludf.DUMMYFUNCTION("""COMPUTED_VALUE"""),"NAX NAT-1159 TTC MEDIUM RUSSET MICA 1L")</f>
        <v>NAX NAT-1159 TTC MEDIUM RUSSET MICA 1L</v>
      </c>
      <c r="C350" s="16">
        <f>IFERROR(__xludf.DUMMYFUNCTION("""COMPUTED_VALUE"""),780.0)</f>
        <v>780</v>
      </c>
      <c r="D350" s="13" t="str">
        <f>IFERROR(__xludf.DUMMYFUNCTION("""COMPUTED_VALUE"""),"LITER")</f>
        <v>LITER</v>
      </c>
      <c r="E350" s="28">
        <f>IFERROR(__xludf.DUMMYFUNCTION("""COMPUTED_VALUE"""),0.0)</f>
        <v>0</v>
      </c>
      <c r="F350" s="52">
        <f>SUMIF(SALES!D:D, A350, SALES!H:H) + SUMIFS('STOCK IN  TRANSFER'!G:G, 'STOCK IN  TRANSFER'!D:D, A350, 'STOCK IN  TRANSFER'!F:F, "TRANSFER") + SUMIFS('STOCK IN  TRANSFER'!G:G, 'STOCK IN  TRANSFER'!D:D, A350, 'STOCK IN  TRANSFER'!F:F, "ADJUSTMENT (-)")</f>
        <v>4</v>
      </c>
      <c r="G350" s="52">
        <f>SUMIFS('STOCK IN  TRANSFER'!G:G, 'STOCK IN  TRANSFER'!D:D, A350, 'STOCK IN  TRANSFER'!F:F, "STOCK IN") + SUMIFS('STOCK IN  TRANSFER'!G:G, 'STOCK IN  TRANSFER'!D:D, A350, 'STOCK IN  TRANSFER'!F:F, "ADJUSTMENT (+)")</f>
        <v>4</v>
      </c>
    </row>
    <row r="351" ht="22.5" customHeight="1">
      <c r="A351" s="13" t="str">
        <f>IFERROR(__xludf.DUMMYFUNCTION("""COMPUTED_VALUE"""),"NAT1158")</f>
        <v>NAT1158</v>
      </c>
      <c r="B351" s="13" t="str">
        <f>IFERROR(__xludf.DUMMYFUNCTION("""COMPUTED_VALUE"""),"NAX NAT-1158 TTC SUPER FINE COPPER MICA 1L")</f>
        <v>NAX NAT-1158 TTC SUPER FINE COPPER MICA 1L</v>
      </c>
      <c r="C351" s="16">
        <f>IFERROR(__xludf.DUMMYFUNCTION("""COMPUTED_VALUE"""),780.0)</f>
        <v>780</v>
      </c>
      <c r="D351" s="13" t="str">
        <f>IFERROR(__xludf.DUMMYFUNCTION("""COMPUTED_VALUE"""),"LITER")</f>
        <v>LITER</v>
      </c>
      <c r="E351" s="28">
        <f>IFERROR(__xludf.DUMMYFUNCTION("""COMPUTED_VALUE"""),3.0)</f>
        <v>3</v>
      </c>
      <c r="F351" s="52">
        <f>SUMIF(SALES!D:D, A351, SALES!H:H) + SUMIFS('STOCK IN  TRANSFER'!G:G, 'STOCK IN  TRANSFER'!D:D, A351, 'STOCK IN  TRANSFER'!F:F, "TRANSFER") + SUMIFS('STOCK IN  TRANSFER'!G:G, 'STOCK IN  TRANSFER'!D:D, A351, 'STOCK IN  TRANSFER'!F:F, "ADJUSTMENT (-)")</f>
        <v>1</v>
      </c>
      <c r="G351" s="52">
        <f>SUMIFS('STOCK IN  TRANSFER'!G:G, 'STOCK IN  TRANSFER'!D:D, A351, 'STOCK IN  TRANSFER'!F:F, "STOCK IN") + SUMIFS('STOCK IN  TRANSFER'!G:G, 'STOCK IN  TRANSFER'!D:D, A351, 'STOCK IN  TRANSFER'!F:F, "ADJUSTMENT (+)")</f>
        <v>4</v>
      </c>
    </row>
    <row r="352" ht="22.5" customHeight="1">
      <c r="A352" s="13" t="str">
        <f>IFERROR(__xludf.DUMMYFUNCTION("""COMPUTED_VALUE"""),"NAT1157")</f>
        <v>NAT1157</v>
      </c>
      <c r="B352" s="13" t="str">
        <f>IFERROR(__xludf.DUMMYFUNCTION("""COMPUTED_VALUE"""),"NAX NAT-1157 TTC BRIGHT COPPER MICA 1L")</f>
        <v>NAX NAT-1157 TTC BRIGHT COPPER MICA 1L</v>
      </c>
      <c r="C352" s="16">
        <f>IFERROR(__xludf.DUMMYFUNCTION("""COMPUTED_VALUE"""),780.0)</f>
        <v>780</v>
      </c>
      <c r="D352" s="13" t="str">
        <f>IFERROR(__xludf.DUMMYFUNCTION("""COMPUTED_VALUE"""),"LITER")</f>
        <v>LITER</v>
      </c>
      <c r="E352" s="28">
        <f>IFERROR(__xludf.DUMMYFUNCTION("""COMPUTED_VALUE"""),0.0)</f>
        <v>0</v>
      </c>
      <c r="F352" s="52">
        <f>SUMIF(SALES!D:D, A352, SALES!H:H) + SUMIFS('STOCK IN  TRANSFER'!G:G, 'STOCK IN  TRANSFER'!D:D, A352, 'STOCK IN  TRANSFER'!F:F, "TRANSFER") + SUMIFS('STOCK IN  TRANSFER'!G:G, 'STOCK IN  TRANSFER'!D:D, A352, 'STOCK IN  TRANSFER'!F:F, "ADJUSTMENT (-)")</f>
        <v>3</v>
      </c>
      <c r="G352" s="52">
        <f>SUMIFS('STOCK IN  TRANSFER'!G:G, 'STOCK IN  TRANSFER'!D:D, A352, 'STOCK IN  TRANSFER'!F:F, "STOCK IN") + SUMIFS('STOCK IN  TRANSFER'!G:G, 'STOCK IN  TRANSFER'!D:D, A352, 'STOCK IN  TRANSFER'!F:F, "ADJUSTMENT (+)")</f>
        <v>3</v>
      </c>
    </row>
    <row r="353" ht="22.5" customHeight="1">
      <c r="A353" s="13" t="str">
        <f>IFERROR(__xludf.DUMMYFUNCTION("""COMPUTED_VALUE"""),"NAT1153")</f>
        <v>NAT1153</v>
      </c>
      <c r="B353" s="13" t="str">
        <f>IFERROR(__xludf.DUMMYFUNCTION("""COMPUTED_VALUE"""),"NAX NAT-1153 TTC SUPER RED MICA 1L")</f>
        <v>NAX NAT-1153 TTC SUPER RED MICA 1L</v>
      </c>
      <c r="C353" s="16">
        <f>IFERROR(__xludf.DUMMYFUNCTION("""COMPUTED_VALUE"""),780.0)</f>
        <v>780</v>
      </c>
      <c r="D353" s="13" t="str">
        <f>IFERROR(__xludf.DUMMYFUNCTION("""COMPUTED_VALUE"""),"LITER")</f>
        <v>LITER</v>
      </c>
      <c r="E353" s="28">
        <f>IFERROR(__xludf.DUMMYFUNCTION("""COMPUTED_VALUE"""),2.0)</f>
        <v>2</v>
      </c>
      <c r="F353" s="52">
        <f>SUMIF(SALES!D:D, A353, SALES!H:H) + SUMIFS('STOCK IN  TRANSFER'!G:G, 'STOCK IN  TRANSFER'!D:D, A353, 'STOCK IN  TRANSFER'!F:F, "TRANSFER") + SUMIFS('STOCK IN  TRANSFER'!G:G, 'STOCK IN  TRANSFER'!D:D, A353, 'STOCK IN  TRANSFER'!F:F, "ADJUSTMENT (-)")</f>
        <v>0</v>
      </c>
      <c r="G353" s="52">
        <f>SUMIFS('STOCK IN  TRANSFER'!G:G, 'STOCK IN  TRANSFER'!D:D, A353, 'STOCK IN  TRANSFER'!F:F, "STOCK IN") + SUMIFS('STOCK IN  TRANSFER'!G:G, 'STOCK IN  TRANSFER'!D:D, A353, 'STOCK IN  TRANSFER'!F:F, "ADJUSTMENT (+)")</f>
        <v>2</v>
      </c>
    </row>
    <row r="354" ht="22.5" customHeight="1">
      <c r="A354" s="13" t="str">
        <f>IFERROR(__xludf.DUMMYFUNCTION("""COMPUTED_VALUE"""),"NAT1114")</f>
        <v>NAT1114</v>
      </c>
      <c r="B354" s="13" t="str">
        <f>IFERROR(__xludf.DUMMYFUNCTION("""COMPUTED_VALUE"""),"NAX NAT-1114 TTC GREEN MICA 1L")</f>
        <v>NAX NAT-1114 TTC GREEN MICA 1L</v>
      </c>
      <c r="C354" s="16">
        <f>IFERROR(__xludf.DUMMYFUNCTION("""COMPUTED_VALUE"""),661.0)</f>
        <v>661</v>
      </c>
      <c r="D354" s="13" t="str">
        <f>IFERROR(__xludf.DUMMYFUNCTION("""COMPUTED_VALUE"""),"LITER")</f>
        <v>LITER</v>
      </c>
      <c r="E354" s="28">
        <f>IFERROR(__xludf.DUMMYFUNCTION("""COMPUTED_VALUE"""),4.0)</f>
        <v>4</v>
      </c>
      <c r="F354" s="52">
        <f>SUMIF(SALES!D:D, A354, SALES!H:H) + SUMIFS('STOCK IN  TRANSFER'!G:G, 'STOCK IN  TRANSFER'!D:D, A354, 'STOCK IN  TRANSFER'!F:F, "TRANSFER") + SUMIFS('STOCK IN  TRANSFER'!G:G, 'STOCK IN  TRANSFER'!D:D, A354, 'STOCK IN  TRANSFER'!F:F, "ADJUSTMENT (-)")</f>
        <v>0</v>
      </c>
      <c r="G354" s="52">
        <f>SUMIFS('STOCK IN  TRANSFER'!G:G, 'STOCK IN  TRANSFER'!D:D, A354, 'STOCK IN  TRANSFER'!F:F, "STOCK IN") + SUMIFS('STOCK IN  TRANSFER'!G:G, 'STOCK IN  TRANSFER'!D:D, A354, 'STOCK IN  TRANSFER'!F:F, "ADJUSTMENT (+)")</f>
        <v>4</v>
      </c>
    </row>
    <row r="355" ht="22.5" customHeight="1">
      <c r="A355" s="13" t="str">
        <f>IFERROR(__xludf.DUMMYFUNCTION("""COMPUTED_VALUE"""),"NAT1113")</f>
        <v>NAT1113</v>
      </c>
      <c r="B355" s="13" t="str">
        <f>IFERROR(__xludf.DUMMYFUNCTION("""COMPUTED_VALUE"""),"NAX NAT-1113 TTC FINE BLUE MICA 1L")</f>
        <v>NAX NAT-1113 TTC FINE BLUE MICA 1L</v>
      </c>
      <c r="C355" s="16">
        <f>IFERROR(__xludf.DUMMYFUNCTION("""COMPUTED_VALUE"""),661.0)</f>
        <v>661</v>
      </c>
      <c r="D355" s="13" t="str">
        <f>IFERROR(__xludf.DUMMYFUNCTION("""COMPUTED_VALUE"""),"LITER")</f>
        <v>LITER</v>
      </c>
      <c r="E355" s="28">
        <f>IFERROR(__xludf.DUMMYFUNCTION("""COMPUTED_VALUE"""),2.0)</f>
        <v>2</v>
      </c>
      <c r="F355" s="52">
        <f>SUMIF(SALES!D:D, A355, SALES!H:H) + SUMIFS('STOCK IN  TRANSFER'!G:G, 'STOCK IN  TRANSFER'!D:D, A355, 'STOCK IN  TRANSFER'!F:F, "TRANSFER") + SUMIFS('STOCK IN  TRANSFER'!G:G, 'STOCK IN  TRANSFER'!D:D, A355, 'STOCK IN  TRANSFER'!F:F, "ADJUSTMENT (-)")</f>
        <v>0</v>
      </c>
      <c r="G355" s="52">
        <f>SUMIFS('STOCK IN  TRANSFER'!G:G, 'STOCK IN  TRANSFER'!D:D, A355, 'STOCK IN  TRANSFER'!F:F, "STOCK IN") + SUMIFS('STOCK IN  TRANSFER'!G:G, 'STOCK IN  TRANSFER'!D:D, A355, 'STOCK IN  TRANSFER'!F:F, "ADJUSTMENT (+)")</f>
        <v>2</v>
      </c>
    </row>
    <row r="356" ht="22.5" customHeight="1">
      <c r="A356" s="13" t="str">
        <f>IFERROR(__xludf.DUMMYFUNCTION("""COMPUTED_VALUE"""),"NAT1110-4L")</f>
        <v>NAT1110-4L</v>
      </c>
      <c r="B356" s="13" t="str">
        <f>IFERROR(__xludf.DUMMYFUNCTION("""COMPUTED_VALUE"""),"NAX NAT-1110 TTC BRIGHT WHITE 4L")</f>
        <v>NAX NAT-1110 TTC BRIGHT WHITE 4L</v>
      </c>
      <c r="C356" s="16">
        <f>IFERROR(__xludf.DUMMYFUNCTION("""COMPUTED_VALUE"""),2400.0)</f>
        <v>2400</v>
      </c>
      <c r="D356" s="13" t="str">
        <f>IFERROR(__xludf.DUMMYFUNCTION("""COMPUTED_VALUE"""),"GAL")</f>
        <v>GAL</v>
      </c>
      <c r="E356" s="28">
        <f>IFERROR(__xludf.DUMMYFUNCTION("""COMPUTED_VALUE"""),2.0)</f>
        <v>2</v>
      </c>
      <c r="F356" s="52">
        <f>SUMIF(SALES!D:D, A356, SALES!H:H) + SUMIFS('STOCK IN  TRANSFER'!G:G, 'STOCK IN  TRANSFER'!D:D, A356, 'STOCK IN  TRANSFER'!F:F, "TRANSFER") + SUMIFS('STOCK IN  TRANSFER'!G:G, 'STOCK IN  TRANSFER'!D:D, A356, 'STOCK IN  TRANSFER'!F:F, "ADJUSTMENT (-)")</f>
        <v>3</v>
      </c>
      <c r="G356" s="52">
        <f>SUMIFS('STOCK IN  TRANSFER'!G:G, 'STOCK IN  TRANSFER'!D:D, A356, 'STOCK IN  TRANSFER'!F:F, "STOCK IN") + SUMIFS('STOCK IN  TRANSFER'!G:G, 'STOCK IN  TRANSFER'!D:D, A356, 'STOCK IN  TRANSFER'!F:F, "ADJUSTMENT (+)")</f>
        <v>5</v>
      </c>
    </row>
    <row r="357" ht="22.5" customHeight="1">
      <c r="A357" s="13" t="str">
        <f>IFERROR(__xludf.DUMMYFUNCTION("""COMPUTED_VALUE"""),"NAT1110-1L")</f>
        <v>NAT1110-1L</v>
      </c>
      <c r="B357" s="13" t="str">
        <f>IFERROR(__xludf.DUMMYFUNCTION("""COMPUTED_VALUE"""),"NAX NAT-1110 TTC BRIGHT WHITE 1L")</f>
        <v>NAX NAT-1110 TTC BRIGHT WHITE 1L</v>
      </c>
      <c r="C357" s="16">
        <f>IFERROR(__xludf.DUMMYFUNCTION("""COMPUTED_VALUE"""),635.0)</f>
        <v>635</v>
      </c>
      <c r="D357" s="13" t="str">
        <f>IFERROR(__xludf.DUMMYFUNCTION("""COMPUTED_VALUE"""),"LITER")</f>
        <v>LITER</v>
      </c>
      <c r="E357" s="28">
        <f>IFERROR(__xludf.DUMMYFUNCTION("""COMPUTED_VALUE"""),6.0)</f>
        <v>6</v>
      </c>
      <c r="F357" s="52">
        <f>SUMIF(SALES!D:D, A357, SALES!H:H) + SUMIFS('STOCK IN  TRANSFER'!G:G, 'STOCK IN  TRANSFER'!D:D, A357, 'STOCK IN  TRANSFER'!F:F, "TRANSFER") + SUMIFS('STOCK IN  TRANSFER'!G:G, 'STOCK IN  TRANSFER'!D:D, A357, 'STOCK IN  TRANSFER'!F:F, "ADJUSTMENT (-)")</f>
        <v>0</v>
      </c>
      <c r="G357" s="52">
        <f>SUMIFS('STOCK IN  TRANSFER'!G:G, 'STOCK IN  TRANSFER'!D:D, A357, 'STOCK IN  TRANSFER'!F:F, "STOCK IN") + SUMIFS('STOCK IN  TRANSFER'!G:G, 'STOCK IN  TRANSFER'!D:D, A357, 'STOCK IN  TRANSFER'!F:F, "ADJUSTMENT (+)")</f>
        <v>6</v>
      </c>
    </row>
    <row r="358" ht="22.5" customHeight="1">
      <c r="A358" s="13" t="str">
        <f>IFERROR(__xludf.DUMMYFUNCTION("""COMPUTED_VALUE"""),"NAT1107")</f>
        <v>NAT1107</v>
      </c>
      <c r="B358" s="13" t="str">
        <f>IFERROR(__xludf.DUMMYFUNCTION("""COMPUTED_VALUE"""),"NAX NAT-1107 TTC FINE RED MICA 1L")</f>
        <v>NAX NAT-1107 TTC FINE RED MICA 1L</v>
      </c>
      <c r="C358" s="16">
        <f>IFERROR(__xludf.DUMMYFUNCTION("""COMPUTED_VALUE"""),779.0)</f>
        <v>779</v>
      </c>
      <c r="D358" s="13" t="str">
        <f>IFERROR(__xludf.DUMMYFUNCTION("""COMPUTED_VALUE"""),"LITER")</f>
        <v>LITER</v>
      </c>
      <c r="E358" s="28">
        <f>IFERROR(__xludf.DUMMYFUNCTION("""COMPUTED_VALUE"""),6.0)</f>
        <v>6</v>
      </c>
      <c r="F358" s="52">
        <f>SUMIF(SALES!D:D, A358, SALES!H:H) + SUMIFS('STOCK IN  TRANSFER'!G:G, 'STOCK IN  TRANSFER'!D:D, A358, 'STOCK IN  TRANSFER'!F:F, "TRANSFER") + SUMIFS('STOCK IN  TRANSFER'!G:G, 'STOCK IN  TRANSFER'!D:D, A358, 'STOCK IN  TRANSFER'!F:F, "ADJUSTMENT (-)")</f>
        <v>0</v>
      </c>
      <c r="G358" s="52">
        <f>SUMIFS('STOCK IN  TRANSFER'!G:G, 'STOCK IN  TRANSFER'!D:D, A358, 'STOCK IN  TRANSFER'!F:F, "STOCK IN") + SUMIFS('STOCK IN  TRANSFER'!G:G, 'STOCK IN  TRANSFER'!D:D, A358, 'STOCK IN  TRANSFER'!F:F, "ADJUSTMENT (+)")</f>
        <v>6</v>
      </c>
    </row>
    <row r="359" ht="22.5" customHeight="1">
      <c r="A359" s="13" t="str">
        <f>IFERROR(__xludf.DUMMYFUNCTION("""COMPUTED_VALUE"""),"NAT1106")</f>
        <v>NAT1106</v>
      </c>
      <c r="B359" s="13" t="str">
        <f>IFERROR(__xludf.DUMMYFUNCTION("""COMPUTED_VALUE"""),"NAX NAT-1106 TTC PEARL BLUE MICA 1L")</f>
        <v>NAX NAT-1106 TTC PEARL BLUE MICA 1L</v>
      </c>
      <c r="C359" s="16">
        <f>IFERROR(__xludf.DUMMYFUNCTION("""COMPUTED_VALUE"""),863.0)</f>
        <v>863</v>
      </c>
      <c r="D359" s="13" t="str">
        <f>IFERROR(__xludf.DUMMYFUNCTION("""COMPUTED_VALUE"""),"LITER")</f>
        <v>LITER</v>
      </c>
      <c r="E359" s="28">
        <f>IFERROR(__xludf.DUMMYFUNCTION("""COMPUTED_VALUE"""),2.0)</f>
        <v>2</v>
      </c>
      <c r="F359" s="52">
        <f>SUMIF(SALES!D:D, A359, SALES!H:H) + SUMIFS('STOCK IN  TRANSFER'!G:G, 'STOCK IN  TRANSFER'!D:D, A359, 'STOCK IN  TRANSFER'!F:F, "TRANSFER") + SUMIFS('STOCK IN  TRANSFER'!G:G, 'STOCK IN  TRANSFER'!D:D, A359, 'STOCK IN  TRANSFER'!F:F, "ADJUSTMENT (-)")</f>
        <v>1</v>
      </c>
      <c r="G359" s="52">
        <f>SUMIFS('STOCK IN  TRANSFER'!G:G, 'STOCK IN  TRANSFER'!D:D, A359, 'STOCK IN  TRANSFER'!F:F, "STOCK IN") + SUMIFS('STOCK IN  TRANSFER'!G:G, 'STOCK IN  TRANSFER'!D:D, A359, 'STOCK IN  TRANSFER'!F:F, "ADJUSTMENT (+)")</f>
        <v>3</v>
      </c>
    </row>
    <row r="360" ht="22.5" customHeight="1">
      <c r="A360" s="13" t="str">
        <f>IFERROR(__xludf.DUMMYFUNCTION("""COMPUTED_VALUE"""),"NAX1062")</f>
        <v>NAX1062</v>
      </c>
      <c r="B360" s="13" t="str">
        <f>IFERROR(__xludf.DUMMYFUNCTION("""COMPUTED_VALUE"""),"NAX NAT-1062 QDU 040 SUPER WHITE 1L")</f>
        <v>NAX NAT-1062 QDU 040 SUPER WHITE 1L</v>
      </c>
      <c r="C360" s="16">
        <f>IFERROR(__xludf.DUMMYFUNCTION("""COMPUTED_VALUE"""),442.0)</f>
        <v>442</v>
      </c>
      <c r="D360" s="13" t="str">
        <f>IFERROR(__xludf.DUMMYFUNCTION("""COMPUTED_VALUE"""),"LITER")</f>
        <v>LITER</v>
      </c>
      <c r="E360" s="28">
        <f>IFERROR(__xludf.DUMMYFUNCTION("""COMPUTED_VALUE"""),2.0)</f>
        <v>2</v>
      </c>
      <c r="F360" s="52">
        <f>SUMIF(SALES!D:D, A360, SALES!H:H) + SUMIFS('STOCK IN  TRANSFER'!G:G, 'STOCK IN  TRANSFER'!D:D, A360, 'STOCK IN  TRANSFER'!F:F, "TRANSFER") + SUMIFS('STOCK IN  TRANSFER'!G:G, 'STOCK IN  TRANSFER'!D:D, A360, 'STOCK IN  TRANSFER'!F:F, "ADJUSTMENT (-)")</f>
        <v>1</v>
      </c>
      <c r="G360" s="52">
        <f>SUMIFS('STOCK IN  TRANSFER'!G:G, 'STOCK IN  TRANSFER'!D:D, A360, 'STOCK IN  TRANSFER'!F:F, "STOCK IN") + SUMIFS('STOCK IN  TRANSFER'!G:G, 'STOCK IN  TRANSFER'!D:D, A360, 'STOCK IN  TRANSFER'!F:F, "ADJUSTMENT (+)")</f>
        <v>3</v>
      </c>
    </row>
    <row r="361" ht="22.5" customHeight="1">
      <c r="A361" s="13" t="str">
        <f>IFERROR(__xludf.DUMMYFUNCTION("""COMPUTED_VALUE"""),"NAT103")</f>
        <v>NAT103</v>
      </c>
      <c r="B361" s="13" t="str">
        <f>IFERROR(__xludf.DUMMYFUNCTION("""COMPUTED_VALUE"""),"NAX NAT-103 TTC OPAL 1L")</f>
        <v>NAX NAT-103 TTC OPAL 1L</v>
      </c>
      <c r="C361" s="16">
        <f>IFERROR(__xludf.DUMMYFUNCTION("""COMPUTED_VALUE"""),1215.0)</f>
        <v>1215</v>
      </c>
      <c r="D361" s="13" t="str">
        <f>IFERROR(__xludf.DUMMYFUNCTION("""COMPUTED_VALUE"""),"LITER")</f>
        <v>LITER</v>
      </c>
      <c r="E361" s="28">
        <f>IFERROR(__xludf.DUMMYFUNCTION("""COMPUTED_VALUE"""),6.0)</f>
        <v>6</v>
      </c>
      <c r="F361" s="52">
        <f>SUMIF(SALES!D:D, A361, SALES!H:H) + SUMIFS('STOCK IN  TRANSFER'!G:G, 'STOCK IN  TRANSFER'!D:D, A361, 'STOCK IN  TRANSFER'!F:F, "TRANSFER") + SUMIFS('STOCK IN  TRANSFER'!G:G, 'STOCK IN  TRANSFER'!D:D, A361, 'STOCK IN  TRANSFER'!F:F, "ADJUSTMENT (-)")</f>
        <v>0</v>
      </c>
      <c r="G361" s="52">
        <f>SUMIFS('STOCK IN  TRANSFER'!G:G, 'STOCK IN  TRANSFER'!D:D, A361, 'STOCK IN  TRANSFER'!F:F, "STOCK IN") + SUMIFS('STOCK IN  TRANSFER'!G:G, 'STOCK IN  TRANSFER'!D:D, A361, 'STOCK IN  TRANSFER'!F:F, "ADJUSTMENT (+)")</f>
        <v>6</v>
      </c>
    </row>
    <row r="362" ht="22.5" customHeight="1">
      <c r="A362" s="13" t="str">
        <f>IFERROR(__xludf.DUMMYFUNCTION("""COMPUTED_VALUE"""),"NAX10100")</f>
        <v>NAX10100</v>
      </c>
      <c r="B362" s="13" t="str">
        <f>IFERROR(__xludf.DUMMYFUNCTION("""COMPUTED_VALUE"""),"NAX NAT-10100 NH-585 PEARL WHITE MICA 1L")</f>
        <v>NAX NAT-10100 NH-585 PEARL WHITE MICA 1L</v>
      </c>
      <c r="C362" s="16">
        <f>IFERROR(__xludf.DUMMYFUNCTION("""COMPUTED_VALUE"""),675.0)</f>
        <v>675</v>
      </c>
      <c r="D362" s="13" t="str">
        <f>IFERROR(__xludf.DUMMYFUNCTION("""COMPUTED_VALUE"""),"LITER")</f>
        <v>LITER</v>
      </c>
      <c r="E362" s="28">
        <f>IFERROR(__xludf.DUMMYFUNCTION("""COMPUTED_VALUE"""),-2.0)</f>
        <v>-2</v>
      </c>
      <c r="F362" s="52">
        <f>SUMIF(SALES!D:D, A362, SALES!H:H) + SUMIFS('STOCK IN  TRANSFER'!G:G, 'STOCK IN  TRANSFER'!D:D, A362, 'STOCK IN  TRANSFER'!F:F, "TRANSFER") + SUMIFS('STOCK IN  TRANSFER'!G:G, 'STOCK IN  TRANSFER'!D:D, A362, 'STOCK IN  TRANSFER'!F:F, "ADJUSTMENT (-)")</f>
        <v>7</v>
      </c>
      <c r="G362" s="52">
        <f>SUMIFS('STOCK IN  TRANSFER'!G:G, 'STOCK IN  TRANSFER'!D:D, A362, 'STOCK IN  TRANSFER'!F:F, "STOCK IN") + SUMIFS('STOCK IN  TRANSFER'!G:G, 'STOCK IN  TRANSFER'!D:D, A362, 'STOCK IN  TRANSFER'!F:F, "ADJUSTMENT (+)")</f>
        <v>5</v>
      </c>
    </row>
    <row r="363" ht="22.5" customHeight="1">
      <c r="A363" s="13" t="str">
        <f>IFERROR(__xludf.DUMMYFUNCTION("""COMPUTED_VALUE"""),"NAT100-4L")</f>
        <v>NAT100-4L</v>
      </c>
      <c r="B363" s="13" t="str">
        <f>IFERROR(__xludf.DUMMYFUNCTION("""COMPUTED_VALUE"""),"NAX NAT-100 TTC WHITE 4L")</f>
        <v>NAX NAT-100 TTC WHITE 4L</v>
      </c>
      <c r="C363" s="16">
        <f>IFERROR(__xludf.DUMMYFUNCTION("""COMPUTED_VALUE"""),1905.0)</f>
        <v>1905</v>
      </c>
      <c r="D363" s="13" t="str">
        <f>IFERROR(__xludf.DUMMYFUNCTION("""COMPUTED_VALUE"""),"GAL")</f>
        <v>GAL</v>
      </c>
      <c r="E363" s="28">
        <f>IFERROR(__xludf.DUMMYFUNCTION("""COMPUTED_VALUE"""),-1.0)</f>
        <v>-1</v>
      </c>
      <c r="F363" s="52">
        <f>SUMIF(SALES!D:D, A363, SALES!H:H) + SUMIFS('STOCK IN  TRANSFER'!G:G, 'STOCK IN  TRANSFER'!D:D, A363, 'STOCK IN  TRANSFER'!F:F, "TRANSFER") + SUMIFS('STOCK IN  TRANSFER'!G:G, 'STOCK IN  TRANSFER'!D:D, A363, 'STOCK IN  TRANSFER'!F:F, "ADJUSTMENT (-)")</f>
        <v>4.84375</v>
      </c>
      <c r="G363" s="52">
        <f>SUMIFS('STOCK IN  TRANSFER'!G:G, 'STOCK IN  TRANSFER'!D:D, A363, 'STOCK IN  TRANSFER'!F:F, "STOCK IN") + SUMIFS('STOCK IN  TRANSFER'!G:G, 'STOCK IN  TRANSFER'!D:D, A363, 'STOCK IN  TRANSFER'!F:F, "ADJUSTMENT (+)")</f>
        <v>3.84375</v>
      </c>
    </row>
    <row r="364" ht="22.5" customHeight="1">
      <c r="A364" s="13" t="str">
        <f>IFERROR(__xludf.DUMMYFUNCTION("""COMPUTED_VALUE"""),"SOB642")</f>
        <v>SOB642</v>
      </c>
      <c r="B364" s="13" t="str">
        <f>IFERROR(__xludf.DUMMYFUNCTION("""COMPUTED_VALUE"""),"NAX MULTIPURPOSE URETHANE THINNER 4L")</f>
        <v>NAX MULTIPURPOSE URETHANE THINNER 4L</v>
      </c>
      <c r="C364" s="16">
        <f>IFERROR(__xludf.DUMMYFUNCTION("""COMPUTED_VALUE"""),591.0)</f>
        <v>591</v>
      </c>
      <c r="D364" s="13" t="str">
        <f>IFERROR(__xludf.DUMMYFUNCTION("""COMPUTED_VALUE"""),"GAL")</f>
        <v>GAL</v>
      </c>
      <c r="E364" s="28">
        <f>IFERROR(__xludf.DUMMYFUNCTION("""COMPUTED_VALUE"""),0.0)</f>
        <v>0</v>
      </c>
      <c r="F364" s="52">
        <f>SUMIF(SALES!D:D, A364, SALES!H:H) + SUMIFS('STOCK IN  TRANSFER'!G:G, 'STOCK IN  TRANSFER'!D:D, A364, 'STOCK IN  TRANSFER'!F:F, "TRANSFER") + SUMIFS('STOCK IN  TRANSFER'!G:G, 'STOCK IN  TRANSFER'!D:D, A364, 'STOCK IN  TRANSFER'!F:F, "ADJUSTMENT (-)")</f>
        <v>0</v>
      </c>
      <c r="G364" s="52">
        <f>SUMIFS('STOCK IN  TRANSFER'!G:G, 'STOCK IN  TRANSFER'!D:D, A364, 'STOCK IN  TRANSFER'!F:F, "STOCK IN") + SUMIFS('STOCK IN  TRANSFER'!G:G, 'STOCK IN  TRANSFER'!D:D, A364, 'STOCK IN  TRANSFER'!F:F, "ADJUSTMENT (+)")</f>
        <v>0</v>
      </c>
    </row>
    <row r="365" ht="22.5" customHeight="1">
      <c r="A365" s="13" t="str">
        <f>IFERROR(__xludf.DUMMYFUNCTION("""COMPUTED_VALUE"""),"NXE4090")</f>
        <v>NXE4090</v>
      </c>
      <c r="B365" s="13" t="str">
        <f>IFERROR(__xludf.DUMMYFUNCTION("""COMPUTED_VALUE"""),"NAX EXTREME EPOXY ENAMEL WHITE WITH HARDENER 4L")</f>
        <v>NAX EXTREME EPOXY ENAMEL WHITE WITH HARDENER 4L</v>
      </c>
      <c r="C365" s="16">
        <f>IFERROR(__xludf.DUMMYFUNCTION("""COMPUTED_VALUE"""),1320.0)</f>
        <v>1320</v>
      </c>
      <c r="D365" s="13" t="str">
        <f>IFERROR(__xludf.DUMMYFUNCTION("""COMPUTED_VALUE"""),"GAL")</f>
        <v>GAL</v>
      </c>
      <c r="E365" s="28">
        <f>IFERROR(__xludf.DUMMYFUNCTION("""COMPUTED_VALUE"""),7.0)</f>
        <v>7</v>
      </c>
      <c r="F365" s="52">
        <f>SUMIF(SALES!D:D, A365, SALES!H:H) + SUMIFS('STOCK IN  TRANSFER'!G:G, 'STOCK IN  TRANSFER'!D:D, A365, 'STOCK IN  TRANSFER'!F:F, "TRANSFER") + SUMIFS('STOCK IN  TRANSFER'!G:G, 'STOCK IN  TRANSFER'!D:D, A365, 'STOCK IN  TRANSFER'!F:F, "ADJUSTMENT (-)")</f>
        <v>0.5</v>
      </c>
      <c r="G365" s="52">
        <f>SUMIFS('STOCK IN  TRANSFER'!G:G, 'STOCK IN  TRANSFER'!D:D, A365, 'STOCK IN  TRANSFER'!F:F, "STOCK IN") + SUMIFS('STOCK IN  TRANSFER'!G:G, 'STOCK IN  TRANSFER'!D:D, A365, 'STOCK IN  TRANSFER'!F:F, "ADJUSTMENT (+)")</f>
        <v>7.5</v>
      </c>
    </row>
    <row r="366" ht="22.5" customHeight="1">
      <c r="A366" s="13" t="str">
        <f>IFERROR(__xludf.DUMMYFUNCTION("""COMPUTED_VALUE"""),"NXE1513")</f>
        <v>NXE1513</v>
      </c>
      <c r="B366" s="13" t="str">
        <f>IFERROR(__xludf.DUMMYFUNCTION("""COMPUTED_VALUE"""),"NAX EXTREME EPOXY ENAMEL BLUE W/HARDENER 4L")</f>
        <v>NAX EXTREME EPOXY ENAMEL BLUE W/HARDENER 4L</v>
      </c>
      <c r="C366" s="16">
        <f>IFERROR(__xludf.DUMMYFUNCTION("""COMPUTED_VALUE"""),1320.0)</f>
        <v>1320</v>
      </c>
      <c r="D366" s="13" t="str">
        <f>IFERROR(__xludf.DUMMYFUNCTION("""COMPUTED_VALUE"""),"GALON")</f>
        <v>GALON</v>
      </c>
      <c r="E366" s="28">
        <f>IFERROR(__xludf.DUMMYFUNCTION("""COMPUTED_VALUE"""),0.0)</f>
        <v>0</v>
      </c>
      <c r="F366" s="52">
        <f>SUMIF(SALES!D:D, A366, SALES!H:H) + SUMIFS('STOCK IN  TRANSFER'!G:G, 'STOCK IN  TRANSFER'!D:D, A366, 'STOCK IN  TRANSFER'!F:F, "TRANSFER") + SUMIFS('STOCK IN  TRANSFER'!G:G, 'STOCK IN  TRANSFER'!D:D, A366, 'STOCK IN  TRANSFER'!F:F, "ADJUSTMENT (-)")</f>
        <v>0</v>
      </c>
      <c r="G366" s="52">
        <f>SUMIFS('STOCK IN  TRANSFER'!G:G, 'STOCK IN  TRANSFER'!D:D, A366, 'STOCK IN  TRANSFER'!F:F, "STOCK IN") + SUMIFS('STOCK IN  TRANSFER'!G:G, 'STOCK IN  TRANSFER'!D:D, A366, 'STOCK IN  TRANSFER'!F:F, "ADJUSTMENT (+)")</f>
        <v>0</v>
      </c>
    </row>
    <row r="367" ht="22.5" customHeight="1">
      <c r="A367" s="13" t="str">
        <f>IFERROR(__xludf.DUMMYFUNCTION("""COMPUTED_VALUE"""),"NXE1988")</f>
        <v>NXE1988</v>
      </c>
      <c r="B367" s="13" t="str">
        <f>IFERROR(__xludf.DUMMYFUNCTION("""COMPUTED_VALUE"""),"NAX EXTREME EPOXY ENAMEL BLACK WITH HARDENER 4L")</f>
        <v>NAX EXTREME EPOXY ENAMEL BLACK WITH HARDENER 4L</v>
      </c>
      <c r="C367" s="16">
        <f>IFERROR(__xludf.DUMMYFUNCTION("""COMPUTED_VALUE"""),1050.0)</f>
        <v>1050</v>
      </c>
      <c r="D367" s="13" t="str">
        <f>IFERROR(__xludf.DUMMYFUNCTION("""COMPUTED_VALUE"""),"GAL")</f>
        <v>GAL</v>
      </c>
      <c r="E367" s="28">
        <f>IFERROR(__xludf.DUMMYFUNCTION("""COMPUTED_VALUE"""),3.75)</f>
        <v>3.75</v>
      </c>
      <c r="F367" s="52">
        <f>SUMIF(SALES!D:D, A367, SALES!H:H) + SUMIFS('STOCK IN  TRANSFER'!G:G, 'STOCK IN  TRANSFER'!D:D, A367, 'STOCK IN  TRANSFER'!F:F, "TRANSFER") + SUMIFS('STOCK IN  TRANSFER'!G:G, 'STOCK IN  TRANSFER'!D:D, A367, 'STOCK IN  TRANSFER'!F:F, "ADJUSTMENT (-)")</f>
        <v>4.25</v>
      </c>
      <c r="G367" s="52">
        <f>SUMIFS('STOCK IN  TRANSFER'!G:G, 'STOCK IN  TRANSFER'!D:D, A367, 'STOCK IN  TRANSFER'!F:F, "STOCK IN") + SUMIFS('STOCK IN  TRANSFER'!G:G, 'STOCK IN  TRANSFER'!D:D, A367, 'STOCK IN  TRANSFER'!F:F, "ADJUSTMENT (+)")</f>
        <v>8</v>
      </c>
    </row>
    <row r="368" ht="22.5" customHeight="1">
      <c r="A368" s="13" t="str">
        <f>IFERROR(__xludf.DUMMYFUNCTION("""COMPUTED_VALUE"""),"PRI3634")</f>
        <v>PRI3634</v>
      </c>
      <c r="B368" s="13" t="str">
        <f>IFERROR(__xludf.DUMMYFUNCTION("""COMPUTED_VALUE"""),"NAX ALPHA HB SPRAY FILLER GRAY WITH HARDENER 1L")</f>
        <v>NAX ALPHA HB SPRAY FILLER GRAY WITH HARDENER 1L</v>
      </c>
      <c r="C368" s="16">
        <f>IFERROR(__xludf.DUMMYFUNCTION("""COMPUTED_VALUE"""),363.0)</f>
        <v>363</v>
      </c>
      <c r="D368" s="13" t="str">
        <f>IFERROR(__xludf.DUMMYFUNCTION("""COMPUTED_VALUE"""),"LITER")</f>
        <v>LITER</v>
      </c>
      <c r="E368" s="28">
        <f>IFERROR(__xludf.DUMMYFUNCTION("""COMPUTED_VALUE"""),5.6299999999999955)</f>
        <v>5.63</v>
      </c>
      <c r="F368" s="52">
        <f>SUMIF(SALES!D:D, A368, SALES!H:H) + SUMIFS('STOCK IN  TRANSFER'!G:G, 'STOCK IN  TRANSFER'!D:D, A368, 'STOCK IN  TRANSFER'!F:F, "TRANSFER") + SUMIFS('STOCK IN  TRANSFER'!G:G, 'STOCK IN  TRANSFER'!D:D, A368, 'STOCK IN  TRANSFER'!F:F, "ADJUSTMENT (-)")</f>
        <v>65.245</v>
      </c>
      <c r="G368" s="52">
        <f>SUMIFS('STOCK IN  TRANSFER'!G:G, 'STOCK IN  TRANSFER'!D:D, A368, 'STOCK IN  TRANSFER'!F:F, "STOCK IN") + SUMIFS('STOCK IN  TRANSFER'!G:G, 'STOCK IN  TRANSFER'!D:D, A368, 'STOCK IN  TRANSFER'!F:F, "ADJUSTMENT (+)")</f>
        <v>70.875</v>
      </c>
    </row>
    <row r="369" ht="22.5" customHeight="1">
      <c r="A369" s="13" t="str">
        <f>IFERROR(__xludf.DUMMYFUNCTION("""COMPUTED_VALUE"""),"NAX301")</f>
        <v>NAX301</v>
      </c>
      <c r="B369" s="13" t="str">
        <f>IFERROR(__xludf.DUMMYFUNCTION("""COMPUTED_VALUE"""),"NAX 301 NAX QDU FLAT CLEAR WITH HARDENER 1L")</f>
        <v>NAX 301 NAX QDU FLAT CLEAR WITH HARDENER 1L</v>
      </c>
      <c r="C369" s="16">
        <f>IFERROR(__xludf.DUMMYFUNCTION("""COMPUTED_VALUE"""),784.0)</f>
        <v>784</v>
      </c>
      <c r="D369" s="13" t="str">
        <f>IFERROR(__xludf.DUMMYFUNCTION("""COMPUTED_VALUE"""),"LITER")</f>
        <v>LITER</v>
      </c>
      <c r="E369" s="28">
        <f>IFERROR(__xludf.DUMMYFUNCTION("""COMPUTED_VALUE"""),0.25)</f>
        <v>0.25</v>
      </c>
      <c r="F369" s="52">
        <f>SUMIF(SALES!D:D, A369, SALES!H:H) + SUMIFS('STOCK IN  TRANSFER'!G:G, 'STOCK IN  TRANSFER'!D:D, A369, 'STOCK IN  TRANSFER'!F:F, "TRANSFER") + SUMIFS('STOCK IN  TRANSFER'!G:G, 'STOCK IN  TRANSFER'!D:D, A369, 'STOCK IN  TRANSFER'!F:F, "ADJUSTMENT (-)")</f>
        <v>3.75</v>
      </c>
      <c r="G369" s="52">
        <f>SUMIFS('STOCK IN  TRANSFER'!G:G, 'STOCK IN  TRANSFER'!D:D, A369, 'STOCK IN  TRANSFER'!F:F, "STOCK IN") + SUMIFS('STOCK IN  TRANSFER'!G:G, 'STOCK IN  TRANSFER'!D:D, A369, 'STOCK IN  TRANSFER'!F:F, "ADJUSTMENT (+)")</f>
        <v>4</v>
      </c>
    </row>
    <row r="370" ht="22.5" customHeight="1">
      <c r="A370" s="13" t="str">
        <f>IFERROR(__xludf.DUMMYFUNCTION("""COMPUTED_VALUE"""),"NAX141")</f>
        <v>NAX141</v>
      </c>
      <c r="B370" s="13" t="str">
        <f>IFERROR(__xludf.DUMMYFUNCTION("""COMPUTED_VALUE"""),"NAX 141 NAX MAXIMA URETHANE FD CLEAR WITH HARDENER 1L")</f>
        <v>NAX 141 NAX MAXIMA URETHANE FD CLEAR WITH HARDENER 1L</v>
      </c>
      <c r="C370" s="16">
        <f>IFERROR(__xludf.DUMMYFUNCTION("""COMPUTED_VALUE"""),344.0)</f>
        <v>344</v>
      </c>
      <c r="D370" s="13" t="str">
        <f>IFERROR(__xludf.DUMMYFUNCTION("""COMPUTED_VALUE"""),"LITER")</f>
        <v>LITER</v>
      </c>
      <c r="E370" s="28">
        <f>IFERROR(__xludf.DUMMYFUNCTION("""COMPUTED_VALUE"""),27.0)</f>
        <v>27</v>
      </c>
      <c r="F370" s="52">
        <f>SUMIF(SALES!D:D, A370, SALES!H:H) + SUMIFS('STOCK IN  TRANSFER'!G:G, 'STOCK IN  TRANSFER'!D:D, A370, 'STOCK IN  TRANSFER'!F:F, "TRANSFER") + SUMIFS('STOCK IN  TRANSFER'!G:G, 'STOCK IN  TRANSFER'!D:D, A370, 'STOCK IN  TRANSFER'!F:F, "ADJUSTMENT (-)")</f>
        <v>46.25</v>
      </c>
      <c r="G370" s="52">
        <f>SUMIFS('STOCK IN  TRANSFER'!G:G, 'STOCK IN  TRANSFER'!D:D, A370, 'STOCK IN  TRANSFER'!F:F, "STOCK IN") + SUMIFS('STOCK IN  TRANSFER'!G:G, 'STOCK IN  TRANSFER'!D:D, A370, 'STOCK IN  TRANSFER'!F:F, "ADJUSTMENT (+)")</f>
        <v>73.25</v>
      </c>
    </row>
    <row r="371" ht="22.5" customHeight="1">
      <c r="A371" s="13" t="str">
        <f>IFERROR(__xludf.DUMMYFUNCTION("""COMPUTED_VALUE"""),"NAX108")</f>
        <v>NAX108</v>
      </c>
      <c r="B371" s="13" t="str">
        <f>IFERROR(__xludf.DUMMYFUNCTION("""COMPUTED_VALUE"""),"NAX 108 CERAMIC 2K CLEAR WITH HARDENER 1L")</f>
        <v>NAX 108 CERAMIC 2K CLEAR WITH HARDENER 1L</v>
      </c>
      <c r="C371" s="16">
        <f>IFERROR(__xludf.DUMMYFUNCTION("""COMPUTED_VALUE"""),460.0)</f>
        <v>460</v>
      </c>
      <c r="D371" s="13" t="str">
        <f>IFERROR(__xludf.DUMMYFUNCTION("""COMPUTED_VALUE"""),"LITER")</f>
        <v>LITER</v>
      </c>
      <c r="E371" s="28">
        <f>IFERROR(__xludf.DUMMYFUNCTION("""COMPUTED_VALUE"""),-707.2)</f>
        <v>-707.2</v>
      </c>
      <c r="F371" s="52">
        <f>SUMIF(SALES!D:D, A371, SALES!H:H) + SUMIFS('STOCK IN  TRANSFER'!G:G, 'STOCK IN  TRANSFER'!D:D, A371, 'STOCK IN  TRANSFER'!F:F, "TRANSFER") + SUMIFS('STOCK IN  TRANSFER'!G:G, 'STOCK IN  TRANSFER'!D:D, A371, 'STOCK IN  TRANSFER'!F:F, "ADJUSTMENT (-)")</f>
        <v>876.2</v>
      </c>
      <c r="G371" s="52">
        <f>SUMIFS('STOCK IN  TRANSFER'!G:G, 'STOCK IN  TRANSFER'!D:D, A371, 'STOCK IN  TRANSFER'!F:F, "STOCK IN") + SUMIFS('STOCK IN  TRANSFER'!G:G, 'STOCK IN  TRANSFER'!D:D, A371, 'STOCK IN  TRANSFER'!F:F, "ADJUSTMENT (+)")</f>
        <v>169</v>
      </c>
    </row>
    <row r="372" ht="22.5" customHeight="1">
      <c r="A372" s="13" t="str">
        <f>IFERROR(__xludf.DUMMYFUNCTION("""COMPUTED_VALUE"""),"MEG3001-4L")</f>
        <v>MEG3001-4L</v>
      </c>
      <c r="B372" s="13" t="str">
        <f>IFERROR(__xludf.DUMMYFUNCTION("""COMPUTED_VALUE"""),"METALGUARD EPOXY PRIMER WHITE WITH HARDENER 4L")</f>
        <v>METALGUARD EPOXY PRIMER WHITE WITH HARDENER 4L</v>
      </c>
      <c r="C372" s="16">
        <f>IFERROR(__xludf.DUMMYFUNCTION("""COMPUTED_VALUE"""),710.0)</f>
        <v>710</v>
      </c>
      <c r="D372" s="13" t="str">
        <f>IFERROR(__xludf.DUMMYFUNCTION("""COMPUTED_VALUE"""),"GAL")</f>
        <v>GAL</v>
      </c>
      <c r="E372" s="28">
        <f>IFERROR(__xludf.DUMMYFUNCTION("""COMPUTED_VALUE"""),0.0)</f>
        <v>0</v>
      </c>
      <c r="F372" s="52">
        <f>SUMIF(SALES!D:D, A372, SALES!H:H) + SUMIFS('STOCK IN  TRANSFER'!G:G, 'STOCK IN  TRANSFER'!D:D, A372, 'STOCK IN  TRANSFER'!F:F, "TRANSFER") + SUMIFS('STOCK IN  TRANSFER'!G:G, 'STOCK IN  TRANSFER'!D:D, A372, 'STOCK IN  TRANSFER'!F:F, "ADJUSTMENT (-)")</f>
        <v>10.57</v>
      </c>
      <c r="G372" s="52">
        <f>SUMIFS('STOCK IN  TRANSFER'!G:G, 'STOCK IN  TRANSFER'!D:D, A372, 'STOCK IN  TRANSFER'!F:F, "STOCK IN") + SUMIFS('STOCK IN  TRANSFER'!G:G, 'STOCK IN  TRANSFER'!D:D, A372, 'STOCK IN  TRANSFER'!F:F, "ADJUSTMENT (+)")</f>
        <v>10.57</v>
      </c>
    </row>
    <row r="373" ht="22.5" customHeight="1">
      <c r="A373" s="13" t="str">
        <f>IFERROR(__xludf.DUMMYFUNCTION("""COMPUTED_VALUE"""),"MEG3001-1L")</f>
        <v>MEG3001-1L</v>
      </c>
      <c r="B373" s="13" t="str">
        <f>IFERROR(__xludf.DUMMYFUNCTION("""COMPUTED_VALUE"""),"METALGUARD EPOXY PRIMER WHITE WITH HARDENER 1L")</f>
        <v>METALGUARD EPOXY PRIMER WHITE WITH HARDENER 1L</v>
      </c>
      <c r="C373" s="16">
        <f>IFERROR(__xludf.DUMMYFUNCTION("""COMPUTED_VALUE"""),193.0)</f>
        <v>193</v>
      </c>
      <c r="D373" s="13" t="str">
        <f>IFERROR(__xludf.DUMMYFUNCTION("""COMPUTED_VALUE"""),"LITER")</f>
        <v>LITER</v>
      </c>
      <c r="E373" s="28">
        <f>IFERROR(__xludf.DUMMYFUNCTION("""COMPUTED_VALUE"""),0.0)</f>
        <v>0</v>
      </c>
      <c r="F373" s="52">
        <f>SUMIF(SALES!D:D, A373, SALES!H:H) + SUMIFS('STOCK IN  TRANSFER'!G:G, 'STOCK IN  TRANSFER'!D:D, A373, 'STOCK IN  TRANSFER'!F:F, "TRANSFER") + SUMIFS('STOCK IN  TRANSFER'!G:G, 'STOCK IN  TRANSFER'!D:D, A373, 'STOCK IN  TRANSFER'!F:F, "ADJUSTMENT (-)")</f>
        <v>0</v>
      </c>
      <c r="G373" s="52">
        <f>SUMIFS('STOCK IN  TRANSFER'!G:G, 'STOCK IN  TRANSFER'!D:D, A373, 'STOCK IN  TRANSFER'!F:F, "STOCK IN") + SUMIFS('STOCK IN  TRANSFER'!G:G, 'STOCK IN  TRANSFER'!D:D, A373, 'STOCK IN  TRANSFER'!F:F, "ADJUSTMENT (+)")</f>
        <v>0</v>
      </c>
    </row>
    <row r="374" ht="22.5" customHeight="1">
      <c r="A374" s="13" t="str">
        <f>IFERROR(__xludf.DUMMYFUNCTION("""COMPUTED_VALUE"""),"MEG3001R-1L")</f>
        <v>MEG3001R-1L</v>
      </c>
      <c r="B374" s="13" t="str">
        <f>IFERROR(__xludf.DUMMYFUNCTION("""COMPUTED_VALUE"""),"METALGUARD EPOXY PRIMER WHITE W/H REPACK")</f>
        <v>METALGUARD EPOXY PRIMER WHITE W/H REPACK</v>
      </c>
      <c r="C374" s="16">
        <f>IFERROR(__xludf.DUMMYFUNCTION("""COMPUTED_VALUE"""),260.0)</f>
        <v>260</v>
      </c>
      <c r="D374" s="13" t="str">
        <f>IFERROR(__xludf.DUMMYFUNCTION("""COMPUTED_VALUE"""),"LITER")</f>
        <v>LITER</v>
      </c>
      <c r="E374" s="28">
        <f>IFERROR(__xludf.DUMMYFUNCTION("""COMPUTED_VALUE"""),-1.0)</f>
        <v>-1</v>
      </c>
      <c r="F374" s="52">
        <f>SUMIF(SALES!D:D, A374, SALES!H:H) + SUMIFS('STOCK IN  TRANSFER'!G:G, 'STOCK IN  TRANSFER'!D:D, A374, 'STOCK IN  TRANSFER'!F:F, "TRANSFER") + SUMIFS('STOCK IN  TRANSFER'!G:G, 'STOCK IN  TRANSFER'!D:D, A374, 'STOCK IN  TRANSFER'!F:F, "ADJUSTMENT (-)")</f>
        <v>1</v>
      </c>
      <c r="G374" s="52">
        <f>SUMIFS('STOCK IN  TRANSFER'!G:G, 'STOCK IN  TRANSFER'!D:D, A374, 'STOCK IN  TRANSFER'!F:F, "STOCK IN") + SUMIFS('STOCK IN  TRANSFER'!G:G, 'STOCK IN  TRANSFER'!D:D, A374, 'STOCK IN  TRANSFER'!F:F, "ADJUSTMENT (+)")</f>
        <v>0</v>
      </c>
    </row>
    <row r="375" ht="22.5" customHeight="1">
      <c r="A375" s="13" t="str">
        <f>IFERROR(__xludf.DUMMYFUNCTION("""COMPUTED_VALUE"""),"MEG3100-4L")</f>
        <v>MEG3100-4L</v>
      </c>
      <c r="B375" s="13" t="str">
        <f>IFERROR(__xludf.DUMMYFUNCTION("""COMPUTED_VALUE"""),"METALGUARD EPOXY PRIMER RED OXIDE WITH HARDENER 4L")</f>
        <v>METALGUARD EPOXY PRIMER RED OXIDE WITH HARDENER 4L</v>
      </c>
      <c r="C375" s="55"/>
      <c r="D375" s="13" t="str">
        <f>IFERROR(__xludf.DUMMYFUNCTION("""COMPUTED_VALUE"""),"GAL")</f>
        <v>GAL</v>
      </c>
      <c r="E375" s="28">
        <f>IFERROR(__xludf.DUMMYFUNCTION("""COMPUTED_VALUE"""),0.0)</f>
        <v>0</v>
      </c>
      <c r="F375" s="52">
        <f>SUMIF(SALES!D:D, A375, SALES!H:H) + SUMIFS('STOCK IN  TRANSFER'!G:G, 'STOCK IN  TRANSFER'!D:D, A375, 'STOCK IN  TRANSFER'!F:F, "TRANSFER") + SUMIFS('STOCK IN  TRANSFER'!G:G, 'STOCK IN  TRANSFER'!D:D, A375, 'STOCK IN  TRANSFER'!F:F, "ADJUSTMENT (-)")</f>
        <v>0</v>
      </c>
      <c r="G375" s="52">
        <f>SUMIFS('STOCK IN  TRANSFER'!G:G, 'STOCK IN  TRANSFER'!D:D, A375, 'STOCK IN  TRANSFER'!F:F, "STOCK IN") + SUMIFS('STOCK IN  TRANSFER'!G:G, 'STOCK IN  TRANSFER'!D:D, A375, 'STOCK IN  TRANSFER'!F:F, "ADJUSTMENT (+)")</f>
        <v>0</v>
      </c>
    </row>
    <row r="376" ht="22.5" customHeight="1">
      <c r="A376" s="13" t="str">
        <f>IFERROR(__xludf.DUMMYFUNCTION("""COMPUTED_VALUE"""),"MEG3100-1L")</f>
        <v>MEG3100-1L</v>
      </c>
      <c r="B376" s="13" t="str">
        <f>IFERROR(__xludf.DUMMYFUNCTION("""COMPUTED_VALUE"""),"METALGUARD EPOXY PRIMER RED OXIDE WITH HARDENER 1L")</f>
        <v>METALGUARD EPOXY PRIMER RED OXIDE WITH HARDENER 1L</v>
      </c>
      <c r="C376" s="16">
        <f>IFERROR(__xludf.DUMMYFUNCTION("""COMPUTED_VALUE"""),193.0)</f>
        <v>193</v>
      </c>
      <c r="D376" s="13" t="str">
        <f>IFERROR(__xludf.DUMMYFUNCTION("""COMPUTED_VALUE"""),"LITER")</f>
        <v>LITER</v>
      </c>
      <c r="E376" s="28">
        <f>IFERROR(__xludf.DUMMYFUNCTION("""COMPUTED_VALUE"""),23.0)</f>
        <v>23</v>
      </c>
      <c r="F376" s="52">
        <f>SUMIF(SALES!D:D, A376, SALES!H:H) + SUMIFS('STOCK IN  TRANSFER'!G:G, 'STOCK IN  TRANSFER'!D:D, A376, 'STOCK IN  TRANSFER'!F:F, "TRANSFER") + SUMIFS('STOCK IN  TRANSFER'!G:G, 'STOCK IN  TRANSFER'!D:D, A376, 'STOCK IN  TRANSFER'!F:F, "ADJUSTMENT (-)")</f>
        <v>7</v>
      </c>
      <c r="G376" s="52">
        <f>SUMIFS('STOCK IN  TRANSFER'!G:G, 'STOCK IN  TRANSFER'!D:D, A376, 'STOCK IN  TRANSFER'!F:F, "STOCK IN") + SUMIFS('STOCK IN  TRANSFER'!G:G, 'STOCK IN  TRANSFER'!D:D, A376, 'STOCK IN  TRANSFER'!F:F, "ADJUSTMENT (+)")</f>
        <v>30</v>
      </c>
    </row>
    <row r="377" ht="22.5" customHeight="1">
      <c r="A377" s="13" t="str">
        <f>IFERROR(__xludf.DUMMYFUNCTION("""COMPUTED_VALUE"""),"MEG3602-4L")</f>
        <v>MEG3602-4L</v>
      </c>
      <c r="B377" s="13" t="str">
        <f>IFERROR(__xludf.DUMMYFUNCTION("""COMPUTED_VALUE"""),"METALGUARD EPOXY PRIMER GRAY WITH HARDENER 4L")</f>
        <v>METALGUARD EPOXY PRIMER GRAY WITH HARDENER 4L</v>
      </c>
      <c r="C377" s="16">
        <f>IFERROR(__xludf.DUMMYFUNCTION("""COMPUTED_VALUE"""),685.0)</f>
        <v>685</v>
      </c>
      <c r="D377" s="13" t="str">
        <f>IFERROR(__xludf.DUMMYFUNCTION("""COMPUTED_VALUE"""),"GAL")</f>
        <v>GAL</v>
      </c>
      <c r="E377" s="28">
        <f>IFERROR(__xludf.DUMMYFUNCTION("""COMPUTED_VALUE"""),0.0)</f>
        <v>0</v>
      </c>
      <c r="F377" s="52">
        <f>SUMIF(SALES!D:D, A377, SALES!H:H) + SUMIFS('STOCK IN  TRANSFER'!G:G, 'STOCK IN  TRANSFER'!D:D, A377, 'STOCK IN  TRANSFER'!F:F, "TRANSFER") + SUMIFS('STOCK IN  TRANSFER'!G:G, 'STOCK IN  TRANSFER'!D:D, A377, 'STOCK IN  TRANSFER'!F:F, "ADJUSTMENT (-)")</f>
        <v>15.25</v>
      </c>
      <c r="G377" s="52">
        <f>SUMIFS('STOCK IN  TRANSFER'!G:G, 'STOCK IN  TRANSFER'!D:D, A377, 'STOCK IN  TRANSFER'!F:F, "STOCK IN") + SUMIFS('STOCK IN  TRANSFER'!G:G, 'STOCK IN  TRANSFER'!D:D, A377, 'STOCK IN  TRANSFER'!F:F, "ADJUSTMENT (+)")</f>
        <v>15.25</v>
      </c>
    </row>
    <row r="378" ht="22.5" customHeight="1">
      <c r="A378" s="13" t="str">
        <f>IFERROR(__xludf.DUMMYFUNCTION("""COMPUTED_VALUE"""),"MEG3602-1L")</f>
        <v>MEG3602-1L</v>
      </c>
      <c r="B378" s="13" t="str">
        <f>IFERROR(__xludf.DUMMYFUNCTION("""COMPUTED_VALUE"""),"METALGUARD EPOXY PRIMER GRAY WITH HARDENER 1L")</f>
        <v>METALGUARD EPOXY PRIMER GRAY WITH HARDENER 1L</v>
      </c>
      <c r="C378" s="16">
        <f>IFERROR(__xludf.DUMMYFUNCTION("""COMPUTED_VALUE"""),193.0)</f>
        <v>193</v>
      </c>
      <c r="D378" s="13" t="str">
        <f>IFERROR(__xludf.DUMMYFUNCTION("""COMPUTED_VALUE"""),"LITER")</f>
        <v>LITER</v>
      </c>
      <c r="E378" s="28">
        <f>IFERROR(__xludf.DUMMYFUNCTION("""COMPUTED_VALUE"""),0.0)</f>
        <v>0</v>
      </c>
      <c r="F378" s="52">
        <f>SUMIF(SALES!D:D, A378, SALES!H:H) + SUMIFS('STOCK IN  TRANSFER'!G:G, 'STOCK IN  TRANSFER'!D:D, A378, 'STOCK IN  TRANSFER'!F:F, "TRANSFER") + SUMIFS('STOCK IN  TRANSFER'!G:G, 'STOCK IN  TRANSFER'!D:D, A378, 'STOCK IN  TRANSFER'!F:F, "ADJUSTMENT (-)")</f>
        <v>0</v>
      </c>
      <c r="G378" s="52">
        <f>SUMIFS('STOCK IN  TRANSFER'!G:G, 'STOCK IN  TRANSFER'!D:D, A378, 'STOCK IN  TRANSFER'!F:F, "STOCK IN") + SUMIFS('STOCK IN  TRANSFER'!G:G, 'STOCK IN  TRANSFER'!D:D, A378, 'STOCK IN  TRANSFER'!F:F, "ADJUSTMENT (+)")</f>
        <v>0</v>
      </c>
    </row>
    <row r="379" ht="22.5" customHeight="1">
      <c r="A379" s="13" t="str">
        <f>IFERROR(__xludf.DUMMYFUNCTION("""COMPUTED_VALUE"""),"MEG3901-4L")</f>
        <v>MEG3901-4L</v>
      </c>
      <c r="B379" s="13" t="str">
        <f>IFERROR(__xludf.DUMMYFUNCTION("""COMPUTED_VALUE"""),"METALGUARD EPOXY PRIMER BLACK WITH HARDENER 4L")</f>
        <v>METALGUARD EPOXY PRIMER BLACK WITH HARDENER 4L</v>
      </c>
      <c r="C379" s="16">
        <f>IFERROR(__xludf.DUMMYFUNCTION("""COMPUTED_VALUE"""),710.0)</f>
        <v>710</v>
      </c>
      <c r="D379" s="13" t="str">
        <f>IFERROR(__xludf.DUMMYFUNCTION("""COMPUTED_VALUE"""),"GAL")</f>
        <v>GAL</v>
      </c>
      <c r="E379" s="28">
        <f>IFERROR(__xludf.DUMMYFUNCTION("""COMPUTED_VALUE"""),2.0)</f>
        <v>2</v>
      </c>
      <c r="F379" s="52">
        <f>SUMIF(SALES!D:D, A379, SALES!H:H) + SUMIFS('STOCK IN  TRANSFER'!G:G, 'STOCK IN  TRANSFER'!D:D, A379, 'STOCK IN  TRANSFER'!F:F, "TRANSFER") + SUMIFS('STOCK IN  TRANSFER'!G:G, 'STOCK IN  TRANSFER'!D:D, A379, 'STOCK IN  TRANSFER'!F:F, "ADJUSTMENT (-)")</f>
        <v>8.5</v>
      </c>
      <c r="G379" s="52">
        <f>SUMIFS('STOCK IN  TRANSFER'!G:G, 'STOCK IN  TRANSFER'!D:D, A379, 'STOCK IN  TRANSFER'!F:F, "STOCK IN") + SUMIFS('STOCK IN  TRANSFER'!G:G, 'STOCK IN  TRANSFER'!D:D, A379, 'STOCK IN  TRANSFER'!F:F, "ADJUSTMENT (+)")</f>
        <v>10.5</v>
      </c>
    </row>
    <row r="380" ht="22.5" customHeight="1">
      <c r="A380" s="13" t="str">
        <f>IFERROR(__xludf.DUMMYFUNCTION("""COMPUTED_VALUE"""),"MEG3901-1L")</f>
        <v>MEG3901-1L</v>
      </c>
      <c r="B380" s="13" t="str">
        <f>IFERROR(__xludf.DUMMYFUNCTION("""COMPUTED_VALUE"""),"METALGUARD EPOXY PRIMER BLACK WITH HARDENER 1L")</f>
        <v>METALGUARD EPOXY PRIMER BLACK WITH HARDENER 1L</v>
      </c>
      <c r="C380" s="16">
        <f>IFERROR(__xludf.DUMMYFUNCTION("""COMPUTED_VALUE"""),193.0)</f>
        <v>193</v>
      </c>
      <c r="D380" s="13" t="str">
        <f>IFERROR(__xludf.DUMMYFUNCTION("""COMPUTED_VALUE"""),"LITER")</f>
        <v>LITER</v>
      </c>
      <c r="E380" s="28">
        <f>IFERROR(__xludf.DUMMYFUNCTION("""COMPUTED_VALUE"""),0.0)</f>
        <v>0</v>
      </c>
      <c r="F380" s="52">
        <f>SUMIF(SALES!D:D, A380, SALES!H:H) + SUMIFS('STOCK IN  TRANSFER'!G:G, 'STOCK IN  TRANSFER'!D:D, A380, 'STOCK IN  TRANSFER'!F:F, "TRANSFER") + SUMIFS('STOCK IN  TRANSFER'!G:G, 'STOCK IN  TRANSFER'!D:D, A380, 'STOCK IN  TRANSFER'!F:F, "ADJUSTMENT (-)")</f>
        <v>0</v>
      </c>
      <c r="G380" s="52">
        <f>SUMIFS('STOCK IN  TRANSFER'!G:G, 'STOCK IN  TRANSFER'!D:D, A380, 'STOCK IN  TRANSFER'!F:F, "STOCK IN") + SUMIFS('STOCK IN  TRANSFER'!G:G, 'STOCK IN  TRANSFER'!D:D, A380, 'STOCK IN  TRANSFER'!F:F, "ADJUSTMENT (+)")</f>
        <v>0</v>
      </c>
    </row>
    <row r="381" ht="22.5" customHeight="1">
      <c r="A381" s="13" t="str">
        <f>IFERROR(__xludf.DUMMYFUNCTION("""COMPUTED_VALUE"""),"MEG3901R-1L")</f>
        <v>MEG3901R-1L</v>
      </c>
      <c r="B381" s="13" t="str">
        <f>IFERROR(__xludf.DUMMYFUNCTION("""COMPUTED_VALUE"""),"METALGUARD EPOXY PRIMER BLACK W/H REPACK")</f>
        <v>METALGUARD EPOXY PRIMER BLACK W/H REPACK</v>
      </c>
      <c r="C381" s="16">
        <f>IFERROR(__xludf.DUMMYFUNCTION("""COMPUTED_VALUE"""),250.0)</f>
        <v>250</v>
      </c>
      <c r="D381" s="13" t="str">
        <f>IFERROR(__xludf.DUMMYFUNCTION("""COMPUTED_VALUE"""),"LITER")</f>
        <v>LITER</v>
      </c>
      <c r="E381" s="28">
        <f>IFERROR(__xludf.DUMMYFUNCTION("""COMPUTED_VALUE"""),-0.25)</f>
        <v>-0.25</v>
      </c>
      <c r="F381" s="52">
        <f>SUMIF(SALES!D:D, A381, SALES!H:H) + SUMIFS('STOCK IN  TRANSFER'!G:G, 'STOCK IN  TRANSFER'!D:D, A381, 'STOCK IN  TRANSFER'!F:F, "TRANSFER") + SUMIFS('STOCK IN  TRANSFER'!G:G, 'STOCK IN  TRANSFER'!D:D, A381, 'STOCK IN  TRANSFER'!F:F, "ADJUSTMENT (-)")</f>
        <v>1.25</v>
      </c>
      <c r="G381" s="52">
        <f>SUMIFS('STOCK IN  TRANSFER'!G:G, 'STOCK IN  TRANSFER'!D:D, A381, 'STOCK IN  TRANSFER'!F:F, "STOCK IN") + SUMIFS('STOCK IN  TRANSFER'!G:G, 'STOCK IN  TRANSFER'!D:D, A381, 'STOCK IN  TRANSFER'!F:F, "ADJUSTMENT (+)")</f>
        <v>1</v>
      </c>
    </row>
    <row r="382" ht="22.5" customHeight="1">
      <c r="A382" s="13" t="str">
        <f>IFERROR(__xludf.DUMMYFUNCTION("""COMPUTED_VALUE"""),"MYNALTHNR-3.75L")</f>
        <v>MYNALTHNR-3.75L</v>
      </c>
      <c r="B382" s="13" t="str">
        <f>IFERROR(__xludf.DUMMYFUNCTION("""COMPUTED_VALUE"""),"MAYON LACQUER THINNER 3.75L")</f>
        <v>MAYON LACQUER THINNER 3.75L</v>
      </c>
      <c r="C382" s="16">
        <f>IFERROR(__xludf.DUMMYFUNCTION("""COMPUTED_VALUE"""),0.0)</f>
        <v>0</v>
      </c>
      <c r="D382" s="13" t="str">
        <f>IFERROR(__xludf.DUMMYFUNCTION("""COMPUTED_VALUE"""),"GAL/S")</f>
        <v>GAL/S</v>
      </c>
      <c r="E382" s="28">
        <f>IFERROR(__xludf.DUMMYFUNCTION("""COMPUTED_VALUE"""),0.0)</f>
        <v>0</v>
      </c>
      <c r="F382" s="52">
        <f>SUMIF(SALES!D:D, A382, SALES!H:H) + SUMIFS('STOCK IN  TRANSFER'!G:G, 'STOCK IN  TRANSFER'!D:D, A382, 'STOCK IN  TRANSFER'!F:F, "TRANSFER") + SUMIFS('STOCK IN  TRANSFER'!G:G, 'STOCK IN  TRANSFER'!D:D, A382, 'STOCK IN  TRANSFER'!F:F, "ADJUSTMENT (-)")</f>
        <v>0</v>
      </c>
      <c r="G382" s="52">
        <f>SUMIFS('STOCK IN  TRANSFER'!G:G, 'STOCK IN  TRANSFER'!D:D, A382, 'STOCK IN  TRANSFER'!F:F, "STOCK IN") + SUMIFS('STOCK IN  TRANSFER'!G:G, 'STOCK IN  TRANSFER'!D:D, A382, 'STOCK IN  TRANSFER'!F:F, "ADJUSTMENT (+)")</f>
        <v>0</v>
      </c>
    </row>
    <row r="383" ht="22.5" customHeight="1">
      <c r="A383" s="13" t="str">
        <f>IFERROR(__xludf.DUMMYFUNCTION("""COMPUTED_VALUE"""),"MEEKBOS-1L")</f>
        <v>MEEKBOS-1L</v>
      </c>
      <c r="B383" s="13" t="str">
        <f>IFERROR(__xludf.DUMMYFUNCTION("""COMPUTED_VALUE"""),"MARINE EPOXY A &amp; B 1L SET EL KAPITAN BOSTIK")</f>
        <v>MARINE EPOXY A &amp; B 1L SET EL KAPITAN BOSTIK</v>
      </c>
      <c r="C383" s="16">
        <f>IFERROR(__xludf.DUMMYFUNCTION("""COMPUTED_VALUE"""),538.2)</f>
        <v>538.2</v>
      </c>
      <c r="D383" s="13" t="str">
        <f>IFERROR(__xludf.DUMMYFUNCTION("""COMPUTED_VALUE"""),"1L SET")</f>
        <v>1L SET</v>
      </c>
      <c r="E383" s="28">
        <f>IFERROR(__xludf.DUMMYFUNCTION("""COMPUTED_VALUE"""),8.0)</f>
        <v>8</v>
      </c>
      <c r="F383" s="52">
        <f>SUMIF(SALES!D:D, A383, SALES!H:H) + SUMIFS('STOCK IN  TRANSFER'!G:G, 'STOCK IN  TRANSFER'!D:D, A383, 'STOCK IN  TRANSFER'!F:F, "TRANSFER") + SUMIFS('STOCK IN  TRANSFER'!G:G, 'STOCK IN  TRANSFER'!D:D, A383, 'STOCK IN  TRANSFER'!F:F, "ADJUSTMENT (-)")</f>
        <v>1</v>
      </c>
      <c r="G383" s="52">
        <f>SUMIFS('STOCK IN  TRANSFER'!G:G, 'STOCK IN  TRANSFER'!D:D, A383, 'STOCK IN  TRANSFER'!F:F, "STOCK IN") + SUMIFS('STOCK IN  TRANSFER'!G:G, 'STOCK IN  TRANSFER'!D:D, A383, 'STOCK IN  TRANSFER'!F:F, "ADJUSTMENT (+)")</f>
        <v>9</v>
      </c>
    </row>
    <row r="384" ht="22.5" customHeight="1">
      <c r="A384" s="13" t="str">
        <f>IFERROR(__xludf.DUMMYFUNCTION("""COMPUTED_VALUE"""),"ROS-138")</f>
        <v>ROS-138</v>
      </c>
      <c r="B384" s="13" t="str">
        <f>IFERROR(__xludf.DUMMYFUNCTION("""COMPUTED_VALUE"""),"LIME ROS-138 RAIN OR SHINE 4L")</f>
        <v>LIME ROS-138 RAIN OR SHINE 4L</v>
      </c>
      <c r="C384" s="16">
        <f>IFERROR(__xludf.DUMMYFUNCTION("""COMPUTED_VALUE"""),661.1)</f>
        <v>661.1</v>
      </c>
      <c r="D384" s="13" t="str">
        <f>IFERROR(__xludf.DUMMYFUNCTION("""COMPUTED_VALUE"""),"4L")</f>
        <v>4L</v>
      </c>
      <c r="E384" s="28">
        <f>IFERROR(__xludf.DUMMYFUNCTION("""COMPUTED_VALUE"""),0.0)</f>
        <v>0</v>
      </c>
      <c r="F384" s="52">
        <f>SUMIF(SALES!D:D, A384, SALES!H:H) + SUMIFS('STOCK IN  TRANSFER'!G:G, 'STOCK IN  TRANSFER'!D:D, A384, 'STOCK IN  TRANSFER'!F:F, "TRANSFER") + SUMIFS('STOCK IN  TRANSFER'!G:G, 'STOCK IN  TRANSFER'!D:D, A384, 'STOCK IN  TRANSFER'!F:F, "ADJUSTMENT (-)")</f>
        <v>0</v>
      </c>
      <c r="G384" s="52">
        <f>SUMIFS('STOCK IN  TRANSFER'!G:G, 'STOCK IN  TRANSFER'!D:D, A384, 'STOCK IN  TRANSFER'!F:F, "STOCK IN") + SUMIFS('STOCK IN  TRANSFER'!G:G, 'STOCK IN  TRANSFER'!D:D, A384, 'STOCK IN  TRANSFER'!F:F, "ADJUSTMENT (+)")</f>
        <v>0</v>
      </c>
    </row>
    <row r="385" ht="22.5" customHeight="1">
      <c r="A385" s="13" t="str">
        <f>IFERROR(__xludf.DUMMYFUNCTION("""COMPUTED_VALUE"""),"ROS-353")</f>
        <v>ROS-353</v>
      </c>
      <c r="B385" s="13" t="str">
        <f>IFERROR(__xludf.DUMMYFUNCTION("""COMPUTED_VALUE"""),"LIGHT BEIGE ROS-353 RAIN OR SHINE 4L")</f>
        <v>LIGHT BEIGE ROS-353 RAIN OR SHINE 4L</v>
      </c>
      <c r="C385" s="16">
        <f>IFERROR(__xludf.DUMMYFUNCTION("""COMPUTED_VALUE"""),661.1)</f>
        <v>661.1</v>
      </c>
      <c r="D385" s="13" t="str">
        <f>IFERROR(__xludf.DUMMYFUNCTION("""COMPUTED_VALUE"""),"4L")</f>
        <v>4L</v>
      </c>
      <c r="E385" s="28">
        <f>IFERROR(__xludf.DUMMYFUNCTION("""COMPUTED_VALUE"""),5.0)</f>
        <v>5</v>
      </c>
      <c r="F385" s="52">
        <f>SUMIF(SALES!D:D, A385, SALES!H:H) + SUMIFS('STOCK IN  TRANSFER'!G:G, 'STOCK IN  TRANSFER'!D:D, A385, 'STOCK IN  TRANSFER'!F:F, "TRANSFER") + SUMIFS('STOCK IN  TRANSFER'!G:G, 'STOCK IN  TRANSFER'!D:D, A385, 'STOCK IN  TRANSFER'!F:F, "ADJUSTMENT (-)")</f>
        <v>0</v>
      </c>
      <c r="G385" s="52">
        <f>SUMIFS('STOCK IN  TRANSFER'!G:G, 'STOCK IN  TRANSFER'!D:D, A385, 'STOCK IN  TRANSFER'!F:F, "STOCK IN") + SUMIFS('STOCK IN  TRANSFER'!G:G, 'STOCK IN  TRANSFER'!D:D, A385, 'STOCK IN  TRANSFER'!F:F, "ADJUSTMENT (+)")</f>
        <v>5</v>
      </c>
    </row>
    <row r="386" ht="22.5" customHeight="1">
      <c r="A386" s="13" t="str">
        <f>IFERROR(__xludf.DUMMYFUNCTION("""COMPUTED_VALUE"""),"PWTCO-1133")</f>
        <v>PWTCO-1133</v>
      </c>
      <c r="B386" s="13" t="str">
        <f>IFERROR(__xludf.DUMMYFUNCTION("""COMPUTED_VALUE"""),"LAMP BLACK OIL TINTING COLOR PWTCO-1133 1/4L WELCOAT PREMIUM")</f>
        <v>LAMP BLACK OIL TINTING COLOR PWTCO-1133 1/4L WELCOAT PREMIUM</v>
      </c>
      <c r="C386" s="16">
        <f>IFERROR(__xludf.DUMMYFUNCTION("""COMPUTED_VALUE"""),60.8736)</f>
        <v>60.8736</v>
      </c>
      <c r="D386" s="13" t="str">
        <f>IFERROR(__xludf.DUMMYFUNCTION("""COMPUTED_VALUE"""),"1/4L")</f>
        <v>1/4L</v>
      </c>
      <c r="E386" s="28">
        <f>IFERROR(__xludf.DUMMYFUNCTION("""COMPUTED_VALUE"""),0.0)</f>
        <v>0</v>
      </c>
      <c r="F386" s="52">
        <f>SUMIF(SALES!D:D, A386, SALES!H:H) + SUMIFS('STOCK IN  TRANSFER'!G:G, 'STOCK IN  TRANSFER'!D:D, A386, 'STOCK IN  TRANSFER'!F:F, "TRANSFER") + SUMIFS('STOCK IN  TRANSFER'!G:G, 'STOCK IN  TRANSFER'!D:D, A386, 'STOCK IN  TRANSFER'!F:F, "ADJUSTMENT (-)")</f>
        <v>0</v>
      </c>
      <c r="G386" s="52">
        <f>SUMIFS('STOCK IN  TRANSFER'!G:G, 'STOCK IN  TRANSFER'!D:D, A386, 'STOCK IN  TRANSFER'!F:F, "STOCK IN") + SUMIFS('STOCK IN  TRANSFER'!G:G, 'STOCK IN  TRANSFER'!D:D, A386, 'STOCK IN  TRANSFER'!F:F, "ADJUSTMENT (+)")</f>
        <v>0</v>
      </c>
    </row>
    <row r="387" ht="22.5" customHeight="1">
      <c r="A387" s="13" t="str">
        <f>IFERROR(__xludf.DUMMYFUNCTION("""COMPUTED_VALUE"""),"PUTTYKNI #6")</f>
        <v>PUTTYKNI #6</v>
      </c>
      <c r="B387" s="13" t="str">
        <f>IFERROR(__xludf.DUMMYFUNCTION("""COMPUTED_VALUE"""),"JAPAN PUTTY KNIFE #6")</f>
        <v>JAPAN PUTTY KNIFE #6</v>
      </c>
      <c r="C387" s="16">
        <f>IFERROR(__xludf.DUMMYFUNCTION("""COMPUTED_VALUE"""),15.0)</f>
        <v>15</v>
      </c>
      <c r="D387" s="13" t="str">
        <f>IFERROR(__xludf.DUMMYFUNCTION("""COMPUTED_VALUE"""),"PC/S")</f>
        <v>PC/S</v>
      </c>
      <c r="E387" s="28">
        <f>IFERROR(__xludf.DUMMYFUNCTION("""COMPUTED_VALUE"""),14.0)</f>
        <v>14</v>
      </c>
      <c r="F387" s="52">
        <f>SUMIF(SALES!D:D, A387, SALES!H:H) + SUMIFS('STOCK IN  TRANSFER'!G:G, 'STOCK IN  TRANSFER'!D:D, A387, 'STOCK IN  TRANSFER'!F:F, "TRANSFER") + SUMIFS('STOCK IN  TRANSFER'!G:G, 'STOCK IN  TRANSFER'!D:D, A387, 'STOCK IN  TRANSFER'!F:F, "ADJUSTMENT (-)")</f>
        <v>8</v>
      </c>
      <c r="G387" s="52">
        <f>SUMIFS('STOCK IN  TRANSFER'!G:G, 'STOCK IN  TRANSFER'!D:D, A387, 'STOCK IN  TRANSFER'!F:F, "STOCK IN") + SUMIFS('STOCK IN  TRANSFER'!G:G, 'STOCK IN  TRANSFER'!D:D, A387, 'STOCK IN  TRANSFER'!F:F, "ADJUSTMENT (+)")</f>
        <v>22</v>
      </c>
    </row>
    <row r="388" ht="22.5" customHeight="1">
      <c r="A388" s="13" t="str">
        <f>IFERROR(__xludf.DUMMYFUNCTION("""COMPUTED_VALUE"""),"PUTTYKNI #4")</f>
        <v>PUTTYKNI #4</v>
      </c>
      <c r="B388" s="13" t="str">
        <f>IFERROR(__xludf.DUMMYFUNCTION("""COMPUTED_VALUE"""),"JAPAN PUTTY KNIFE #4")</f>
        <v>JAPAN PUTTY KNIFE #4</v>
      </c>
      <c r="C388" s="16">
        <f>IFERROR(__xludf.DUMMYFUNCTION("""COMPUTED_VALUE"""),12.0)</f>
        <v>12</v>
      </c>
      <c r="D388" s="13" t="str">
        <f>IFERROR(__xludf.DUMMYFUNCTION("""COMPUTED_VALUE"""),"PC/S")</f>
        <v>PC/S</v>
      </c>
      <c r="E388" s="28">
        <f>IFERROR(__xludf.DUMMYFUNCTION("""COMPUTED_VALUE"""),0.0)</f>
        <v>0</v>
      </c>
      <c r="F388" s="52">
        <f>SUMIF(SALES!D:D, A388, SALES!H:H) + SUMIFS('STOCK IN  TRANSFER'!G:G, 'STOCK IN  TRANSFER'!D:D, A388, 'STOCK IN  TRANSFER'!F:F, "TRANSFER") + SUMIFS('STOCK IN  TRANSFER'!G:G, 'STOCK IN  TRANSFER'!D:D, A388, 'STOCK IN  TRANSFER'!F:F, "ADJUSTMENT (-)")</f>
        <v>26</v>
      </c>
      <c r="G388" s="52">
        <f>SUMIFS('STOCK IN  TRANSFER'!G:G, 'STOCK IN  TRANSFER'!D:D, A388, 'STOCK IN  TRANSFER'!F:F, "STOCK IN") + SUMIFS('STOCK IN  TRANSFER'!G:G, 'STOCK IN  TRANSFER'!D:D, A388, 'STOCK IN  TRANSFER'!F:F, "ADJUSTMENT (+)")</f>
        <v>26</v>
      </c>
    </row>
    <row r="389" ht="22.5" customHeight="1">
      <c r="A389" s="13" t="str">
        <f>IFERROR(__xludf.DUMMYFUNCTION("""COMPUTED_VALUE"""),"PWTCO-5033")</f>
        <v>PWTCO-5033</v>
      </c>
      <c r="B389" s="13" t="str">
        <f>IFERROR(__xludf.DUMMYFUNCTION("""COMPUTED_VALUE"""),"HANSA YELLOW OIL TINITNG COLOR PWTCO-5033 1/4L WELCOAT PREMIUM")</f>
        <v>HANSA YELLOW OIL TINITNG COLOR PWTCO-5033 1/4L WELCOAT PREMIUM</v>
      </c>
      <c r="C389" s="16">
        <f>IFERROR(__xludf.DUMMYFUNCTION("""COMPUTED_VALUE"""),90.8818)</f>
        <v>90.8818</v>
      </c>
      <c r="D389" s="13" t="str">
        <f>IFERROR(__xludf.DUMMYFUNCTION("""COMPUTED_VALUE"""),"1/4L")</f>
        <v>1/4L</v>
      </c>
      <c r="E389" s="28">
        <f>IFERROR(__xludf.DUMMYFUNCTION("""COMPUTED_VALUE"""),0.0)</f>
        <v>0</v>
      </c>
      <c r="F389" s="52">
        <f>SUMIF(SALES!D:D, A389, SALES!H:H) + SUMIFS('STOCK IN  TRANSFER'!G:G, 'STOCK IN  TRANSFER'!D:D, A389, 'STOCK IN  TRANSFER'!F:F, "TRANSFER") + SUMIFS('STOCK IN  TRANSFER'!G:G, 'STOCK IN  TRANSFER'!D:D, A389, 'STOCK IN  TRANSFER'!F:F, "ADJUSTMENT (-)")</f>
        <v>1</v>
      </c>
      <c r="G389" s="52">
        <f>SUMIFS('STOCK IN  TRANSFER'!G:G, 'STOCK IN  TRANSFER'!D:D, A389, 'STOCK IN  TRANSFER'!F:F, "STOCK IN") + SUMIFS('STOCK IN  TRANSFER'!G:G, 'STOCK IN  TRANSFER'!D:D, A389, 'STOCK IN  TRANSFER'!F:F, "ADJUSTMENT (+)")</f>
        <v>1</v>
      </c>
    </row>
    <row r="390" ht="22.5" customHeight="1">
      <c r="A390" s="13" t="str">
        <f>IFERROR(__xludf.DUMMYFUNCTION("""COMPUTED_VALUE"""),"AC-40-1L")</f>
        <v>AC-40-1L</v>
      </c>
      <c r="B390" s="13" t="str">
        <f>IFERROR(__xludf.DUMMYFUNCTION("""COMPUTED_VALUE"""),"HANSA YELLOW ACRY-COLOR AC-40 1L DAVIES")</f>
        <v>HANSA YELLOW ACRY-COLOR AC-40 1L DAVIES</v>
      </c>
      <c r="C390" s="16">
        <f>IFERROR(__xludf.DUMMYFUNCTION("""COMPUTED_VALUE"""),141.0)</f>
        <v>141</v>
      </c>
      <c r="D390" s="13" t="str">
        <f>IFERROR(__xludf.DUMMYFUNCTION("""COMPUTED_VALUE"""),"1L")</f>
        <v>1L</v>
      </c>
      <c r="E390" s="28">
        <f>IFERROR(__xludf.DUMMYFUNCTION("""COMPUTED_VALUE"""),3.0)</f>
        <v>3</v>
      </c>
      <c r="F390" s="52">
        <f>SUMIF(SALES!D:D, A390, SALES!H:H) + SUMIFS('STOCK IN  TRANSFER'!G:G, 'STOCK IN  TRANSFER'!D:D, A390, 'STOCK IN  TRANSFER'!F:F, "TRANSFER") + SUMIFS('STOCK IN  TRANSFER'!G:G, 'STOCK IN  TRANSFER'!D:D, A390, 'STOCK IN  TRANSFER'!F:F, "ADJUSTMENT (-)")</f>
        <v>2</v>
      </c>
      <c r="G390" s="52">
        <f>SUMIFS('STOCK IN  TRANSFER'!G:G, 'STOCK IN  TRANSFER'!D:D, A390, 'STOCK IN  TRANSFER'!F:F, "STOCK IN") + SUMIFS('STOCK IN  TRANSFER'!G:G, 'STOCK IN  TRANSFER'!D:D, A390, 'STOCK IN  TRANSFER'!F:F, "ADJUSTMENT (+)")</f>
        <v>5</v>
      </c>
    </row>
    <row r="391" ht="22.5" customHeight="1">
      <c r="A391" s="13" t="str">
        <f>IFERROR(__xludf.DUMMYFUNCTION("""COMPUTED_VALUE"""),"ROS-SR-911")</f>
        <v>ROS-SR-911</v>
      </c>
      <c r="B391" s="13" t="str">
        <f>IFERROR(__xludf.DUMMYFUNCTION("""COMPUTED_VALUE"""),"GREEN ELASTOMERIC WATER FROOFING PAINT ROS-SR-911 SUN ROOF RAIN 4L")</f>
        <v>GREEN ELASTOMERIC WATER FROOFING PAINT ROS-SR-911 SUN ROOF RAIN 4L</v>
      </c>
      <c r="C391" s="16">
        <f>IFERROR(__xludf.DUMMYFUNCTION("""COMPUTED_VALUE"""),577.6)</f>
        <v>577.6</v>
      </c>
      <c r="D391" s="13" t="str">
        <f>IFERROR(__xludf.DUMMYFUNCTION("""COMPUTED_VALUE"""),"4L")</f>
        <v>4L</v>
      </c>
      <c r="E391" s="28">
        <f>IFERROR(__xludf.DUMMYFUNCTION("""COMPUTED_VALUE"""),0.0)</f>
        <v>0</v>
      </c>
      <c r="F391" s="52">
        <f>SUMIF(SALES!D:D, A391, SALES!H:H) + SUMIFS('STOCK IN  TRANSFER'!G:G, 'STOCK IN  TRANSFER'!D:D, A391, 'STOCK IN  TRANSFER'!F:F, "TRANSFER") + SUMIFS('STOCK IN  TRANSFER'!G:G, 'STOCK IN  TRANSFER'!D:D, A391, 'STOCK IN  TRANSFER'!F:F, "ADJUSTMENT (-)")</f>
        <v>0</v>
      </c>
      <c r="G391" s="52">
        <f>SUMIFS('STOCK IN  TRANSFER'!G:G, 'STOCK IN  TRANSFER'!D:D, A391, 'STOCK IN  TRANSFER'!F:F, "STOCK IN") + SUMIFS('STOCK IN  TRANSFER'!G:G, 'STOCK IN  TRANSFER'!D:D, A391, 'STOCK IN  TRANSFER'!F:F, "ADJUSTMENT (+)")</f>
        <v>0</v>
      </c>
    </row>
    <row r="392" ht="22.5" customHeight="1">
      <c r="A392" s="13" t="str">
        <f>IFERROR(__xludf.DUMMYFUNCTION("""COMPUTED_VALUE"""),"ROS-678")</f>
        <v>ROS-678</v>
      </c>
      <c r="B392" s="13" t="str">
        <f>IFERROR(__xludf.DUMMYFUNCTION("""COMPUTED_VALUE"""),"GOLDEN BUTTER ROS-678 RAIN OR SHINE 4L")</f>
        <v>GOLDEN BUTTER ROS-678 RAIN OR SHINE 4L</v>
      </c>
      <c r="C392" s="16">
        <f>IFERROR(__xludf.DUMMYFUNCTION("""COMPUTED_VALUE"""),645.3)</f>
        <v>645.3</v>
      </c>
      <c r="D392" s="13" t="str">
        <f>IFERROR(__xludf.DUMMYFUNCTION("""COMPUTED_VALUE"""),"4L")</f>
        <v>4L</v>
      </c>
      <c r="E392" s="28">
        <f>IFERROR(__xludf.DUMMYFUNCTION("""COMPUTED_VALUE"""),5.0)</f>
        <v>5</v>
      </c>
      <c r="F392" s="52">
        <f>SUMIF(SALES!D:D, A392, SALES!H:H) + SUMIFS('STOCK IN  TRANSFER'!G:G, 'STOCK IN  TRANSFER'!D:D, A392, 'STOCK IN  TRANSFER'!F:F, "TRANSFER") + SUMIFS('STOCK IN  TRANSFER'!G:G, 'STOCK IN  TRANSFER'!D:D, A392, 'STOCK IN  TRANSFER'!F:F, "ADJUSTMENT (-)")</f>
        <v>1</v>
      </c>
      <c r="G392" s="52">
        <f>SUMIFS('STOCK IN  TRANSFER'!G:G, 'STOCK IN  TRANSFER'!D:D, A392, 'STOCK IN  TRANSFER'!F:F, "STOCK IN") + SUMIFS('STOCK IN  TRANSFER'!G:G, 'STOCK IN  TRANSFER'!D:D, A392, 'STOCK IN  TRANSFER'!F:F, "ADJUSTMENT (+)")</f>
        <v>6</v>
      </c>
    </row>
    <row r="393" ht="22.5" customHeight="1">
      <c r="A393" s="13" t="str">
        <f>IFERROR(__xludf.DUMMYFUNCTION("""COMPUTED_VALUE"""),"ROS-529")</f>
        <v>ROS-529</v>
      </c>
      <c r="B393" s="13" t="str">
        <f>IFERROR(__xludf.DUMMYFUNCTION("""COMPUTED_VALUE"""),"GOLD RUSH ROS-529 RAIN OR SHINE 4L")</f>
        <v>GOLD RUSH ROS-529 RAIN OR SHINE 4L</v>
      </c>
      <c r="C393" s="16">
        <f>IFERROR(__xludf.DUMMYFUNCTION("""COMPUTED_VALUE"""),767.1)</f>
        <v>767.1</v>
      </c>
      <c r="D393" s="13" t="str">
        <f>IFERROR(__xludf.DUMMYFUNCTION("""COMPUTED_VALUE"""),"4L")</f>
        <v>4L</v>
      </c>
      <c r="E393" s="28">
        <f>IFERROR(__xludf.DUMMYFUNCTION("""COMPUTED_VALUE"""),2.0)</f>
        <v>2</v>
      </c>
      <c r="F393" s="52">
        <f>SUMIF(SALES!D:D, A393, SALES!H:H) + SUMIFS('STOCK IN  TRANSFER'!G:G, 'STOCK IN  TRANSFER'!D:D, A393, 'STOCK IN  TRANSFER'!F:F, "TRANSFER") + SUMIFS('STOCK IN  TRANSFER'!G:G, 'STOCK IN  TRANSFER'!D:D, A393, 'STOCK IN  TRANSFER'!F:F, "ADJUSTMENT (-)")</f>
        <v>0</v>
      </c>
      <c r="G393" s="52">
        <f>SUMIFS('STOCK IN  TRANSFER'!G:G, 'STOCK IN  TRANSFER'!D:D, A393, 'STOCK IN  TRANSFER'!F:F, "STOCK IN") + SUMIFS('STOCK IN  TRANSFER'!G:G, 'STOCK IN  TRANSFER'!D:D, A393, 'STOCK IN  TRANSFER'!F:F, "ADJUSTMENT (+)")</f>
        <v>2</v>
      </c>
    </row>
    <row r="394" ht="22.5" customHeight="1">
      <c r="A394" s="13" t="str">
        <f>IFERROR(__xludf.DUMMYFUNCTION("""COMPUTED_VALUE"""),"GLAZERYG-1L")</f>
        <v>GLAZERYG-1L</v>
      </c>
      <c r="B394" s="13" t="str">
        <f>IFERROR(__xludf.DUMMYFUNCTION("""COMPUTED_VALUE"""),"GLAZER AUTOMOTIVE ENAMEL YELLOW GREEN 1L")</f>
        <v>GLAZER AUTOMOTIVE ENAMEL YELLOW GREEN 1L</v>
      </c>
      <c r="C394" s="16">
        <f>IFERROR(__xludf.DUMMYFUNCTION("""COMPUTED_VALUE"""),350.0)</f>
        <v>350</v>
      </c>
      <c r="D394" s="13" t="str">
        <f>IFERROR(__xludf.DUMMYFUNCTION("""COMPUTED_VALUE"""),"LITER")</f>
        <v>LITER</v>
      </c>
      <c r="E394" s="28">
        <f>IFERROR(__xludf.DUMMYFUNCTION("""COMPUTED_VALUE"""),0.0)</f>
        <v>0</v>
      </c>
      <c r="F394" s="52">
        <f>SUMIF(SALES!D:D, A394, SALES!H:H) + SUMIFS('STOCK IN  TRANSFER'!G:G, 'STOCK IN  TRANSFER'!D:D, A394, 'STOCK IN  TRANSFER'!F:F, "TRANSFER") + SUMIFS('STOCK IN  TRANSFER'!G:G, 'STOCK IN  TRANSFER'!D:D, A394, 'STOCK IN  TRANSFER'!F:F, "ADJUSTMENT (-)")</f>
        <v>0</v>
      </c>
      <c r="G394" s="52">
        <f>SUMIFS('STOCK IN  TRANSFER'!G:G, 'STOCK IN  TRANSFER'!D:D, A394, 'STOCK IN  TRANSFER'!F:F, "STOCK IN") + SUMIFS('STOCK IN  TRANSFER'!G:G, 'STOCK IN  TRANSFER'!D:D, A394, 'STOCK IN  TRANSFER'!F:F, "ADJUSTMENT (+)")</f>
        <v>0</v>
      </c>
    </row>
    <row r="395" ht="22.5" customHeight="1">
      <c r="A395" s="13" t="str">
        <f>IFERROR(__xludf.DUMMYFUNCTION("""COMPUTED_VALUE"""),"GLAUEWHITE-4L")</f>
        <v>GLAUEWHITE-4L</v>
      </c>
      <c r="B395" s="13" t="str">
        <f>IFERROR(__xludf.DUMMYFUNCTION("""COMPUTED_VALUE"""),"GLAZER AUTOMOTIVE ENAMEL WHITE 4L")</f>
        <v>GLAZER AUTOMOTIVE ENAMEL WHITE 4L</v>
      </c>
      <c r="C395" s="16">
        <f>IFERROR(__xludf.DUMMYFUNCTION("""COMPUTED_VALUE"""),855.0)</f>
        <v>855</v>
      </c>
      <c r="D395" s="13" t="str">
        <f>IFERROR(__xludf.DUMMYFUNCTION("""COMPUTED_VALUE"""),"GALON")</f>
        <v>GALON</v>
      </c>
      <c r="E395" s="28">
        <f>IFERROR(__xludf.DUMMYFUNCTION("""COMPUTED_VALUE"""),0.0)</f>
        <v>0</v>
      </c>
      <c r="F395" s="52">
        <f>SUMIF(SALES!D:D, A395, SALES!H:H) + SUMIFS('STOCK IN  TRANSFER'!G:G, 'STOCK IN  TRANSFER'!D:D, A395, 'STOCK IN  TRANSFER'!F:F, "TRANSFER") + SUMIFS('STOCK IN  TRANSFER'!G:G, 'STOCK IN  TRANSFER'!D:D, A395, 'STOCK IN  TRANSFER'!F:F, "ADJUSTMENT (-)")</f>
        <v>0</v>
      </c>
      <c r="G395" s="52">
        <f>SUMIFS('STOCK IN  TRANSFER'!G:G, 'STOCK IN  TRANSFER'!D:D, A395, 'STOCK IN  TRANSFER'!F:F, "STOCK IN") + SUMIFS('STOCK IN  TRANSFER'!G:G, 'STOCK IN  TRANSFER'!D:D, A395, 'STOCK IN  TRANSFER'!F:F, "ADJUSTMENT (+)")</f>
        <v>0</v>
      </c>
    </row>
    <row r="396" ht="22.5" customHeight="1">
      <c r="A396" s="13" t="str">
        <f>IFERROR(__xludf.DUMMYFUNCTION("""COMPUTED_VALUE"""),"GLAZERW-1L")</f>
        <v>GLAZERW-1L</v>
      </c>
      <c r="B396" s="13" t="str">
        <f>IFERROR(__xludf.DUMMYFUNCTION("""COMPUTED_VALUE"""),"GLAZER AUTOMOTIVE ENAMEL WHITE (R) 1L")</f>
        <v>GLAZER AUTOMOTIVE ENAMEL WHITE (R) 1L</v>
      </c>
      <c r="C396" s="16">
        <f>IFERROR(__xludf.DUMMYFUNCTION("""COMPUTED_VALUE"""),0.0)</f>
        <v>0</v>
      </c>
      <c r="D396" s="13" t="str">
        <f>IFERROR(__xludf.DUMMYFUNCTION("""COMPUTED_VALUE"""),"LITER")</f>
        <v>LITER</v>
      </c>
      <c r="E396" s="28">
        <f>IFERROR(__xludf.DUMMYFUNCTION("""COMPUTED_VALUE"""),0.0)</f>
        <v>0</v>
      </c>
      <c r="F396" s="52">
        <f>SUMIF(SALES!D:D, A396, SALES!H:H) + SUMIFS('STOCK IN  TRANSFER'!G:G, 'STOCK IN  TRANSFER'!D:D, A396, 'STOCK IN  TRANSFER'!F:F, "TRANSFER") + SUMIFS('STOCK IN  TRANSFER'!G:G, 'STOCK IN  TRANSFER'!D:D, A396, 'STOCK IN  TRANSFER'!F:F, "ADJUSTMENT (-)")</f>
        <v>1</v>
      </c>
      <c r="G396" s="52">
        <f>SUMIFS('STOCK IN  TRANSFER'!G:G, 'STOCK IN  TRANSFER'!D:D, A396, 'STOCK IN  TRANSFER'!F:F, "STOCK IN") + SUMIFS('STOCK IN  TRANSFER'!G:G, 'STOCK IN  TRANSFER'!D:D, A396, 'STOCK IN  TRANSFER'!F:F, "ADJUSTMENT (+)")</f>
        <v>1</v>
      </c>
    </row>
    <row r="397" ht="22.5" customHeight="1">
      <c r="A397" s="13" t="str">
        <f>IFERROR(__xludf.DUMMYFUNCTION("""COMPUTED_VALUE"""),"GLAZERYG-4L")</f>
        <v>GLAZERYG-4L</v>
      </c>
      <c r="B397" s="13" t="str">
        <f>IFERROR(__xludf.DUMMYFUNCTION("""COMPUTED_VALUE"""),"GLAZER AUTOMOTIVE ENAMEL LEMON YELLOW 4L")</f>
        <v>GLAZER AUTOMOTIVE ENAMEL LEMON YELLOW 4L</v>
      </c>
      <c r="C397" s="16">
        <f>IFERROR(__xludf.DUMMYFUNCTION("""COMPUTED_VALUE"""),855.0)</f>
        <v>855</v>
      </c>
      <c r="D397" s="13" t="str">
        <f>IFERROR(__xludf.DUMMYFUNCTION("""COMPUTED_VALUE"""),"GALON")</f>
        <v>GALON</v>
      </c>
      <c r="E397" s="28">
        <f>IFERROR(__xludf.DUMMYFUNCTION("""COMPUTED_VALUE"""),0.0)</f>
        <v>0</v>
      </c>
      <c r="F397" s="52">
        <f>SUMIF(SALES!D:D, A397, SALES!H:H) + SUMIFS('STOCK IN  TRANSFER'!G:G, 'STOCK IN  TRANSFER'!D:D, A397, 'STOCK IN  TRANSFER'!F:F, "TRANSFER") + SUMIFS('STOCK IN  TRANSFER'!G:G, 'STOCK IN  TRANSFER'!D:D, A397, 'STOCK IN  TRANSFER'!F:F, "ADJUSTMENT (-)")</f>
        <v>0</v>
      </c>
      <c r="G397" s="52">
        <f>SUMIFS('STOCK IN  TRANSFER'!G:G, 'STOCK IN  TRANSFER'!D:D, A397, 'STOCK IN  TRANSFER'!F:F, "STOCK IN") + SUMIFS('STOCK IN  TRANSFER'!G:G, 'STOCK IN  TRANSFER'!D:D, A397, 'STOCK IN  TRANSFER'!F:F, "ADJUSTMENT (+)")</f>
        <v>0</v>
      </c>
    </row>
    <row r="398" ht="22.5" customHeight="1">
      <c r="A398" s="13" t="str">
        <f>IFERROR(__xludf.DUMMYFUNCTION("""COMPUTED_VALUE"""),"GLAZERB-4L")</f>
        <v>GLAZERB-4L</v>
      </c>
      <c r="B398" s="13" t="str">
        <f>IFERROR(__xludf.DUMMYFUNCTION("""COMPUTED_VALUE"""),"GLAZER AUTOMOTIVE ENAMEL BLACK 4L")</f>
        <v>GLAZER AUTOMOTIVE ENAMEL BLACK 4L</v>
      </c>
      <c r="C398" s="16">
        <f>IFERROR(__xludf.DUMMYFUNCTION("""COMPUTED_VALUE"""),761.0)</f>
        <v>761</v>
      </c>
      <c r="D398" s="13" t="str">
        <f>IFERROR(__xludf.DUMMYFUNCTION("""COMPUTED_VALUE"""),"GALON")</f>
        <v>GALON</v>
      </c>
      <c r="E398" s="28">
        <f>IFERROR(__xludf.DUMMYFUNCTION("""COMPUTED_VALUE"""),0.0)</f>
        <v>0</v>
      </c>
      <c r="F398" s="52">
        <f>SUMIF(SALES!D:D, A398, SALES!H:H) + SUMIFS('STOCK IN  TRANSFER'!G:G, 'STOCK IN  TRANSFER'!D:D, A398, 'STOCK IN  TRANSFER'!F:F, "TRANSFER") + SUMIFS('STOCK IN  TRANSFER'!G:G, 'STOCK IN  TRANSFER'!D:D, A398, 'STOCK IN  TRANSFER'!F:F, "ADJUSTMENT (-)")</f>
        <v>2</v>
      </c>
      <c r="G398" s="52">
        <f>SUMIFS('STOCK IN  TRANSFER'!G:G, 'STOCK IN  TRANSFER'!D:D, A398, 'STOCK IN  TRANSFER'!F:F, "STOCK IN") + SUMIFS('STOCK IN  TRANSFER'!G:G, 'STOCK IN  TRANSFER'!D:D, A398, 'STOCK IN  TRANSFER'!F:F, "ADJUSTMENT (+)")</f>
        <v>2</v>
      </c>
    </row>
    <row r="399" ht="22.5" customHeight="1">
      <c r="A399" s="13" t="str">
        <f>IFERROR(__xludf.DUMMYFUNCTION("""COMPUTED_VALUE"""),"GIPREMOVER-BOT")</f>
        <v>GIPREMOVER-BOT</v>
      </c>
      <c r="B399" s="13" t="str">
        <f>IFERROR(__xludf.DUMMYFUNCTION("""COMPUTED_VALUE"""),"GI PAINT REMOVER BOTTLE")</f>
        <v>GI PAINT REMOVER BOTTLE</v>
      </c>
      <c r="C399" s="16">
        <f>IFERROR(__xludf.DUMMYFUNCTION("""COMPUTED_VALUE"""),68.0)</f>
        <v>68</v>
      </c>
      <c r="D399" s="13" t="str">
        <f>IFERROR(__xludf.DUMMYFUNCTION("""COMPUTED_VALUE"""),"BOT")</f>
        <v>BOT</v>
      </c>
      <c r="E399" s="28">
        <f>IFERROR(__xludf.DUMMYFUNCTION("""COMPUTED_VALUE"""),16.0)</f>
        <v>16</v>
      </c>
      <c r="F399" s="52">
        <f>SUMIF(SALES!D:D, A399, SALES!H:H) + SUMIFS('STOCK IN  TRANSFER'!G:G, 'STOCK IN  TRANSFER'!D:D, A399, 'STOCK IN  TRANSFER'!F:F, "TRANSFER") + SUMIFS('STOCK IN  TRANSFER'!G:G, 'STOCK IN  TRANSFER'!D:D, A399, 'STOCK IN  TRANSFER'!F:F, "ADJUSTMENT (-)")</f>
        <v>8</v>
      </c>
      <c r="G399" s="52">
        <f>SUMIFS('STOCK IN  TRANSFER'!G:G, 'STOCK IN  TRANSFER'!D:D, A399, 'STOCK IN  TRANSFER'!F:F, "STOCK IN") + SUMIFS('STOCK IN  TRANSFER'!G:G, 'STOCK IN  TRANSFER'!D:D, A399, 'STOCK IN  TRANSFER'!F:F, "ADJUSTMENT (+)")</f>
        <v>24</v>
      </c>
    </row>
    <row r="400" ht="22.5" customHeight="1">
      <c r="A400" s="13" t="str">
        <f>IFERROR(__xludf.DUMMYFUNCTION("""COMPUTED_VALUE"""),"FRANELLA")</f>
        <v>FRANELLA</v>
      </c>
      <c r="B400" s="13" t="str">
        <f>IFERROR(__xludf.DUMMYFUNCTION("""COMPUTED_VALUE"""),"FRANELLA CLOTH 1YARD")</f>
        <v>FRANELLA CLOTH 1YARD</v>
      </c>
      <c r="C400" s="16">
        <f>IFERROR(__xludf.DUMMYFUNCTION("""COMPUTED_VALUE"""),68.0)</f>
        <v>68</v>
      </c>
      <c r="D400" s="13" t="str">
        <f>IFERROR(__xludf.DUMMYFUNCTION("""COMPUTED_VALUE"""),"1YRD")</f>
        <v>1YRD</v>
      </c>
      <c r="E400" s="28">
        <f>IFERROR(__xludf.DUMMYFUNCTION("""COMPUTED_VALUE"""),70.0)</f>
        <v>70</v>
      </c>
      <c r="F400" s="52">
        <f>SUMIF(SALES!D:D, A400, SALES!H:H) + SUMIFS('STOCK IN  TRANSFER'!G:G, 'STOCK IN  TRANSFER'!D:D, A400, 'STOCK IN  TRANSFER'!F:F, "TRANSFER") + SUMIFS('STOCK IN  TRANSFER'!G:G, 'STOCK IN  TRANSFER'!D:D, A400, 'STOCK IN  TRANSFER'!F:F, "ADJUSTMENT (-)")</f>
        <v>8</v>
      </c>
      <c r="G400" s="52">
        <f>SUMIFS('STOCK IN  TRANSFER'!G:G, 'STOCK IN  TRANSFER'!D:D, A400, 'STOCK IN  TRANSFER'!F:F, "STOCK IN") + SUMIFS('STOCK IN  TRANSFER'!G:G, 'STOCK IN  TRANSFER'!D:D, A400, 'STOCK IN  TRANSFER'!F:F, "ADJUSTMENT (+)")</f>
        <v>78</v>
      </c>
    </row>
    <row r="401" ht="22.5" customHeight="1">
      <c r="A401" s="13" t="str">
        <f>IFERROR(__xludf.DUMMYFUNCTION("""COMPUTED_VALUE"""),"B-701-4L")</f>
        <v>B-701-4L</v>
      </c>
      <c r="B401" s="13" t="str">
        <f>IFERROR(__xludf.DUMMYFUNCTION("""COMPUTED_VALUE"""),"FLAT WHITE ACRYLIC LATEX B-701 BOYSEN 4L")</f>
        <v>FLAT WHITE ACRYLIC LATEX B-701 BOYSEN 4L</v>
      </c>
      <c r="C401" s="16">
        <f>IFERROR(__xludf.DUMMYFUNCTION("""COMPUTED_VALUE"""),640.0)</f>
        <v>640</v>
      </c>
      <c r="D401" s="13" t="str">
        <f>IFERROR(__xludf.DUMMYFUNCTION("""COMPUTED_VALUE"""),"4L")</f>
        <v>4L</v>
      </c>
      <c r="E401" s="28">
        <f>IFERROR(__xludf.DUMMYFUNCTION("""COMPUTED_VALUE"""),3.0)</f>
        <v>3</v>
      </c>
      <c r="F401" s="52">
        <f>SUMIF(SALES!D:D, A401, SALES!H:H) + SUMIFS('STOCK IN  TRANSFER'!G:G, 'STOCK IN  TRANSFER'!D:D, A401, 'STOCK IN  TRANSFER'!F:F, "TRANSFER") + SUMIFS('STOCK IN  TRANSFER'!G:G, 'STOCK IN  TRANSFER'!D:D, A401, 'STOCK IN  TRANSFER'!F:F, "ADJUSTMENT (-)")</f>
        <v>3.75</v>
      </c>
      <c r="G401" s="52">
        <f>SUMIFS('STOCK IN  TRANSFER'!G:G, 'STOCK IN  TRANSFER'!D:D, A401, 'STOCK IN  TRANSFER'!F:F, "STOCK IN") + SUMIFS('STOCK IN  TRANSFER'!G:G, 'STOCK IN  TRANSFER'!D:D, A401, 'STOCK IN  TRANSFER'!F:F, "ADJUSTMENT (+)")</f>
        <v>6.75</v>
      </c>
    </row>
    <row r="402" ht="22.5" customHeight="1">
      <c r="A402" s="13" t="str">
        <f>IFERROR(__xludf.DUMMYFUNCTION("""COMPUTED_VALUE"""),"SPRYGUN")</f>
        <v>SPRYGUN</v>
      </c>
      <c r="B402" s="13" t="str">
        <f>IFERROR(__xludf.DUMMYFUNCTION("""COMPUTED_VALUE"""),"EUROMAX SPRAY GUN F75")</f>
        <v>EUROMAX SPRAY GUN F75</v>
      </c>
      <c r="C402" s="16">
        <f>IFERROR(__xludf.DUMMYFUNCTION("""COMPUTED_VALUE"""),880.0)</f>
        <v>880</v>
      </c>
      <c r="D402" s="13" t="str">
        <f>IFERROR(__xludf.DUMMYFUNCTION("""COMPUTED_VALUE"""),"PC/S")</f>
        <v>PC/S</v>
      </c>
      <c r="E402" s="28">
        <f>IFERROR(__xludf.DUMMYFUNCTION("""COMPUTED_VALUE"""),0.0)</f>
        <v>0</v>
      </c>
      <c r="F402" s="52">
        <f>SUMIF(SALES!D:D, A402, SALES!H:H) + SUMIFS('STOCK IN  TRANSFER'!G:G, 'STOCK IN  TRANSFER'!D:D, A402, 'STOCK IN  TRANSFER'!F:F, "TRANSFER") + SUMIFS('STOCK IN  TRANSFER'!G:G, 'STOCK IN  TRANSFER'!D:D, A402, 'STOCK IN  TRANSFER'!F:F, "ADJUSTMENT (-)")</f>
        <v>0</v>
      </c>
      <c r="G402" s="52">
        <f>SUMIFS('STOCK IN  TRANSFER'!G:G, 'STOCK IN  TRANSFER'!D:D, A402, 'STOCK IN  TRANSFER'!F:F, "STOCK IN") + SUMIFS('STOCK IN  TRANSFER'!G:G, 'STOCK IN  TRANSFER'!D:D, A402, 'STOCK IN  TRANSFER'!F:F, "ADJUSTMENT (+)")</f>
        <v>0</v>
      </c>
    </row>
    <row r="403" ht="22.5" customHeight="1">
      <c r="A403" s="13" t="str">
        <f>IFERROR(__xludf.DUMMYFUNCTION("""COMPUTED_VALUE"""),"EPOXYELB-1L")</f>
        <v>EPOXYELB-1L</v>
      </c>
      <c r="B403" s="13" t="str">
        <f>IFERROR(__xludf.DUMMYFUNCTION("""COMPUTED_VALUE"""),"EPOXY ENAMEL MIX BLUE 1L")</f>
        <v>EPOXY ENAMEL MIX BLUE 1L</v>
      </c>
      <c r="C403" s="16">
        <f>IFERROR(__xludf.DUMMYFUNCTION("""COMPUTED_VALUE"""),400.0)</f>
        <v>400</v>
      </c>
      <c r="D403" s="13" t="str">
        <f>IFERROR(__xludf.DUMMYFUNCTION("""COMPUTED_VALUE"""),"LITER")</f>
        <v>LITER</v>
      </c>
      <c r="E403" s="28">
        <f>IFERROR(__xludf.DUMMYFUNCTION("""COMPUTED_VALUE"""),0.0)</f>
        <v>0</v>
      </c>
      <c r="F403" s="52">
        <f>SUMIF(SALES!D:D, A403, SALES!H:H) + SUMIFS('STOCK IN  TRANSFER'!G:G, 'STOCK IN  TRANSFER'!D:D, A403, 'STOCK IN  TRANSFER'!F:F, "TRANSFER") + SUMIFS('STOCK IN  TRANSFER'!G:G, 'STOCK IN  TRANSFER'!D:D, A403, 'STOCK IN  TRANSFER'!F:F, "ADJUSTMENT (-)")</f>
        <v>0</v>
      </c>
      <c r="G403" s="52">
        <f>SUMIFS('STOCK IN  TRANSFER'!G:G, 'STOCK IN  TRANSFER'!D:D, A403, 'STOCK IN  TRANSFER'!F:F, "STOCK IN") + SUMIFS('STOCK IN  TRANSFER'!G:G, 'STOCK IN  TRANSFER'!D:D, A403, 'STOCK IN  TRANSFER'!F:F, "ADJUSTMENT (+)")</f>
        <v>0</v>
      </c>
    </row>
    <row r="404" ht="22.5" customHeight="1">
      <c r="A404" s="13" t="str">
        <f>IFERROR(__xludf.DUMMYFUNCTION("""COMPUTED_VALUE"""),"EMPTYGLASS")</f>
        <v>EMPTYGLASS</v>
      </c>
      <c r="B404" s="13" t="str">
        <f>IFERROR(__xludf.DUMMYFUNCTION("""COMPUTED_VALUE"""),"EMPTY GLASS FOR MIXING PAINT 1/4L")</f>
        <v>EMPTY GLASS FOR MIXING PAINT 1/4L</v>
      </c>
      <c r="C404" s="16">
        <f>IFERROR(__xludf.DUMMYFUNCTION("""COMPUTED_VALUE"""),3.0)</f>
        <v>3</v>
      </c>
      <c r="D404" s="13" t="str">
        <f>IFERROR(__xludf.DUMMYFUNCTION("""COMPUTED_VALUE"""),"1/4L")</f>
        <v>1/4L</v>
      </c>
      <c r="E404" s="28">
        <f>IFERROR(__xludf.DUMMYFUNCTION("""COMPUTED_VALUE"""),0.0)</f>
        <v>0</v>
      </c>
      <c r="F404" s="52">
        <f>SUMIF(SALES!D:D, A404, SALES!H:H) + SUMIFS('STOCK IN  TRANSFER'!G:G, 'STOCK IN  TRANSFER'!D:D, A404, 'STOCK IN  TRANSFER'!F:F, "TRANSFER") + SUMIFS('STOCK IN  TRANSFER'!G:G, 'STOCK IN  TRANSFER'!D:D, A404, 'STOCK IN  TRANSFER'!F:F, "ADJUSTMENT (-)")</f>
        <v>0</v>
      </c>
      <c r="G404" s="52">
        <f>SUMIFS('STOCK IN  TRANSFER'!G:G, 'STOCK IN  TRANSFER'!D:D, A404, 'STOCK IN  TRANSFER'!F:F, "STOCK IN") + SUMIFS('STOCK IN  TRANSFER'!G:G, 'STOCK IN  TRANSFER'!D:D, A404, 'STOCK IN  TRANSFER'!F:F, "ADJUSTMENT (+)")</f>
        <v>0</v>
      </c>
    </row>
    <row r="405" ht="22.5" customHeight="1">
      <c r="A405" s="13" t="str">
        <f>IFERROR(__xludf.DUMMYFUNCTION("""COMPUTED_VALUE"""),"CAN-1L")</f>
        <v>CAN-1L</v>
      </c>
      <c r="B405" s="13" t="str">
        <f>IFERROR(__xludf.DUMMYFUNCTION("""COMPUTED_VALUE"""),"EMPTY CAN LITER SIZE")</f>
        <v>EMPTY CAN LITER SIZE</v>
      </c>
      <c r="C405" s="16">
        <f>IFERROR(__xludf.DUMMYFUNCTION("""COMPUTED_VALUE"""),3.0)</f>
        <v>3</v>
      </c>
      <c r="D405" s="13" t="str">
        <f>IFERROR(__xludf.DUMMYFUNCTION("""COMPUTED_VALUE"""),"CAN")</f>
        <v>CAN</v>
      </c>
      <c r="E405" s="28">
        <f>IFERROR(__xludf.DUMMYFUNCTION("""COMPUTED_VALUE"""),0.0)</f>
        <v>0</v>
      </c>
      <c r="F405" s="52">
        <f>SUMIF(SALES!D:D, A405, SALES!H:H) + SUMIFS('STOCK IN  TRANSFER'!G:G, 'STOCK IN  TRANSFER'!D:D, A405, 'STOCK IN  TRANSFER'!F:F, "TRANSFER") + SUMIFS('STOCK IN  TRANSFER'!G:G, 'STOCK IN  TRANSFER'!D:D, A405, 'STOCK IN  TRANSFER'!F:F, "ADJUSTMENT (-)")</f>
        <v>0</v>
      </c>
      <c r="G405" s="52">
        <f>SUMIFS('STOCK IN  TRANSFER'!G:G, 'STOCK IN  TRANSFER'!D:D, A405, 'STOCK IN  TRANSFER'!F:F, "STOCK IN") + SUMIFS('STOCK IN  TRANSFER'!G:G, 'STOCK IN  TRANSFER'!D:D, A405, 'STOCK IN  TRANSFER'!F:F, "ADJUSTMENT (+)")</f>
        <v>0</v>
      </c>
    </row>
    <row r="406" ht="22.5" customHeight="1">
      <c r="A406" s="13" t="str">
        <f>IFERROR(__xludf.DUMMYFUNCTION("""COMPUTED_VALUE"""),"MEEKBOS-4L")</f>
        <v>MEEKBOS-4L</v>
      </c>
      <c r="B406" s="13" t="str">
        <f>IFERROR(__xludf.DUMMYFUNCTION("""COMPUTED_VALUE"""),"EL KAPITAN A &amp; B 4L")</f>
        <v>EL KAPITAN A &amp; B 4L</v>
      </c>
      <c r="C406" s="16">
        <f>IFERROR(__xludf.DUMMYFUNCTION("""COMPUTED_VALUE"""),2098.0)</f>
        <v>2098</v>
      </c>
      <c r="D406" s="13" t="str">
        <f>IFERROR(__xludf.DUMMYFUNCTION("""COMPUTED_VALUE"""),"SET")</f>
        <v>SET</v>
      </c>
      <c r="E406" s="28">
        <f>IFERROR(__xludf.DUMMYFUNCTION("""COMPUTED_VALUE"""),3.0)</f>
        <v>3</v>
      </c>
      <c r="F406" s="52">
        <f>SUMIF(SALES!D:D, A406, SALES!H:H) + SUMIFS('STOCK IN  TRANSFER'!G:G, 'STOCK IN  TRANSFER'!D:D, A406, 'STOCK IN  TRANSFER'!F:F, "TRANSFER") + SUMIFS('STOCK IN  TRANSFER'!G:G, 'STOCK IN  TRANSFER'!D:D, A406, 'STOCK IN  TRANSFER'!F:F, "ADJUSTMENT (-)")</f>
        <v>0</v>
      </c>
      <c r="G406" s="52">
        <f>SUMIFS('STOCK IN  TRANSFER'!G:G, 'STOCK IN  TRANSFER'!D:D, A406, 'STOCK IN  TRANSFER'!F:F, "STOCK IN") + SUMIFS('STOCK IN  TRANSFER'!G:G, 'STOCK IN  TRANSFER'!D:D, A406, 'STOCK IN  TRANSFER'!F:F, "ADJUSTMENT (+)")</f>
        <v>3</v>
      </c>
    </row>
    <row r="407" ht="22.5" customHeight="1">
      <c r="A407" s="13" t="str">
        <f>IFERROR(__xludf.DUMMYFUNCTION("""COMPUTED_VALUE"""),"ECOBAG-M")</f>
        <v>ECOBAG-M</v>
      </c>
      <c r="B407" s="13" t="str">
        <f>IFERROR(__xludf.DUMMYFUNCTION("""COMPUTED_VALUE"""),"ECO BAG MEDIUM")</f>
        <v>ECO BAG MEDIUM</v>
      </c>
      <c r="C407" s="16">
        <f>IFERROR(__xludf.DUMMYFUNCTION("""COMPUTED_VALUE"""),5.0)</f>
        <v>5</v>
      </c>
      <c r="D407" s="13" t="str">
        <f>IFERROR(__xludf.DUMMYFUNCTION("""COMPUTED_VALUE"""),"PCS")</f>
        <v>PCS</v>
      </c>
      <c r="E407" s="28">
        <f>IFERROR(__xludf.DUMMYFUNCTION("""COMPUTED_VALUE"""),0.0)</f>
        <v>0</v>
      </c>
      <c r="F407" s="52">
        <f>SUMIF(SALES!D:D, A407, SALES!H:H) + SUMIFS('STOCK IN  TRANSFER'!G:G, 'STOCK IN  TRANSFER'!D:D, A407, 'STOCK IN  TRANSFER'!F:F, "TRANSFER") + SUMIFS('STOCK IN  TRANSFER'!G:G, 'STOCK IN  TRANSFER'!D:D, A407, 'STOCK IN  TRANSFER'!F:F, "ADJUSTMENT (-)")</f>
        <v>0</v>
      </c>
      <c r="G407" s="52">
        <f>SUMIFS('STOCK IN  TRANSFER'!G:G, 'STOCK IN  TRANSFER'!D:D, A407, 'STOCK IN  TRANSFER'!F:F, "STOCK IN") + SUMIFS('STOCK IN  TRANSFER'!G:G, 'STOCK IN  TRANSFER'!D:D, A407, 'STOCK IN  TRANSFER'!F:F, "ADJUSTMENT (+)")</f>
        <v>0</v>
      </c>
    </row>
    <row r="408" ht="22.5" customHeight="1">
      <c r="A408" s="13" t="str">
        <f>IFERROR(__xludf.DUMMYFUNCTION("""COMPUTED_VALUE"""),"EA1500")</f>
        <v>EA1500</v>
      </c>
      <c r="B408" s="13" t="str">
        <f>IFERROR(__xludf.DUMMYFUNCTION("""COMPUTED_VALUE"""),"EAGLE SANDPAPER #1500")</f>
        <v>EAGLE SANDPAPER #1500</v>
      </c>
      <c r="C408" s="16">
        <f>IFERROR(__xludf.DUMMYFUNCTION("""COMPUTED_VALUE"""),28.0)</f>
        <v>28</v>
      </c>
      <c r="D408" s="13" t="str">
        <f>IFERROR(__xludf.DUMMYFUNCTION("""COMPUTED_VALUE"""),"PC/S")</f>
        <v>PC/S</v>
      </c>
      <c r="E408" s="28">
        <f>IFERROR(__xludf.DUMMYFUNCTION("""COMPUTED_VALUE"""),101.0)</f>
        <v>101</v>
      </c>
      <c r="F408" s="52">
        <f>SUMIF(SALES!D:D, A408, SALES!H:H) + SUMIFS('STOCK IN  TRANSFER'!G:G, 'STOCK IN  TRANSFER'!D:D, A408, 'STOCK IN  TRANSFER'!F:F, "TRANSFER") + SUMIFS('STOCK IN  TRANSFER'!G:G, 'STOCK IN  TRANSFER'!D:D, A408, 'STOCK IN  TRANSFER'!F:F, "ADJUSTMENT (-)")</f>
        <v>177</v>
      </c>
      <c r="G408" s="52">
        <f>SUMIFS('STOCK IN  TRANSFER'!G:G, 'STOCK IN  TRANSFER'!D:D, A408, 'STOCK IN  TRANSFER'!F:F, "STOCK IN") + SUMIFS('STOCK IN  TRANSFER'!G:G, 'STOCK IN  TRANSFER'!D:D, A408, 'STOCK IN  TRANSFER'!F:F, "ADJUSTMENT (+)")</f>
        <v>278</v>
      </c>
    </row>
    <row r="409" ht="22.5" customHeight="1">
      <c r="A409" s="13" t="str">
        <f>IFERROR(__xludf.DUMMYFUNCTION("""COMPUTED_VALUE"""),"EA800")</f>
        <v>EA800</v>
      </c>
      <c r="B409" s="13" t="str">
        <f>IFERROR(__xludf.DUMMYFUNCTION("""COMPUTED_VALUE"""),"EAGLE SANDPAPER #800")</f>
        <v>EAGLE SANDPAPER #800</v>
      </c>
      <c r="C409" s="16">
        <f>IFERROR(__xludf.DUMMYFUNCTION("""COMPUTED_VALUE"""),18.5)</f>
        <v>18.5</v>
      </c>
      <c r="D409" s="13" t="str">
        <f>IFERROR(__xludf.DUMMYFUNCTION("""COMPUTED_VALUE"""),"PC/S")</f>
        <v>PC/S</v>
      </c>
      <c r="E409" s="28">
        <f>IFERROR(__xludf.DUMMYFUNCTION("""COMPUTED_VALUE"""),75.0)</f>
        <v>75</v>
      </c>
      <c r="F409" s="52">
        <f>SUMIF(SALES!D:D, A409, SALES!H:H) + SUMIFS('STOCK IN  TRANSFER'!G:G, 'STOCK IN  TRANSFER'!D:D, A409, 'STOCK IN  TRANSFER'!F:F, "TRANSFER") + SUMIFS('STOCK IN  TRANSFER'!G:G, 'STOCK IN  TRANSFER'!D:D, A409, 'STOCK IN  TRANSFER'!F:F, "ADJUSTMENT (-)")</f>
        <v>233</v>
      </c>
      <c r="G409" s="52">
        <f>SUMIFS('STOCK IN  TRANSFER'!G:G, 'STOCK IN  TRANSFER'!D:D, A409, 'STOCK IN  TRANSFER'!F:F, "STOCK IN") + SUMIFS('STOCK IN  TRANSFER'!G:G, 'STOCK IN  TRANSFER'!D:D, A409, 'STOCK IN  TRANSFER'!F:F, "ADJUSTMENT (+)")</f>
        <v>308</v>
      </c>
    </row>
    <row r="410" ht="22.5" customHeight="1">
      <c r="A410" s="13" t="str">
        <f>IFERROR(__xludf.DUMMYFUNCTION("""COMPUTED_VALUE"""),"EA600")</f>
        <v>EA600</v>
      </c>
      <c r="B410" s="13" t="str">
        <f>IFERROR(__xludf.DUMMYFUNCTION("""COMPUTED_VALUE"""),"EAGLE SANDPAPER #600")</f>
        <v>EAGLE SANDPAPER #600</v>
      </c>
      <c r="C410" s="16">
        <f>IFERROR(__xludf.DUMMYFUNCTION("""COMPUTED_VALUE"""),18.5)</f>
        <v>18.5</v>
      </c>
      <c r="D410" s="13" t="str">
        <f>IFERROR(__xludf.DUMMYFUNCTION("""COMPUTED_VALUE"""),"PCS")</f>
        <v>PCS</v>
      </c>
      <c r="E410" s="28">
        <f>IFERROR(__xludf.DUMMYFUNCTION("""COMPUTED_VALUE"""),-15.0)</f>
        <v>-15</v>
      </c>
      <c r="F410" s="52">
        <f>SUMIF(SALES!D:D, A410, SALES!H:H) + SUMIFS('STOCK IN  TRANSFER'!G:G, 'STOCK IN  TRANSFER'!D:D, A410, 'STOCK IN  TRANSFER'!F:F, "TRANSFER") + SUMIFS('STOCK IN  TRANSFER'!G:G, 'STOCK IN  TRANSFER'!D:D, A410, 'STOCK IN  TRANSFER'!F:F, "ADJUSTMENT (-)")</f>
        <v>209</v>
      </c>
      <c r="G410" s="52">
        <f>SUMIFS('STOCK IN  TRANSFER'!G:G, 'STOCK IN  TRANSFER'!D:D, A410, 'STOCK IN  TRANSFER'!F:F, "STOCK IN") + SUMIFS('STOCK IN  TRANSFER'!G:G, 'STOCK IN  TRANSFER'!D:D, A410, 'STOCK IN  TRANSFER'!F:F, "ADJUSTMENT (+)")</f>
        <v>194</v>
      </c>
    </row>
    <row r="411" ht="22.5" customHeight="1">
      <c r="A411" s="13" t="str">
        <f>IFERROR(__xludf.DUMMYFUNCTION("""COMPUTED_VALUE"""),"EA60")</f>
        <v>EA60</v>
      </c>
      <c r="B411" s="13" t="str">
        <f>IFERROR(__xludf.DUMMYFUNCTION("""COMPUTED_VALUE"""),"EAGLE SANDPAPER #60")</f>
        <v>EAGLE SANDPAPER #60</v>
      </c>
      <c r="C411" s="16">
        <f>IFERROR(__xludf.DUMMYFUNCTION("""COMPUTED_VALUE"""),28.0)</f>
        <v>28</v>
      </c>
      <c r="D411" s="13" t="str">
        <f>IFERROR(__xludf.DUMMYFUNCTION("""COMPUTED_VALUE"""),"PC/S")</f>
        <v>PC/S</v>
      </c>
      <c r="E411" s="28">
        <f>IFERROR(__xludf.DUMMYFUNCTION("""COMPUTED_VALUE"""),197.0)</f>
        <v>197</v>
      </c>
      <c r="F411" s="52">
        <f>SUMIF(SALES!D:D, A411, SALES!H:H) + SUMIFS('STOCK IN  TRANSFER'!G:G, 'STOCK IN  TRANSFER'!D:D, A411, 'STOCK IN  TRANSFER'!F:F, "TRANSFER") + SUMIFS('STOCK IN  TRANSFER'!G:G, 'STOCK IN  TRANSFER'!D:D, A411, 'STOCK IN  TRANSFER'!F:F, "ADJUSTMENT (-)")</f>
        <v>111</v>
      </c>
      <c r="G411" s="52">
        <f>SUMIFS('STOCK IN  TRANSFER'!G:G, 'STOCK IN  TRANSFER'!D:D, A411, 'STOCK IN  TRANSFER'!F:F, "STOCK IN") + SUMIFS('STOCK IN  TRANSFER'!G:G, 'STOCK IN  TRANSFER'!D:D, A411, 'STOCK IN  TRANSFER'!F:F, "ADJUSTMENT (+)")</f>
        <v>308</v>
      </c>
    </row>
    <row r="412" ht="22.5" customHeight="1">
      <c r="A412" s="13" t="str">
        <f>IFERROR(__xludf.DUMMYFUNCTION("""COMPUTED_VALUE"""),"EA400")</f>
        <v>EA400</v>
      </c>
      <c r="B412" s="13" t="str">
        <f>IFERROR(__xludf.DUMMYFUNCTION("""COMPUTED_VALUE"""),"EAGLE SANDPAPER #400")</f>
        <v>EAGLE SANDPAPER #400</v>
      </c>
      <c r="C412" s="16">
        <f>IFERROR(__xludf.DUMMYFUNCTION("""COMPUTED_VALUE"""),18.5)</f>
        <v>18.5</v>
      </c>
      <c r="D412" s="13" t="str">
        <f>IFERROR(__xludf.DUMMYFUNCTION("""COMPUTED_VALUE"""),"PC/S")</f>
        <v>PC/S</v>
      </c>
      <c r="E412" s="28">
        <f>IFERROR(__xludf.DUMMYFUNCTION("""COMPUTED_VALUE"""),63.0)</f>
        <v>63</v>
      </c>
      <c r="F412" s="52">
        <f>SUMIF(SALES!D:D, A412, SALES!H:H) + SUMIFS('STOCK IN  TRANSFER'!G:G, 'STOCK IN  TRANSFER'!D:D, A412, 'STOCK IN  TRANSFER'!F:F, "TRANSFER") + SUMIFS('STOCK IN  TRANSFER'!G:G, 'STOCK IN  TRANSFER'!D:D, A412, 'STOCK IN  TRANSFER'!F:F, "ADJUSTMENT (-)")</f>
        <v>83</v>
      </c>
      <c r="G412" s="52">
        <f>SUMIFS('STOCK IN  TRANSFER'!G:G, 'STOCK IN  TRANSFER'!D:D, A412, 'STOCK IN  TRANSFER'!F:F, "STOCK IN") + SUMIFS('STOCK IN  TRANSFER'!G:G, 'STOCK IN  TRANSFER'!D:D, A412, 'STOCK IN  TRANSFER'!F:F, "ADJUSTMENT (+)")</f>
        <v>146</v>
      </c>
    </row>
    <row r="413" ht="22.5" customHeight="1">
      <c r="A413" s="13" t="str">
        <f>IFERROR(__xludf.DUMMYFUNCTION("""COMPUTED_VALUE"""),"EA240")</f>
        <v>EA240</v>
      </c>
      <c r="B413" s="13" t="str">
        <f>IFERROR(__xludf.DUMMYFUNCTION("""COMPUTED_VALUE"""),"EAGLE SANDPAPER #240")</f>
        <v>EAGLE SANDPAPER #240</v>
      </c>
      <c r="C413" s="16">
        <f>IFERROR(__xludf.DUMMYFUNCTION("""COMPUTED_VALUE"""),18.5)</f>
        <v>18.5</v>
      </c>
      <c r="D413" s="13" t="str">
        <f>IFERROR(__xludf.DUMMYFUNCTION("""COMPUTED_VALUE"""),"PC/S")</f>
        <v>PC/S</v>
      </c>
      <c r="E413" s="28">
        <f>IFERROR(__xludf.DUMMYFUNCTION("""COMPUTED_VALUE"""),102.0)</f>
        <v>102</v>
      </c>
      <c r="F413" s="52">
        <f>SUMIF(SALES!D:D, A413, SALES!H:H) + SUMIFS('STOCK IN  TRANSFER'!G:G, 'STOCK IN  TRANSFER'!D:D, A413, 'STOCK IN  TRANSFER'!F:F, "TRANSFER") + SUMIFS('STOCK IN  TRANSFER'!G:G, 'STOCK IN  TRANSFER'!D:D, A413, 'STOCK IN  TRANSFER'!F:F, "ADJUSTMENT (-)")</f>
        <v>241</v>
      </c>
      <c r="G413" s="52">
        <f>SUMIFS('STOCK IN  TRANSFER'!G:G, 'STOCK IN  TRANSFER'!D:D, A413, 'STOCK IN  TRANSFER'!F:F, "STOCK IN") + SUMIFS('STOCK IN  TRANSFER'!G:G, 'STOCK IN  TRANSFER'!D:D, A413, 'STOCK IN  TRANSFER'!F:F, "ADJUSTMENT (+)")</f>
        <v>341</v>
      </c>
    </row>
    <row r="414" ht="22.5" customHeight="1">
      <c r="A414" s="13" t="str">
        <f>IFERROR(__xludf.DUMMYFUNCTION("""COMPUTED_VALUE"""),"EA2000")</f>
        <v>EA2000</v>
      </c>
      <c r="B414" s="13" t="str">
        <f>IFERROR(__xludf.DUMMYFUNCTION("""COMPUTED_VALUE"""),"EAGLE SANDPAPER #2000")</f>
        <v>EAGLE SANDPAPER #2000</v>
      </c>
      <c r="C414" s="16">
        <f>IFERROR(__xludf.DUMMYFUNCTION("""COMPUTED_VALUE"""),28.0)</f>
        <v>28</v>
      </c>
      <c r="D414" s="13" t="str">
        <f>IFERROR(__xludf.DUMMYFUNCTION("""COMPUTED_VALUE"""),"PC/S")</f>
        <v>PC/S</v>
      </c>
      <c r="E414" s="28">
        <f>IFERROR(__xludf.DUMMYFUNCTION("""COMPUTED_VALUE"""),69.0)</f>
        <v>69</v>
      </c>
      <c r="F414" s="52">
        <f>SUMIF(SALES!D:D, A414, SALES!H:H) + SUMIFS('STOCK IN  TRANSFER'!G:G, 'STOCK IN  TRANSFER'!D:D, A414, 'STOCK IN  TRANSFER'!F:F, "TRANSFER") + SUMIFS('STOCK IN  TRANSFER'!G:G, 'STOCK IN  TRANSFER'!D:D, A414, 'STOCK IN  TRANSFER'!F:F, "ADJUSTMENT (-)")</f>
        <v>158</v>
      </c>
      <c r="G414" s="52">
        <f>SUMIFS('STOCK IN  TRANSFER'!G:G, 'STOCK IN  TRANSFER'!D:D, A414, 'STOCK IN  TRANSFER'!F:F, "STOCK IN") + SUMIFS('STOCK IN  TRANSFER'!G:G, 'STOCK IN  TRANSFER'!D:D, A414, 'STOCK IN  TRANSFER'!F:F, "ADJUSTMENT (+)")</f>
        <v>227</v>
      </c>
    </row>
    <row r="415" ht="22.5" customHeight="1">
      <c r="A415" s="13" t="str">
        <f>IFERROR(__xludf.DUMMYFUNCTION("""COMPUTED_VALUE"""),"EA1200")</f>
        <v>EA1200</v>
      </c>
      <c r="B415" s="13" t="str">
        <f>IFERROR(__xludf.DUMMYFUNCTION("""COMPUTED_VALUE"""),"EAGLE SANDPAPER #1200")</f>
        <v>EAGLE SANDPAPER #1200</v>
      </c>
      <c r="C415" s="16">
        <f>IFERROR(__xludf.DUMMYFUNCTION("""COMPUTED_VALUE"""),18.5)</f>
        <v>18.5</v>
      </c>
      <c r="D415" s="13" t="str">
        <f>IFERROR(__xludf.DUMMYFUNCTION("""COMPUTED_VALUE"""),"PC/S")</f>
        <v>PC/S</v>
      </c>
      <c r="E415" s="28">
        <f>IFERROR(__xludf.DUMMYFUNCTION("""COMPUTED_VALUE"""),25.0)</f>
        <v>25</v>
      </c>
      <c r="F415" s="52">
        <f>SUMIF(SALES!D:D, A415, SALES!H:H) + SUMIFS('STOCK IN  TRANSFER'!G:G, 'STOCK IN  TRANSFER'!D:D, A415, 'STOCK IN  TRANSFER'!F:F, "TRANSFER") + SUMIFS('STOCK IN  TRANSFER'!G:G, 'STOCK IN  TRANSFER'!D:D, A415, 'STOCK IN  TRANSFER'!F:F, "ADJUSTMENT (-)")</f>
        <v>188</v>
      </c>
      <c r="G415" s="52">
        <f>SUMIFS('STOCK IN  TRANSFER'!G:G, 'STOCK IN  TRANSFER'!D:D, A415, 'STOCK IN  TRANSFER'!F:F, "STOCK IN") + SUMIFS('STOCK IN  TRANSFER'!G:G, 'STOCK IN  TRANSFER'!D:D, A415, 'STOCK IN  TRANSFER'!F:F, "ADJUSTMENT (+)")</f>
        <v>213</v>
      </c>
    </row>
    <row r="416" ht="22.5" customHeight="1">
      <c r="A416" s="13" t="str">
        <f>IFERROR(__xludf.DUMMYFUNCTION("""COMPUTED_VALUE"""),"EA120")</f>
        <v>EA120</v>
      </c>
      <c r="B416" s="13" t="str">
        <f>IFERROR(__xludf.DUMMYFUNCTION("""COMPUTED_VALUE"""),"EAGLE SANDPAPER #120")</f>
        <v>EAGLE SANDPAPER #120</v>
      </c>
      <c r="C416" s="16">
        <f>IFERROR(__xludf.DUMMYFUNCTION("""COMPUTED_VALUE"""),18.5)</f>
        <v>18.5</v>
      </c>
      <c r="D416" s="13" t="str">
        <f>IFERROR(__xludf.DUMMYFUNCTION("""COMPUTED_VALUE"""),"PC/S")</f>
        <v>PC/S</v>
      </c>
      <c r="E416" s="28">
        <f>IFERROR(__xludf.DUMMYFUNCTION("""COMPUTED_VALUE"""),101.0)</f>
        <v>101</v>
      </c>
      <c r="F416" s="52">
        <f>SUMIF(SALES!D:D, A416, SALES!H:H) + SUMIFS('STOCK IN  TRANSFER'!G:G, 'STOCK IN  TRANSFER'!D:D, A416, 'STOCK IN  TRANSFER'!F:F, "TRANSFER") + SUMIFS('STOCK IN  TRANSFER'!G:G, 'STOCK IN  TRANSFER'!D:D, A416, 'STOCK IN  TRANSFER'!F:F, "ADJUSTMENT (-)")</f>
        <v>336</v>
      </c>
      <c r="G416" s="52">
        <f>SUMIFS('STOCK IN  TRANSFER'!G:G, 'STOCK IN  TRANSFER'!D:D, A416, 'STOCK IN  TRANSFER'!F:F, "STOCK IN") + SUMIFS('STOCK IN  TRANSFER'!G:G, 'STOCK IN  TRANSFER'!D:D, A416, 'STOCK IN  TRANSFER'!F:F, "ADJUSTMENT (+)")</f>
        <v>437</v>
      </c>
    </row>
    <row r="417" ht="22.5" customHeight="1">
      <c r="A417" s="13" t="str">
        <f>IFERROR(__xludf.DUMMYFUNCTION("""COMPUTED_VALUE"""),"EA1000")</f>
        <v>EA1000</v>
      </c>
      <c r="B417" s="13" t="str">
        <f>IFERROR(__xludf.DUMMYFUNCTION("""COMPUTED_VALUE"""),"EAGLE SANDPAPER #1000")</f>
        <v>EAGLE SANDPAPER #1000</v>
      </c>
      <c r="C417" s="16">
        <f>IFERROR(__xludf.DUMMYFUNCTION("""COMPUTED_VALUE"""),18.5)</f>
        <v>18.5</v>
      </c>
      <c r="D417" s="13" t="str">
        <f>IFERROR(__xludf.DUMMYFUNCTION("""COMPUTED_VALUE"""),"PC/S")</f>
        <v>PC/S</v>
      </c>
      <c r="E417" s="28">
        <f>IFERROR(__xludf.DUMMYFUNCTION("""COMPUTED_VALUE"""),291.0)</f>
        <v>291</v>
      </c>
      <c r="F417" s="52">
        <f>SUMIF(SALES!D:D, A417, SALES!H:H) + SUMIFS('STOCK IN  TRANSFER'!G:G, 'STOCK IN  TRANSFER'!D:D, A417, 'STOCK IN  TRANSFER'!F:F, "TRANSFER") + SUMIFS('STOCK IN  TRANSFER'!G:G, 'STOCK IN  TRANSFER'!D:D, A417, 'STOCK IN  TRANSFER'!F:F, "ADJUSTMENT (-)")</f>
        <v>205</v>
      </c>
      <c r="G417" s="52">
        <f>SUMIFS('STOCK IN  TRANSFER'!G:G, 'STOCK IN  TRANSFER'!D:D, A417, 'STOCK IN  TRANSFER'!F:F, "STOCK IN") + SUMIFS('STOCK IN  TRANSFER'!G:G, 'STOCK IN  TRANSFER'!D:D, A417, 'STOCK IN  TRANSFER'!F:F, "ADJUSTMENT (+)")</f>
        <v>496</v>
      </c>
    </row>
    <row r="418" ht="22.5" customHeight="1">
      <c r="A418" s="13" t="str">
        <f>IFERROR(__xludf.DUMMYFUNCTION("""COMPUTED_VALUE"""),"EA320")</f>
        <v>EA320</v>
      </c>
      <c r="B418" s="13" t="str">
        <f>IFERROR(__xludf.DUMMYFUNCTION("""COMPUTED_VALUE"""),"EAGLE SAND PAPER #320")</f>
        <v>EAGLE SAND PAPER #320</v>
      </c>
      <c r="C418" s="16">
        <f>IFERROR(__xludf.DUMMYFUNCTION("""COMPUTED_VALUE"""),18.5)</f>
        <v>18.5</v>
      </c>
      <c r="D418" s="13" t="str">
        <f>IFERROR(__xludf.DUMMYFUNCTION("""COMPUTED_VALUE"""),"PCS")</f>
        <v>PCS</v>
      </c>
      <c r="E418" s="28">
        <f>IFERROR(__xludf.DUMMYFUNCTION("""COMPUTED_VALUE"""),359.0)</f>
        <v>359</v>
      </c>
      <c r="F418" s="52">
        <f>SUMIF(SALES!D:D, A418, SALES!H:H) + SUMIFS('STOCK IN  TRANSFER'!G:G, 'STOCK IN  TRANSFER'!D:D, A418, 'STOCK IN  TRANSFER'!F:F, "TRANSFER") + SUMIFS('STOCK IN  TRANSFER'!G:G, 'STOCK IN  TRANSFER'!D:D, A418, 'STOCK IN  TRANSFER'!F:F, "ADJUSTMENT (-)")</f>
        <v>74</v>
      </c>
      <c r="G418" s="52">
        <f>SUMIFS('STOCK IN  TRANSFER'!G:G, 'STOCK IN  TRANSFER'!D:D, A418, 'STOCK IN  TRANSFER'!F:F, "STOCK IN") + SUMIFS('STOCK IN  TRANSFER'!G:G, 'STOCK IN  TRANSFER'!D:D, A418, 'STOCK IN  TRANSFER'!F:F, "ADJUSTMENT (+)")</f>
        <v>439</v>
      </c>
    </row>
    <row r="419" ht="22.5" customHeight="1">
      <c r="A419" s="13" t="str">
        <f>IFERROR(__xludf.DUMMYFUNCTION("""COMPUTED_VALUE"""),"PTRL-7")</f>
        <v>PTRL-7</v>
      </c>
      <c r="B419" s="13" t="str">
        <f>IFERROR(__xludf.DUMMYFUNCTION("""COMPUTED_VALUE"""),"DRAGONFLY PAINT ROLLER #7 W/H")</f>
        <v>DRAGONFLY PAINT ROLLER #7 W/H</v>
      </c>
      <c r="C419" s="16">
        <f>IFERROR(__xludf.DUMMYFUNCTION("""COMPUTED_VALUE"""),65.0)</f>
        <v>65</v>
      </c>
      <c r="D419" s="13" t="str">
        <f>IFERROR(__xludf.DUMMYFUNCTION("""COMPUTED_VALUE"""),"PC/S")</f>
        <v>PC/S</v>
      </c>
      <c r="E419" s="28">
        <f>IFERROR(__xludf.DUMMYFUNCTION("""COMPUTED_VALUE"""),0.0)</f>
        <v>0</v>
      </c>
      <c r="F419" s="52">
        <f>SUMIF(SALES!D:D, A419, SALES!H:H) + SUMIFS('STOCK IN  TRANSFER'!G:G, 'STOCK IN  TRANSFER'!D:D, A419, 'STOCK IN  TRANSFER'!F:F, "TRANSFER") + SUMIFS('STOCK IN  TRANSFER'!G:G, 'STOCK IN  TRANSFER'!D:D, A419, 'STOCK IN  TRANSFER'!F:F, "ADJUSTMENT (-)")</f>
        <v>1</v>
      </c>
      <c r="G419" s="52">
        <f>SUMIFS('STOCK IN  TRANSFER'!G:G, 'STOCK IN  TRANSFER'!D:D, A419, 'STOCK IN  TRANSFER'!F:F, "STOCK IN") + SUMIFS('STOCK IN  TRANSFER'!G:G, 'STOCK IN  TRANSFER'!D:D, A419, 'STOCK IN  TRANSFER'!F:F, "ADJUSTMENT (+)")</f>
        <v>1</v>
      </c>
    </row>
    <row r="420" ht="22.5" customHeight="1">
      <c r="A420" s="13" t="str">
        <f>IFERROR(__xludf.DUMMYFUNCTION("""COMPUTED_VALUE"""),"DPB-4")</f>
        <v>DPB-4</v>
      </c>
      <c r="B420" s="13" t="str">
        <f>IFERROR(__xludf.DUMMYFUNCTION("""COMPUTED_VALUE"""),"DRAGONFLY PAINT BRUSH #4")</f>
        <v>DRAGONFLY PAINT BRUSH #4</v>
      </c>
      <c r="C420" s="16">
        <f>IFERROR(__xludf.DUMMYFUNCTION("""COMPUTED_VALUE"""),99.0)</f>
        <v>99</v>
      </c>
      <c r="D420" s="13" t="str">
        <f>IFERROR(__xludf.DUMMYFUNCTION("""COMPUTED_VALUE"""),"PC/S")</f>
        <v>PC/S</v>
      </c>
      <c r="E420" s="28">
        <f>IFERROR(__xludf.DUMMYFUNCTION("""COMPUTED_VALUE"""),2.0)</f>
        <v>2</v>
      </c>
      <c r="F420" s="52">
        <f>SUMIF(SALES!D:D, A420, SALES!H:H) + SUMIFS('STOCK IN  TRANSFER'!G:G, 'STOCK IN  TRANSFER'!D:D, A420, 'STOCK IN  TRANSFER'!F:F, "TRANSFER") + SUMIFS('STOCK IN  TRANSFER'!G:G, 'STOCK IN  TRANSFER'!D:D, A420, 'STOCK IN  TRANSFER'!F:F, "ADJUSTMENT (-)")</f>
        <v>7</v>
      </c>
      <c r="G420" s="52">
        <f>SUMIFS('STOCK IN  TRANSFER'!G:G, 'STOCK IN  TRANSFER'!D:D, A420, 'STOCK IN  TRANSFER'!F:F, "STOCK IN") + SUMIFS('STOCK IN  TRANSFER'!G:G, 'STOCK IN  TRANSFER'!D:D, A420, 'STOCK IN  TRANSFER'!F:F, "ADJUSTMENT (+)")</f>
        <v>9</v>
      </c>
    </row>
    <row r="421" ht="22.5" customHeight="1">
      <c r="A421" s="13" t="str">
        <f>IFERROR(__xludf.DUMMYFUNCTION("""COMPUTED_VALUE"""),"DPB-3")</f>
        <v>DPB-3</v>
      </c>
      <c r="B421" s="13" t="str">
        <f>IFERROR(__xludf.DUMMYFUNCTION("""COMPUTED_VALUE"""),"DRAGONFLY PAINT BRUSH #3")</f>
        <v>DRAGONFLY PAINT BRUSH #3</v>
      </c>
      <c r="C421" s="16">
        <f>IFERROR(__xludf.DUMMYFUNCTION("""COMPUTED_VALUE"""),65.0)</f>
        <v>65</v>
      </c>
      <c r="D421" s="13" t="str">
        <f>IFERROR(__xludf.DUMMYFUNCTION("""COMPUTED_VALUE"""),"PC/S")</f>
        <v>PC/S</v>
      </c>
      <c r="E421" s="28">
        <f>IFERROR(__xludf.DUMMYFUNCTION("""COMPUTED_VALUE"""),0.0)</f>
        <v>0</v>
      </c>
      <c r="F421" s="52">
        <f>SUMIF(SALES!D:D, A421, SALES!H:H) + SUMIFS('STOCK IN  TRANSFER'!G:G, 'STOCK IN  TRANSFER'!D:D, A421, 'STOCK IN  TRANSFER'!F:F, "TRANSFER") + SUMIFS('STOCK IN  TRANSFER'!G:G, 'STOCK IN  TRANSFER'!D:D, A421, 'STOCK IN  TRANSFER'!F:F, "ADJUSTMENT (-)")</f>
        <v>0</v>
      </c>
      <c r="G421" s="52">
        <f>SUMIFS('STOCK IN  TRANSFER'!G:G, 'STOCK IN  TRANSFER'!D:D, A421, 'STOCK IN  TRANSFER'!F:F, "STOCK IN") + SUMIFS('STOCK IN  TRANSFER'!G:G, 'STOCK IN  TRANSFER'!D:D, A421, 'STOCK IN  TRANSFER'!F:F, "ADJUSTMENT (+)")</f>
        <v>0</v>
      </c>
    </row>
    <row r="422" ht="22.5" customHeight="1">
      <c r="A422" s="13" t="str">
        <f>IFERROR(__xludf.DUMMYFUNCTION("""COMPUTED_VALUE"""),"DPB-2")</f>
        <v>DPB-2</v>
      </c>
      <c r="B422" s="13" t="str">
        <f>IFERROR(__xludf.DUMMYFUNCTION("""COMPUTED_VALUE"""),"DRAGONFLY PAINT BRUSH #2")</f>
        <v>DRAGONFLY PAINT BRUSH #2</v>
      </c>
      <c r="C422" s="16">
        <f>IFERROR(__xludf.DUMMYFUNCTION("""COMPUTED_VALUE"""),35.0)</f>
        <v>35</v>
      </c>
      <c r="D422" s="13" t="str">
        <f>IFERROR(__xludf.DUMMYFUNCTION("""COMPUTED_VALUE"""),"PC/S")</f>
        <v>PC/S</v>
      </c>
      <c r="E422" s="28">
        <f>IFERROR(__xludf.DUMMYFUNCTION("""COMPUTED_VALUE"""),0.0)</f>
        <v>0</v>
      </c>
      <c r="F422" s="52">
        <f>SUMIF(SALES!D:D, A422, SALES!H:H) + SUMIFS('STOCK IN  TRANSFER'!G:G, 'STOCK IN  TRANSFER'!D:D, A422, 'STOCK IN  TRANSFER'!F:F, "TRANSFER") + SUMIFS('STOCK IN  TRANSFER'!G:G, 'STOCK IN  TRANSFER'!D:D, A422, 'STOCK IN  TRANSFER'!F:F, "ADJUSTMENT (-)")</f>
        <v>0</v>
      </c>
      <c r="G422" s="52">
        <f>SUMIFS('STOCK IN  TRANSFER'!G:G, 'STOCK IN  TRANSFER'!D:D, A422, 'STOCK IN  TRANSFER'!F:F, "STOCK IN") + SUMIFS('STOCK IN  TRANSFER'!G:G, 'STOCK IN  TRANSFER'!D:D, A422, 'STOCK IN  TRANSFER'!F:F, "ADJUSTMENT (+)")</f>
        <v>0</v>
      </c>
    </row>
    <row r="423" ht="22.5" customHeight="1">
      <c r="A423" s="13" t="str">
        <f>IFERROR(__xludf.DUMMYFUNCTION("""COMPUTED_VALUE"""),"DPB-1 1/2")</f>
        <v>DPB-1 1/2</v>
      </c>
      <c r="B423" s="13" t="str">
        <f>IFERROR(__xludf.DUMMYFUNCTION("""COMPUTED_VALUE"""),"DRAGONFLY PAINT BRUSH #1 1/2")</f>
        <v>DRAGONFLY PAINT BRUSH #1 1/2</v>
      </c>
      <c r="C423" s="16">
        <f>IFERROR(__xludf.DUMMYFUNCTION("""COMPUTED_VALUE"""),25.0)</f>
        <v>25</v>
      </c>
      <c r="D423" s="13" t="str">
        <f>IFERROR(__xludf.DUMMYFUNCTION("""COMPUTED_VALUE"""),"PC/S")</f>
        <v>PC/S</v>
      </c>
      <c r="E423" s="28">
        <f>IFERROR(__xludf.DUMMYFUNCTION("""COMPUTED_VALUE"""),-1.0)</f>
        <v>-1</v>
      </c>
      <c r="F423" s="52">
        <f>SUMIF(SALES!D:D, A423, SALES!H:H) + SUMIFS('STOCK IN  TRANSFER'!G:G, 'STOCK IN  TRANSFER'!D:D, A423, 'STOCK IN  TRANSFER'!F:F, "TRANSFER") + SUMIFS('STOCK IN  TRANSFER'!G:G, 'STOCK IN  TRANSFER'!D:D, A423, 'STOCK IN  TRANSFER'!F:F, "ADJUSTMENT (-)")</f>
        <v>6</v>
      </c>
      <c r="G423" s="52">
        <f>SUMIFS('STOCK IN  TRANSFER'!G:G, 'STOCK IN  TRANSFER'!D:D, A423, 'STOCK IN  TRANSFER'!F:F, "STOCK IN") + SUMIFS('STOCK IN  TRANSFER'!G:G, 'STOCK IN  TRANSFER'!D:D, A423, 'STOCK IN  TRANSFER'!F:F, "ADJUSTMENT (+)")</f>
        <v>5</v>
      </c>
    </row>
    <row r="424" ht="22.5" customHeight="1">
      <c r="A424" s="13" t="str">
        <f>IFERROR(__xludf.DUMMYFUNCTION("""COMPUTED_VALUE"""),"DPB-1")</f>
        <v>DPB-1</v>
      </c>
      <c r="B424" s="13" t="str">
        <f>IFERROR(__xludf.DUMMYFUNCTION("""COMPUTED_VALUE"""),"DRAGONFLY PAINT BRUSH #1")</f>
        <v>DRAGONFLY PAINT BRUSH #1</v>
      </c>
      <c r="C424" s="16">
        <f>IFERROR(__xludf.DUMMYFUNCTION("""COMPUTED_VALUE"""),18.0)</f>
        <v>18</v>
      </c>
      <c r="D424" s="13" t="str">
        <f>IFERROR(__xludf.DUMMYFUNCTION("""COMPUTED_VALUE"""),"PC/S")</f>
        <v>PC/S</v>
      </c>
      <c r="E424" s="28">
        <f>IFERROR(__xludf.DUMMYFUNCTION("""COMPUTED_VALUE"""),0.0)</f>
        <v>0</v>
      </c>
      <c r="F424" s="52">
        <f>SUMIF(SALES!D:D, A424, SALES!H:H) + SUMIFS('STOCK IN  TRANSFER'!G:G, 'STOCK IN  TRANSFER'!D:D, A424, 'STOCK IN  TRANSFER'!F:F, "TRANSFER") + SUMIFS('STOCK IN  TRANSFER'!G:G, 'STOCK IN  TRANSFER'!D:D, A424, 'STOCK IN  TRANSFER'!F:F, "ADJUSTMENT (-)")</f>
        <v>0</v>
      </c>
      <c r="G424" s="52">
        <f>SUMIFS('STOCK IN  TRANSFER'!G:G, 'STOCK IN  TRANSFER'!D:D, A424, 'STOCK IN  TRANSFER'!F:F, "STOCK IN") + SUMIFS('STOCK IN  TRANSFER'!G:G, 'STOCK IN  TRANSFER'!D:D, A424, 'STOCK IN  TRANSFER'!F:F, "ADJUSTMENT (+)")</f>
        <v>0</v>
      </c>
    </row>
    <row r="425" ht="22.5" customHeight="1">
      <c r="A425" s="13" t="str">
        <f>IFERROR(__xludf.DUMMYFUNCTION("""COMPUTED_VALUE"""),"BBR-MINI")</f>
        <v>BBR-MINI</v>
      </c>
      <c r="B425" s="13" t="str">
        <f>IFERROR(__xludf.DUMMYFUNCTION("""COMPUTED_VALUE"""),"DRAGONFLY MINI BABY ROLLER #4 W/H")</f>
        <v>DRAGONFLY MINI BABY ROLLER #4 W/H</v>
      </c>
      <c r="C425" s="16">
        <f>IFERROR(__xludf.DUMMYFUNCTION("""COMPUTED_VALUE"""),35.0)</f>
        <v>35</v>
      </c>
      <c r="D425" s="13" t="str">
        <f>IFERROR(__xludf.DUMMYFUNCTION("""COMPUTED_VALUE"""),"PC/S")</f>
        <v>PC/S</v>
      </c>
      <c r="E425" s="28">
        <f>IFERROR(__xludf.DUMMYFUNCTION("""COMPUTED_VALUE"""),0.0)</f>
        <v>0</v>
      </c>
      <c r="F425" s="52">
        <f>SUMIF(SALES!D:D, A425, SALES!H:H) + SUMIFS('STOCK IN  TRANSFER'!G:G, 'STOCK IN  TRANSFER'!D:D, A425, 'STOCK IN  TRANSFER'!F:F, "TRANSFER") + SUMIFS('STOCK IN  TRANSFER'!G:G, 'STOCK IN  TRANSFER'!D:D, A425, 'STOCK IN  TRANSFER'!F:F, "ADJUSTMENT (-)")</f>
        <v>2</v>
      </c>
      <c r="G425" s="52">
        <f>SUMIFS('STOCK IN  TRANSFER'!G:G, 'STOCK IN  TRANSFER'!D:D, A425, 'STOCK IN  TRANSFER'!F:F, "STOCK IN") + SUMIFS('STOCK IN  TRANSFER'!G:G, 'STOCK IN  TRANSFER'!D:D, A425, 'STOCK IN  TRANSFER'!F:F, "ADJUSTMENT (+)")</f>
        <v>2</v>
      </c>
    </row>
    <row r="426" ht="22.5" customHeight="1">
      <c r="A426" s="13" t="str">
        <f>IFERROR(__xludf.DUMMYFUNCTION("""COMPUTED_VALUE"""),"DOMBF-4L")</f>
        <v>DOMBF-4L</v>
      </c>
      <c r="B426" s="13" t="str">
        <f>IFERROR(__xludf.DUMMYFUNCTION("""COMPUTED_VALUE"""),"DOMINO BODY FILTER WITH HARDENER 4L")</f>
        <v>DOMINO BODY FILTER WITH HARDENER 4L</v>
      </c>
      <c r="C426" s="16">
        <f>IFERROR(__xludf.DUMMYFUNCTION("""COMPUTED_VALUE"""),495.0)</f>
        <v>495</v>
      </c>
      <c r="D426" s="13" t="str">
        <f>IFERROR(__xludf.DUMMYFUNCTION("""COMPUTED_VALUE"""),"GAL")</f>
        <v>GAL</v>
      </c>
      <c r="E426" s="28">
        <f>IFERROR(__xludf.DUMMYFUNCTION("""COMPUTED_VALUE"""),4.0)</f>
        <v>4</v>
      </c>
      <c r="F426" s="52">
        <f>SUMIF(SALES!D:D, A426, SALES!H:H) + SUMIFS('STOCK IN  TRANSFER'!G:G, 'STOCK IN  TRANSFER'!D:D, A426, 'STOCK IN  TRANSFER'!F:F, "TRANSFER") + SUMIFS('STOCK IN  TRANSFER'!G:G, 'STOCK IN  TRANSFER'!D:D, A426, 'STOCK IN  TRANSFER'!F:F, "ADJUSTMENT (-)")</f>
        <v>32.25</v>
      </c>
      <c r="G426" s="52">
        <f>SUMIFS('STOCK IN  TRANSFER'!G:G, 'STOCK IN  TRANSFER'!D:D, A426, 'STOCK IN  TRANSFER'!F:F, "STOCK IN") + SUMIFS('STOCK IN  TRANSFER'!G:G, 'STOCK IN  TRANSFER'!D:D, A426, 'STOCK IN  TRANSFER'!F:F, "ADJUSTMENT (+)")</f>
        <v>36.25</v>
      </c>
    </row>
    <row r="427" ht="22.5" customHeight="1">
      <c r="A427" s="13" t="str">
        <f>IFERROR(__xludf.DUMMYFUNCTION("""COMPUTED_VALUE"""),"DOMBF-1L")</f>
        <v>DOMBF-1L</v>
      </c>
      <c r="B427" s="13" t="str">
        <f>IFERROR(__xludf.DUMMYFUNCTION("""COMPUTED_VALUE"""),"DOMINO BODY FILTER WITH HARDENER 1L")</f>
        <v>DOMINO BODY FILTER WITH HARDENER 1L</v>
      </c>
      <c r="C427" s="16">
        <f>IFERROR(__xludf.DUMMYFUNCTION("""COMPUTED_VALUE"""),150.0)</f>
        <v>150</v>
      </c>
      <c r="D427" s="13" t="str">
        <f>IFERROR(__xludf.DUMMYFUNCTION("""COMPUTED_VALUE"""),"LITER")</f>
        <v>LITER</v>
      </c>
      <c r="E427" s="28">
        <f>IFERROR(__xludf.DUMMYFUNCTION("""COMPUTED_VALUE"""),3.0)</f>
        <v>3</v>
      </c>
      <c r="F427" s="52">
        <f>SUMIF(SALES!D:D, A427, SALES!H:H) + SUMIFS('STOCK IN  TRANSFER'!G:G, 'STOCK IN  TRANSFER'!D:D, A427, 'STOCK IN  TRANSFER'!F:F, "TRANSFER") + SUMIFS('STOCK IN  TRANSFER'!G:G, 'STOCK IN  TRANSFER'!D:D, A427, 'STOCK IN  TRANSFER'!F:F, "ADJUSTMENT (-)")</f>
        <v>48</v>
      </c>
      <c r="G427" s="52">
        <f>SUMIFS('STOCK IN  TRANSFER'!G:G, 'STOCK IN  TRANSFER'!D:D, A427, 'STOCK IN  TRANSFER'!F:F, "STOCK IN") + SUMIFS('STOCK IN  TRANSFER'!G:G, 'STOCK IN  TRANSFER'!D:D, A427, 'STOCK IN  TRANSFER'!F:F, "ADJUSTMENT (+)")</f>
        <v>51</v>
      </c>
    </row>
    <row r="428" ht="22.5" customHeight="1">
      <c r="A428" s="13" t="str">
        <f>IFERROR(__xludf.DUMMYFUNCTION("""COMPUTED_VALUE"""),"DOITWHITE-4L")</f>
        <v>DOITWHITE-4L</v>
      </c>
      <c r="B428" s="13" t="str">
        <f>IFERROR(__xludf.DUMMYFUNCTION("""COMPUTED_VALUE"""),"DO IT URETHANE WHITE 4L")</f>
        <v>DO IT URETHANE WHITE 4L</v>
      </c>
      <c r="C428" s="16">
        <f>IFERROR(__xludf.DUMMYFUNCTION("""COMPUTED_VALUE"""),1780.0)</f>
        <v>1780</v>
      </c>
      <c r="D428" s="13" t="str">
        <f>IFERROR(__xludf.DUMMYFUNCTION("""COMPUTED_VALUE"""),"GAL/S")</f>
        <v>GAL/S</v>
      </c>
      <c r="E428" s="28">
        <f>IFERROR(__xludf.DUMMYFUNCTION("""COMPUTED_VALUE"""),3.0)</f>
        <v>3</v>
      </c>
      <c r="F428" s="52">
        <f>SUMIF(SALES!D:D, A428, SALES!H:H) + SUMIFS('STOCK IN  TRANSFER'!G:G, 'STOCK IN  TRANSFER'!D:D, A428, 'STOCK IN  TRANSFER'!F:F, "TRANSFER") + SUMIFS('STOCK IN  TRANSFER'!G:G, 'STOCK IN  TRANSFER'!D:D, A428, 'STOCK IN  TRANSFER'!F:F, "ADJUSTMENT (-)")</f>
        <v>4</v>
      </c>
      <c r="G428" s="52">
        <f>SUMIFS('STOCK IN  TRANSFER'!G:G, 'STOCK IN  TRANSFER'!D:D, A428, 'STOCK IN  TRANSFER'!F:F, "STOCK IN") + SUMIFS('STOCK IN  TRANSFER'!G:G, 'STOCK IN  TRANSFER'!D:D, A428, 'STOCK IN  TRANSFER'!F:F, "ADJUSTMENT (+)")</f>
        <v>7</v>
      </c>
    </row>
    <row r="429" ht="22.5" customHeight="1">
      <c r="A429" s="13" t="str">
        <f>IFERROR(__xludf.DUMMYFUNCTION("""COMPUTED_VALUE"""),"AEMIX-4L")</f>
        <v>AEMIX-4L</v>
      </c>
      <c r="B429" s="13" t="str">
        <f>IFERROR(__xludf.DUMMYFUNCTION("""COMPUTED_VALUE"""),"GLAZER AUTO ENAMEL MIX 4L")</f>
        <v>GLAZER AUTO ENAMEL MIX 4L</v>
      </c>
      <c r="C429" s="16">
        <f>IFERROR(__xludf.DUMMYFUNCTION("""COMPUTED_VALUE"""),1400.0)</f>
        <v>1400</v>
      </c>
      <c r="D429" s="13" t="str">
        <f>IFERROR(__xludf.DUMMYFUNCTION("""COMPUTED_VALUE"""),"GAL")</f>
        <v>GAL</v>
      </c>
      <c r="E429" s="28">
        <f>IFERROR(__xludf.DUMMYFUNCTION("""COMPUTED_VALUE"""),-2.0)</f>
        <v>-2</v>
      </c>
      <c r="F429" s="52">
        <f>SUMIF(SALES!D:D, A429, SALES!H:H) + SUMIFS('STOCK IN  TRANSFER'!G:G, 'STOCK IN  TRANSFER'!D:D, A429, 'STOCK IN  TRANSFER'!F:F, "TRANSFER") + SUMIFS('STOCK IN  TRANSFER'!G:G, 'STOCK IN  TRANSFER'!D:D, A429, 'STOCK IN  TRANSFER'!F:F, "ADJUSTMENT (-)")</f>
        <v>4</v>
      </c>
      <c r="G429" s="52">
        <f>SUMIFS('STOCK IN  TRANSFER'!G:G, 'STOCK IN  TRANSFER'!D:D, A429, 'STOCK IN  TRANSFER'!F:F, "STOCK IN") + SUMIFS('STOCK IN  TRANSFER'!G:G, 'STOCK IN  TRANSFER'!D:D, A429, 'STOCK IN  TRANSFER'!F:F, "ADJUSTMENT (+)")</f>
        <v>2</v>
      </c>
    </row>
    <row r="430" ht="22.5" customHeight="1">
      <c r="A430" s="13" t="str">
        <f>IFERROR(__xludf.DUMMYFUNCTION("""COMPUTED_VALUE"""),"DOITH-4L")</f>
        <v>DOITH-4L</v>
      </c>
      <c r="B430" s="13" t="str">
        <f>IFERROR(__xludf.DUMMYFUNCTION("""COMPUTED_VALUE"""),"DO IT URETHANE THINNER 4L")</f>
        <v>DO IT URETHANE THINNER 4L</v>
      </c>
      <c r="C430" s="16">
        <f>IFERROR(__xludf.DUMMYFUNCTION("""COMPUTED_VALUE"""),590.0)</f>
        <v>590</v>
      </c>
      <c r="D430" s="13" t="str">
        <f>IFERROR(__xludf.DUMMYFUNCTION("""COMPUTED_VALUE"""),"GAL/S")</f>
        <v>GAL/S</v>
      </c>
      <c r="E430" s="28">
        <f>IFERROR(__xludf.DUMMYFUNCTION("""COMPUTED_VALUE"""),1.0)</f>
        <v>1</v>
      </c>
      <c r="F430" s="52">
        <f>SUMIF(SALES!D:D, A430, SALES!H:H) + SUMIFS('STOCK IN  TRANSFER'!G:G, 'STOCK IN  TRANSFER'!D:D, A430, 'STOCK IN  TRANSFER'!F:F, "TRANSFER") + SUMIFS('STOCK IN  TRANSFER'!G:G, 'STOCK IN  TRANSFER'!D:D, A430, 'STOCK IN  TRANSFER'!F:F, "ADJUSTMENT (-)")</f>
        <v>17</v>
      </c>
      <c r="G430" s="52">
        <f>SUMIFS('STOCK IN  TRANSFER'!G:G, 'STOCK IN  TRANSFER'!D:D, A430, 'STOCK IN  TRANSFER'!F:F, "STOCK IN") + SUMIFS('STOCK IN  TRANSFER'!G:G, 'STOCK IN  TRANSFER'!D:D, A430, 'STOCK IN  TRANSFER'!F:F, "ADJUSTMENT (+)")</f>
        <v>18</v>
      </c>
    </row>
    <row r="431" ht="22.5" customHeight="1">
      <c r="A431" s="13" t="str">
        <f>IFERROR(__xludf.DUMMYFUNCTION("""COMPUTED_VALUE"""),"DOITBLACK-4L")</f>
        <v>DOITBLACK-4L</v>
      </c>
      <c r="B431" s="13" t="str">
        <f>IFERROR(__xludf.DUMMYFUNCTION("""COMPUTED_VALUE"""),"DO IT URETHANE BLACK 4L")</f>
        <v>DO IT URETHANE BLACK 4L</v>
      </c>
      <c r="C431" s="16">
        <f>IFERROR(__xludf.DUMMYFUNCTION("""COMPUTED_VALUE"""),2205.0)</f>
        <v>2205</v>
      </c>
      <c r="D431" s="13" t="str">
        <f>IFERROR(__xludf.DUMMYFUNCTION("""COMPUTED_VALUE"""),"GAL/S")</f>
        <v>GAL/S</v>
      </c>
      <c r="E431" s="28">
        <f>IFERROR(__xludf.DUMMYFUNCTION("""COMPUTED_VALUE"""),0.0)</f>
        <v>0</v>
      </c>
      <c r="F431" s="52">
        <f>SUMIF(SALES!D:D, A431, SALES!H:H) + SUMIFS('STOCK IN  TRANSFER'!G:G, 'STOCK IN  TRANSFER'!D:D, A431, 'STOCK IN  TRANSFER'!F:F, "TRANSFER") + SUMIFS('STOCK IN  TRANSFER'!G:G, 'STOCK IN  TRANSFER'!D:D, A431, 'STOCK IN  TRANSFER'!F:F, "ADJUSTMENT (-)")</f>
        <v>1</v>
      </c>
      <c r="G431" s="52">
        <f>SUMIFS('STOCK IN  TRANSFER'!G:G, 'STOCK IN  TRANSFER'!D:D, A431, 'STOCK IN  TRANSFER'!F:F, "STOCK IN") + SUMIFS('STOCK IN  TRANSFER'!G:G, 'STOCK IN  TRANSFER'!D:D, A431, 'STOCK IN  TRANSFER'!F:F, "ADJUSTMENT (+)")</f>
        <v>1</v>
      </c>
    </row>
    <row r="432" ht="22.5" customHeight="1">
      <c r="A432" s="13" t="str">
        <f>IFERROR(__xludf.DUMMYFUNCTION("""COMPUTED_VALUE"""),"DOITSHLDALL-BOT")</f>
        <v>DOITSHLDALL-BOT</v>
      </c>
      <c r="B432" s="13" t="str">
        <f>IFERROR(__xludf.DUMMYFUNCTION("""COMPUTED_VALUE"""),"DO IT SHIELD ALL MULTI-PURPOSE WAX 250ML")</f>
        <v>DO IT SHIELD ALL MULTI-PURPOSE WAX 250ML</v>
      </c>
      <c r="C432" s="16">
        <f>IFERROR(__xludf.DUMMYFUNCTION("""COMPUTED_VALUE"""),160.0)</f>
        <v>160</v>
      </c>
      <c r="D432" s="13" t="str">
        <f>IFERROR(__xludf.DUMMYFUNCTION("""COMPUTED_VALUE"""),"BOT")</f>
        <v>BOT</v>
      </c>
      <c r="E432" s="28">
        <f>IFERROR(__xludf.DUMMYFUNCTION("""COMPUTED_VALUE"""),9.0)</f>
        <v>9</v>
      </c>
      <c r="F432" s="52">
        <f>SUMIF(SALES!D:D, A432, SALES!H:H) + SUMIFS('STOCK IN  TRANSFER'!G:G, 'STOCK IN  TRANSFER'!D:D, A432, 'STOCK IN  TRANSFER'!F:F, "TRANSFER") + SUMIFS('STOCK IN  TRANSFER'!G:G, 'STOCK IN  TRANSFER'!D:D, A432, 'STOCK IN  TRANSFER'!F:F, "ADJUSTMENT (-)")</f>
        <v>3</v>
      </c>
      <c r="G432" s="52">
        <f>SUMIFS('STOCK IN  TRANSFER'!G:G, 'STOCK IN  TRANSFER'!D:D, A432, 'STOCK IN  TRANSFER'!F:F, "STOCK IN") + SUMIFS('STOCK IN  TRANSFER'!G:G, 'STOCK IN  TRANSFER'!D:D, A432, 'STOCK IN  TRANSFER'!F:F, "ADJUSTMENT (+)")</f>
        <v>12</v>
      </c>
    </row>
    <row r="433" ht="22.5" customHeight="1">
      <c r="A433" s="13" t="str">
        <f>IFERROR(__xludf.DUMMYFUNCTION("""COMPUTED_VALUE"""),"HDOIT")</f>
        <v>HDOIT</v>
      </c>
      <c r="B433" s="13" t="str">
        <f>IFERROR(__xludf.DUMMYFUNCTION("""COMPUTED_VALUE"""),"DO IT HARDENER 2K TOP COAT")</f>
        <v>DO IT HARDENER 2K TOP COAT</v>
      </c>
      <c r="C433" s="16">
        <f>IFERROR(__xludf.DUMMYFUNCTION("""COMPUTED_VALUE"""),240.0)</f>
        <v>240</v>
      </c>
      <c r="D433" s="13" t="str">
        <f>IFERROR(__xludf.DUMMYFUNCTION("""COMPUTED_VALUE"""),"CAN")</f>
        <v>CAN</v>
      </c>
      <c r="E433" s="28">
        <f>IFERROR(__xludf.DUMMYFUNCTION("""COMPUTED_VALUE"""),0.0)</f>
        <v>0</v>
      </c>
      <c r="F433" s="52">
        <f>SUMIF(SALES!D:D, A433, SALES!H:H) + SUMIFS('STOCK IN  TRANSFER'!G:G, 'STOCK IN  TRANSFER'!D:D, A433, 'STOCK IN  TRANSFER'!F:F, "TRANSFER") + SUMIFS('STOCK IN  TRANSFER'!G:G, 'STOCK IN  TRANSFER'!D:D, A433, 'STOCK IN  TRANSFER'!F:F, "ADJUSTMENT (-)")</f>
        <v>2</v>
      </c>
      <c r="G433" s="52">
        <f>SUMIFS('STOCK IN  TRANSFER'!G:G, 'STOCK IN  TRANSFER'!D:D, A433, 'STOCK IN  TRANSFER'!F:F, "STOCK IN") + SUMIFS('STOCK IN  TRANSFER'!G:G, 'STOCK IN  TRANSFER'!D:D, A433, 'STOCK IN  TRANSFER'!F:F, "ADJUSTMENT (+)")</f>
        <v>2</v>
      </c>
    </row>
    <row r="434" ht="22.5" customHeight="1">
      <c r="A434" s="13" t="str">
        <f>IFERROR(__xludf.DUMMYFUNCTION("""COMPUTED_VALUE"""),"QDUDTBLACKM-1L")</f>
        <v>QDUDTBLACKM-1L</v>
      </c>
      <c r="B434" s="13" t="str">
        <f>IFERROR(__xludf.DUMMYFUNCTION("""COMPUTED_VALUE"""),"DO IT BLACK MIX MICA 1L")</f>
        <v>DO IT BLACK MIX MICA 1L</v>
      </c>
      <c r="C434" s="16">
        <f>IFERROR(__xludf.DUMMYFUNCTION("""COMPUTED_VALUE"""),0.0)</f>
        <v>0</v>
      </c>
      <c r="D434" s="13" t="str">
        <f>IFERROR(__xludf.DUMMYFUNCTION("""COMPUTED_VALUE"""),"LITER")</f>
        <v>LITER</v>
      </c>
      <c r="E434" s="28">
        <f>IFERROR(__xludf.DUMMYFUNCTION("""COMPUTED_VALUE"""),0.0)</f>
        <v>0</v>
      </c>
      <c r="F434" s="52">
        <f>SUMIF(SALES!D:D, A434, SALES!H:H) + SUMIFS('STOCK IN  TRANSFER'!G:G, 'STOCK IN  TRANSFER'!D:D, A434, 'STOCK IN  TRANSFER'!F:F, "TRANSFER") + SUMIFS('STOCK IN  TRANSFER'!G:G, 'STOCK IN  TRANSFER'!D:D, A434, 'STOCK IN  TRANSFER'!F:F, "ADJUSTMENT (-)")</f>
        <v>0</v>
      </c>
      <c r="G434" s="52">
        <f>SUMIFS('STOCK IN  TRANSFER'!G:G, 'STOCK IN  TRANSFER'!D:D, A434, 'STOCK IN  TRANSFER'!F:F, "STOCK IN") + SUMIFS('STOCK IN  TRANSFER'!G:G, 'STOCK IN  TRANSFER'!D:D, A434, 'STOCK IN  TRANSFER'!F:F, "ADJUSTMENT (+)")</f>
        <v>0</v>
      </c>
    </row>
    <row r="435" ht="22.5" customHeight="1">
      <c r="A435" s="13" t="str">
        <f>IFERROR(__xludf.DUMMYFUNCTION("""COMPUTED_VALUE"""),"NP PB 1534D")</f>
        <v>NP PB 1534D</v>
      </c>
      <c r="B435" s="13" t="str">
        <f>IFERROR(__xludf.DUMMYFUNCTION("""COMPUTED_VALUE"""),"DEEP BASED MUTI PURPOSE COATING NIPPON PAINT")</f>
        <v>DEEP BASED MUTI PURPOSE COATING NIPPON PAINT</v>
      </c>
      <c r="C435" s="16">
        <f>IFERROR(__xludf.DUMMYFUNCTION("""COMPUTED_VALUE"""),0.0)</f>
        <v>0</v>
      </c>
      <c r="D435" s="13" t="str">
        <f>IFERROR(__xludf.DUMMYFUNCTION("""COMPUTED_VALUE"""),"PAIL")</f>
        <v>PAIL</v>
      </c>
      <c r="E435" s="28">
        <f>IFERROR(__xludf.DUMMYFUNCTION("""COMPUTED_VALUE"""),0.0)</f>
        <v>0</v>
      </c>
      <c r="F435" s="52">
        <f>SUMIF(SALES!D:D, A435, SALES!H:H) + SUMIFS('STOCK IN  TRANSFER'!G:G, 'STOCK IN  TRANSFER'!D:D, A435, 'STOCK IN  TRANSFER'!F:F, "TRANSFER") + SUMIFS('STOCK IN  TRANSFER'!G:G, 'STOCK IN  TRANSFER'!D:D, A435, 'STOCK IN  TRANSFER'!F:F, "ADJUSTMENT (-)")</f>
        <v>0</v>
      </c>
      <c r="G435" s="52">
        <f>SUMIFS('STOCK IN  TRANSFER'!G:G, 'STOCK IN  TRANSFER'!D:D, A435, 'STOCK IN  TRANSFER'!F:F, "STOCK IN") + SUMIFS('STOCK IN  TRANSFER'!G:G, 'STOCK IN  TRANSFER'!D:D, A435, 'STOCK IN  TRANSFER'!F:F, "ADJUSTMENT (+)")</f>
        <v>0</v>
      </c>
    </row>
    <row r="436" ht="22.5" customHeight="1">
      <c r="A436" s="13" t="str">
        <f>IFERROR(__xludf.DUMMYFUNCTION("""COMPUTED_VALUE"""),"DV400-WHITE-4L")</f>
        <v>DV400-WHITE-4L</v>
      </c>
      <c r="B436" s="13" t="str">
        <f>IFERROR(__xludf.DUMMYFUNCTION("""COMPUTED_VALUE"""),"DAVIES QDE WHITE 4L")</f>
        <v>DAVIES QDE WHITE 4L</v>
      </c>
      <c r="C436" s="16">
        <f>IFERROR(__xludf.DUMMYFUNCTION("""COMPUTED_VALUE"""),820.0)</f>
        <v>820</v>
      </c>
      <c r="D436" s="13" t="str">
        <f>IFERROR(__xludf.DUMMYFUNCTION("""COMPUTED_VALUE"""),"GALON")</f>
        <v>GALON</v>
      </c>
      <c r="E436" s="28">
        <f>IFERROR(__xludf.DUMMYFUNCTION("""COMPUTED_VALUE"""),0.0)</f>
        <v>0</v>
      </c>
      <c r="F436" s="52">
        <f>SUMIF(SALES!D:D, A436, SALES!H:H) + SUMIFS('STOCK IN  TRANSFER'!G:G, 'STOCK IN  TRANSFER'!D:D, A436, 'STOCK IN  TRANSFER'!F:F, "TRANSFER") + SUMIFS('STOCK IN  TRANSFER'!G:G, 'STOCK IN  TRANSFER'!D:D, A436, 'STOCK IN  TRANSFER'!F:F, "ADJUSTMENT (-)")</f>
        <v>9</v>
      </c>
      <c r="G436" s="52">
        <f>SUMIFS('STOCK IN  TRANSFER'!G:G, 'STOCK IN  TRANSFER'!D:D, A436, 'STOCK IN  TRANSFER'!F:F, "STOCK IN") + SUMIFS('STOCK IN  TRANSFER'!G:G, 'STOCK IN  TRANSFER'!D:D, A436, 'STOCK IN  TRANSFER'!F:F, "ADJUSTMENT (+)")</f>
        <v>9</v>
      </c>
    </row>
    <row r="437" ht="22.5" customHeight="1">
      <c r="A437" s="13" t="str">
        <f>IFERROR(__xludf.DUMMYFUNCTION("""COMPUTED_VALUE"""),"TC-33-1/4L")</f>
        <v>TC-33-1/4L</v>
      </c>
      <c r="B437" s="13" t="str">
        <f>IFERROR(__xludf.DUMMYFUNCTION("""COMPUTED_VALUE"""),"DAVIES OTC THALO GREEN 1/4L")</f>
        <v>DAVIES OTC THALO GREEN 1/4L</v>
      </c>
      <c r="C437" s="16">
        <f>IFERROR(__xludf.DUMMYFUNCTION("""COMPUTED_VALUE"""),95.0)</f>
        <v>95</v>
      </c>
      <c r="D437" s="13" t="str">
        <f>IFERROR(__xludf.DUMMYFUNCTION("""COMPUTED_VALUE"""),"1/4L")</f>
        <v>1/4L</v>
      </c>
      <c r="E437" s="28">
        <f>IFERROR(__xludf.DUMMYFUNCTION("""COMPUTED_VALUE"""),1.0)</f>
        <v>1</v>
      </c>
      <c r="F437" s="52">
        <f>SUMIF(SALES!D:D, A437, SALES!H:H) + SUMIFS('STOCK IN  TRANSFER'!G:G, 'STOCK IN  TRANSFER'!D:D, A437, 'STOCK IN  TRANSFER'!F:F, "TRANSFER") + SUMIFS('STOCK IN  TRANSFER'!G:G, 'STOCK IN  TRANSFER'!D:D, A437, 'STOCK IN  TRANSFER'!F:F, "ADJUSTMENT (-)")</f>
        <v>0</v>
      </c>
      <c r="G437" s="52">
        <f>SUMIFS('STOCK IN  TRANSFER'!G:G, 'STOCK IN  TRANSFER'!D:D, A437, 'STOCK IN  TRANSFER'!F:F, "STOCK IN") + SUMIFS('STOCK IN  TRANSFER'!G:G, 'STOCK IN  TRANSFER'!D:D, A437, 'STOCK IN  TRANSFER'!F:F, "ADJUSTMENT (+)")</f>
        <v>1</v>
      </c>
    </row>
    <row r="438" ht="22.5" customHeight="1">
      <c r="A438" s="13" t="str">
        <f>IFERROR(__xludf.DUMMYFUNCTION("""COMPUTED_VALUE"""),"TC-21-1/4L")</f>
        <v>TC-21-1/4L</v>
      </c>
      <c r="B438" s="13" t="str">
        <f>IFERROR(__xludf.DUMMYFUNCTION("""COMPUTED_VALUE"""),"DAVIES OTC THALO BLUE 1/4L")</f>
        <v>DAVIES OTC THALO BLUE 1/4L</v>
      </c>
      <c r="C438" s="16">
        <f>IFERROR(__xludf.DUMMYFUNCTION("""COMPUTED_VALUE"""),95.0)</f>
        <v>95</v>
      </c>
      <c r="D438" s="13" t="str">
        <f>IFERROR(__xludf.DUMMYFUNCTION("""COMPUTED_VALUE"""),"1/4L")</f>
        <v>1/4L</v>
      </c>
      <c r="E438" s="28">
        <f>IFERROR(__xludf.DUMMYFUNCTION("""COMPUTED_VALUE"""),0.0)</f>
        <v>0</v>
      </c>
      <c r="F438" s="52">
        <f>SUMIF(SALES!D:D, A438, SALES!H:H) + SUMIFS('STOCK IN  TRANSFER'!G:G, 'STOCK IN  TRANSFER'!D:D, A438, 'STOCK IN  TRANSFER'!F:F, "TRANSFER") + SUMIFS('STOCK IN  TRANSFER'!G:G, 'STOCK IN  TRANSFER'!D:D, A438, 'STOCK IN  TRANSFER'!F:F, "ADJUSTMENT (-)")</f>
        <v>8</v>
      </c>
      <c r="G438" s="52">
        <f>SUMIFS('STOCK IN  TRANSFER'!G:G, 'STOCK IN  TRANSFER'!D:D, A438, 'STOCK IN  TRANSFER'!F:F, "STOCK IN") + SUMIFS('STOCK IN  TRANSFER'!G:G, 'STOCK IN  TRANSFER'!D:D, A438, 'STOCK IN  TRANSFER'!F:F, "ADJUSTMENT (+)")</f>
        <v>8</v>
      </c>
    </row>
    <row r="439" ht="22.5" customHeight="1">
      <c r="A439" s="13" t="str">
        <f>IFERROR(__xludf.DUMMYFUNCTION("""COMPUTED_VALUE"""),"TC-60-1/4L")</f>
        <v>TC-60-1/4L</v>
      </c>
      <c r="B439" s="13" t="str">
        <f>IFERROR(__xludf.DUMMYFUNCTION("""COMPUTED_VALUE"""),"DAVIES OIL TINTING COLOR TC-60 LAMP BLACK 1/4L")</f>
        <v>DAVIES OIL TINTING COLOR TC-60 LAMP BLACK 1/4L</v>
      </c>
      <c r="C439" s="16">
        <f>IFERROR(__xludf.DUMMYFUNCTION("""COMPUTED_VALUE"""),95.0)</f>
        <v>95</v>
      </c>
      <c r="D439" s="13" t="str">
        <f>IFERROR(__xludf.DUMMYFUNCTION("""COMPUTED_VALUE"""),"1/4L")</f>
        <v>1/4L</v>
      </c>
      <c r="E439" s="28">
        <f>IFERROR(__xludf.DUMMYFUNCTION("""COMPUTED_VALUE"""),4.0)</f>
        <v>4</v>
      </c>
      <c r="F439" s="52">
        <f>SUMIF(SALES!D:D, A439, SALES!H:H) + SUMIFS('STOCK IN  TRANSFER'!G:G, 'STOCK IN  TRANSFER'!D:D, A439, 'STOCK IN  TRANSFER'!F:F, "TRANSFER") + SUMIFS('STOCK IN  TRANSFER'!G:G, 'STOCK IN  TRANSFER'!D:D, A439, 'STOCK IN  TRANSFER'!F:F, "ADJUSTMENT (-)")</f>
        <v>1</v>
      </c>
      <c r="G439" s="52">
        <f>SUMIFS('STOCK IN  TRANSFER'!G:G, 'STOCK IN  TRANSFER'!D:D, A439, 'STOCK IN  TRANSFER'!F:F, "STOCK IN") + SUMIFS('STOCK IN  TRANSFER'!G:G, 'STOCK IN  TRANSFER'!D:D, A439, 'STOCK IN  TRANSFER'!F:F, "ADJUSTMENT (+)")</f>
        <v>5</v>
      </c>
    </row>
    <row r="440" ht="22.5" customHeight="1">
      <c r="A440" s="13" t="str">
        <f>IFERROR(__xludf.DUMMYFUNCTION("""COMPUTED_VALUE"""),"TCLT-11-1L")</f>
        <v>TCLT-11-1L</v>
      </c>
      <c r="B440" s="13" t="str">
        <f>IFERROR(__xludf.DUMMYFUNCTION("""COMPUTED_VALUE"""),"DAVIES LIQUID-TILE TINTING COLOR VENETIAN RED 1L")</f>
        <v>DAVIES LIQUID-TILE TINTING COLOR VENETIAN RED 1L</v>
      </c>
      <c r="C440" s="16">
        <f>IFERROR(__xludf.DUMMYFUNCTION("""COMPUTED_VALUE"""),399.0)</f>
        <v>399</v>
      </c>
      <c r="D440" s="13" t="str">
        <f>IFERROR(__xludf.DUMMYFUNCTION("""COMPUTED_VALUE"""),"LITER")</f>
        <v>LITER</v>
      </c>
      <c r="E440" s="28">
        <f>IFERROR(__xludf.DUMMYFUNCTION("""COMPUTED_VALUE"""),4.0)</f>
        <v>4</v>
      </c>
      <c r="F440" s="52">
        <f>SUMIF(SALES!D:D, A440, SALES!H:H) + SUMIFS('STOCK IN  TRANSFER'!G:G, 'STOCK IN  TRANSFER'!D:D, A440, 'STOCK IN  TRANSFER'!F:F, "TRANSFER") + SUMIFS('STOCK IN  TRANSFER'!G:G, 'STOCK IN  TRANSFER'!D:D, A440, 'STOCK IN  TRANSFER'!F:F, "ADJUSTMENT (-)")</f>
        <v>0</v>
      </c>
      <c r="G440" s="52">
        <f>SUMIFS('STOCK IN  TRANSFER'!G:G, 'STOCK IN  TRANSFER'!D:D, A440, 'STOCK IN  TRANSFER'!F:F, "STOCK IN") + SUMIFS('STOCK IN  TRANSFER'!G:G, 'STOCK IN  TRANSFER'!D:D, A440, 'STOCK IN  TRANSFER'!F:F, "ADJUSTMENT (+)")</f>
        <v>4</v>
      </c>
    </row>
    <row r="441" ht="22.5" customHeight="1">
      <c r="A441" s="13" t="str">
        <f>IFERROR(__xludf.DUMMYFUNCTION("""COMPUTED_VALUE"""),"TCLT-60-1L")</f>
        <v>TCLT-60-1L</v>
      </c>
      <c r="B441" s="13" t="str">
        <f>IFERROR(__xludf.DUMMYFUNCTION("""COMPUTED_VALUE"""),"DAVIES LIQUID-TILE TINTING COLOR BLACK 1L")</f>
        <v>DAVIES LIQUID-TILE TINTING COLOR BLACK 1L</v>
      </c>
      <c r="C441" s="16">
        <f>IFERROR(__xludf.DUMMYFUNCTION("""COMPUTED_VALUE"""),399.0)</f>
        <v>399</v>
      </c>
      <c r="D441" s="13" t="str">
        <f>IFERROR(__xludf.DUMMYFUNCTION("""COMPUTED_VALUE"""),"LITER")</f>
        <v>LITER</v>
      </c>
      <c r="E441" s="28">
        <f>IFERROR(__xludf.DUMMYFUNCTION("""COMPUTED_VALUE"""),3.0)</f>
        <v>3</v>
      </c>
      <c r="F441" s="52">
        <f>SUMIF(SALES!D:D, A441, SALES!H:H) + SUMIFS('STOCK IN  TRANSFER'!G:G, 'STOCK IN  TRANSFER'!D:D, A441, 'STOCK IN  TRANSFER'!F:F, "TRANSFER") + SUMIFS('STOCK IN  TRANSFER'!G:G, 'STOCK IN  TRANSFER'!D:D, A441, 'STOCK IN  TRANSFER'!F:F, "ADJUSTMENT (-)")</f>
        <v>0</v>
      </c>
      <c r="G441" s="52">
        <f>SUMIFS('STOCK IN  TRANSFER'!G:G, 'STOCK IN  TRANSFER'!D:D, A441, 'STOCK IN  TRANSFER'!F:F, "STOCK IN") + SUMIFS('STOCK IN  TRANSFER'!G:G, 'STOCK IN  TRANSFER'!D:D, A441, 'STOCK IN  TRANSFER'!F:F, "ADJUSTMENT (+)")</f>
        <v>3</v>
      </c>
    </row>
    <row r="442" ht="22.5" customHeight="1">
      <c r="A442" s="13" t="str">
        <f>IFERROR(__xludf.DUMMYFUNCTION("""COMPUTED_VALUE"""),"DV-5-525-4L")</f>
        <v>DV-5-525-4L</v>
      </c>
      <c r="B442" s="13" t="str">
        <f>IFERROR(__xludf.DUMMYFUNCTION("""COMPUTED_VALUE"""),"DAVIES LIQUID TILE GLOSS WHITE 4L")</f>
        <v>DAVIES LIQUID TILE GLOSS WHITE 4L</v>
      </c>
      <c r="C442" s="16">
        <f>IFERROR(__xludf.DUMMYFUNCTION("""COMPUTED_VALUE"""),1095.0)</f>
        <v>1095</v>
      </c>
      <c r="D442" s="13" t="str">
        <f>IFERROR(__xludf.DUMMYFUNCTION("""COMPUTED_VALUE"""),"GALON")</f>
        <v>GALON</v>
      </c>
      <c r="E442" s="28">
        <f>IFERROR(__xludf.DUMMYFUNCTION("""COMPUTED_VALUE"""),12.0)</f>
        <v>12</v>
      </c>
      <c r="F442" s="52">
        <f>SUMIF(SALES!D:D, A442, SALES!H:H) + SUMIFS('STOCK IN  TRANSFER'!G:G, 'STOCK IN  TRANSFER'!D:D, A442, 'STOCK IN  TRANSFER'!F:F, "TRANSFER") + SUMIFS('STOCK IN  TRANSFER'!G:G, 'STOCK IN  TRANSFER'!D:D, A442, 'STOCK IN  TRANSFER'!F:F, "ADJUSTMENT (-)")</f>
        <v>0</v>
      </c>
      <c r="G442" s="52">
        <f>SUMIFS('STOCK IN  TRANSFER'!G:G, 'STOCK IN  TRANSFER'!D:D, A442, 'STOCK IN  TRANSFER'!F:F, "STOCK IN") + SUMIFS('STOCK IN  TRANSFER'!G:G, 'STOCK IN  TRANSFER'!D:D, A442, 'STOCK IN  TRANSFER'!F:F, "ADJUSTMENT (+)")</f>
        <v>12</v>
      </c>
    </row>
    <row r="443" ht="22.5" customHeight="1">
      <c r="A443" s="13" t="str">
        <f>IFERROR(__xludf.DUMMYFUNCTION("""COMPUTED_VALUE"""),"CUMIFS-80")</f>
        <v>CUMIFS-80</v>
      </c>
      <c r="B443" s="13" t="str">
        <f>IFERROR(__xludf.DUMMYFUNCTION("""COMPUTED_VALUE"""),"CUMI SUPREME FLOOR SANDING 80")</f>
        <v>CUMI SUPREME FLOOR SANDING 80</v>
      </c>
      <c r="C443" s="16">
        <f>IFERROR(__xludf.DUMMYFUNCTION("""COMPUTED_VALUE"""),42.4)</f>
        <v>42.4</v>
      </c>
      <c r="D443" s="13" t="str">
        <f>IFERROR(__xludf.DUMMYFUNCTION("""COMPUTED_VALUE"""),"FT")</f>
        <v>FT</v>
      </c>
      <c r="E443" s="28">
        <f>IFERROR(__xludf.DUMMYFUNCTION("""COMPUTED_VALUE"""),56.0)</f>
        <v>56</v>
      </c>
      <c r="F443" s="52">
        <f>SUMIF(SALES!D:D, A443, SALES!H:H) + SUMIFS('STOCK IN  TRANSFER'!G:G, 'STOCK IN  TRANSFER'!D:D, A443, 'STOCK IN  TRANSFER'!F:F, "TRANSFER") + SUMIFS('STOCK IN  TRANSFER'!G:G, 'STOCK IN  TRANSFER'!D:D, A443, 'STOCK IN  TRANSFER'!F:F, "ADJUSTMENT (-)")</f>
        <v>44</v>
      </c>
      <c r="G443" s="52">
        <f>SUMIFS('STOCK IN  TRANSFER'!G:G, 'STOCK IN  TRANSFER'!D:D, A443, 'STOCK IN  TRANSFER'!F:F, "STOCK IN") + SUMIFS('STOCK IN  TRANSFER'!G:G, 'STOCK IN  TRANSFER'!D:D, A443, 'STOCK IN  TRANSFER'!F:F, "ADJUSTMENT (+)")</f>
        <v>100</v>
      </c>
    </row>
    <row r="444" ht="22.5" customHeight="1">
      <c r="A444" s="13" t="str">
        <f>IFERROR(__xludf.DUMMYFUNCTION("""COMPUTED_VALUE"""),"CUMIFS-60")</f>
        <v>CUMIFS-60</v>
      </c>
      <c r="B444" s="13" t="str">
        <f>IFERROR(__xludf.DUMMYFUNCTION("""COMPUTED_VALUE"""),"CUMI SUPREME FLOOR SANDING 60")</f>
        <v>CUMI SUPREME FLOOR SANDING 60</v>
      </c>
      <c r="C444" s="16">
        <f>IFERROR(__xludf.DUMMYFUNCTION("""COMPUTED_VALUE"""),44.73)</f>
        <v>44.73</v>
      </c>
      <c r="D444" s="13" t="str">
        <f>IFERROR(__xludf.DUMMYFUNCTION("""COMPUTED_VALUE"""),"FT")</f>
        <v>FT</v>
      </c>
      <c r="E444" s="28">
        <f>IFERROR(__xludf.DUMMYFUNCTION("""COMPUTED_VALUE"""),18.0)</f>
        <v>18</v>
      </c>
      <c r="F444" s="52">
        <f>SUMIF(SALES!D:D, A444, SALES!H:H) + SUMIFS('STOCK IN  TRANSFER'!G:G, 'STOCK IN  TRANSFER'!D:D, A444, 'STOCK IN  TRANSFER'!F:F, "TRANSFER") + SUMIFS('STOCK IN  TRANSFER'!G:G, 'STOCK IN  TRANSFER'!D:D, A444, 'STOCK IN  TRANSFER'!F:F, "ADJUSTMENT (-)")</f>
        <v>48</v>
      </c>
      <c r="G444" s="52">
        <f>SUMIFS('STOCK IN  TRANSFER'!G:G, 'STOCK IN  TRANSFER'!D:D, A444, 'STOCK IN  TRANSFER'!F:F, "STOCK IN") + SUMIFS('STOCK IN  TRANSFER'!G:G, 'STOCK IN  TRANSFER'!D:D, A444, 'STOCK IN  TRANSFER'!F:F, "ADJUSTMENT (+)")</f>
        <v>66</v>
      </c>
    </row>
    <row r="445" ht="22.5" customHeight="1">
      <c r="A445" s="13" t="str">
        <f>IFERROR(__xludf.DUMMYFUNCTION("""COMPUTED_VALUE"""),"CUMIFS-36")</f>
        <v>CUMIFS-36</v>
      </c>
      <c r="B445" s="13" t="str">
        <f>IFERROR(__xludf.DUMMYFUNCTION("""COMPUTED_VALUE"""),"CUMI SUPREME FLOOR SANDING 36")</f>
        <v>CUMI SUPREME FLOOR SANDING 36</v>
      </c>
      <c r="C445" s="16">
        <f>IFERROR(__xludf.DUMMYFUNCTION("""COMPUTED_VALUE"""),55.36)</f>
        <v>55.36</v>
      </c>
      <c r="D445" s="13" t="str">
        <f>IFERROR(__xludf.DUMMYFUNCTION("""COMPUTED_VALUE"""),"FT")</f>
        <v>FT</v>
      </c>
      <c r="E445" s="28">
        <f>IFERROR(__xludf.DUMMYFUNCTION("""COMPUTED_VALUE"""),130.0)</f>
        <v>130</v>
      </c>
      <c r="F445" s="52">
        <f>SUMIF(SALES!D:D, A445, SALES!H:H) + SUMIFS('STOCK IN  TRANSFER'!G:G, 'STOCK IN  TRANSFER'!D:D, A445, 'STOCK IN  TRANSFER'!F:F, "TRANSFER") + SUMIFS('STOCK IN  TRANSFER'!G:G, 'STOCK IN  TRANSFER'!D:D, A445, 'STOCK IN  TRANSFER'!F:F, "ADJUSTMENT (-)")</f>
        <v>10.5</v>
      </c>
      <c r="G445" s="52">
        <f>SUMIFS('STOCK IN  TRANSFER'!G:G, 'STOCK IN  TRANSFER'!D:D, A445, 'STOCK IN  TRANSFER'!F:F, "STOCK IN") + SUMIFS('STOCK IN  TRANSFER'!G:G, 'STOCK IN  TRANSFER'!D:D, A445, 'STOCK IN  TRANSFER'!F:F, "ADJUSTMENT (+)")</f>
        <v>140.5</v>
      </c>
    </row>
    <row r="446" ht="22.5" customHeight="1">
      <c r="A446" s="13" t="str">
        <f>IFERROR(__xludf.DUMMYFUNCTION("""COMPUTED_VALUE"""),"CUMIFS-100")</f>
        <v>CUMIFS-100</v>
      </c>
      <c r="B446" s="13" t="str">
        <f>IFERROR(__xludf.DUMMYFUNCTION("""COMPUTED_VALUE"""),"CUMI SUPREME FLOOR SANDING 100")</f>
        <v>CUMI SUPREME FLOOR SANDING 100</v>
      </c>
      <c r="C446" s="16">
        <f>IFERROR(__xludf.DUMMYFUNCTION("""COMPUTED_VALUE"""),39.03)</f>
        <v>39.03</v>
      </c>
      <c r="D446" s="13" t="str">
        <f>IFERROR(__xludf.DUMMYFUNCTION("""COMPUTED_VALUE"""),"FT")</f>
        <v>FT</v>
      </c>
      <c r="E446" s="28">
        <f>IFERROR(__xludf.DUMMYFUNCTION("""COMPUTED_VALUE"""),94.0)</f>
        <v>94</v>
      </c>
      <c r="F446" s="52">
        <f>SUMIF(SALES!D:D, A446, SALES!H:H) + SUMIFS('STOCK IN  TRANSFER'!G:G, 'STOCK IN  TRANSFER'!D:D, A446, 'STOCK IN  TRANSFER'!F:F, "TRANSFER") + SUMIFS('STOCK IN  TRANSFER'!G:G, 'STOCK IN  TRANSFER'!D:D, A446, 'STOCK IN  TRANSFER'!F:F, "ADJUSTMENT (-)")</f>
        <v>34.5</v>
      </c>
      <c r="G446" s="52">
        <f>SUMIFS('STOCK IN  TRANSFER'!G:G, 'STOCK IN  TRANSFER'!D:D, A446, 'STOCK IN  TRANSFER'!F:F, "STOCK IN") + SUMIFS('STOCK IN  TRANSFER'!G:G, 'STOCK IN  TRANSFER'!D:D, A446, 'STOCK IN  TRANSFER'!F:F, "ADJUSTMENT (+)")</f>
        <v>128.5</v>
      </c>
    </row>
    <row r="447" ht="22.5" customHeight="1">
      <c r="A447" s="13" t="str">
        <f>IFERROR(__xludf.DUMMYFUNCTION("""COMPUTED_VALUE"""),"CRO-MT3/4")</f>
        <v>CRO-MT3/4</v>
      </c>
      <c r="B447" s="13" t="str">
        <f>IFERROR(__xludf.DUMMYFUNCTION("""COMPUTED_VALUE"""),"CROCO MASKING TAPE 3/4 18MM (1X64)")</f>
        <v>CROCO MASKING TAPE 3/4 18MM (1X64)</v>
      </c>
      <c r="C447" s="16">
        <f>IFERROR(__xludf.DUMMYFUNCTION("""COMPUTED_VALUE"""),23.59)</f>
        <v>23.59</v>
      </c>
      <c r="D447" s="13" t="str">
        <f>IFERROR(__xludf.DUMMYFUNCTION("""COMPUTED_VALUE"""),"PC/S")</f>
        <v>PC/S</v>
      </c>
      <c r="E447" s="28">
        <f>IFERROR(__xludf.DUMMYFUNCTION("""COMPUTED_VALUE"""),-13.0)</f>
        <v>-13</v>
      </c>
      <c r="F447" s="52">
        <f>SUMIF(SALES!D:D, A447, SALES!H:H) + SUMIFS('STOCK IN  TRANSFER'!G:G, 'STOCK IN  TRANSFER'!D:D, A447, 'STOCK IN  TRANSFER'!F:F, "TRANSFER") + SUMIFS('STOCK IN  TRANSFER'!G:G, 'STOCK IN  TRANSFER'!D:D, A447, 'STOCK IN  TRANSFER'!F:F, "ADJUSTMENT (-)")</f>
        <v>595</v>
      </c>
      <c r="G447" s="52">
        <f>SUMIFS('STOCK IN  TRANSFER'!G:G, 'STOCK IN  TRANSFER'!D:D, A447, 'STOCK IN  TRANSFER'!F:F, "STOCK IN") + SUMIFS('STOCK IN  TRANSFER'!G:G, 'STOCK IN  TRANSFER'!D:D, A447, 'STOCK IN  TRANSFER'!F:F, "ADJUSTMENT (+)")</f>
        <v>582</v>
      </c>
    </row>
    <row r="448" ht="22.5" customHeight="1">
      <c r="A448" s="13" t="str">
        <f>IFERROR(__xludf.DUMMYFUNCTION("""COMPUTED_VALUE"""),"CRO-MT1/2")</f>
        <v>CRO-MT1/2</v>
      </c>
      <c r="B448" s="13" t="str">
        <f>IFERROR(__xludf.DUMMYFUNCTION("""COMPUTED_VALUE"""),"CROCO MASKING TAPE 1/2 12MM (1X96)")</f>
        <v>CROCO MASKING TAPE 1/2 12MM (1X96)</v>
      </c>
      <c r="C448" s="16">
        <f>IFERROR(__xludf.DUMMYFUNCTION("""COMPUTED_VALUE"""),15.73)</f>
        <v>15.73</v>
      </c>
      <c r="D448" s="13" t="str">
        <f>IFERROR(__xludf.DUMMYFUNCTION("""COMPUTED_VALUE"""),"PC/S")</f>
        <v>PC/S</v>
      </c>
      <c r="E448" s="28">
        <f>IFERROR(__xludf.DUMMYFUNCTION("""COMPUTED_VALUE"""),39.0)</f>
        <v>39</v>
      </c>
      <c r="F448" s="52">
        <f>SUMIF(SALES!D:D, A448, SALES!H:H) + SUMIFS('STOCK IN  TRANSFER'!G:G, 'STOCK IN  TRANSFER'!D:D, A448, 'STOCK IN  TRANSFER'!F:F, "TRANSFER") + SUMIFS('STOCK IN  TRANSFER'!G:G, 'STOCK IN  TRANSFER'!D:D, A448, 'STOCK IN  TRANSFER'!F:F, "ADJUSTMENT (-)")</f>
        <v>184</v>
      </c>
      <c r="G448" s="52">
        <f>SUMIFS('STOCK IN  TRANSFER'!G:G, 'STOCK IN  TRANSFER'!D:D, A448, 'STOCK IN  TRANSFER'!F:F, "STOCK IN") + SUMIFS('STOCK IN  TRANSFER'!G:G, 'STOCK IN  TRANSFER'!D:D, A448, 'STOCK IN  TRANSFER'!F:F, "ADJUSTMENT (+)")</f>
        <v>223</v>
      </c>
    </row>
    <row r="449" ht="22.5" customHeight="1">
      <c r="A449" s="13" t="str">
        <f>IFERROR(__xludf.DUMMYFUNCTION("""COMPUTED_VALUE"""),"CRO-MT2")</f>
        <v>CRO-MT2</v>
      </c>
      <c r="B449" s="13" t="str">
        <f>IFERROR(__xludf.DUMMYFUNCTION("""COMPUTED_VALUE"""),"CROCO MASKING TAPE #2")</f>
        <v>CROCO MASKING TAPE #2</v>
      </c>
      <c r="C449" s="16">
        <f>IFERROR(__xludf.DUMMYFUNCTION("""COMPUTED_VALUE"""),63.0)</f>
        <v>63</v>
      </c>
      <c r="D449" s="13" t="str">
        <f>IFERROR(__xludf.DUMMYFUNCTION("""COMPUTED_VALUE"""),"PCS")</f>
        <v>PCS</v>
      </c>
      <c r="E449" s="28">
        <f>IFERROR(__xludf.DUMMYFUNCTION("""COMPUTED_VALUE"""),13.0)</f>
        <v>13</v>
      </c>
      <c r="F449" s="52">
        <f>SUMIF(SALES!D:D, A449, SALES!H:H) + SUMIFS('STOCK IN  TRANSFER'!G:G, 'STOCK IN  TRANSFER'!D:D, A449, 'STOCK IN  TRANSFER'!F:F, "TRANSFER") + SUMIFS('STOCK IN  TRANSFER'!G:G, 'STOCK IN  TRANSFER'!D:D, A449, 'STOCK IN  TRANSFER'!F:F, "ADJUSTMENT (-)")</f>
        <v>2</v>
      </c>
      <c r="G449" s="52">
        <f>SUMIFS('STOCK IN  TRANSFER'!G:G, 'STOCK IN  TRANSFER'!D:D, A449, 'STOCK IN  TRANSFER'!F:F, "STOCK IN") + SUMIFS('STOCK IN  TRANSFER'!G:G, 'STOCK IN  TRANSFER'!D:D, A449, 'STOCK IN  TRANSFER'!F:F, "ADJUSTMENT (+)")</f>
        <v>15</v>
      </c>
    </row>
    <row r="450" ht="22.5" customHeight="1">
      <c r="A450" s="13" t="str">
        <f>IFERROR(__xludf.DUMMYFUNCTION("""COMPUTED_VALUE"""),"CRO-MT1")</f>
        <v>CRO-MT1</v>
      </c>
      <c r="B450" s="13" t="str">
        <f>IFERROR(__xludf.DUMMYFUNCTION("""COMPUTED_VALUE"""),"CROCO MASKING TAPE #1")</f>
        <v>CROCO MASKING TAPE #1</v>
      </c>
      <c r="C450" s="16">
        <f>IFERROR(__xludf.DUMMYFUNCTION("""COMPUTED_VALUE"""),32.0)</f>
        <v>32</v>
      </c>
      <c r="D450" s="13" t="str">
        <f>IFERROR(__xludf.DUMMYFUNCTION("""COMPUTED_VALUE"""),"PCS")</f>
        <v>PCS</v>
      </c>
      <c r="E450" s="28">
        <f>IFERROR(__xludf.DUMMYFUNCTION("""COMPUTED_VALUE"""),14.0)</f>
        <v>14</v>
      </c>
      <c r="F450" s="52">
        <f>SUMIF(SALES!D:D, A450, SALES!H:H) + SUMIFS('STOCK IN  TRANSFER'!G:G, 'STOCK IN  TRANSFER'!D:D, A450, 'STOCK IN  TRANSFER'!F:F, "TRANSFER") + SUMIFS('STOCK IN  TRANSFER'!G:G, 'STOCK IN  TRANSFER'!D:D, A450, 'STOCK IN  TRANSFER'!F:F, "ADJUSTMENT (-)")</f>
        <v>38</v>
      </c>
      <c r="G450" s="52">
        <f>SUMIFS('STOCK IN  TRANSFER'!G:G, 'STOCK IN  TRANSFER'!D:D, A450, 'STOCK IN  TRANSFER'!F:F, "STOCK IN") + SUMIFS('STOCK IN  TRANSFER'!G:G, 'STOCK IN  TRANSFER'!D:D, A450, 'STOCK IN  TRANSFER'!F:F, "ADJUSTMENT (+)")</f>
        <v>52</v>
      </c>
    </row>
    <row r="451" ht="22.5" customHeight="1">
      <c r="A451" s="13" t="str">
        <f>IFERROR(__xludf.DUMMYFUNCTION("""COMPUTED_VALUE"""),"ROS-SR-337")</f>
        <v>ROS-SR-337</v>
      </c>
      <c r="B451" s="13" t="str">
        <f>IFERROR(__xludf.DUMMYFUNCTION("""COMPUTED_VALUE"""),"COTTA ELASTOMERIC WATER FROOFING PAINT R0S-SR-337 SUN ROOF RAIN 4L")</f>
        <v>COTTA ELASTOMERIC WATER FROOFING PAINT R0S-SR-337 SUN ROOF RAIN 4L</v>
      </c>
      <c r="C451" s="16">
        <f>IFERROR(__xludf.DUMMYFUNCTION("""COMPUTED_VALUE"""),523.5)</f>
        <v>523.5</v>
      </c>
      <c r="D451" s="13" t="str">
        <f>IFERROR(__xludf.DUMMYFUNCTION("""COMPUTED_VALUE"""),"4L")</f>
        <v>4L</v>
      </c>
      <c r="E451" s="28">
        <f>IFERROR(__xludf.DUMMYFUNCTION("""COMPUTED_VALUE"""),2.0)</f>
        <v>2</v>
      </c>
      <c r="F451" s="52">
        <f>SUMIF(SALES!D:D, A451, SALES!H:H) + SUMIFS('STOCK IN  TRANSFER'!G:G, 'STOCK IN  TRANSFER'!D:D, A451, 'STOCK IN  TRANSFER'!F:F, "TRANSFER") + SUMIFS('STOCK IN  TRANSFER'!G:G, 'STOCK IN  TRANSFER'!D:D, A451, 'STOCK IN  TRANSFER'!F:F, "ADJUSTMENT (-)")</f>
        <v>0</v>
      </c>
      <c r="G451" s="52">
        <f>SUMIFS('STOCK IN  TRANSFER'!G:G, 'STOCK IN  TRANSFER'!D:D, A451, 'STOCK IN  TRANSFER'!F:F, "STOCK IN") + SUMIFS('STOCK IN  TRANSFER'!G:G, 'STOCK IN  TRANSFER'!D:D, A451, 'STOCK IN  TRANSFER'!F:F, "ADJUSTMENT (+)")</f>
        <v>2</v>
      </c>
    </row>
    <row r="452" ht="22.5" customHeight="1">
      <c r="A452" s="13" t="str">
        <f>IFERROR(__xludf.DUMMYFUNCTION("""COMPUTED_VALUE"""),"ROS-739")</f>
        <v>ROS-739</v>
      </c>
      <c r="B452" s="13" t="str">
        <f>IFERROR(__xludf.DUMMYFUNCTION("""COMPUTED_VALUE"""),"COCONUT ELASTOMERIC WATER FROOFING PAINT ROS-739 RAIN OR SHINE 4L")</f>
        <v>COCONUT ELASTOMERIC WATER FROOFING PAINT ROS-739 RAIN OR SHINE 4L</v>
      </c>
      <c r="C452" s="16">
        <f>IFERROR(__xludf.DUMMYFUNCTION("""COMPUTED_VALUE"""),661.1)</f>
        <v>661.1</v>
      </c>
      <c r="D452" s="13" t="str">
        <f>IFERROR(__xludf.DUMMYFUNCTION("""COMPUTED_VALUE"""),"4L")</f>
        <v>4L</v>
      </c>
      <c r="E452" s="28">
        <f>IFERROR(__xludf.DUMMYFUNCTION("""COMPUTED_VALUE"""),0.0)</f>
        <v>0</v>
      </c>
      <c r="F452" s="52">
        <f>SUMIF(SALES!D:D, A452, SALES!H:H) + SUMIFS('STOCK IN  TRANSFER'!G:G, 'STOCK IN  TRANSFER'!D:D, A452, 'STOCK IN  TRANSFER'!F:F, "TRANSFER") + SUMIFS('STOCK IN  TRANSFER'!G:G, 'STOCK IN  TRANSFER'!D:D, A452, 'STOCK IN  TRANSFER'!F:F, "ADJUSTMENT (-)")</f>
        <v>1</v>
      </c>
      <c r="G452" s="52">
        <f>SUMIFS('STOCK IN  TRANSFER'!G:G, 'STOCK IN  TRANSFER'!D:D, A452, 'STOCK IN  TRANSFER'!F:F, "STOCK IN") + SUMIFS('STOCK IN  TRANSFER'!G:G, 'STOCK IN  TRANSFER'!D:D, A452, 'STOCK IN  TRANSFER'!F:F, "ADJUSTMENT (+)")</f>
        <v>1</v>
      </c>
    </row>
    <row r="453" ht="22.5" customHeight="1">
      <c r="A453" s="13" t="str">
        <f>IFERROR(__xludf.DUMMYFUNCTION("""COMPUTED_VALUE"""),"ROS-367")</f>
        <v>ROS-367</v>
      </c>
      <c r="B453" s="13" t="str">
        <f>IFERROR(__xludf.DUMMYFUNCTION("""COMPUTED_VALUE"""),"CANDY TUFF ROS-367 RAIN OR SHINE 4L")</f>
        <v>CANDY TUFF ROS-367 RAIN OR SHINE 4L</v>
      </c>
      <c r="C453" s="16">
        <f>IFERROR(__xludf.DUMMYFUNCTION("""COMPUTED_VALUE"""),661.1)</f>
        <v>661.1</v>
      </c>
      <c r="D453" s="13" t="str">
        <f>IFERROR(__xludf.DUMMYFUNCTION("""COMPUTED_VALUE"""),"4L")</f>
        <v>4L</v>
      </c>
      <c r="E453" s="28">
        <f>IFERROR(__xludf.DUMMYFUNCTION("""COMPUTED_VALUE"""),0.0)</f>
        <v>0</v>
      </c>
      <c r="F453" s="52">
        <f>SUMIF(SALES!D:D, A453, SALES!H:H) + SUMIFS('STOCK IN  TRANSFER'!G:G, 'STOCK IN  TRANSFER'!D:D, A453, 'STOCK IN  TRANSFER'!F:F, "TRANSFER") + SUMIFS('STOCK IN  TRANSFER'!G:G, 'STOCK IN  TRANSFER'!D:D, A453, 'STOCK IN  TRANSFER'!F:F, "ADJUSTMENT (-)")</f>
        <v>3</v>
      </c>
      <c r="G453" s="52">
        <f>SUMIFS('STOCK IN  TRANSFER'!G:G, 'STOCK IN  TRANSFER'!D:D, A453, 'STOCK IN  TRANSFER'!F:F, "STOCK IN") + SUMIFS('STOCK IN  TRANSFER'!G:G, 'STOCK IN  TRANSFER'!D:D, A453, 'STOCK IN  TRANSFER'!F:F, "ADJUSTMENT (+)")</f>
        <v>3</v>
      </c>
    </row>
    <row r="454" ht="22.5" customHeight="1">
      <c r="A454" s="13" t="str">
        <f>IFERROR(__xludf.DUMMYFUNCTION("""COMPUTED_VALUE"""),"PWTAC-4617-1L")</f>
        <v>PWTAC-4617-1L</v>
      </c>
      <c r="B454" s="13" t="str">
        <f>IFERROR(__xludf.DUMMYFUNCTION("""COMPUTED_VALUE"""),"BURNT UMBER PREMIUM ACRY COLOR PWTAC-4617 1L WELCOAT")</f>
        <v>BURNT UMBER PREMIUM ACRY COLOR PWTAC-4617 1L WELCOAT</v>
      </c>
      <c r="C454" s="16">
        <f>IFERROR(__xludf.DUMMYFUNCTION("""COMPUTED_VALUE"""),104.6)</f>
        <v>104.6</v>
      </c>
      <c r="D454" s="13" t="str">
        <f>IFERROR(__xludf.DUMMYFUNCTION("""COMPUTED_VALUE"""),"1L")</f>
        <v>1L</v>
      </c>
      <c r="E454" s="28">
        <f>IFERROR(__xludf.DUMMYFUNCTION("""COMPUTED_VALUE"""),6.0)</f>
        <v>6</v>
      </c>
      <c r="F454" s="52">
        <f>SUMIF(SALES!D:D, A454, SALES!H:H) + SUMIFS('STOCK IN  TRANSFER'!G:G, 'STOCK IN  TRANSFER'!D:D, A454, 'STOCK IN  TRANSFER'!F:F, "TRANSFER") + SUMIFS('STOCK IN  TRANSFER'!G:G, 'STOCK IN  TRANSFER'!D:D, A454, 'STOCK IN  TRANSFER'!F:F, "ADJUSTMENT (-)")</f>
        <v>0</v>
      </c>
      <c r="G454" s="52">
        <f>SUMIFS('STOCK IN  TRANSFER'!G:G, 'STOCK IN  TRANSFER'!D:D, A454, 'STOCK IN  TRANSFER'!F:F, "STOCK IN") + SUMIFS('STOCK IN  TRANSFER'!G:G, 'STOCK IN  TRANSFER'!D:D, A454, 'STOCK IN  TRANSFER'!F:F, "ADJUSTMENT (+)")</f>
        <v>6</v>
      </c>
    </row>
    <row r="455" ht="22.5" customHeight="1">
      <c r="A455" s="13" t="str">
        <f>IFERROR(__xludf.DUMMYFUNCTION("""COMPUTED_VALUE"""),"TC-93-1/4L")</f>
        <v>TC-93-1/4L</v>
      </c>
      <c r="B455" s="13" t="str">
        <f>IFERROR(__xludf.DUMMYFUNCTION("""COMPUTED_VALUE"""),"BURNT UMBER OIL TINTING COLOR TC-93 1/4L DAVIES")</f>
        <v>BURNT UMBER OIL TINTING COLOR TC-93 1/4L DAVIES</v>
      </c>
      <c r="C455" s="16">
        <f>IFERROR(__xludf.DUMMYFUNCTION("""COMPUTED_VALUE"""),53.0)</f>
        <v>53</v>
      </c>
      <c r="D455" s="13" t="str">
        <f>IFERROR(__xludf.DUMMYFUNCTION("""COMPUTED_VALUE"""),"1/4L")</f>
        <v>1/4L</v>
      </c>
      <c r="E455" s="28">
        <f>IFERROR(__xludf.DUMMYFUNCTION("""COMPUTED_VALUE"""),0.0)</f>
        <v>0</v>
      </c>
      <c r="F455" s="52">
        <f>SUMIF(SALES!D:D, A455, SALES!H:H) + SUMIFS('STOCK IN  TRANSFER'!G:G, 'STOCK IN  TRANSFER'!D:D, A455, 'STOCK IN  TRANSFER'!F:F, "TRANSFER") + SUMIFS('STOCK IN  TRANSFER'!G:G, 'STOCK IN  TRANSFER'!D:D, A455, 'STOCK IN  TRANSFER'!F:F, "ADJUSTMENT (-)")</f>
        <v>0</v>
      </c>
      <c r="G455" s="52">
        <f>SUMIFS('STOCK IN  TRANSFER'!G:G, 'STOCK IN  TRANSFER'!D:D, A455, 'STOCK IN  TRANSFER'!F:F, "STOCK IN") + SUMIFS('STOCK IN  TRANSFER'!G:G, 'STOCK IN  TRANSFER'!D:D, A455, 'STOCK IN  TRANSFER'!F:F, "ADJUSTMENT (+)")</f>
        <v>0</v>
      </c>
    </row>
    <row r="456" ht="22.5" customHeight="1">
      <c r="A456" s="13" t="str">
        <f>IFERROR(__xludf.DUMMYFUNCTION("""COMPUTED_VALUE"""),"PWTCO-6133")</f>
        <v>PWTCO-6133</v>
      </c>
      <c r="B456" s="13" t="str">
        <f>IFERROR(__xludf.DUMMYFUNCTION("""COMPUTED_VALUE"""),"BURNT SIENNA TINTING COLOR PWTCO-6133 1/4L PREMIUM WELCOAT")</f>
        <v>BURNT SIENNA TINTING COLOR PWTCO-6133 1/4L PREMIUM WELCOAT</v>
      </c>
      <c r="C456" s="16">
        <f>IFERROR(__xludf.DUMMYFUNCTION("""COMPUTED_VALUE"""),80.59)</f>
        <v>80.59</v>
      </c>
      <c r="D456" s="13" t="str">
        <f>IFERROR(__xludf.DUMMYFUNCTION("""COMPUTED_VALUE"""),"1/4L")</f>
        <v>1/4L</v>
      </c>
      <c r="E456" s="28">
        <f>IFERROR(__xludf.DUMMYFUNCTION("""COMPUTED_VALUE"""),1.0)</f>
        <v>1</v>
      </c>
      <c r="F456" s="52">
        <f>SUMIF(SALES!D:D, A456, SALES!H:H) + SUMIFS('STOCK IN  TRANSFER'!G:G, 'STOCK IN  TRANSFER'!D:D, A456, 'STOCK IN  TRANSFER'!F:F, "TRANSFER") + SUMIFS('STOCK IN  TRANSFER'!G:G, 'STOCK IN  TRANSFER'!D:D, A456, 'STOCK IN  TRANSFER'!F:F, "ADJUSTMENT (-)")</f>
        <v>1</v>
      </c>
      <c r="G456" s="52">
        <f>SUMIFS('STOCK IN  TRANSFER'!G:G, 'STOCK IN  TRANSFER'!D:D, A456, 'STOCK IN  TRANSFER'!F:F, "STOCK IN") + SUMIFS('STOCK IN  TRANSFER'!G:G, 'STOCK IN  TRANSFER'!D:D, A456, 'STOCK IN  TRANSFER'!F:F, "ADJUSTMENT (+)")</f>
        <v>2</v>
      </c>
    </row>
    <row r="457" ht="22.5" customHeight="1">
      <c r="A457" s="13" t="str">
        <f>IFERROR(__xludf.DUMMYFUNCTION("""COMPUTED_VALUE"""),"PWTAC-6517-1L")</f>
        <v>PWTAC-6517-1L</v>
      </c>
      <c r="B457" s="13" t="str">
        <f>IFERROR(__xludf.DUMMYFUNCTION("""COMPUTED_VALUE"""),"BURNT SIENNA PREMIUM ACRY COLOR PWTAC-6517 1L WELCOAT")</f>
        <v>BURNT SIENNA PREMIUM ACRY COLOR PWTAC-6517 1L WELCOAT</v>
      </c>
      <c r="C457" s="16">
        <f>IFERROR(__xludf.DUMMYFUNCTION("""COMPUTED_VALUE"""),104.6)</f>
        <v>104.6</v>
      </c>
      <c r="D457" s="13" t="str">
        <f>IFERROR(__xludf.DUMMYFUNCTION("""COMPUTED_VALUE"""),"1L")</f>
        <v>1L</v>
      </c>
      <c r="E457" s="28">
        <f>IFERROR(__xludf.DUMMYFUNCTION("""COMPUTED_VALUE"""),6.0)</f>
        <v>6</v>
      </c>
      <c r="F457" s="52">
        <f>SUMIF(SALES!D:D, A457, SALES!H:H) + SUMIFS('STOCK IN  TRANSFER'!G:G, 'STOCK IN  TRANSFER'!D:D, A457, 'STOCK IN  TRANSFER'!F:F, "TRANSFER") + SUMIFS('STOCK IN  TRANSFER'!G:G, 'STOCK IN  TRANSFER'!D:D, A457, 'STOCK IN  TRANSFER'!F:F, "ADJUSTMENT (-)")</f>
        <v>0</v>
      </c>
      <c r="G457" s="52">
        <f>SUMIFS('STOCK IN  TRANSFER'!G:G, 'STOCK IN  TRANSFER'!D:D, A457, 'STOCK IN  TRANSFER'!F:F, "STOCK IN") + SUMIFS('STOCK IN  TRANSFER'!G:G, 'STOCK IN  TRANSFER'!D:D, A457, 'STOCK IN  TRANSFER'!F:F, "ADJUSTMENT (+)")</f>
        <v>6</v>
      </c>
    </row>
    <row r="458" ht="22.5" customHeight="1">
      <c r="A458" s="13" t="str">
        <f>IFERROR(__xludf.DUMMYFUNCTION("""COMPUTED_VALUE"""),"PWTCO-2133")</f>
        <v>PWTCO-2133</v>
      </c>
      <c r="B458" s="13" t="str">
        <f>IFERROR(__xludf.DUMMYFUNCTION("""COMPUTED_VALUE"""),"BULLETIN RED TINTING COLOR PWTCO-2133 1/4L PREMIUM WELCOAT")</f>
        <v>BULLETIN RED TINTING COLOR PWTCO-2133 1/4L PREMIUM WELCOAT</v>
      </c>
      <c r="C458" s="16">
        <f>IFERROR(__xludf.DUMMYFUNCTION("""COMPUTED_VALUE"""),87.4523)</f>
        <v>87.4523</v>
      </c>
      <c r="D458" s="13" t="str">
        <f>IFERROR(__xludf.DUMMYFUNCTION("""COMPUTED_VALUE"""),"1/4L")</f>
        <v>1/4L</v>
      </c>
      <c r="E458" s="28">
        <f>IFERROR(__xludf.DUMMYFUNCTION("""COMPUTED_VALUE"""),0.0)</f>
        <v>0</v>
      </c>
      <c r="F458" s="52">
        <f>SUMIF(SALES!D:D, A458, SALES!H:H) + SUMIFS('STOCK IN  TRANSFER'!G:G, 'STOCK IN  TRANSFER'!D:D, A458, 'STOCK IN  TRANSFER'!F:F, "TRANSFER") + SUMIFS('STOCK IN  TRANSFER'!G:G, 'STOCK IN  TRANSFER'!D:D, A458, 'STOCK IN  TRANSFER'!F:F, "ADJUSTMENT (-)")</f>
        <v>4</v>
      </c>
      <c r="G458" s="52">
        <f>SUMIFS('STOCK IN  TRANSFER'!G:G, 'STOCK IN  TRANSFER'!D:D, A458, 'STOCK IN  TRANSFER'!F:F, "STOCK IN") + SUMIFS('STOCK IN  TRANSFER'!G:G, 'STOCK IN  TRANSFER'!D:D, A458, 'STOCK IN  TRANSFER'!F:F, "ADJUSTMENT (+)")</f>
        <v>4</v>
      </c>
    </row>
    <row r="459" ht="22.5" customHeight="1">
      <c r="A459" s="13" t="str">
        <f>IFERROR(__xludf.DUMMYFUNCTION("""COMPUTED_VALUE"""),"BPAD")</f>
        <v>BPAD</v>
      </c>
      <c r="B459" s="13" t="str">
        <f>IFERROR(__xludf.DUMMYFUNCTION("""COMPUTED_VALUE"""),"BUFFING PAD")</f>
        <v>BUFFING PAD</v>
      </c>
      <c r="C459" s="16">
        <f>IFERROR(__xludf.DUMMYFUNCTION("""COMPUTED_VALUE"""),650.0)</f>
        <v>650</v>
      </c>
      <c r="D459" s="13" t="str">
        <f>IFERROR(__xludf.DUMMYFUNCTION("""COMPUTED_VALUE"""),"PC/S")</f>
        <v>PC/S</v>
      </c>
      <c r="E459" s="28">
        <f>IFERROR(__xludf.DUMMYFUNCTION("""COMPUTED_VALUE"""),2.0)</f>
        <v>2</v>
      </c>
      <c r="F459" s="52">
        <f>SUMIF(SALES!D:D, A459, SALES!H:H) + SUMIFS('STOCK IN  TRANSFER'!G:G, 'STOCK IN  TRANSFER'!D:D, A459, 'STOCK IN  TRANSFER'!F:F, "TRANSFER") + SUMIFS('STOCK IN  TRANSFER'!G:G, 'STOCK IN  TRANSFER'!D:D, A459, 'STOCK IN  TRANSFER'!F:F, "ADJUSTMENT (-)")</f>
        <v>1</v>
      </c>
      <c r="G459" s="52">
        <f>SUMIFS('STOCK IN  TRANSFER'!G:G, 'STOCK IN  TRANSFER'!D:D, A459, 'STOCK IN  TRANSFER'!F:F, "STOCK IN") + SUMIFS('STOCK IN  TRANSFER'!G:G, 'STOCK IN  TRANSFER'!D:D, A459, 'STOCK IN  TRANSFER'!F:F, "ADJUSTMENT (+)")</f>
        <v>3</v>
      </c>
    </row>
    <row r="460" ht="22.5" customHeight="1">
      <c r="A460" s="13" t="str">
        <f>IFERROR(__xludf.DUMMYFUNCTION("""COMPUTED_VALUE"""),"BSQDEW-GAL")</f>
        <v>BSQDEW-GAL</v>
      </c>
      <c r="B460" s="13" t="str">
        <f>IFERROR(__xludf.DUMMYFUNCTION("""COMPUTED_VALUE"""),"BOYSEN QDE WHITE GAL")</f>
        <v>BOYSEN QDE WHITE GAL</v>
      </c>
      <c r="C460" s="16">
        <f>IFERROR(__xludf.DUMMYFUNCTION("""COMPUTED_VALUE"""),834.0)</f>
        <v>834</v>
      </c>
      <c r="D460" s="13" t="str">
        <f>IFERROR(__xludf.DUMMYFUNCTION("""COMPUTED_VALUE"""),"GAL")</f>
        <v>GAL</v>
      </c>
      <c r="E460" s="28">
        <f>IFERROR(__xludf.DUMMYFUNCTION("""COMPUTED_VALUE"""),0.0)</f>
        <v>0</v>
      </c>
      <c r="F460" s="52">
        <f>SUMIF(SALES!D:D, A460, SALES!H:H) + SUMIFS('STOCK IN  TRANSFER'!G:G, 'STOCK IN  TRANSFER'!D:D, A460, 'STOCK IN  TRANSFER'!F:F, "TRANSFER") + SUMIFS('STOCK IN  TRANSFER'!G:G, 'STOCK IN  TRANSFER'!D:D, A460, 'STOCK IN  TRANSFER'!F:F, "ADJUSTMENT (-)")</f>
        <v>3</v>
      </c>
      <c r="G460" s="52">
        <f>SUMIFS('STOCK IN  TRANSFER'!G:G, 'STOCK IN  TRANSFER'!D:D, A460, 'STOCK IN  TRANSFER'!F:F, "STOCK IN") + SUMIFS('STOCK IN  TRANSFER'!G:G, 'STOCK IN  TRANSFER'!D:D, A460, 'STOCK IN  TRANSFER'!F:F, "ADJUSTMENT (+)")</f>
        <v>3</v>
      </c>
    </row>
    <row r="461" ht="22.5" customHeight="1">
      <c r="A461" s="13" t="str">
        <f>IFERROR(__xludf.DUMMYFUNCTION("""COMPUTED_VALUE"""),"B-710")</f>
        <v>B-710</v>
      </c>
      <c r="B461" s="13" t="str">
        <f>IFERROR(__xludf.DUMMYFUNCTION("""COMPUTED_VALUE"""),"BOYSEN PERMACOAT GLOSS LATEX B-710 WHITE 4L")</f>
        <v>BOYSEN PERMACOAT GLOSS LATEX B-710 WHITE 4L</v>
      </c>
      <c r="C461" s="16">
        <f>IFERROR(__xludf.DUMMYFUNCTION("""COMPUTED_VALUE"""),765.0)</f>
        <v>765</v>
      </c>
      <c r="D461" s="13" t="str">
        <f>IFERROR(__xludf.DUMMYFUNCTION("""COMPUTED_VALUE"""),"GALON")</f>
        <v>GALON</v>
      </c>
      <c r="E461" s="28">
        <f>IFERROR(__xludf.DUMMYFUNCTION("""COMPUTED_VALUE"""),3.0)</f>
        <v>3</v>
      </c>
      <c r="F461" s="52">
        <f>SUMIF(SALES!D:D, A461, SALES!H:H) + SUMIFS('STOCK IN  TRANSFER'!G:G, 'STOCK IN  TRANSFER'!D:D, A461, 'STOCK IN  TRANSFER'!F:F, "TRANSFER") + SUMIFS('STOCK IN  TRANSFER'!G:G, 'STOCK IN  TRANSFER'!D:D, A461, 'STOCK IN  TRANSFER'!F:F, "ADJUSTMENT (-)")</f>
        <v>3</v>
      </c>
      <c r="G461" s="52">
        <f>SUMIFS('STOCK IN  TRANSFER'!G:G, 'STOCK IN  TRANSFER'!D:D, A461, 'STOCK IN  TRANSFER'!F:F, "STOCK IN") + SUMIFS('STOCK IN  TRANSFER'!G:G, 'STOCK IN  TRANSFER'!D:D, A461, 'STOCK IN  TRANSFER'!F:F, "ADJUSTMENT (+)")</f>
        <v>6</v>
      </c>
    </row>
    <row r="462" ht="22.5" customHeight="1">
      <c r="A462" s="13" t="str">
        <f>IFERROR(__xludf.DUMMYFUNCTION("""COMPUTED_VALUE"""),"B-791")</f>
        <v>B-791</v>
      </c>
      <c r="B462" s="13" t="str">
        <f>IFERROR(__xludf.DUMMYFUNCTION("""COMPUTED_VALUE"""),"BOYSEN PERMACOAT FLAT LATEX BLACK 4L")</f>
        <v>BOYSEN PERMACOAT FLAT LATEX BLACK 4L</v>
      </c>
      <c r="C462" s="16">
        <f>IFERROR(__xludf.DUMMYFUNCTION("""COMPUTED_VALUE"""),615.0)</f>
        <v>615</v>
      </c>
      <c r="D462" s="13" t="str">
        <f>IFERROR(__xludf.DUMMYFUNCTION("""COMPUTED_VALUE"""),"GALON")</f>
        <v>GALON</v>
      </c>
      <c r="E462" s="28">
        <f>IFERROR(__xludf.DUMMYFUNCTION("""COMPUTED_VALUE"""),1.0)</f>
        <v>1</v>
      </c>
      <c r="F462" s="52">
        <f>SUMIF(SALES!D:D, A462, SALES!H:H) + SUMIFS('STOCK IN  TRANSFER'!G:G, 'STOCK IN  TRANSFER'!D:D, A462, 'STOCK IN  TRANSFER'!F:F, "TRANSFER") + SUMIFS('STOCK IN  TRANSFER'!G:G, 'STOCK IN  TRANSFER'!D:D, A462, 'STOCK IN  TRANSFER'!F:F, "ADJUSTMENT (-)")</f>
        <v>1</v>
      </c>
      <c r="G462" s="52">
        <f>SUMIFS('STOCK IN  TRANSFER'!G:G, 'STOCK IN  TRANSFER'!D:D, A462, 'STOCK IN  TRANSFER'!F:F, "STOCK IN") + SUMIFS('STOCK IN  TRANSFER'!G:G, 'STOCK IN  TRANSFER'!D:D, A462, 'STOCK IN  TRANSFER'!F:F, "ADJUSTMENT (+)")</f>
        <v>2</v>
      </c>
    </row>
    <row r="463" ht="22.5" customHeight="1">
      <c r="A463" s="13" t="str">
        <f>IFERROR(__xludf.DUMMYFUNCTION("""COMPUTED_VALUE"""),"B1490-1L")</f>
        <v>B1490-1L</v>
      </c>
      <c r="B463" s="13" t="str">
        <f>IFERROR(__xludf.DUMMYFUNCTION("""COMPUTED_VALUE"""),"BOYSEN LTC LAMP BLACK 1L")</f>
        <v>BOYSEN LTC LAMP BLACK 1L</v>
      </c>
      <c r="C463" s="16">
        <f>IFERROR(__xludf.DUMMYFUNCTION("""COMPUTED_VALUE"""),92.0)</f>
        <v>92</v>
      </c>
      <c r="D463" s="13" t="str">
        <f>IFERROR(__xludf.DUMMYFUNCTION("""COMPUTED_VALUE"""),"LITER")</f>
        <v>LITER</v>
      </c>
      <c r="E463" s="28">
        <f>IFERROR(__xludf.DUMMYFUNCTION("""COMPUTED_VALUE"""),8.0)</f>
        <v>8</v>
      </c>
      <c r="F463" s="52">
        <f>SUMIF(SALES!D:D, A463, SALES!H:H) + SUMIFS('STOCK IN  TRANSFER'!G:G, 'STOCK IN  TRANSFER'!D:D, A463, 'STOCK IN  TRANSFER'!F:F, "TRANSFER") + SUMIFS('STOCK IN  TRANSFER'!G:G, 'STOCK IN  TRANSFER'!D:D, A463, 'STOCK IN  TRANSFER'!F:F, "ADJUSTMENT (-)")</f>
        <v>4</v>
      </c>
      <c r="G463" s="52">
        <f>SUMIFS('STOCK IN  TRANSFER'!G:G, 'STOCK IN  TRANSFER'!D:D, A463, 'STOCK IN  TRANSFER'!F:F, "STOCK IN") + SUMIFS('STOCK IN  TRANSFER'!G:G, 'STOCK IN  TRANSFER'!D:D, A463, 'STOCK IN  TRANSFER'!F:F, "ADJUSTMENT (+)")</f>
        <v>12</v>
      </c>
    </row>
    <row r="464" ht="22.5" customHeight="1">
      <c r="A464" s="13" t="str">
        <f>IFERROR(__xludf.DUMMYFUNCTION("""COMPUTED_VALUE"""),"BSFWEW-GAL")</f>
        <v>BSFWEW-GAL</v>
      </c>
      <c r="B464" s="13" t="str">
        <f>IFERROR(__xludf.DUMMYFUNCTION("""COMPUTED_VALUE"""),"BOYSEN FWE WHITE GAL")</f>
        <v>BOYSEN FWE WHITE GAL</v>
      </c>
      <c r="C464" s="16">
        <f>IFERROR(__xludf.DUMMYFUNCTION("""COMPUTED_VALUE"""),777.0)</f>
        <v>777</v>
      </c>
      <c r="D464" s="13" t="str">
        <f>IFERROR(__xludf.DUMMYFUNCTION("""COMPUTED_VALUE"""),"GAL")</f>
        <v>GAL</v>
      </c>
      <c r="E464" s="28">
        <f>IFERROR(__xludf.DUMMYFUNCTION("""COMPUTED_VALUE"""),7.0)</f>
        <v>7</v>
      </c>
      <c r="F464" s="52">
        <f>SUMIF(SALES!D:D, A464, SALES!H:H) + SUMIFS('STOCK IN  TRANSFER'!G:G, 'STOCK IN  TRANSFER'!D:D, A464, 'STOCK IN  TRANSFER'!F:F, "TRANSFER") + SUMIFS('STOCK IN  TRANSFER'!G:G, 'STOCK IN  TRANSFER'!D:D, A464, 'STOCK IN  TRANSFER'!F:F, "ADJUSTMENT (-)")</f>
        <v>0</v>
      </c>
      <c r="G464" s="52">
        <f>SUMIFS('STOCK IN  TRANSFER'!G:G, 'STOCK IN  TRANSFER'!D:D, A464, 'STOCK IN  TRANSFER'!F:F, "STOCK IN") + SUMIFS('STOCK IN  TRANSFER'!G:G, 'STOCK IN  TRANSFER'!D:D, A464, 'STOCK IN  TRANSFER'!F:F, "ADJUSTMENT (+)")</f>
        <v>7</v>
      </c>
    </row>
    <row r="465" ht="22.5" customHeight="1">
      <c r="A465" s="13" t="str">
        <f>IFERROR(__xludf.DUMMYFUNCTION("""COMPUTED_VALUE"""),"B-1711")</f>
        <v>B-1711</v>
      </c>
      <c r="B465" s="13" t="str">
        <f>IFERROR(__xludf.DUMMYFUNCTION("""COMPUTED_VALUE"""),"BOYSEN ACRYTEX CAST 4L")</f>
        <v>BOYSEN ACRYTEX CAST 4L</v>
      </c>
      <c r="C465" s="16">
        <f>IFERROR(__xludf.DUMMYFUNCTION("""COMPUTED_VALUE"""),545.0)</f>
        <v>545</v>
      </c>
      <c r="D465" s="13" t="str">
        <f>IFERROR(__xludf.DUMMYFUNCTION("""COMPUTED_VALUE"""),"GALON")</f>
        <v>GALON</v>
      </c>
      <c r="E465" s="28">
        <f>IFERROR(__xludf.DUMMYFUNCTION("""COMPUTED_VALUE"""),2.0)</f>
        <v>2</v>
      </c>
      <c r="F465" s="52">
        <f>SUMIF(SALES!D:D, A465, SALES!H:H) + SUMIFS('STOCK IN  TRANSFER'!G:G, 'STOCK IN  TRANSFER'!D:D, A465, 'STOCK IN  TRANSFER'!F:F, "TRANSFER") + SUMIFS('STOCK IN  TRANSFER'!G:G, 'STOCK IN  TRANSFER'!D:D, A465, 'STOCK IN  TRANSFER'!F:F, "ADJUSTMENT (-)")</f>
        <v>1</v>
      </c>
      <c r="G465" s="52">
        <f>SUMIFS('STOCK IN  TRANSFER'!G:G, 'STOCK IN  TRANSFER'!D:D, A465, 'STOCK IN  TRANSFER'!F:F, "STOCK IN") + SUMIFS('STOCK IN  TRANSFER'!G:G, 'STOCK IN  TRANSFER'!D:D, A465, 'STOCK IN  TRANSFER'!F:F, "ADJUSTMENT (+)")</f>
        <v>3</v>
      </c>
    </row>
    <row r="466" ht="22.5" customHeight="1">
      <c r="A466" s="13" t="str">
        <f>IFERROR(__xludf.DUMMYFUNCTION("""COMPUTED_VALUE"""),"BSKSMCOAT-BAG")</f>
        <v>BSKSMCOAT-BAG</v>
      </c>
      <c r="B466" s="13" t="str">
        <f>IFERROR(__xludf.DUMMYFUNCTION("""COMPUTED_VALUE"""),"BOSTIK ULTRAFINO SKIMCOAT WHITE 20KG")</f>
        <v>BOSTIK ULTRAFINO SKIMCOAT WHITE 20KG</v>
      </c>
      <c r="C466" s="16">
        <f>IFERROR(__xludf.DUMMYFUNCTION("""COMPUTED_VALUE"""),495.0)</f>
        <v>495</v>
      </c>
      <c r="D466" s="13" t="str">
        <f>IFERROR(__xludf.DUMMYFUNCTION("""COMPUTED_VALUE"""),"BAG")</f>
        <v>BAG</v>
      </c>
      <c r="E466" s="28">
        <f>IFERROR(__xludf.DUMMYFUNCTION("""COMPUTED_VALUE"""),16.0)</f>
        <v>16</v>
      </c>
      <c r="F466" s="52">
        <f>SUMIF(SALES!D:D, A466, SALES!H:H) + SUMIFS('STOCK IN  TRANSFER'!G:G, 'STOCK IN  TRANSFER'!D:D, A466, 'STOCK IN  TRANSFER'!F:F, "TRANSFER") + SUMIFS('STOCK IN  TRANSFER'!G:G, 'STOCK IN  TRANSFER'!D:D, A466, 'STOCK IN  TRANSFER'!F:F, "ADJUSTMENT (-)")</f>
        <v>0</v>
      </c>
      <c r="G466" s="52">
        <f>SUMIFS('STOCK IN  TRANSFER'!G:G, 'STOCK IN  TRANSFER'!D:D, A466, 'STOCK IN  TRANSFER'!F:F, "STOCK IN") + SUMIFS('STOCK IN  TRANSFER'!G:G, 'STOCK IN  TRANSFER'!D:D, A466, 'STOCK IN  TRANSFER'!F:F, "ADJUSTMENT (+)")</f>
        <v>16</v>
      </c>
    </row>
    <row r="467" ht="22.5" customHeight="1">
      <c r="A467" s="13" t="str">
        <f>IFERROR(__xludf.DUMMYFUNCTION("""COMPUTED_VALUE"""),"ROS-EF-1130")</f>
        <v>ROS-EF-1130</v>
      </c>
      <c r="B467" s="13" t="str">
        <f>IFERROR(__xludf.DUMMYFUNCTION("""COMPUTED_VALUE"""),"BLACK ELASTO FLOOR ROS-EF-1130 RAIN OR SHINE 4L")</f>
        <v>BLACK ELASTO FLOOR ROS-EF-1130 RAIN OR SHINE 4L</v>
      </c>
      <c r="C467" s="16">
        <f>IFERROR(__xludf.DUMMYFUNCTION("""COMPUTED_VALUE"""),925.5)</f>
        <v>925.5</v>
      </c>
      <c r="D467" s="13" t="str">
        <f>IFERROR(__xludf.DUMMYFUNCTION("""COMPUTED_VALUE"""),"4L")</f>
        <v>4L</v>
      </c>
      <c r="E467" s="28">
        <f>IFERROR(__xludf.DUMMYFUNCTION("""COMPUTED_VALUE"""),3.0)</f>
        <v>3</v>
      </c>
      <c r="F467" s="52">
        <f>SUMIF(SALES!D:D, A467, SALES!H:H) + SUMIFS('STOCK IN  TRANSFER'!G:G, 'STOCK IN  TRANSFER'!D:D, A467, 'STOCK IN  TRANSFER'!F:F, "TRANSFER") + SUMIFS('STOCK IN  TRANSFER'!G:G, 'STOCK IN  TRANSFER'!D:D, A467, 'STOCK IN  TRANSFER'!F:F, "ADJUSTMENT (-)")</f>
        <v>0</v>
      </c>
      <c r="G467" s="52">
        <f>SUMIFS('STOCK IN  TRANSFER'!G:G, 'STOCK IN  TRANSFER'!D:D, A467, 'STOCK IN  TRANSFER'!F:F, "STOCK IN") + SUMIFS('STOCK IN  TRANSFER'!G:G, 'STOCK IN  TRANSFER'!D:D, A467, 'STOCK IN  TRANSFER'!F:F, "ADJUSTMENT (+)")</f>
        <v>3</v>
      </c>
    </row>
    <row r="468" ht="22.5" customHeight="1">
      <c r="A468" s="13" t="str">
        <f>IFERROR(__xludf.DUMMYFUNCTION("""COMPUTED_VALUE"""),"AC-60-1L")</f>
        <v>AC-60-1L</v>
      </c>
      <c r="B468" s="13" t="str">
        <f>IFERROR(__xludf.DUMMYFUNCTION("""COMPUTED_VALUE"""),"BLACK ACRY-COLOR AC-60 1L DAVIES")</f>
        <v>BLACK ACRY-COLOR AC-60 1L DAVIES</v>
      </c>
      <c r="C468" s="16">
        <f>IFERROR(__xludf.DUMMYFUNCTION("""COMPUTED_VALUE"""),85.0)</f>
        <v>85</v>
      </c>
      <c r="D468" s="13" t="str">
        <f>IFERROR(__xludf.DUMMYFUNCTION("""COMPUTED_VALUE"""),"1L")</f>
        <v>1L</v>
      </c>
      <c r="E468" s="28">
        <f>IFERROR(__xludf.DUMMYFUNCTION("""COMPUTED_VALUE"""),0.0)</f>
        <v>0</v>
      </c>
      <c r="F468" s="52">
        <f>SUMIF(SALES!D:D, A468, SALES!H:H) + SUMIFS('STOCK IN  TRANSFER'!G:G, 'STOCK IN  TRANSFER'!D:D, A468, 'STOCK IN  TRANSFER'!F:F, "TRANSFER") + SUMIFS('STOCK IN  TRANSFER'!G:G, 'STOCK IN  TRANSFER'!D:D, A468, 'STOCK IN  TRANSFER'!F:F, "ADJUSTMENT (-)")</f>
        <v>0</v>
      </c>
      <c r="G468" s="52">
        <f>SUMIFS('STOCK IN  TRANSFER'!G:G, 'STOCK IN  TRANSFER'!D:D, A468, 'STOCK IN  TRANSFER'!F:F, "STOCK IN") + SUMIFS('STOCK IN  TRANSFER'!G:G, 'STOCK IN  TRANSFER'!D:D, A468, 'STOCK IN  TRANSFER'!F:F, "ADJUSTMENT (+)")</f>
        <v>0</v>
      </c>
    </row>
    <row r="469" ht="22.5" customHeight="1">
      <c r="A469" s="13" t="str">
        <f>IFERROR(__xludf.DUMMYFUNCTION("""COMPUTED_VALUE"""),"ROS-SR-777")</f>
        <v>ROS-SR-777</v>
      </c>
      <c r="B469" s="13" t="str">
        <f>IFERROR(__xludf.DUMMYFUNCTION("""COMPUTED_VALUE"""),"BITTER SWEET SUN ROOF ROS-SR-777 RAIN OR SHINE 4L")</f>
        <v>BITTER SWEET SUN ROOF ROS-SR-777 RAIN OR SHINE 4L</v>
      </c>
      <c r="C469" s="16">
        <f>IFERROR(__xludf.DUMMYFUNCTION("""COMPUTED_VALUE"""),595.7)</f>
        <v>595.7</v>
      </c>
      <c r="D469" s="13" t="str">
        <f>IFERROR(__xludf.DUMMYFUNCTION("""COMPUTED_VALUE"""),"4L")</f>
        <v>4L</v>
      </c>
      <c r="E469" s="28">
        <f>IFERROR(__xludf.DUMMYFUNCTION("""COMPUTED_VALUE"""),1.0)</f>
        <v>1</v>
      </c>
      <c r="F469" s="52">
        <f>SUMIF(SALES!D:D, A469, SALES!H:H) + SUMIFS('STOCK IN  TRANSFER'!G:G, 'STOCK IN  TRANSFER'!D:D, A469, 'STOCK IN  TRANSFER'!F:F, "TRANSFER") + SUMIFS('STOCK IN  TRANSFER'!G:G, 'STOCK IN  TRANSFER'!D:D, A469, 'STOCK IN  TRANSFER'!F:F, "ADJUSTMENT (-)")</f>
        <v>0</v>
      </c>
      <c r="G469" s="52">
        <f>SUMIFS('STOCK IN  TRANSFER'!G:G, 'STOCK IN  TRANSFER'!D:D, A469, 'STOCK IN  TRANSFER'!F:F, "STOCK IN") + SUMIFS('STOCK IN  TRANSFER'!G:G, 'STOCK IN  TRANSFER'!D:D, A469, 'STOCK IN  TRANSFER'!F:F, "ADJUSTMENT (+)")</f>
        <v>1</v>
      </c>
    </row>
    <row r="470" ht="22.5" customHeight="1">
      <c r="A470" s="13" t="str">
        <f>IFERROR(__xludf.DUMMYFUNCTION("""COMPUTED_VALUE"""),"ROS-SR-182")</f>
        <v>ROS-SR-182</v>
      </c>
      <c r="B470" s="13" t="str">
        <f>IFERROR(__xludf.DUMMYFUNCTION("""COMPUTED_VALUE"""),"BEIGE SUN ROOF ROS-SR-182 RAIN OR SHINE 4L")</f>
        <v>BEIGE SUN ROOF ROS-SR-182 RAIN OR SHINE 4L</v>
      </c>
      <c r="C470" s="16">
        <f>IFERROR(__xludf.DUMMYFUNCTION("""COMPUTED_VALUE"""),577.6)</f>
        <v>577.6</v>
      </c>
      <c r="D470" s="13" t="str">
        <f>IFERROR(__xludf.DUMMYFUNCTION("""COMPUTED_VALUE"""),"4L")</f>
        <v>4L</v>
      </c>
      <c r="E470" s="28">
        <f>IFERROR(__xludf.DUMMYFUNCTION("""COMPUTED_VALUE"""),2.0)</f>
        <v>2</v>
      </c>
      <c r="F470" s="52">
        <f>SUMIF(SALES!D:D, A470, SALES!H:H) + SUMIFS('STOCK IN  TRANSFER'!G:G, 'STOCK IN  TRANSFER'!D:D, A470, 'STOCK IN  TRANSFER'!F:F, "TRANSFER") + SUMIFS('STOCK IN  TRANSFER'!G:G, 'STOCK IN  TRANSFER'!D:D, A470, 'STOCK IN  TRANSFER'!F:F, "ADJUSTMENT (-)")</f>
        <v>1</v>
      </c>
      <c r="G470" s="52">
        <f>SUMIFS('STOCK IN  TRANSFER'!G:G, 'STOCK IN  TRANSFER'!D:D, A470, 'STOCK IN  TRANSFER'!F:F, "STOCK IN") + SUMIFS('STOCK IN  TRANSFER'!G:G, 'STOCK IN  TRANSFER'!D:D, A470, 'STOCK IN  TRANSFER'!F:F, "ADJUSTMENT (+)")</f>
        <v>3</v>
      </c>
    </row>
    <row r="471" ht="22.5" customHeight="1">
      <c r="A471" s="13" t="str">
        <f>IFERROR(__xludf.DUMMYFUNCTION("""COMPUTED_VALUE"""),"ROS-270")</f>
        <v>ROS-270</v>
      </c>
      <c r="B471" s="13" t="str">
        <f>IFERROR(__xludf.DUMMYFUNCTION("""COMPUTED_VALUE"""),"ANTIQUE WHITE ROS-270 RAIN OR SHINE 4L")</f>
        <v>ANTIQUE WHITE ROS-270 RAIN OR SHINE 4L</v>
      </c>
      <c r="C471" s="16">
        <f>IFERROR(__xludf.DUMMYFUNCTION("""COMPUTED_VALUE"""),661.1)</f>
        <v>661.1</v>
      </c>
      <c r="D471" s="13" t="str">
        <f>IFERROR(__xludf.DUMMYFUNCTION("""COMPUTED_VALUE"""),"4L")</f>
        <v>4L</v>
      </c>
      <c r="E471" s="28">
        <f>IFERROR(__xludf.DUMMYFUNCTION("""COMPUTED_VALUE"""),0.0)</f>
        <v>0</v>
      </c>
      <c r="F471" s="52">
        <f>SUMIF(SALES!D:D, A471, SALES!H:H) + SUMIFS('STOCK IN  TRANSFER'!G:G, 'STOCK IN  TRANSFER'!D:D, A471, 'STOCK IN  TRANSFER'!F:F, "TRANSFER") + SUMIFS('STOCK IN  TRANSFER'!G:G, 'STOCK IN  TRANSFER'!D:D, A471, 'STOCK IN  TRANSFER'!F:F, "ADJUSTMENT (-)")</f>
        <v>0</v>
      </c>
      <c r="G471" s="52">
        <f>SUMIFS('STOCK IN  TRANSFER'!G:G, 'STOCK IN  TRANSFER'!D:D, A471, 'STOCK IN  TRANSFER'!F:F, "STOCK IN") + SUMIFS('STOCK IN  TRANSFER'!G:G, 'STOCK IN  TRANSFER'!D:D, A471, 'STOCK IN  TRANSFER'!F:F, "ADJUSTMENT (+)")</f>
        <v>0</v>
      </c>
    </row>
    <row r="472" ht="22.5" customHeight="1">
      <c r="A472" s="13" t="str">
        <f>IFERROR(__xludf.DUMMYFUNCTION("""COMPUTED_VALUE"""),"ROS-350")</f>
        <v>ROS-350</v>
      </c>
      <c r="B472" s="13" t="str">
        <f>IFERROR(__xludf.DUMMYFUNCTION("""COMPUTED_VALUE"""),"AMBER ROSE ROS-350 RAIN OR SHINE 4L")</f>
        <v>AMBER ROSE ROS-350 RAIN OR SHINE 4L</v>
      </c>
      <c r="C472" s="16">
        <f>IFERROR(__xludf.DUMMYFUNCTION("""COMPUTED_VALUE"""),661.1)</f>
        <v>661.1</v>
      </c>
      <c r="D472" s="13" t="str">
        <f>IFERROR(__xludf.DUMMYFUNCTION("""COMPUTED_VALUE"""),"4L")</f>
        <v>4L</v>
      </c>
      <c r="E472" s="28">
        <f>IFERROR(__xludf.DUMMYFUNCTION("""COMPUTED_VALUE"""),3.0)</f>
        <v>3</v>
      </c>
      <c r="F472" s="52">
        <f>SUMIF(SALES!D:D, A472, SALES!H:H) + SUMIFS('STOCK IN  TRANSFER'!G:G, 'STOCK IN  TRANSFER'!D:D, A472, 'STOCK IN  TRANSFER'!F:F, "TRANSFER") + SUMIFS('STOCK IN  TRANSFER'!G:G, 'STOCK IN  TRANSFER'!D:D, A472, 'STOCK IN  TRANSFER'!F:F, "ADJUSTMENT (-)")</f>
        <v>0</v>
      </c>
      <c r="G472" s="52">
        <f>SUMIFS('STOCK IN  TRANSFER'!G:G, 'STOCK IN  TRANSFER'!D:D, A472, 'STOCK IN  TRANSFER'!F:F, "STOCK IN") + SUMIFS('STOCK IN  TRANSFER'!G:G, 'STOCK IN  TRANSFER'!D:D, A472, 'STOCK IN  TRANSFER'!F:F, "ADJUSTMENT (+)")</f>
        <v>3</v>
      </c>
    </row>
    <row r="473" ht="22.5" customHeight="1">
      <c r="A473" s="13" t="str">
        <f>IFERROR(__xludf.DUMMYFUNCTION("""COMPUTED_VALUE"""),"ALPHAGLOSS-4L")</f>
        <v>ALPHAGLOSS-4L</v>
      </c>
      <c r="B473" s="13" t="str">
        <f>IFERROR(__xludf.DUMMYFUNCTION("""COMPUTED_VALUE"""),"ALPHA CHROMA ACRYTILE GLOSS WHITE 4L")</f>
        <v>ALPHA CHROMA ACRYTILE GLOSS WHITE 4L</v>
      </c>
      <c r="C473" s="16">
        <f>IFERROR(__xludf.DUMMYFUNCTION("""COMPUTED_VALUE"""),0.0)</f>
        <v>0</v>
      </c>
      <c r="D473" s="13" t="str">
        <f>IFERROR(__xludf.DUMMYFUNCTION("""COMPUTED_VALUE"""),"GALON")</f>
        <v>GALON</v>
      </c>
      <c r="E473" s="28">
        <f>IFERROR(__xludf.DUMMYFUNCTION("""COMPUTED_VALUE"""),0.0)</f>
        <v>0</v>
      </c>
      <c r="F473" s="52">
        <f>SUMIF(SALES!D:D, A473, SALES!H:H) + SUMIFS('STOCK IN  TRANSFER'!G:G, 'STOCK IN  TRANSFER'!D:D, A473, 'STOCK IN  TRANSFER'!F:F, "TRANSFER") + SUMIFS('STOCK IN  TRANSFER'!G:G, 'STOCK IN  TRANSFER'!D:D, A473, 'STOCK IN  TRANSFER'!F:F, "ADJUSTMENT (-)")</f>
        <v>1</v>
      </c>
      <c r="G473" s="52">
        <f>SUMIFS('STOCK IN  TRANSFER'!G:G, 'STOCK IN  TRANSFER'!D:D, A473, 'STOCK IN  TRANSFER'!F:F, "STOCK IN") + SUMIFS('STOCK IN  TRANSFER'!G:G, 'STOCK IN  TRANSFER'!D:D, A473, 'STOCK IN  TRANSFER'!F:F, "ADJUSTMENT (+)")</f>
        <v>1</v>
      </c>
    </row>
    <row r="474" ht="22.5" customHeight="1">
      <c r="A474" s="13" t="str">
        <f>IFERROR(__xludf.DUMMYFUNCTION("""COMPUTED_VALUE"""),"B-1705")</f>
        <v>B-1705</v>
      </c>
      <c r="B474" s="13" t="str">
        <f>IFERROR(__xludf.DUMMYFUNCTION("""COMPUTED_VALUE"""),"ACRYTEX PRIMER WHITE B-1705 BOYSEN 4L")</f>
        <v>ACRYTEX PRIMER WHITE B-1705 BOYSEN 4L</v>
      </c>
      <c r="C474" s="16">
        <f>IFERROR(__xludf.DUMMYFUNCTION("""COMPUTED_VALUE"""),979.0)</f>
        <v>979</v>
      </c>
      <c r="D474" s="13" t="str">
        <f>IFERROR(__xludf.DUMMYFUNCTION("""COMPUTED_VALUE"""),"4L")</f>
        <v>4L</v>
      </c>
      <c r="E474" s="28">
        <f>IFERROR(__xludf.DUMMYFUNCTION("""COMPUTED_VALUE"""),0.0)</f>
        <v>0</v>
      </c>
      <c r="F474" s="52">
        <f>SUMIF(SALES!D:D, A474, SALES!H:H) + SUMIFS('STOCK IN  TRANSFER'!G:G, 'STOCK IN  TRANSFER'!D:D, A474, 'STOCK IN  TRANSFER'!F:F, "TRANSFER") + SUMIFS('STOCK IN  TRANSFER'!G:G, 'STOCK IN  TRANSFER'!D:D, A474, 'STOCK IN  TRANSFER'!F:F, "ADJUSTMENT (-)")</f>
        <v>9</v>
      </c>
      <c r="G474" s="52">
        <f>SUMIFS('STOCK IN  TRANSFER'!G:G, 'STOCK IN  TRANSFER'!D:D, A474, 'STOCK IN  TRANSFER'!F:F, "STOCK IN") + SUMIFS('STOCK IN  TRANSFER'!G:G, 'STOCK IN  TRANSFER'!D:D, A474, 'STOCK IN  TRANSFER'!F:F, "ADJUSTMENT (+)")</f>
        <v>9</v>
      </c>
    </row>
    <row r="475" ht="22.5" customHeight="1">
      <c r="A475" s="13" t="str">
        <f>IFERROR(__xludf.DUMMYFUNCTION("""COMPUTED_VALUE"""),"2B-#7")</f>
        <v>2B-#7</v>
      </c>
      <c r="B475" s="13" t="str">
        <f>IFERROR(__xludf.DUMMYFUNCTION("""COMPUTED_VALUE"""),"2B PAINT ROLLER #7")</f>
        <v>2B PAINT ROLLER #7</v>
      </c>
      <c r="C475" s="16">
        <f>IFERROR(__xludf.DUMMYFUNCTION("""COMPUTED_VALUE"""),62.0)</f>
        <v>62</v>
      </c>
      <c r="D475" s="13" t="str">
        <f>IFERROR(__xludf.DUMMYFUNCTION("""COMPUTED_VALUE"""),"PC/S")</f>
        <v>PC/S</v>
      </c>
      <c r="E475" s="28">
        <f>IFERROR(__xludf.DUMMYFUNCTION("""COMPUTED_VALUE"""),0.0)</f>
        <v>0</v>
      </c>
      <c r="F475" s="52">
        <f>SUMIF(SALES!D:D, A475, SALES!H:H) + SUMIFS('STOCK IN  TRANSFER'!G:G, 'STOCK IN  TRANSFER'!D:D, A475, 'STOCK IN  TRANSFER'!F:F, "TRANSFER") + SUMIFS('STOCK IN  TRANSFER'!G:G, 'STOCK IN  TRANSFER'!D:D, A475, 'STOCK IN  TRANSFER'!F:F, "ADJUSTMENT (-)")</f>
        <v>35</v>
      </c>
      <c r="G475" s="52">
        <f>SUMIFS('STOCK IN  TRANSFER'!G:G, 'STOCK IN  TRANSFER'!D:D, A475, 'STOCK IN  TRANSFER'!F:F, "STOCK IN") + SUMIFS('STOCK IN  TRANSFER'!G:G, 'STOCK IN  TRANSFER'!D:D, A475, 'STOCK IN  TRANSFER'!F:F, "ADJUSTMENT (+)")</f>
        <v>35</v>
      </c>
    </row>
    <row r="476" ht="22.5" customHeight="1">
      <c r="A476" s="13" t="str">
        <f>IFERROR(__xludf.DUMMYFUNCTION("""COMPUTED_VALUE"""),"2B-#4")</f>
        <v>2B-#4</v>
      </c>
      <c r="B476" s="13" t="str">
        <f>IFERROR(__xludf.DUMMYFUNCTION("""COMPUTED_VALUE"""),"2B PAINT ROLLER #4")</f>
        <v>2B PAINT ROLLER #4</v>
      </c>
      <c r="C476" s="16">
        <f>IFERROR(__xludf.DUMMYFUNCTION("""COMPUTED_VALUE"""),35.0)</f>
        <v>35</v>
      </c>
      <c r="D476" s="13" t="str">
        <f>IFERROR(__xludf.DUMMYFUNCTION("""COMPUTED_VALUE"""),"PC/S")</f>
        <v>PC/S</v>
      </c>
      <c r="E476" s="28">
        <f>IFERROR(__xludf.DUMMYFUNCTION("""COMPUTED_VALUE"""),10.0)</f>
        <v>10</v>
      </c>
      <c r="F476" s="52">
        <f>SUMIF(SALES!D:D, A476, SALES!H:H) + SUMIFS('STOCK IN  TRANSFER'!G:G, 'STOCK IN  TRANSFER'!D:D, A476, 'STOCK IN  TRANSFER'!F:F, "TRANSFER") + SUMIFS('STOCK IN  TRANSFER'!G:G, 'STOCK IN  TRANSFER'!D:D, A476, 'STOCK IN  TRANSFER'!F:F, "ADJUSTMENT (-)")</f>
        <v>39</v>
      </c>
      <c r="G476" s="52">
        <f>SUMIFS('STOCK IN  TRANSFER'!G:G, 'STOCK IN  TRANSFER'!D:D, A476, 'STOCK IN  TRANSFER'!F:F, "STOCK IN") + SUMIFS('STOCK IN  TRANSFER'!G:G, 'STOCK IN  TRANSFER'!D:D, A476, 'STOCK IN  TRANSFER'!F:F, "ADJUSTMENT (+)")</f>
        <v>49</v>
      </c>
    </row>
    <row r="477" ht="22.5" customHeight="1">
      <c r="A477" s="13" t="str">
        <f>IFERROR(__xludf.DUMMYFUNCTION("""COMPUTED_VALUE"""),"2B-PB#3")</f>
        <v>2B-PB#3</v>
      </c>
      <c r="B477" s="13" t="str">
        <f>IFERROR(__xludf.DUMMYFUNCTION("""COMPUTED_VALUE"""),"2B PAINT BRUSH #3")</f>
        <v>2B PAINT BRUSH #3</v>
      </c>
      <c r="C477" s="16">
        <f>IFERROR(__xludf.DUMMYFUNCTION("""COMPUTED_VALUE"""),65.0)</f>
        <v>65</v>
      </c>
      <c r="D477" s="13" t="str">
        <f>IFERROR(__xludf.DUMMYFUNCTION("""COMPUTED_VALUE"""),"PC/S")</f>
        <v>PC/S</v>
      </c>
      <c r="E477" s="28">
        <f>IFERROR(__xludf.DUMMYFUNCTION("""COMPUTED_VALUE"""),4.0)</f>
        <v>4</v>
      </c>
      <c r="F477" s="52">
        <f>SUMIF(SALES!D:D, A477, SALES!H:H) + SUMIFS('STOCK IN  TRANSFER'!G:G, 'STOCK IN  TRANSFER'!D:D, A477, 'STOCK IN  TRANSFER'!F:F, "TRANSFER") + SUMIFS('STOCK IN  TRANSFER'!G:G, 'STOCK IN  TRANSFER'!D:D, A477, 'STOCK IN  TRANSFER'!F:F, "ADJUSTMENT (-)")</f>
        <v>7</v>
      </c>
      <c r="G477" s="52">
        <f>SUMIFS('STOCK IN  TRANSFER'!G:G, 'STOCK IN  TRANSFER'!D:D, A477, 'STOCK IN  TRANSFER'!F:F, "STOCK IN") + SUMIFS('STOCK IN  TRANSFER'!G:G, 'STOCK IN  TRANSFER'!D:D, A477, 'STOCK IN  TRANSFER'!F:F, "ADJUSTMENT (+)")</f>
        <v>11</v>
      </c>
    </row>
    <row r="478" ht="22.5" customHeight="1">
      <c r="A478" s="13" t="str">
        <f>IFERROR(__xludf.DUMMYFUNCTION("""COMPUTED_VALUE"""),"2B-PB-2")</f>
        <v>2B-PB-2</v>
      </c>
      <c r="B478" s="13" t="str">
        <f>IFERROR(__xludf.DUMMYFUNCTION("""COMPUTED_VALUE"""),"2B PAINT BRUSH #2")</f>
        <v>2B PAINT BRUSH #2</v>
      </c>
      <c r="C478" s="16">
        <f>IFERROR(__xludf.DUMMYFUNCTION("""COMPUTED_VALUE"""),31.0)</f>
        <v>31</v>
      </c>
      <c r="D478" s="13" t="str">
        <f>IFERROR(__xludf.DUMMYFUNCTION("""COMPUTED_VALUE"""),"PC/S")</f>
        <v>PC/S</v>
      </c>
      <c r="E478" s="28">
        <f>IFERROR(__xludf.DUMMYFUNCTION("""COMPUTED_VALUE"""),-1.0)</f>
        <v>-1</v>
      </c>
      <c r="F478" s="52">
        <f>SUMIF(SALES!D:D, A478, SALES!H:H) + SUMIFS('STOCK IN  TRANSFER'!G:G, 'STOCK IN  TRANSFER'!D:D, A478, 'STOCK IN  TRANSFER'!F:F, "TRANSFER") + SUMIFS('STOCK IN  TRANSFER'!G:G, 'STOCK IN  TRANSFER'!D:D, A478, 'STOCK IN  TRANSFER'!F:F, "ADJUSTMENT (-)")</f>
        <v>20</v>
      </c>
      <c r="G478" s="52">
        <f>SUMIFS('STOCK IN  TRANSFER'!G:G, 'STOCK IN  TRANSFER'!D:D, A478, 'STOCK IN  TRANSFER'!F:F, "STOCK IN") + SUMIFS('STOCK IN  TRANSFER'!G:G, 'STOCK IN  TRANSFER'!D:D, A478, 'STOCK IN  TRANSFER'!F:F, "ADJUSTMENT (+)")</f>
        <v>19</v>
      </c>
    </row>
    <row r="479" ht="22.5" customHeight="1">
      <c r="A479" s="13" t="str">
        <f>IFERROR(__xludf.DUMMYFUNCTION("""COMPUTED_VALUE"""),"NF145W-5KG")</f>
        <v>NF145W-5KG</v>
      </c>
      <c r="B479" s="13" t="str">
        <f>IFERROR(__xludf.DUMMYFUNCTION("""COMPUTED_VALUE"""),"NIPPON FLEXI-SEAL 145 WHITE 5KG")</f>
        <v>NIPPON FLEXI-SEAL 145 WHITE 5KG</v>
      </c>
      <c r="C479" s="16">
        <f>IFERROR(__xludf.DUMMYFUNCTION("""COMPUTED_VALUE"""),1342.0)</f>
        <v>1342</v>
      </c>
      <c r="D479" s="13" t="str">
        <f>IFERROR(__xludf.DUMMYFUNCTION("""COMPUTED_VALUE"""),"5KG")</f>
        <v>5KG</v>
      </c>
      <c r="E479" s="28">
        <f>IFERROR(__xludf.DUMMYFUNCTION("""COMPUTED_VALUE"""),0.0)</f>
        <v>0</v>
      </c>
      <c r="F479" s="52">
        <f>SUMIF(SALES!D:D, A479, SALES!H:H) + SUMIFS('STOCK IN  TRANSFER'!G:G, 'STOCK IN  TRANSFER'!D:D, A479, 'STOCK IN  TRANSFER'!F:F, "TRANSFER") + SUMIFS('STOCK IN  TRANSFER'!G:G, 'STOCK IN  TRANSFER'!D:D, A479, 'STOCK IN  TRANSFER'!F:F, "ADJUSTMENT (-)")</f>
        <v>2</v>
      </c>
      <c r="G479" s="52">
        <f>SUMIFS('STOCK IN  TRANSFER'!G:G, 'STOCK IN  TRANSFER'!D:D, A479, 'STOCK IN  TRANSFER'!F:F, "STOCK IN") + SUMIFS('STOCK IN  TRANSFER'!G:G, 'STOCK IN  TRANSFER'!D:D, A479, 'STOCK IN  TRANSFER'!F:F, "ADJUSTMENT (+)")</f>
        <v>2</v>
      </c>
    </row>
    <row r="480" ht="22.5" customHeight="1">
      <c r="A480" s="19" t="str">
        <f>IFERROR(__xludf.DUMMYFUNCTION("""COMPUTED_VALUE"""),"PREMILAMIX-1L")</f>
        <v>PREMILAMIX-1L</v>
      </c>
      <c r="B480" s="19" t="str">
        <f>IFERROR(__xludf.DUMMYFUNCTION("""COMPUTED_VALUE"""),"PREMILA MIXING 1L")</f>
        <v>PREMILA MIXING 1L</v>
      </c>
      <c r="C480" s="19">
        <f>IFERROR(__xludf.DUMMYFUNCTION("""COMPUTED_VALUE"""),2440.0)</f>
        <v>2440</v>
      </c>
      <c r="D480" s="19" t="str">
        <f>IFERROR(__xludf.DUMMYFUNCTION("""COMPUTED_VALUE"""),"LITER")</f>
        <v>LITER</v>
      </c>
      <c r="E480" s="28">
        <f>IFERROR(__xludf.DUMMYFUNCTION("""COMPUTED_VALUE"""),42.999999999999986)</f>
        <v>43</v>
      </c>
      <c r="F480" s="52">
        <f>SUMIF(SALES!D:D, A480, SALES!H:H) + SUMIFS('STOCK IN  TRANSFER'!G:G, 'STOCK IN  TRANSFER'!D:D, A480, 'STOCK IN  TRANSFER'!F:F, "TRANSFER") + SUMIFS('STOCK IN  TRANSFER'!G:G, 'STOCK IN  TRANSFER'!D:D, A480, 'STOCK IN  TRANSFER'!F:F, "ADJUSTMENT (-)")</f>
        <v>79.475</v>
      </c>
      <c r="G480" s="52">
        <f>SUMIFS('STOCK IN  TRANSFER'!G:G, 'STOCK IN  TRANSFER'!D:D, A480, 'STOCK IN  TRANSFER'!F:F, "STOCK IN") + SUMIFS('STOCK IN  TRANSFER'!G:G, 'STOCK IN  TRANSFER'!D:D, A480, 'STOCK IN  TRANSFER'!F:F, "ADJUSTMENT (+)")</f>
        <v>122.475</v>
      </c>
    </row>
    <row r="481" ht="22.5" customHeight="1">
      <c r="A481" s="19" t="str">
        <f>IFERROR(__xludf.DUMMYFUNCTION("""COMPUTED_VALUE"""),"PRI1680")</f>
        <v>PRI1680</v>
      </c>
      <c r="B481" s="19" t="str">
        <f>IFERROR(__xludf.DUMMYFUNCTION("""COMPUTED_VALUE"""),"NAX PP BUMPER PRIMER GRAY 1L")</f>
        <v>NAX PP BUMPER PRIMER GRAY 1L</v>
      </c>
      <c r="C481" s="19">
        <f>IFERROR(__xludf.DUMMYFUNCTION("""COMPUTED_VALUE"""),496.0)</f>
        <v>496</v>
      </c>
      <c r="D481" s="19" t="str">
        <f>IFERROR(__xludf.DUMMYFUNCTION("""COMPUTED_VALUE"""),"LITER")</f>
        <v>LITER</v>
      </c>
      <c r="E481" s="28">
        <f>IFERROR(__xludf.DUMMYFUNCTION("""COMPUTED_VALUE"""),3.125)</f>
        <v>3.125</v>
      </c>
      <c r="F481" s="52">
        <f>SUMIF(SALES!D:D, A481, SALES!H:H) + SUMIFS('STOCK IN  TRANSFER'!G:G, 'STOCK IN  TRANSFER'!D:D, A481, 'STOCK IN  TRANSFER'!F:F, "TRANSFER") + SUMIFS('STOCK IN  TRANSFER'!G:G, 'STOCK IN  TRANSFER'!D:D, A481, 'STOCK IN  TRANSFER'!F:F, "ADJUSTMENT (-)")</f>
        <v>21.875</v>
      </c>
      <c r="G481" s="52">
        <f>SUMIFS('STOCK IN  TRANSFER'!G:G, 'STOCK IN  TRANSFER'!D:D, A481, 'STOCK IN  TRANSFER'!F:F, "STOCK IN") + SUMIFS('STOCK IN  TRANSFER'!G:G, 'STOCK IN  TRANSFER'!D:D, A481, 'STOCK IN  TRANSFER'!F:F, "ADJUSTMENT (+)")</f>
        <v>25</v>
      </c>
    </row>
    <row r="482" ht="22.5" customHeight="1">
      <c r="A482" s="19" t="str">
        <f>IFERROR(__xludf.DUMMYFUNCTION("""COMPUTED_VALUE"""),"QDEMIX-4L")</f>
        <v>QDEMIX-4L</v>
      </c>
      <c r="B482" s="19" t="str">
        <f>IFERROR(__xludf.DUMMYFUNCTION("""COMPUTED_VALUE"""),"QDE NP, ALPHA CHROMA, DAVIES, BOYSEN 4L")</f>
        <v>QDE NP, ALPHA CHROMA, DAVIES, BOYSEN 4L</v>
      </c>
      <c r="C482" s="19">
        <f>IFERROR(__xludf.DUMMYFUNCTION("""COMPUTED_VALUE"""),800.0)</f>
        <v>800</v>
      </c>
      <c r="D482" s="19" t="str">
        <f>IFERROR(__xludf.DUMMYFUNCTION("""COMPUTED_VALUE"""),"GALON")</f>
        <v>GALON</v>
      </c>
      <c r="E482" s="28">
        <f>IFERROR(__xludf.DUMMYFUNCTION("""COMPUTED_VALUE"""),0.0)</f>
        <v>0</v>
      </c>
      <c r="F482" s="52">
        <f>SUMIF(SALES!D:D, A482, SALES!H:H) + SUMIFS('STOCK IN  TRANSFER'!G:G, 'STOCK IN  TRANSFER'!D:D, A482, 'STOCK IN  TRANSFER'!F:F, "TRANSFER") + SUMIFS('STOCK IN  TRANSFER'!G:G, 'STOCK IN  TRANSFER'!D:D, A482, 'STOCK IN  TRANSFER'!F:F, "ADJUSTMENT (-)")</f>
        <v>1</v>
      </c>
      <c r="G482" s="52">
        <f>SUMIFS('STOCK IN  TRANSFER'!G:G, 'STOCK IN  TRANSFER'!D:D, A482, 'STOCK IN  TRANSFER'!F:F, "STOCK IN") + SUMIFS('STOCK IN  TRANSFER'!G:G, 'STOCK IN  TRANSFER'!D:D, A482, 'STOCK IN  TRANSFER'!F:F, "ADJUSTMENT (+)")</f>
        <v>1</v>
      </c>
    </row>
    <row r="483" ht="22.5" customHeight="1">
      <c r="A483" s="19" t="str">
        <f>IFERROR(__xludf.DUMMYFUNCTION("""COMPUTED_VALUE"""),"ACRYLICMIX-1L")</f>
        <v>ACRYLICMIX-1L</v>
      </c>
      <c r="B483" s="19" t="str">
        <f>IFERROR(__xludf.DUMMYFUNCTION("""COMPUTED_VALUE"""),"ACRYLIC NP, TIMEOUT 1L")</f>
        <v>ACRYLIC NP, TIMEOUT 1L</v>
      </c>
      <c r="C483" s="19">
        <f>IFERROR(__xludf.DUMMYFUNCTION("""COMPUTED_VALUE"""),310.0)</f>
        <v>310</v>
      </c>
      <c r="D483" s="19" t="str">
        <f>IFERROR(__xludf.DUMMYFUNCTION("""COMPUTED_VALUE"""),"LITER")</f>
        <v>LITER</v>
      </c>
      <c r="E483" s="28">
        <f>IFERROR(__xludf.DUMMYFUNCTION("""COMPUTED_VALUE"""),9.5)</f>
        <v>9.5</v>
      </c>
      <c r="F483" s="52">
        <f>SUMIF(SALES!D:D, A483, SALES!H:H) + SUMIFS('STOCK IN  TRANSFER'!G:G, 'STOCK IN  TRANSFER'!D:D, A483, 'STOCK IN  TRANSFER'!F:F, "TRANSFER") + SUMIFS('STOCK IN  TRANSFER'!G:G, 'STOCK IN  TRANSFER'!D:D, A483, 'STOCK IN  TRANSFER'!F:F, "ADJUSTMENT (-)")</f>
        <v>1.5</v>
      </c>
      <c r="G483" s="52">
        <f>SUMIFS('STOCK IN  TRANSFER'!G:G, 'STOCK IN  TRANSFER'!D:D, A483, 'STOCK IN  TRANSFER'!F:F, "STOCK IN") + SUMIFS('STOCK IN  TRANSFER'!G:G, 'STOCK IN  TRANSFER'!D:D, A483, 'STOCK IN  TRANSFER'!F:F, "ADJUSTMENT (+)")</f>
        <v>11</v>
      </c>
    </row>
    <row r="484" ht="22.5" customHeight="1">
      <c r="A484" s="19" t="str">
        <f>IFERROR(__xludf.DUMMYFUNCTION("""COMPUTED_VALUE"""),"LATEXMIX-4L")</f>
        <v>LATEXMIX-4L</v>
      </c>
      <c r="B484" s="19" t="str">
        <f>IFERROR(__xludf.DUMMYFUNCTION("""COMPUTED_VALUE"""),"LATEX NP, ALPHA CHROMA, DAVIES, BOYSEN, WC 4L")</f>
        <v>LATEX NP, ALPHA CHROMA, DAVIES, BOYSEN, WC 4L</v>
      </c>
      <c r="C484" s="19">
        <f>IFERROR(__xludf.DUMMYFUNCTION("""COMPUTED_VALUE"""),900.0)</f>
        <v>900</v>
      </c>
      <c r="D484" s="19" t="str">
        <f>IFERROR(__xludf.DUMMYFUNCTION("""COMPUTED_VALUE"""),"GALON")</f>
        <v>GALON</v>
      </c>
      <c r="E484" s="28">
        <f>IFERROR(__xludf.DUMMYFUNCTION("""COMPUTED_VALUE"""),-5.0)</f>
        <v>-5</v>
      </c>
      <c r="F484" s="52">
        <f>SUMIF(SALES!D:D, A484, SALES!H:H) + SUMIFS('STOCK IN  TRANSFER'!G:G, 'STOCK IN  TRANSFER'!D:D, A484, 'STOCK IN  TRANSFER'!F:F, "TRANSFER") + SUMIFS('STOCK IN  TRANSFER'!G:G, 'STOCK IN  TRANSFER'!D:D, A484, 'STOCK IN  TRANSFER'!F:F, "ADJUSTMENT (-)")</f>
        <v>7</v>
      </c>
      <c r="G484" s="52">
        <f>SUMIFS('STOCK IN  TRANSFER'!G:G, 'STOCK IN  TRANSFER'!D:D, A484, 'STOCK IN  TRANSFER'!F:F, "STOCK IN") + SUMIFS('STOCK IN  TRANSFER'!G:G, 'STOCK IN  TRANSFER'!D:D, A484, 'STOCK IN  TRANSFER'!F:F, "ADJUSTMENT (+)")</f>
        <v>2</v>
      </c>
    </row>
    <row r="485" ht="22.5" customHeight="1">
      <c r="A485" s="19" t="str">
        <f>IFERROR(__xludf.DUMMYFUNCTION("""COMPUTED_VALUE"""),"LATEXMIX-1L")</f>
        <v>LATEXMIX-1L</v>
      </c>
      <c r="B485" s="19" t="str">
        <f>IFERROR(__xludf.DUMMYFUNCTION("""COMPUTED_VALUE"""),"LATEX NP, ALPHA CHROMA, DAVIES, BOYSEN, WC 1L")</f>
        <v>LATEX NP, ALPHA CHROMA, DAVIES, BOYSEN, WC 1L</v>
      </c>
      <c r="C485" s="19">
        <f>IFERROR(__xludf.DUMMYFUNCTION("""COMPUTED_VALUE"""),240.0)</f>
        <v>240</v>
      </c>
      <c r="D485" s="19" t="str">
        <f>IFERROR(__xludf.DUMMYFUNCTION("""COMPUTED_VALUE"""),"LITER")</f>
        <v>LITER</v>
      </c>
      <c r="E485" s="28">
        <f>IFERROR(__xludf.DUMMYFUNCTION("""COMPUTED_VALUE"""),14.0)</f>
        <v>14</v>
      </c>
      <c r="F485" s="52">
        <f>SUMIF(SALES!D:D, A485, SALES!H:H) + SUMIFS('STOCK IN  TRANSFER'!G:G, 'STOCK IN  TRANSFER'!D:D, A485, 'STOCK IN  TRANSFER'!F:F, "TRANSFER") + SUMIFS('STOCK IN  TRANSFER'!G:G, 'STOCK IN  TRANSFER'!D:D, A485, 'STOCK IN  TRANSFER'!F:F, "ADJUSTMENT (-)")</f>
        <v>4.75</v>
      </c>
      <c r="G485" s="52">
        <f>SUMIFS('STOCK IN  TRANSFER'!G:G, 'STOCK IN  TRANSFER'!D:D, A485, 'STOCK IN  TRANSFER'!F:F, "STOCK IN") + SUMIFS('STOCK IN  TRANSFER'!G:G, 'STOCK IN  TRANSFER'!D:D, A485, 'STOCK IN  TRANSFER'!F:F, "ADJUSTMENT (+)")</f>
        <v>18.75</v>
      </c>
    </row>
    <row r="486" ht="22.5" customHeight="1">
      <c r="A486" s="19" t="str">
        <f>IFERROR(__xludf.DUMMYFUNCTION("""COMPUTED_VALUE"""),"NAXQDUMIX-4L")</f>
        <v>NAXQDUMIX-4L</v>
      </c>
      <c r="B486" s="19" t="str">
        <f>IFERROR(__xludf.DUMMYFUNCTION("""COMPUTED_VALUE"""),"NAX QDU MIX 4L")</f>
        <v>NAX QDU MIX 4L</v>
      </c>
      <c r="C486" s="19">
        <f>IFERROR(__xludf.DUMMYFUNCTION("""COMPUTED_VALUE"""),3600.0)</f>
        <v>3600</v>
      </c>
      <c r="D486" s="19" t="str">
        <f>IFERROR(__xludf.DUMMYFUNCTION("""COMPUTED_VALUE"""),"GALON")</f>
        <v>GALON</v>
      </c>
      <c r="E486" s="28">
        <f>IFERROR(__xludf.DUMMYFUNCTION("""COMPUTED_VALUE"""),0.0)</f>
        <v>0</v>
      </c>
      <c r="F486" s="52">
        <f>SUMIF(SALES!D:D, A486, SALES!H:H) + SUMIFS('STOCK IN  TRANSFER'!G:G, 'STOCK IN  TRANSFER'!D:D, A486, 'STOCK IN  TRANSFER'!F:F, "TRANSFER") + SUMIFS('STOCK IN  TRANSFER'!G:G, 'STOCK IN  TRANSFER'!D:D, A486, 'STOCK IN  TRANSFER'!F:F, "ADJUSTMENT (-)")</f>
        <v>7.5625</v>
      </c>
      <c r="G486" s="52">
        <f>SUMIFS('STOCK IN  TRANSFER'!G:G, 'STOCK IN  TRANSFER'!D:D, A486, 'STOCK IN  TRANSFER'!F:F, "STOCK IN") + SUMIFS('STOCK IN  TRANSFER'!G:G, 'STOCK IN  TRANSFER'!D:D, A486, 'STOCK IN  TRANSFER'!F:F, "ADJUSTMENT (+)")</f>
        <v>7.5625</v>
      </c>
    </row>
    <row r="487" ht="22.5" customHeight="1">
      <c r="A487" s="13" t="str">
        <f>IFERROR(__xludf.DUMMYFUNCTION("""COMPUTED_VALUE"""),"NAXQDUMIX-1L")</f>
        <v>NAXQDUMIX-1L</v>
      </c>
      <c r="B487" s="19" t="str">
        <f>IFERROR(__xludf.DUMMYFUNCTION("""COMPUTED_VALUE"""),"NAX QDU MIX 1L")</f>
        <v>NAX QDU MIX 1L</v>
      </c>
      <c r="C487" s="19">
        <f>IFERROR(__xludf.DUMMYFUNCTION("""COMPUTED_VALUE"""),900.0)</f>
        <v>900</v>
      </c>
      <c r="D487" s="19" t="str">
        <f>IFERROR(__xludf.DUMMYFUNCTION("""COMPUTED_VALUE"""),"LITER")</f>
        <v>LITER</v>
      </c>
      <c r="E487" s="28">
        <f>IFERROR(__xludf.DUMMYFUNCTION("""COMPUTED_VALUE"""),-14.100000000000001)</f>
        <v>-14.1</v>
      </c>
      <c r="F487" s="52">
        <f>SUMIF(SALES!D:D, A487, SALES!H:H) + SUMIFS('STOCK IN  TRANSFER'!G:G, 'STOCK IN  TRANSFER'!D:D, A487, 'STOCK IN  TRANSFER'!F:F, "TRANSFER") + SUMIFS('STOCK IN  TRANSFER'!G:G, 'STOCK IN  TRANSFER'!D:D, A487, 'STOCK IN  TRANSFER'!F:F, "ADJUSTMENT (-)")</f>
        <v>61.3</v>
      </c>
      <c r="G487" s="52">
        <f>SUMIFS('STOCK IN  TRANSFER'!G:G, 'STOCK IN  TRANSFER'!D:D, A487, 'STOCK IN  TRANSFER'!F:F, "STOCK IN") + SUMIFS('STOCK IN  TRANSFER'!G:G, 'STOCK IN  TRANSFER'!D:D, A487, 'STOCK IN  TRANSFER'!F:F, "ADJUSTMENT (+)")</f>
        <v>47.2</v>
      </c>
    </row>
    <row r="488" ht="22.5" customHeight="1">
      <c r="A488" s="19" t="str">
        <f>IFERROR(__xludf.DUMMYFUNCTION("""COMPUTED_VALUE"""),"EXTREMEMIX-4L")</f>
        <v>EXTREMEMIX-4L</v>
      </c>
      <c r="B488" s="19" t="str">
        <f>IFERROR(__xludf.DUMMYFUNCTION("""COMPUTED_VALUE"""),"EXTREME QDU MIXING 4L")</f>
        <v>EXTREME QDU MIXING 4L</v>
      </c>
      <c r="C488" s="19">
        <f>IFERROR(__xludf.DUMMYFUNCTION("""COMPUTED_VALUE"""),2000.0)</f>
        <v>2000</v>
      </c>
      <c r="D488" s="19" t="str">
        <f>IFERROR(__xludf.DUMMYFUNCTION("""COMPUTED_VALUE"""),"GALON")</f>
        <v>GALON</v>
      </c>
      <c r="E488" s="28">
        <f>IFERROR(__xludf.DUMMYFUNCTION("""COMPUTED_VALUE"""),0.0)</f>
        <v>0</v>
      </c>
      <c r="F488" s="52">
        <f>SUMIF(SALES!D:D, A488, SALES!H:H) + SUMIFS('STOCK IN  TRANSFER'!G:G, 'STOCK IN  TRANSFER'!D:D, A488, 'STOCK IN  TRANSFER'!F:F, "TRANSFER") + SUMIFS('STOCK IN  TRANSFER'!G:G, 'STOCK IN  TRANSFER'!D:D, A488, 'STOCK IN  TRANSFER'!F:F, "ADJUSTMENT (-)")</f>
        <v>3</v>
      </c>
      <c r="G488" s="52">
        <f>SUMIFS('STOCK IN  TRANSFER'!G:G, 'STOCK IN  TRANSFER'!D:D, A488, 'STOCK IN  TRANSFER'!F:F, "STOCK IN") + SUMIFS('STOCK IN  TRANSFER'!G:G, 'STOCK IN  TRANSFER'!D:D, A488, 'STOCK IN  TRANSFER'!F:F, "ADJUSTMENT (+)")</f>
        <v>3</v>
      </c>
    </row>
    <row r="489" ht="22.5" customHeight="1">
      <c r="A489" s="19" t="str">
        <f>IFERROR(__xludf.DUMMYFUNCTION("""COMPUTED_VALUE"""),"EXTREMEMIX-1L")</f>
        <v>EXTREMEMIX-1L</v>
      </c>
      <c r="B489" s="19" t="str">
        <f>IFERROR(__xludf.DUMMYFUNCTION("""COMPUTED_VALUE"""),"EXTREME QDU MIXING 1L")</f>
        <v>EXTREME QDU MIXING 1L</v>
      </c>
      <c r="C489" s="19">
        <f>IFERROR(__xludf.DUMMYFUNCTION("""COMPUTED_VALUE"""),500.0)</f>
        <v>500</v>
      </c>
      <c r="D489" s="19" t="str">
        <f>IFERROR(__xludf.DUMMYFUNCTION("""COMPUTED_VALUE"""),"LITER")</f>
        <v>LITER</v>
      </c>
      <c r="E489" s="28">
        <f>IFERROR(__xludf.DUMMYFUNCTION("""COMPUTED_VALUE"""),3.75)</f>
        <v>3.75</v>
      </c>
      <c r="F489" s="52">
        <f>SUMIF(SALES!D:D, A489, SALES!H:H) + SUMIFS('STOCK IN  TRANSFER'!G:G, 'STOCK IN  TRANSFER'!D:D, A489, 'STOCK IN  TRANSFER'!F:F, "TRANSFER") + SUMIFS('STOCK IN  TRANSFER'!G:G, 'STOCK IN  TRANSFER'!D:D, A489, 'STOCK IN  TRANSFER'!F:F, "ADJUSTMENT (-)")</f>
        <v>57.25</v>
      </c>
      <c r="G489" s="52">
        <f>SUMIFS('STOCK IN  TRANSFER'!G:G, 'STOCK IN  TRANSFER'!D:D, A489, 'STOCK IN  TRANSFER'!F:F, "STOCK IN") + SUMIFS('STOCK IN  TRANSFER'!G:G, 'STOCK IN  TRANSFER'!D:D, A489, 'STOCK IN  TRANSFER'!F:F, "ADJUSTMENT (+)")</f>
        <v>61</v>
      </c>
    </row>
    <row r="490" ht="22.5" customHeight="1">
      <c r="A490" s="13" t="str">
        <f>IFERROR(__xludf.DUMMYFUNCTION("""COMPUTED_VALUE"""),"RSW-4L")</f>
        <v>RSW-4L</v>
      </c>
      <c r="B490" s="13" t="str">
        <f>IFERROR(__xludf.DUMMYFUNCTION("""COMPUTED_VALUE"""),"RAIN OR SHINE WHITE 4L")</f>
        <v>RAIN OR SHINE WHITE 4L</v>
      </c>
      <c r="C490" s="16">
        <f>IFERROR(__xludf.DUMMYFUNCTION("""COMPUTED_VALUE"""),735.0)</f>
        <v>735</v>
      </c>
      <c r="D490" s="13" t="str">
        <f>IFERROR(__xludf.DUMMYFUNCTION("""COMPUTED_VALUE"""),"GALON")</f>
        <v>GALON</v>
      </c>
      <c r="E490" s="28">
        <f>IFERROR(__xludf.DUMMYFUNCTION("""COMPUTED_VALUE"""),2.0)</f>
        <v>2</v>
      </c>
      <c r="F490" s="52">
        <f>SUMIF(SALES!D:D, A490, SALES!H:H) + SUMIFS('STOCK IN  TRANSFER'!G:G, 'STOCK IN  TRANSFER'!D:D, A490, 'STOCK IN  TRANSFER'!F:F, "TRANSFER") + SUMIFS('STOCK IN  TRANSFER'!G:G, 'STOCK IN  TRANSFER'!D:D, A490, 'STOCK IN  TRANSFER'!F:F, "ADJUSTMENT (-)")</f>
        <v>1</v>
      </c>
      <c r="G490" s="52">
        <f>SUMIFS('STOCK IN  TRANSFER'!G:G, 'STOCK IN  TRANSFER'!D:D, A490, 'STOCK IN  TRANSFER'!F:F, "STOCK IN") + SUMIFS('STOCK IN  TRANSFER'!G:G, 'STOCK IN  TRANSFER'!D:D, A490, 'STOCK IN  TRANSFER'!F:F, "ADJUSTMENT (+)")</f>
        <v>3</v>
      </c>
    </row>
    <row r="491" ht="22.5" customHeight="1">
      <c r="A491" s="13" t="str">
        <f>IFERROR(__xludf.DUMMYFUNCTION("""COMPUTED_VALUE"""),"2B-PB-1 1/2")</f>
        <v>2B-PB-1 1/2</v>
      </c>
      <c r="B491" s="13" t="str">
        <f>IFERROR(__xludf.DUMMYFUNCTION("""COMPUTED_VALUE"""),"2B PAINT BRUSH 1 1/2")</f>
        <v>2B PAINT BRUSH 1 1/2</v>
      </c>
      <c r="C491" s="16">
        <f>IFERROR(__xludf.DUMMYFUNCTION("""COMPUTED_VALUE"""),25.0)</f>
        <v>25</v>
      </c>
      <c r="D491" s="13" t="str">
        <f>IFERROR(__xludf.DUMMYFUNCTION("""COMPUTED_VALUE"""),"PC/S")</f>
        <v>PC/S</v>
      </c>
      <c r="E491" s="28">
        <f>IFERROR(__xludf.DUMMYFUNCTION("""COMPUTED_VALUE"""),-2.0)</f>
        <v>-2</v>
      </c>
      <c r="F491" s="52">
        <f>SUMIF(SALES!D:D, A491, SALES!H:H) + SUMIFS('STOCK IN  TRANSFER'!G:G, 'STOCK IN  TRANSFER'!D:D, A491, 'STOCK IN  TRANSFER'!F:F, "TRANSFER") + SUMIFS('STOCK IN  TRANSFER'!G:G, 'STOCK IN  TRANSFER'!D:D, A491, 'STOCK IN  TRANSFER'!F:F, "ADJUSTMENT (-)")</f>
        <v>19</v>
      </c>
      <c r="G491" s="52">
        <f>SUMIFS('STOCK IN  TRANSFER'!G:G, 'STOCK IN  TRANSFER'!D:D, A491, 'STOCK IN  TRANSFER'!F:F, "STOCK IN") + SUMIFS('STOCK IN  TRANSFER'!G:G, 'STOCK IN  TRANSFER'!D:D, A491, 'STOCK IN  TRANSFER'!F:F, "ADJUSTMENT (+)")</f>
        <v>17</v>
      </c>
    </row>
    <row r="492" ht="22.5" customHeight="1">
      <c r="A492" s="13" t="str">
        <f>IFERROR(__xludf.DUMMYFUNCTION("""COMPUTED_VALUE"""),"UTMIX-4L")</f>
        <v>UTMIX-4L</v>
      </c>
      <c r="B492" s="13" t="str">
        <f>IFERROR(__xludf.DUMMYFUNCTION("""COMPUTED_VALUE"""),"URETHANE MIXING POLYGLOSS, DO IT 4L")</f>
        <v>URETHANE MIXING POLYGLOSS, DO IT 4L</v>
      </c>
      <c r="C492" s="16">
        <f>IFERROR(__xludf.DUMMYFUNCTION("""COMPUTED_VALUE"""),3200.0)</f>
        <v>3200</v>
      </c>
      <c r="D492" s="13" t="str">
        <f>IFERROR(__xludf.DUMMYFUNCTION("""COMPUTED_VALUE"""),"GALON")</f>
        <v>GALON</v>
      </c>
      <c r="E492" s="28">
        <f>IFERROR(__xludf.DUMMYFUNCTION("""COMPUTED_VALUE"""),-1.09375)</f>
        <v>-1.09375</v>
      </c>
      <c r="F492" s="52">
        <f>SUMIF(SALES!D:D, A492, SALES!H:H) + SUMIFS('STOCK IN  TRANSFER'!G:G, 'STOCK IN  TRANSFER'!D:D, A492, 'STOCK IN  TRANSFER'!F:F, "TRANSFER") + SUMIFS('STOCK IN  TRANSFER'!G:G, 'STOCK IN  TRANSFER'!D:D, A492, 'STOCK IN  TRANSFER'!F:F, "ADJUSTMENT (-)")</f>
        <v>4.09375</v>
      </c>
      <c r="G492" s="52">
        <f>SUMIFS('STOCK IN  TRANSFER'!G:G, 'STOCK IN  TRANSFER'!D:D, A492, 'STOCK IN  TRANSFER'!F:F, "STOCK IN") + SUMIFS('STOCK IN  TRANSFER'!G:G, 'STOCK IN  TRANSFER'!D:D, A492, 'STOCK IN  TRANSFER'!F:F, "ADJUSTMENT (+)")</f>
        <v>3</v>
      </c>
    </row>
    <row r="493" ht="22.5" customHeight="1">
      <c r="A493" s="13" t="str">
        <f>IFERROR(__xludf.DUMMYFUNCTION("""COMPUTED_VALUE"""),"ROS-TEMP-4L")</f>
        <v>ROS-TEMP-4L</v>
      </c>
      <c r="B493" s="13" t="str">
        <f>IFERROR(__xludf.DUMMYFUNCTION("""COMPUTED_VALUE"""),"RAIN OR SHINE-TEMPTATION 4L")</f>
        <v>RAIN OR SHINE-TEMPTATION 4L</v>
      </c>
      <c r="C493" s="16">
        <f>IFERROR(__xludf.DUMMYFUNCTION("""COMPUTED_VALUE"""),650.0)</f>
        <v>650</v>
      </c>
      <c r="D493" s="13" t="str">
        <f>IFERROR(__xludf.DUMMYFUNCTION("""COMPUTED_VALUE"""),"GALON")</f>
        <v>GALON</v>
      </c>
      <c r="E493" s="28">
        <f>IFERROR(__xludf.DUMMYFUNCTION("""COMPUTED_VALUE"""),0.0)</f>
        <v>0</v>
      </c>
      <c r="F493" s="52">
        <f>SUMIF(SALES!D:D, A493, SALES!H:H) + SUMIFS('STOCK IN  TRANSFER'!G:G, 'STOCK IN  TRANSFER'!D:D, A493, 'STOCK IN  TRANSFER'!F:F, "TRANSFER") + SUMIFS('STOCK IN  TRANSFER'!G:G, 'STOCK IN  TRANSFER'!D:D, A493, 'STOCK IN  TRANSFER'!F:F, "ADJUSTMENT (-)")</f>
        <v>8.125</v>
      </c>
      <c r="G493" s="52">
        <f>SUMIFS('STOCK IN  TRANSFER'!G:G, 'STOCK IN  TRANSFER'!D:D, A493, 'STOCK IN  TRANSFER'!F:F, "STOCK IN") + SUMIFS('STOCK IN  TRANSFER'!G:G, 'STOCK IN  TRANSFER'!D:D, A493, 'STOCK IN  TRANSFER'!F:F, "ADJUSTMENT (+)")</f>
        <v>8.125</v>
      </c>
    </row>
    <row r="494" ht="22.5" customHeight="1">
      <c r="A494" s="13" t="str">
        <f>IFERROR(__xludf.DUMMYFUNCTION("""COMPUTED_VALUE"""),"ROS- UH SO RED -4L")</f>
        <v>ROS- UH SO RED -4L</v>
      </c>
      <c r="B494" s="13" t="str">
        <f>IFERROR(__xludf.DUMMYFUNCTION("""COMPUTED_VALUE"""),"RAIN OR SHINE- UH SO RED 4L")</f>
        <v>RAIN OR SHINE- UH SO RED 4L</v>
      </c>
      <c r="C494" s="16">
        <f>IFERROR(__xludf.DUMMYFUNCTION("""COMPUTED_VALUE"""),650.0)</f>
        <v>650</v>
      </c>
      <c r="D494" s="13" t="str">
        <f>IFERROR(__xludf.DUMMYFUNCTION("""COMPUTED_VALUE"""),"GALON")</f>
        <v>GALON</v>
      </c>
      <c r="E494" s="28">
        <f>IFERROR(__xludf.DUMMYFUNCTION("""COMPUTED_VALUE"""),0.0)</f>
        <v>0</v>
      </c>
      <c r="F494" s="52">
        <f>SUMIF(SALES!D:D, A494, SALES!H:H) + SUMIFS('STOCK IN  TRANSFER'!G:G, 'STOCK IN  TRANSFER'!D:D, A494, 'STOCK IN  TRANSFER'!F:F, "TRANSFER") + SUMIFS('STOCK IN  TRANSFER'!G:G, 'STOCK IN  TRANSFER'!D:D, A494, 'STOCK IN  TRANSFER'!F:F, "ADJUSTMENT (-)")</f>
        <v>2</v>
      </c>
      <c r="G494" s="52">
        <f>SUMIFS('STOCK IN  TRANSFER'!G:G, 'STOCK IN  TRANSFER'!D:D, A494, 'STOCK IN  TRANSFER'!F:F, "STOCK IN") + SUMIFS('STOCK IN  TRANSFER'!G:G, 'STOCK IN  TRANSFER'!D:D, A494, 'STOCK IN  TRANSFER'!F:F, "ADJUSTMENT (+)")</f>
        <v>2</v>
      </c>
    </row>
    <row r="495" ht="22.5" customHeight="1">
      <c r="A495" s="13" t="str">
        <f>IFERROR(__xludf.DUMMYFUNCTION("""COMPUTED_VALUE"""),"ROS-BRIDE-4L")</f>
        <v>ROS-BRIDE-4L</v>
      </c>
      <c r="B495" s="13" t="str">
        <f>IFERROR(__xludf.DUMMYFUNCTION("""COMPUTED_VALUE"""),"ROS-BRIDAL GOWN-4L")</f>
        <v>ROS-BRIDAL GOWN-4L</v>
      </c>
      <c r="C495" s="16">
        <f>IFERROR(__xludf.DUMMYFUNCTION("""COMPUTED_VALUE"""),650.0)</f>
        <v>650</v>
      </c>
      <c r="D495" s="13" t="str">
        <f>IFERROR(__xludf.DUMMYFUNCTION("""COMPUTED_VALUE"""),"GALON")</f>
        <v>GALON</v>
      </c>
      <c r="E495" s="28">
        <f>IFERROR(__xludf.DUMMYFUNCTION("""COMPUTED_VALUE"""),0.0)</f>
        <v>0</v>
      </c>
      <c r="F495" s="52">
        <f>SUMIF(SALES!D:D, A495, SALES!H:H) + SUMIFS('STOCK IN  TRANSFER'!G:G, 'STOCK IN  TRANSFER'!D:D, A495, 'STOCK IN  TRANSFER'!F:F, "TRANSFER") + SUMIFS('STOCK IN  TRANSFER'!G:G, 'STOCK IN  TRANSFER'!D:D, A495, 'STOCK IN  TRANSFER'!F:F, "ADJUSTMENT (-)")</f>
        <v>1</v>
      </c>
      <c r="G495" s="52">
        <f>SUMIFS('STOCK IN  TRANSFER'!G:G, 'STOCK IN  TRANSFER'!D:D, A495, 'STOCK IN  TRANSFER'!F:F, "STOCK IN") + SUMIFS('STOCK IN  TRANSFER'!G:G, 'STOCK IN  TRANSFER'!D:D, A495, 'STOCK IN  TRANSFER'!F:F, "ADJUSTMENT (+)")</f>
        <v>1</v>
      </c>
    </row>
    <row r="496" ht="22.5" customHeight="1">
      <c r="A496" s="13" t="str">
        <f>IFERROR(__xludf.DUMMYFUNCTION("""COMPUTED_VALUE"""),"ROS-SAFARE-4L")</f>
        <v>ROS-SAFARE-4L</v>
      </c>
      <c r="B496" s="13" t="str">
        <f>IFERROR(__xludf.DUMMYFUNCTION("""COMPUTED_VALUE"""),"ROS-SAFARI BROWN_4L")</f>
        <v>ROS-SAFARI BROWN_4L</v>
      </c>
      <c r="C496" s="16">
        <f>IFERROR(__xludf.DUMMYFUNCTION("""COMPUTED_VALUE"""),730.0)</f>
        <v>730</v>
      </c>
      <c r="D496" s="13" t="str">
        <f>IFERROR(__xludf.DUMMYFUNCTION("""COMPUTED_VALUE"""),"GALON")</f>
        <v>GALON</v>
      </c>
      <c r="E496" s="28">
        <f>IFERROR(__xludf.DUMMYFUNCTION("""COMPUTED_VALUE"""),0.0)</f>
        <v>0</v>
      </c>
      <c r="F496" s="52">
        <f>SUMIF(SALES!D:D, A496, SALES!H:H) + SUMIFS('STOCK IN  TRANSFER'!G:G, 'STOCK IN  TRANSFER'!D:D, A496, 'STOCK IN  TRANSFER'!F:F, "TRANSFER") + SUMIFS('STOCK IN  TRANSFER'!G:G, 'STOCK IN  TRANSFER'!D:D, A496, 'STOCK IN  TRANSFER'!F:F, "ADJUSTMENT (-)")</f>
        <v>1</v>
      </c>
      <c r="G496" s="52">
        <f>SUMIFS('STOCK IN  TRANSFER'!G:G, 'STOCK IN  TRANSFER'!D:D, A496, 'STOCK IN  TRANSFER'!F:F, "STOCK IN") + SUMIFS('STOCK IN  TRANSFER'!G:G, 'STOCK IN  TRANSFER'!D:D, A496, 'STOCK IN  TRANSFER'!F:F, "ADJUSTMENT (+)")</f>
        <v>1</v>
      </c>
    </row>
    <row r="497" ht="22.5" customHeight="1">
      <c r="A497" s="13" t="str">
        <f>IFERROR(__xludf.DUMMYFUNCTION("""COMPUTED_VALUE"""),"ROS-BLUE -OC-4L")</f>
        <v>ROS-BLUE -OC-4L</v>
      </c>
      <c r="B497" s="13" t="str">
        <f>IFERROR(__xludf.DUMMYFUNCTION("""COMPUTED_VALUE"""),"RAIN OR SHINE-BLUE OCEAN-4L")</f>
        <v>RAIN OR SHINE-BLUE OCEAN-4L</v>
      </c>
      <c r="C497" s="16">
        <f>IFERROR(__xludf.DUMMYFUNCTION("""COMPUTED_VALUE"""),850.0)</f>
        <v>850</v>
      </c>
      <c r="D497" s="13" t="str">
        <f>IFERROR(__xludf.DUMMYFUNCTION("""COMPUTED_VALUE"""),"GALON")</f>
        <v>GALON</v>
      </c>
      <c r="E497" s="28">
        <f>IFERROR(__xludf.DUMMYFUNCTION("""COMPUTED_VALUE"""),0.0)</f>
        <v>0</v>
      </c>
      <c r="F497" s="52">
        <f>SUMIF(SALES!D:D, A497, SALES!H:H) + SUMIFS('STOCK IN  TRANSFER'!G:G, 'STOCK IN  TRANSFER'!D:D, A497, 'STOCK IN  TRANSFER'!F:F, "TRANSFER") + SUMIFS('STOCK IN  TRANSFER'!G:G, 'STOCK IN  TRANSFER'!D:D, A497, 'STOCK IN  TRANSFER'!F:F, "ADJUSTMENT (-)")</f>
        <v>2</v>
      </c>
      <c r="G497" s="52">
        <f>SUMIFS('STOCK IN  TRANSFER'!G:G, 'STOCK IN  TRANSFER'!D:D, A497, 'STOCK IN  TRANSFER'!F:F, "STOCK IN") + SUMIFS('STOCK IN  TRANSFER'!G:G, 'STOCK IN  TRANSFER'!D:D, A497, 'STOCK IN  TRANSFER'!F:F, "ADJUSTMENT (+)")</f>
        <v>2</v>
      </c>
    </row>
    <row r="498" ht="22.5" customHeight="1">
      <c r="A498" s="13" t="str">
        <f>IFERROR(__xludf.DUMMYFUNCTION("""COMPUTED_VALUE"""),"PZPG-1L")</f>
        <v>PZPG-1L</v>
      </c>
      <c r="B498" s="13" t="str">
        <f>IFERROR(__xludf.DUMMYFUNCTION("""COMPUTED_VALUE"""),"POLYGLOSS-ZINCROMATE PRIMER GREEN-1L")</f>
        <v>POLYGLOSS-ZINCROMATE PRIMER GREEN-1L</v>
      </c>
      <c r="C498" s="16">
        <f>IFERROR(__xludf.DUMMYFUNCTION("""COMPUTED_VALUE"""),520.0)</f>
        <v>520</v>
      </c>
      <c r="D498" s="13" t="str">
        <f>IFERROR(__xludf.DUMMYFUNCTION("""COMPUTED_VALUE"""),"LITER")</f>
        <v>LITER</v>
      </c>
      <c r="E498" s="28">
        <f>IFERROR(__xludf.DUMMYFUNCTION("""COMPUTED_VALUE"""),3.0)</f>
        <v>3</v>
      </c>
      <c r="F498" s="52">
        <f>SUMIF(SALES!D:D, A498, SALES!H:H) + SUMIFS('STOCK IN  TRANSFER'!G:G, 'STOCK IN  TRANSFER'!D:D, A498, 'STOCK IN  TRANSFER'!F:F, "TRANSFER") + SUMIFS('STOCK IN  TRANSFER'!G:G, 'STOCK IN  TRANSFER'!D:D, A498, 'STOCK IN  TRANSFER'!F:F, "ADJUSTMENT (-)")</f>
        <v>2</v>
      </c>
      <c r="G498" s="52">
        <f>SUMIFS('STOCK IN  TRANSFER'!G:G, 'STOCK IN  TRANSFER'!D:D, A498, 'STOCK IN  TRANSFER'!F:F, "STOCK IN") + SUMIFS('STOCK IN  TRANSFER'!G:G, 'STOCK IN  TRANSFER'!D:D, A498, 'STOCK IN  TRANSFER'!F:F, "ADJUSTMENT (+)")</f>
        <v>5</v>
      </c>
    </row>
    <row r="499" ht="22.5" customHeight="1">
      <c r="A499" s="13" t="str">
        <f>IFERROR(__xludf.DUMMYFUNCTION("""COMPUTED_VALUE"""),"GAETB-4L")</f>
        <v>GAETB-4L</v>
      </c>
      <c r="B499" s="13" t="str">
        <f>IFERROR(__xludf.DUMMYFUNCTION("""COMPUTED_VALUE"""),"GLAZER AUTOMOTIVE ENAMEL THALO BLUE-4L")</f>
        <v>GLAZER AUTOMOTIVE ENAMEL THALO BLUE-4L</v>
      </c>
      <c r="C499" s="16">
        <f>IFERROR(__xludf.DUMMYFUNCTION("""COMPUTED_VALUE"""),855.0)</f>
        <v>855</v>
      </c>
      <c r="D499" s="13" t="str">
        <f>IFERROR(__xludf.DUMMYFUNCTION("""COMPUTED_VALUE"""),"GALON")</f>
        <v>GALON</v>
      </c>
      <c r="E499" s="28">
        <f>IFERROR(__xludf.DUMMYFUNCTION("""COMPUTED_VALUE"""),0.0)</f>
        <v>0</v>
      </c>
      <c r="F499" s="52">
        <f>SUMIF(SALES!D:D, A499, SALES!H:H) + SUMIFS('STOCK IN  TRANSFER'!G:G, 'STOCK IN  TRANSFER'!D:D, A499, 'STOCK IN  TRANSFER'!F:F, "TRANSFER") + SUMIFS('STOCK IN  TRANSFER'!G:G, 'STOCK IN  TRANSFER'!D:D, A499, 'STOCK IN  TRANSFER'!F:F, "ADJUSTMENT (-)")</f>
        <v>2</v>
      </c>
      <c r="G499" s="52">
        <f>SUMIFS('STOCK IN  TRANSFER'!G:G, 'STOCK IN  TRANSFER'!D:D, A499, 'STOCK IN  TRANSFER'!F:F, "STOCK IN") + SUMIFS('STOCK IN  TRANSFER'!G:G, 'STOCK IN  TRANSFER'!D:D, A499, 'STOCK IN  TRANSFER'!F:F, "ADJUSTMENT (+)")</f>
        <v>2</v>
      </c>
    </row>
    <row r="500" ht="22.5" customHeight="1">
      <c r="A500" s="13" t="str">
        <f>IFERROR(__xludf.DUMMYFUNCTION("""COMPUTED_VALUE"""),"DOITUH")</f>
        <v>DOITUH</v>
      </c>
      <c r="B500" s="13" t="str">
        <f>IFERROR(__xludf.DUMMYFUNCTION("""COMPUTED_VALUE"""),"DO IT URETHANE HARDENER")</f>
        <v>DO IT URETHANE HARDENER</v>
      </c>
      <c r="C500" s="16">
        <f>IFERROR(__xludf.DUMMYFUNCTION("""COMPUTED_VALUE"""),240.0)</f>
        <v>240</v>
      </c>
      <c r="D500" s="13" t="str">
        <f>IFERROR(__xludf.DUMMYFUNCTION("""COMPUTED_VALUE"""),"CAN")</f>
        <v>CAN</v>
      </c>
      <c r="E500" s="28">
        <f>IFERROR(__xludf.DUMMYFUNCTION("""COMPUTED_VALUE"""),0.0)</f>
        <v>0</v>
      </c>
      <c r="F500" s="52">
        <f>SUMIF(SALES!D:D, A500, SALES!H:H) + SUMIFS('STOCK IN  TRANSFER'!G:G, 'STOCK IN  TRANSFER'!D:D, A500, 'STOCK IN  TRANSFER'!F:F, "TRANSFER") + SUMIFS('STOCK IN  TRANSFER'!G:G, 'STOCK IN  TRANSFER'!D:D, A500, 'STOCK IN  TRANSFER'!F:F, "ADJUSTMENT (-)")</f>
        <v>6</v>
      </c>
      <c r="G500" s="52">
        <f>SUMIFS('STOCK IN  TRANSFER'!G:G, 'STOCK IN  TRANSFER'!D:D, A500, 'STOCK IN  TRANSFER'!F:F, "STOCK IN") + SUMIFS('STOCK IN  TRANSFER'!G:G, 'STOCK IN  TRANSFER'!D:D, A500, 'STOCK IN  TRANSFER'!F:F, "ADJUSTMENT (+)")</f>
        <v>6</v>
      </c>
    </row>
    <row r="501" ht="22.5" customHeight="1">
      <c r="A501" s="13" t="str">
        <f>IFERROR(__xludf.DUMMYFUNCTION("""COMPUTED_VALUE"""),"LATEXMIX-15L")</f>
        <v>LATEXMIX-15L</v>
      </c>
      <c r="B501" s="13" t="str">
        <f>IFERROR(__xludf.DUMMYFUNCTION("""COMPUTED_VALUE"""),"LATEXNP,ALPHA CROMA,DAVIES,BOYSEN,WC 15L")</f>
        <v>LATEXNP,ALPHA CROMA,DAVIES,BOYSEN,WC 15L</v>
      </c>
      <c r="C501" s="16">
        <f>IFERROR(__xludf.DUMMYFUNCTION("""COMPUTED_VALUE"""),3200.0)</f>
        <v>3200</v>
      </c>
      <c r="D501" s="13" t="str">
        <f>IFERROR(__xludf.DUMMYFUNCTION("""COMPUTED_VALUE"""),"PAIL")</f>
        <v>PAIL</v>
      </c>
      <c r="E501" s="28">
        <f>IFERROR(__xludf.DUMMYFUNCTION("""COMPUTED_VALUE"""),0.0)</f>
        <v>0</v>
      </c>
      <c r="F501" s="52">
        <f>SUMIF(SALES!D:D, A501, SALES!H:H) + SUMIFS('STOCK IN  TRANSFER'!G:G, 'STOCK IN  TRANSFER'!D:D, A501, 'STOCK IN  TRANSFER'!F:F, "TRANSFER") + SUMIFS('STOCK IN  TRANSFER'!G:G, 'STOCK IN  TRANSFER'!D:D, A501, 'STOCK IN  TRANSFER'!F:F, "ADJUSTMENT (-)")</f>
        <v>3</v>
      </c>
      <c r="G501" s="52">
        <f>SUMIFS('STOCK IN  TRANSFER'!G:G, 'STOCK IN  TRANSFER'!D:D, A501, 'STOCK IN  TRANSFER'!F:F, "STOCK IN") + SUMIFS('STOCK IN  TRANSFER'!G:G, 'STOCK IN  TRANSFER'!D:D, A501, 'STOCK IN  TRANSFER'!F:F, "ADJUSTMENT (+)")</f>
        <v>3</v>
      </c>
    </row>
    <row r="502" ht="22.5" customHeight="1">
      <c r="A502" s="13" t="str">
        <f>IFERROR(__xludf.DUMMYFUNCTION("""COMPUTED_VALUE"""),"ALCROLTC -THALO BLUE-1L")</f>
        <v>ALCROLTC -THALO BLUE-1L</v>
      </c>
      <c r="B502" s="13" t="str">
        <f>IFERROR(__xludf.DUMMYFUNCTION("""COMPUTED_VALUE"""),"ALPHA CROMA LTC THALO BLUE")</f>
        <v>ALPHA CROMA LTC THALO BLUE</v>
      </c>
      <c r="C502" s="16">
        <f>IFERROR(__xludf.DUMMYFUNCTION("""COMPUTED_VALUE"""),130.0)</f>
        <v>130</v>
      </c>
      <c r="D502" s="13" t="str">
        <f>IFERROR(__xludf.DUMMYFUNCTION("""COMPUTED_VALUE"""),"LITER")</f>
        <v>LITER</v>
      </c>
      <c r="E502" s="28">
        <f>IFERROR(__xludf.DUMMYFUNCTION("""COMPUTED_VALUE"""),0.0)</f>
        <v>0</v>
      </c>
      <c r="F502" s="52">
        <f>SUMIF(SALES!D:D, A502, SALES!H:H) + SUMIFS('STOCK IN  TRANSFER'!G:G, 'STOCK IN  TRANSFER'!D:D, A502, 'STOCK IN  TRANSFER'!F:F, "TRANSFER") + SUMIFS('STOCK IN  TRANSFER'!G:G, 'STOCK IN  TRANSFER'!D:D, A502, 'STOCK IN  TRANSFER'!F:F, "ADJUSTMENT (-)")</f>
        <v>4</v>
      </c>
      <c r="G502" s="52">
        <f>SUMIFS('STOCK IN  TRANSFER'!G:G, 'STOCK IN  TRANSFER'!D:D, A502, 'STOCK IN  TRANSFER'!F:F, "STOCK IN") + SUMIFS('STOCK IN  TRANSFER'!G:G, 'STOCK IN  TRANSFER'!D:D, A502, 'STOCK IN  TRANSFER'!F:F, "ADJUSTMENT (+)")</f>
        <v>4</v>
      </c>
    </row>
    <row r="503" ht="22.5" customHeight="1">
      <c r="A503" s="13" t="str">
        <f>IFERROR(__xludf.DUMMYFUNCTION("""COMPUTED_VALUE"""),"ACRYLICMIX-4L")</f>
        <v>ACRYLICMIX-4L</v>
      </c>
      <c r="B503" s="13" t="str">
        <f>IFERROR(__xludf.DUMMYFUNCTION("""COMPUTED_VALUE"""),"ACRYLIC NP, TIMEOUT 4L")</f>
        <v>ACRYLIC NP, TIMEOUT 4L</v>
      </c>
      <c r="C503" s="16"/>
      <c r="D503" s="13" t="str">
        <f>IFERROR(__xludf.DUMMYFUNCTION("""COMPUTED_VALUE"""),"GALON")</f>
        <v>GALON</v>
      </c>
      <c r="E503" s="28">
        <f>IFERROR(__xludf.DUMMYFUNCTION("""COMPUTED_VALUE"""),0.0)</f>
        <v>0</v>
      </c>
      <c r="F503" s="52">
        <f>SUMIF(SALES!D:D, A503, SALES!H:H) + SUMIFS('STOCK IN  TRANSFER'!G:G, 'STOCK IN  TRANSFER'!D:D, A503, 'STOCK IN  TRANSFER'!F:F, "TRANSFER") + SUMIFS('STOCK IN  TRANSFER'!G:G, 'STOCK IN  TRANSFER'!D:D, A503, 'STOCK IN  TRANSFER'!F:F, "ADJUSTMENT (-)")</f>
        <v>0</v>
      </c>
      <c r="G503" s="52">
        <f>SUMIFS('STOCK IN  TRANSFER'!G:G, 'STOCK IN  TRANSFER'!D:D, A503, 'STOCK IN  TRANSFER'!F:F, "STOCK IN") + SUMIFS('STOCK IN  TRANSFER'!G:G, 'STOCK IN  TRANSFER'!D:D, A503, 'STOCK IN  TRANSFER'!F:F, "ADJUSTMENT (+)")</f>
        <v>0</v>
      </c>
    </row>
    <row r="504" ht="22.5" customHeight="1">
      <c r="A504" s="13" t="str">
        <f>IFERROR(__xludf.DUMMYFUNCTION("""COMPUTED_VALUE"""),"ACRYPRIMER-4L")</f>
        <v>ACRYPRIMER-4L</v>
      </c>
      <c r="B504" s="13" t="str">
        <f>IFERROR(__xludf.DUMMYFUNCTION("""COMPUTED_VALUE"""),"ALPHA CHROMA ACRYTILE PRIMER WHITE")</f>
        <v>ALPHA CHROMA ACRYTILE PRIMER WHITE</v>
      </c>
      <c r="C504" s="16">
        <f>IFERROR(__xludf.DUMMYFUNCTION("""COMPUTED_VALUE"""),950.0)</f>
        <v>950</v>
      </c>
      <c r="D504" s="13" t="str">
        <f>IFERROR(__xludf.DUMMYFUNCTION("""COMPUTED_VALUE"""),"GALON")</f>
        <v>GALON</v>
      </c>
      <c r="E504" s="28">
        <f>IFERROR(__xludf.DUMMYFUNCTION("""COMPUTED_VALUE"""),0.0)</f>
        <v>0</v>
      </c>
      <c r="F504" s="52">
        <f>SUMIF(SALES!D:D, A504, SALES!H:H) + SUMIFS('STOCK IN  TRANSFER'!G:G, 'STOCK IN  TRANSFER'!D:D, A504, 'STOCK IN  TRANSFER'!F:F, "TRANSFER") + SUMIFS('STOCK IN  TRANSFER'!G:G, 'STOCK IN  TRANSFER'!D:D, A504, 'STOCK IN  TRANSFER'!F:F, "ADJUSTMENT (-)")</f>
        <v>2</v>
      </c>
      <c r="G504" s="52">
        <f>SUMIFS('STOCK IN  TRANSFER'!G:G, 'STOCK IN  TRANSFER'!D:D, A504, 'STOCK IN  TRANSFER'!F:F, "STOCK IN") + SUMIFS('STOCK IN  TRANSFER'!G:G, 'STOCK IN  TRANSFER'!D:D, A504, 'STOCK IN  TRANSFER'!F:F, "ADJUSTMENT (+)")</f>
        <v>2</v>
      </c>
    </row>
    <row r="505" ht="22.5" customHeight="1">
      <c r="A505" s="13" t="str">
        <f>IFERROR(__xludf.DUMMYFUNCTION("""COMPUTED_VALUE"""),"AEMIX-1L")</f>
        <v>AEMIX-1L</v>
      </c>
      <c r="B505" s="13" t="str">
        <f>IFERROR(__xludf.DUMMYFUNCTION("""COMPUTED_VALUE"""),"GLAZER AUTO ENAMEL MIX 1L")</f>
        <v>GLAZER AUTO ENAMEL MIX 1L</v>
      </c>
      <c r="C505" s="16"/>
      <c r="D505" s="13" t="str">
        <f>IFERROR(__xludf.DUMMYFUNCTION("""COMPUTED_VALUE"""),"LITER")</f>
        <v>LITER</v>
      </c>
      <c r="E505" s="28">
        <f>IFERROR(__xludf.DUMMYFUNCTION("""COMPUTED_VALUE"""),-2.0)</f>
        <v>-2</v>
      </c>
      <c r="F505" s="52">
        <f>SUMIF(SALES!D:D, A505, SALES!H:H) + SUMIFS('STOCK IN  TRANSFER'!G:G, 'STOCK IN  TRANSFER'!D:D, A505, 'STOCK IN  TRANSFER'!F:F, "TRANSFER") + SUMIFS('STOCK IN  TRANSFER'!G:G, 'STOCK IN  TRANSFER'!D:D, A505, 'STOCK IN  TRANSFER'!F:F, "ADJUSTMENT (-)")</f>
        <v>6</v>
      </c>
      <c r="G505" s="52">
        <f>SUMIFS('STOCK IN  TRANSFER'!G:G, 'STOCK IN  TRANSFER'!D:D, A505, 'STOCK IN  TRANSFER'!F:F, "STOCK IN") + SUMIFS('STOCK IN  TRANSFER'!G:G, 'STOCK IN  TRANSFER'!D:D, A505, 'STOCK IN  TRANSFER'!F:F, "ADJUSTMENT (+)")</f>
        <v>4</v>
      </c>
    </row>
    <row r="506" ht="22.5" customHeight="1">
      <c r="A506" s="13" t="str">
        <f>IFERROR(__xludf.DUMMYFUNCTION("""COMPUTED_VALUE"""),"PLYZMTB-47")</f>
        <v>PLYZMTB-47</v>
      </c>
      <c r="B506" s="13" t="str">
        <f>IFERROR(__xludf.DUMMYFUNCTION("""COMPUTED_VALUE"""),"PYLOX MATT BLACK#47")</f>
        <v>PYLOX MATT BLACK#47</v>
      </c>
      <c r="C506" s="16">
        <f>IFERROR(__xludf.DUMMYFUNCTION("""COMPUTED_VALUE"""),90.0)</f>
        <v>90</v>
      </c>
      <c r="D506" s="13" t="str">
        <f>IFERROR(__xludf.DUMMYFUNCTION("""COMPUTED_VALUE"""),"CAN")</f>
        <v>CAN</v>
      </c>
      <c r="E506" s="28">
        <f>IFERROR(__xludf.DUMMYFUNCTION("""COMPUTED_VALUE"""),6.0)</f>
        <v>6</v>
      </c>
      <c r="F506" s="52">
        <f>SUMIF(SALES!D:D, A506, SALES!H:H) + SUMIFS('STOCK IN  TRANSFER'!G:G, 'STOCK IN  TRANSFER'!D:D, A506, 'STOCK IN  TRANSFER'!F:F, "TRANSFER") + SUMIFS('STOCK IN  TRANSFER'!G:G, 'STOCK IN  TRANSFER'!D:D, A506, 'STOCK IN  TRANSFER'!F:F, "ADJUSTMENT (-)")</f>
        <v>1</v>
      </c>
      <c r="G506" s="52">
        <f>SUMIFS('STOCK IN  TRANSFER'!G:G, 'STOCK IN  TRANSFER'!D:D, A506, 'STOCK IN  TRANSFER'!F:F, "STOCK IN") + SUMIFS('STOCK IN  TRANSFER'!G:G, 'STOCK IN  TRANSFER'!D:D, A506, 'STOCK IN  TRANSFER'!F:F, "ADJUSTMENT (+)")</f>
        <v>7</v>
      </c>
    </row>
    <row r="507" ht="22.5" customHeight="1">
      <c r="A507" s="13" t="str">
        <f>IFERROR(__xludf.DUMMYFUNCTION("""COMPUTED_VALUE"""),"ALPHAC-RS-CAN")</f>
        <v>ALPHAC-RS-CAN</v>
      </c>
      <c r="B507" s="13" t="str">
        <f>IFERROR(__xludf.DUMMYFUNCTION("""COMPUTED_VALUE"""),"ALPHA CHROMA OTC RAW SEINA 1CAN")</f>
        <v>ALPHA CHROMA OTC RAW SEINA 1CAN</v>
      </c>
      <c r="C507" s="16">
        <f>IFERROR(__xludf.DUMMYFUNCTION("""COMPUTED_VALUE"""),80.0)</f>
        <v>80</v>
      </c>
      <c r="D507" s="13" t="str">
        <f>IFERROR(__xludf.DUMMYFUNCTION("""COMPUTED_VALUE"""),"CAN")</f>
        <v>CAN</v>
      </c>
      <c r="E507" s="28">
        <f>IFERROR(__xludf.DUMMYFUNCTION("""COMPUTED_VALUE"""),0.0)</f>
        <v>0</v>
      </c>
      <c r="F507" s="52">
        <f>SUMIF(SALES!D:D, A507, SALES!H:H) + SUMIFS('STOCK IN  TRANSFER'!G:G, 'STOCK IN  TRANSFER'!D:D, A507, 'STOCK IN  TRANSFER'!F:F, "TRANSFER") + SUMIFS('STOCK IN  TRANSFER'!G:G, 'STOCK IN  TRANSFER'!D:D, A507, 'STOCK IN  TRANSFER'!F:F, "ADJUSTMENT (-)")</f>
        <v>1</v>
      </c>
      <c r="G507" s="52">
        <f>SUMIFS('STOCK IN  TRANSFER'!G:G, 'STOCK IN  TRANSFER'!D:D, A507, 'STOCK IN  TRANSFER'!F:F, "STOCK IN") + SUMIFS('STOCK IN  TRANSFER'!G:G, 'STOCK IN  TRANSFER'!D:D, A507, 'STOCK IN  TRANSFER'!F:F, "ADJUSTMENT (+)")</f>
        <v>1</v>
      </c>
    </row>
    <row r="508" ht="22.5" customHeight="1">
      <c r="A508" s="13"/>
      <c r="B508" s="13"/>
      <c r="C508" s="16"/>
      <c r="D508" s="13"/>
      <c r="E508" s="28"/>
      <c r="F508" s="52">
        <f>SUMIF(SALES!D:D, A508, SALES!H:H) + SUMIFS('STOCK IN  TRANSFER'!G:G, 'STOCK IN  TRANSFER'!D:D, A508, 'STOCK IN  TRANSFER'!F:F, "TRANSFER") + SUMIFS('STOCK IN  TRANSFER'!G:G, 'STOCK IN  TRANSFER'!D:D, A508, 'STOCK IN  TRANSFER'!F:F, "ADJUSTMENT (-)")</f>
        <v>0</v>
      </c>
      <c r="G508" s="52">
        <f>SUMIFS('STOCK IN  TRANSFER'!G:G, 'STOCK IN  TRANSFER'!D:D, A508, 'STOCK IN  TRANSFER'!F:F, "STOCK IN") + SUMIFS('STOCK IN  TRANSFER'!G:G, 'STOCK IN  TRANSFER'!D:D, A508, 'STOCK IN  TRANSFER'!F:F, "ADJUSTMENT (+)")</f>
        <v>0</v>
      </c>
    </row>
    <row r="509" ht="22.5" customHeight="1">
      <c r="A509" s="13"/>
      <c r="B509" s="13"/>
      <c r="C509" s="16"/>
      <c r="D509" s="13"/>
      <c r="E509" s="28"/>
      <c r="F509" s="52">
        <f>SUMIF(SALES!D:D, A509, SALES!H:H) + SUMIFS('STOCK IN  TRANSFER'!G:G, 'STOCK IN  TRANSFER'!D:D, A509, 'STOCK IN  TRANSFER'!F:F, "TRANSFER") + SUMIFS('STOCK IN  TRANSFER'!G:G, 'STOCK IN  TRANSFER'!D:D, A509, 'STOCK IN  TRANSFER'!F:F, "ADJUSTMENT (-)")</f>
        <v>0</v>
      </c>
      <c r="G509" s="52">
        <f>SUMIFS('STOCK IN  TRANSFER'!G:G, 'STOCK IN  TRANSFER'!D:D, A509, 'STOCK IN  TRANSFER'!F:F, "STOCK IN") + SUMIFS('STOCK IN  TRANSFER'!G:G, 'STOCK IN  TRANSFER'!D:D, A509, 'STOCK IN  TRANSFER'!F:F, "ADJUSTMENT (+)")</f>
        <v>0</v>
      </c>
    </row>
    <row r="510" ht="22.5" customHeight="1">
      <c r="A510" s="13"/>
      <c r="B510" s="13"/>
      <c r="C510" s="16"/>
      <c r="D510" s="13"/>
      <c r="E510" s="28"/>
      <c r="F510" s="52">
        <f>SUMIF(SALES!D:D, A510, SALES!H:H) + SUMIFS('STOCK IN  TRANSFER'!G:G, 'STOCK IN  TRANSFER'!D:D, A510, 'STOCK IN  TRANSFER'!F:F, "TRANSFER") + SUMIFS('STOCK IN  TRANSFER'!G:G, 'STOCK IN  TRANSFER'!D:D, A510, 'STOCK IN  TRANSFER'!F:F, "ADJUSTMENT (-)")</f>
        <v>0</v>
      </c>
      <c r="G510" s="52">
        <f>SUMIFS('STOCK IN  TRANSFER'!G:G, 'STOCK IN  TRANSFER'!D:D, A510, 'STOCK IN  TRANSFER'!F:F, "STOCK IN") + SUMIFS('STOCK IN  TRANSFER'!G:G, 'STOCK IN  TRANSFER'!D:D, A510, 'STOCK IN  TRANSFER'!F:F, "ADJUSTMENT (+)")</f>
        <v>0</v>
      </c>
    </row>
    <row r="511" ht="22.5" customHeight="1">
      <c r="A511" s="13"/>
      <c r="B511" s="13"/>
      <c r="C511" s="16"/>
      <c r="D511" s="13"/>
      <c r="E511" s="28"/>
      <c r="F511" s="52">
        <f>SUMIF(SALES!D:D, A511, SALES!H:H) + SUMIFS('STOCK IN  TRANSFER'!G:G, 'STOCK IN  TRANSFER'!D:D, A511, 'STOCK IN  TRANSFER'!F:F, "TRANSFER") + SUMIFS('STOCK IN  TRANSFER'!G:G, 'STOCK IN  TRANSFER'!D:D, A511, 'STOCK IN  TRANSFER'!F:F, "ADJUSTMENT (-)")</f>
        <v>0</v>
      </c>
      <c r="G511" s="52">
        <f>SUMIFS('STOCK IN  TRANSFER'!G:G, 'STOCK IN  TRANSFER'!D:D, A511, 'STOCK IN  TRANSFER'!F:F, "STOCK IN") + SUMIFS('STOCK IN  TRANSFER'!G:G, 'STOCK IN  TRANSFER'!D:D, A511, 'STOCK IN  TRANSFER'!F:F, "ADJUSTMENT (+)")</f>
        <v>0</v>
      </c>
    </row>
    <row r="512" ht="22.5" customHeight="1">
      <c r="A512" s="13"/>
      <c r="B512" s="13"/>
      <c r="C512" s="16"/>
      <c r="D512" s="13"/>
      <c r="E512" s="28"/>
      <c r="F512" s="52">
        <f>SUMIF(SALES!D:D, A512, SALES!H:H) + SUMIFS('STOCK IN  TRANSFER'!G:G, 'STOCK IN  TRANSFER'!D:D, A512, 'STOCK IN  TRANSFER'!F:F, "TRANSFER") + SUMIFS('STOCK IN  TRANSFER'!G:G, 'STOCK IN  TRANSFER'!D:D, A512, 'STOCK IN  TRANSFER'!F:F, "ADJUSTMENT (-)")</f>
        <v>0</v>
      </c>
      <c r="G512" s="52">
        <f>SUMIFS('STOCK IN  TRANSFER'!G:G, 'STOCK IN  TRANSFER'!D:D, A512, 'STOCK IN  TRANSFER'!F:F, "STOCK IN") + SUMIFS('STOCK IN  TRANSFER'!G:G, 'STOCK IN  TRANSFER'!D:D, A512, 'STOCK IN  TRANSFER'!F:F, "ADJUSTMENT (+)")</f>
        <v>0</v>
      </c>
    </row>
    <row r="513" ht="22.5" customHeight="1">
      <c r="A513" s="13"/>
      <c r="B513" s="13"/>
      <c r="C513" s="16"/>
      <c r="D513" s="13"/>
      <c r="E513" s="28"/>
      <c r="F513" s="52">
        <f>SUMIF(SALES!D:D, A513, SALES!H:H) + SUMIFS('STOCK IN  TRANSFER'!G:G, 'STOCK IN  TRANSFER'!D:D, A513, 'STOCK IN  TRANSFER'!F:F, "TRANSFER") + SUMIFS('STOCK IN  TRANSFER'!G:G, 'STOCK IN  TRANSFER'!D:D, A513, 'STOCK IN  TRANSFER'!F:F, "ADJUSTMENT (-)")</f>
        <v>0</v>
      </c>
      <c r="G513" s="52">
        <f>SUMIFS('STOCK IN  TRANSFER'!G:G, 'STOCK IN  TRANSFER'!D:D, A513, 'STOCK IN  TRANSFER'!F:F, "STOCK IN") + SUMIFS('STOCK IN  TRANSFER'!G:G, 'STOCK IN  TRANSFER'!D:D, A513, 'STOCK IN  TRANSFER'!F:F, "ADJUSTMENT (+)")</f>
        <v>0</v>
      </c>
    </row>
    <row r="514" ht="22.5" customHeight="1">
      <c r="A514" s="13"/>
      <c r="B514" s="13"/>
      <c r="C514" s="16"/>
      <c r="D514" s="13"/>
      <c r="E514" s="28"/>
      <c r="F514" s="52">
        <f>SUMIF(SALES!D:D, A514, SALES!H:H) + SUMIFS('STOCK IN  TRANSFER'!G:G, 'STOCK IN  TRANSFER'!D:D, A514, 'STOCK IN  TRANSFER'!F:F, "TRANSFER") + SUMIFS('STOCK IN  TRANSFER'!G:G, 'STOCK IN  TRANSFER'!D:D, A514, 'STOCK IN  TRANSFER'!F:F, "ADJUSTMENT (-)")</f>
        <v>0</v>
      </c>
      <c r="G514" s="52">
        <f>SUMIFS('STOCK IN  TRANSFER'!G:G, 'STOCK IN  TRANSFER'!D:D, A514, 'STOCK IN  TRANSFER'!F:F, "STOCK IN") + SUMIFS('STOCK IN  TRANSFER'!G:G, 'STOCK IN  TRANSFER'!D:D, A514, 'STOCK IN  TRANSFER'!F:F, "ADJUSTMENT (+)")</f>
        <v>0</v>
      </c>
    </row>
    <row r="515" ht="22.5" customHeight="1">
      <c r="A515" s="13"/>
      <c r="B515" s="13"/>
      <c r="C515" s="16"/>
      <c r="D515" s="13"/>
      <c r="E515" s="28"/>
      <c r="F515" s="52">
        <f>SUMIF(SALES!D:D, A515, SALES!H:H) + SUMIFS('STOCK IN  TRANSFER'!G:G, 'STOCK IN  TRANSFER'!D:D, A515, 'STOCK IN  TRANSFER'!F:F, "TRANSFER") + SUMIFS('STOCK IN  TRANSFER'!G:G, 'STOCK IN  TRANSFER'!D:D, A515, 'STOCK IN  TRANSFER'!F:F, "ADJUSTMENT (-)")</f>
        <v>0</v>
      </c>
      <c r="G515" s="52">
        <f>SUMIFS('STOCK IN  TRANSFER'!G:G, 'STOCK IN  TRANSFER'!D:D, A515, 'STOCK IN  TRANSFER'!F:F, "STOCK IN") + SUMIFS('STOCK IN  TRANSFER'!G:G, 'STOCK IN  TRANSFER'!D:D, A515, 'STOCK IN  TRANSFER'!F:F, "ADJUSTMENT (+)")</f>
        <v>0</v>
      </c>
    </row>
    <row r="516" ht="22.5" customHeight="1">
      <c r="A516" s="13"/>
      <c r="B516" s="13"/>
      <c r="C516" s="16"/>
      <c r="D516" s="13"/>
      <c r="E516" s="28"/>
      <c r="F516" s="52">
        <f>SUMIF(SALES!D:D, A516, SALES!H:H) + SUMIFS('STOCK IN  TRANSFER'!G:G, 'STOCK IN  TRANSFER'!D:D, A516, 'STOCK IN  TRANSFER'!F:F, "TRANSFER") + SUMIFS('STOCK IN  TRANSFER'!G:G, 'STOCK IN  TRANSFER'!D:D, A516, 'STOCK IN  TRANSFER'!F:F, "ADJUSTMENT (-)")</f>
        <v>0</v>
      </c>
      <c r="G516" s="52">
        <f>SUMIFS('STOCK IN  TRANSFER'!G:G, 'STOCK IN  TRANSFER'!D:D, A516, 'STOCK IN  TRANSFER'!F:F, "STOCK IN") + SUMIFS('STOCK IN  TRANSFER'!G:G, 'STOCK IN  TRANSFER'!D:D, A516, 'STOCK IN  TRANSFER'!F:F, "ADJUSTMENT (+)")</f>
        <v>0</v>
      </c>
    </row>
    <row r="517" ht="22.5" customHeight="1">
      <c r="A517" s="13"/>
      <c r="B517" s="13"/>
      <c r="C517" s="16"/>
      <c r="D517" s="13"/>
      <c r="E517" s="28"/>
      <c r="F517" s="52">
        <f>SUMIF(SALES!D:D, A517, SALES!H:H) + SUMIFS('STOCK IN  TRANSFER'!G:G, 'STOCK IN  TRANSFER'!D:D, A517, 'STOCK IN  TRANSFER'!F:F, "TRANSFER") + SUMIFS('STOCK IN  TRANSFER'!G:G, 'STOCK IN  TRANSFER'!D:D, A517, 'STOCK IN  TRANSFER'!F:F, "ADJUSTMENT (-)")</f>
        <v>0</v>
      </c>
      <c r="G517" s="52">
        <f>SUMIFS('STOCK IN  TRANSFER'!G:G, 'STOCK IN  TRANSFER'!D:D, A517, 'STOCK IN  TRANSFER'!F:F, "STOCK IN") + SUMIFS('STOCK IN  TRANSFER'!G:G, 'STOCK IN  TRANSFER'!D:D, A517, 'STOCK IN  TRANSFER'!F:F, "ADJUSTMENT (+)")</f>
        <v>0</v>
      </c>
    </row>
    <row r="518" ht="22.5" customHeight="1">
      <c r="A518" s="13"/>
      <c r="B518" s="13"/>
      <c r="C518" s="16"/>
      <c r="D518" s="13"/>
      <c r="E518" s="28"/>
      <c r="F518" s="52">
        <f>SUMIF(SALES!D:D, A518, SALES!H:H) + SUMIFS('STOCK IN  TRANSFER'!G:G, 'STOCK IN  TRANSFER'!D:D, A518, 'STOCK IN  TRANSFER'!F:F, "TRANSFER") + SUMIFS('STOCK IN  TRANSFER'!G:G, 'STOCK IN  TRANSFER'!D:D, A518, 'STOCK IN  TRANSFER'!F:F, "ADJUSTMENT (-)")</f>
        <v>0</v>
      </c>
      <c r="G518" s="52">
        <f>SUMIFS('STOCK IN  TRANSFER'!G:G, 'STOCK IN  TRANSFER'!D:D, A518, 'STOCK IN  TRANSFER'!F:F, "STOCK IN") + SUMIFS('STOCK IN  TRANSFER'!G:G, 'STOCK IN  TRANSFER'!D:D, A518, 'STOCK IN  TRANSFER'!F:F, "ADJUSTMENT (+)")</f>
        <v>0</v>
      </c>
    </row>
    <row r="519" ht="22.5" customHeight="1">
      <c r="A519" s="13"/>
      <c r="B519" s="13"/>
      <c r="C519" s="16"/>
      <c r="D519" s="13"/>
      <c r="E519" s="28"/>
      <c r="F519" s="52">
        <f>SUMIF(SALES!D:D, A519, SALES!H:H) + SUMIFS('STOCK IN  TRANSFER'!G:G, 'STOCK IN  TRANSFER'!D:D, A519, 'STOCK IN  TRANSFER'!F:F, "TRANSFER") + SUMIFS('STOCK IN  TRANSFER'!G:G, 'STOCK IN  TRANSFER'!D:D, A519, 'STOCK IN  TRANSFER'!F:F, "ADJUSTMENT (-)")</f>
        <v>0</v>
      </c>
      <c r="G519" s="52">
        <f>SUMIFS('STOCK IN  TRANSFER'!G:G, 'STOCK IN  TRANSFER'!D:D, A519, 'STOCK IN  TRANSFER'!F:F, "STOCK IN") + SUMIFS('STOCK IN  TRANSFER'!G:G, 'STOCK IN  TRANSFER'!D:D, A519, 'STOCK IN  TRANSFER'!F:F, "ADJUSTMENT (+)")</f>
        <v>0</v>
      </c>
    </row>
    <row r="520" ht="22.5" customHeight="1">
      <c r="A520" s="13"/>
      <c r="B520" s="13"/>
      <c r="C520" s="16"/>
      <c r="D520" s="13"/>
      <c r="E520" s="28"/>
      <c r="F520" s="52">
        <f>SUMIF(SALES!D:D, A520, SALES!H:H) + SUMIFS('STOCK IN  TRANSFER'!G:G, 'STOCK IN  TRANSFER'!D:D, A520, 'STOCK IN  TRANSFER'!F:F, "TRANSFER") + SUMIFS('STOCK IN  TRANSFER'!G:G, 'STOCK IN  TRANSFER'!D:D, A520, 'STOCK IN  TRANSFER'!F:F, "ADJUSTMENT (-)")</f>
        <v>0</v>
      </c>
      <c r="G520" s="52">
        <f>SUMIFS('STOCK IN  TRANSFER'!G:G, 'STOCK IN  TRANSFER'!D:D, A520, 'STOCK IN  TRANSFER'!F:F, "STOCK IN") + SUMIFS('STOCK IN  TRANSFER'!G:G, 'STOCK IN  TRANSFER'!D:D, A520, 'STOCK IN  TRANSFER'!F:F, "ADJUSTMENT (+)")</f>
        <v>0</v>
      </c>
    </row>
    <row r="521" ht="22.5" customHeight="1">
      <c r="A521" s="13"/>
      <c r="B521" s="13"/>
      <c r="C521" s="16"/>
      <c r="D521" s="13"/>
      <c r="E521" s="28"/>
      <c r="F521" s="52">
        <f>SUMIF(SALES!D:D, A521, SALES!H:H) + SUMIFS('STOCK IN  TRANSFER'!G:G, 'STOCK IN  TRANSFER'!D:D, A521, 'STOCK IN  TRANSFER'!F:F, "TRANSFER") + SUMIFS('STOCK IN  TRANSFER'!G:G, 'STOCK IN  TRANSFER'!D:D, A521, 'STOCK IN  TRANSFER'!F:F, "ADJUSTMENT (-)")</f>
        <v>0</v>
      </c>
      <c r="G521" s="52">
        <f>SUMIFS('STOCK IN  TRANSFER'!G:G, 'STOCK IN  TRANSFER'!D:D, A521, 'STOCK IN  TRANSFER'!F:F, "STOCK IN") + SUMIFS('STOCK IN  TRANSFER'!G:G, 'STOCK IN  TRANSFER'!D:D, A521, 'STOCK IN  TRANSFER'!F:F, "ADJUSTMENT (+)")</f>
        <v>0</v>
      </c>
    </row>
    <row r="522" ht="22.5" customHeight="1">
      <c r="A522" s="13"/>
      <c r="B522" s="13"/>
      <c r="C522" s="16"/>
      <c r="D522" s="13"/>
      <c r="E522" s="28"/>
      <c r="F522" s="52">
        <f>SUMIF(SALES!D:D, A522, SALES!H:H) + SUMIFS('STOCK IN  TRANSFER'!G:G, 'STOCK IN  TRANSFER'!D:D, A522, 'STOCK IN  TRANSFER'!F:F, "TRANSFER") + SUMIFS('STOCK IN  TRANSFER'!G:G, 'STOCK IN  TRANSFER'!D:D, A522, 'STOCK IN  TRANSFER'!F:F, "ADJUSTMENT (-)")</f>
        <v>0</v>
      </c>
      <c r="G522" s="52">
        <f>SUMIFS('STOCK IN  TRANSFER'!G:G, 'STOCK IN  TRANSFER'!D:D, A522, 'STOCK IN  TRANSFER'!F:F, "STOCK IN") + SUMIFS('STOCK IN  TRANSFER'!G:G, 'STOCK IN  TRANSFER'!D:D, A522, 'STOCK IN  TRANSFER'!F:F, "ADJUSTMENT (+)")</f>
        <v>0</v>
      </c>
    </row>
    <row r="523" ht="22.5" customHeight="1">
      <c r="A523" s="13"/>
      <c r="B523" s="13"/>
      <c r="C523" s="16"/>
      <c r="D523" s="13"/>
      <c r="E523" s="28"/>
      <c r="F523" s="52">
        <f>SUMIF(SALES!D:D, A523, SALES!H:H) + SUMIFS('STOCK IN  TRANSFER'!G:G, 'STOCK IN  TRANSFER'!D:D, A523, 'STOCK IN  TRANSFER'!F:F, "TRANSFER") + SUMIFS('STOCK IN  TRANSFER'!G:G, 'STOCK IN  TRANSFER'!D:D, A523, 'STOCK IN  TRANSFER'!F:F, "ADJUSTMENT (-)")</f>
        <v>0</v>
      </c>
      <c r="G523" s="52">
        <f>SUMIFS('STOCK IN  TRANSFER'!G:G, 'STOCK IN  TRANSFER'!D:D, A523, 'STOCK IN  TRANSFER'!F:F, "STOCK IN") + SUMIFS('STOCK IN  TRANSFER'!G:G, 'STOCK IN  TRANSFER'!D:D, A523, 'STOCK IN  TRANSFER'!F:F, "ADJUSTMENT (+)")</f>
        <v>0</v>
      </c>
    </row>
    <row r="524" ht="22.5" customHeight="1">
      <c r="A524" s="13"/>
      <c r="B524" s="13"/>
      <c r="C524" s="16"/>
      <c r="D524" s="13"/>
      <c r="E524" s="28"/>
      <c r="F524" s="52">
        <f>SUMIF(SALES!D:D, A524, SALES!H:H) + SUMIFS('STOCK IN  TRANSFER'!G:G, 'STOCK IN  TRANSFER'!D:D, A524, 'STOCK IN  TRANSFER'!F:F, "TRANSFER") + SUMIFS('STOCK IN  TRANSFER'!G:G, 'STOCK IN  TRANSFER'!D:D, A524, 'STOCK IN  TRANSFER'!F:F, "ADJUSTMENT (-)")</f>
        <v>0</v>
      </c>
      <c r="G524" s="52">
        <f>SUMIFS('STOCK IN  TRANSFER'!G:G, 'STOCK IN  TRANSFER'!D:D, A524, 'STOCK IN  TRANSFER'!F:F, "STOCK IN") + SUMIFS('STOCK IN  TRANSFER'!G:G, 'STOCK IN  TRANSFER'!D:D, A524, 'STOCK IN  TRANSFER'!F:F, "ADJUSTMENT (+)")</f>
        <v>0</v>
      </c>
    </row>
    <row r="525" ht="22.5" customHeight="1">
      <c r="A525" s="13"/>
      <c r="B525" s="13"/>
      <c r="C525" s="16"/>
      <c r="D525" s="13"/>
      <c r="E525" s="28"/>
      <c r="F525" s="52">
        <f>SUMIF(SALES!D:D, A525, SALES!H:H) + SUMIFS('STOCK IN  TRANSFER'!G:G, 'STOCK IN  TRANSFER'!D:D, A525, 'STOCK IN  TRANSFER'!F:F, "TRANSFER") + SUMIFS('STOCK IN  TRANSFER'!G:G, 'STOCK IN  TRANSFER'!D:D, A525, 'STOCK IN  TRANSFER'!F:F, "ADJUSTMENT (-)")</f>
        <v>0</v>
      </c>
      <c r="G525" s="52">
        <f>SUMIFS('STOCK IN  TRANSFER'!G:G, 'STOCK IN  TRANSFER'!D:D, A525, 'STOCK IN  TRANSFER'!F:F, "STOCK IN") + SUMIFS('STOCK IN  TRANSFER'!G:G, 'STOCK IN  TRANSFER'!D:D, A525, 'STOCK IN  TRANSFER'!F:F, "ADJUSTMENT (+)")</f>
        <v>0</v>
      </c>
    </row>
    <row r="526" ht="22.5" customHeight="1">
      <c r="A526" s="13"/>
      <c r="B526" s="13"/>
      <c r="C526" s="16"/>
      <c r="D526" s="13"/>
      <c r="E526" s="28"/>
      <c r="F526" s="52">
        <f>SUMIF(SALES!D:D, A526, SALES!H:H) + SUMIFS('STOCK IN  TRANSFER'!G:G, 'STOCK IN  TRANSFER'!D:D, A526, 'STOCK IN  TRANSFER'!F:F, "TRANSFER") + SUMIFS('STOCK IN  TRANSFER'!G:G, 'STOCK IN  TRANSFER'!D:D, A526, 'STOCK IN  TRANSFER'!F:F, "ADJUSTMENT (-)")</f>
        <v>0</v>
      </c>
      <c r="G526" s="52">
        <f>SUMIFS('STOCK IN  TRANSFER'!G:G, 'STOCK IN  TRANSFER'!D:D, A526, 'STOCK IN  TRANSFER'!F:F, "STOCK IN") + SUMIFS('STOCK IN  TRANSFER'!G:G, 'STOCK IN  TRANSFER'!D:D, A526, 'STOCK IN  TRANSFER'!F:F, "ADJUSTMENT (+)")</f>
        <v>0</v>
      </c>
    </row>
    <row r="527" ht="22.5" customHeight="1">
      <c r="A527" s="13"/>
      <c r="B527" s="13"/>
      <c r="C527" s="16"/>
      <c r="D527" s="13"/>
      <c r="E527" s="28"/>
      <c r="F527" s="52">
        <f>SUMIF(SALES!D:D, A527, SALES!H:H) + SUMIFS('STOCK IN  TRANSFER'!G:G, 'STOCK IN  TRANSFER'!D:D, A527, 'STOCK IN  TRANSFER'!F:F, "TRANSFER") + SUMIFS('STOCK IN  TRANSFER'!G:G, 'STOCK IN  TRANSFER'!D:D, A527, 'STOCK IN  TRANSFER'!F:F, "ADJUSTMENT (-)")</f>
        <v>0</v>
      </c>
      <c r="G527" s="52">
        <f>SUMIFS('STOCK IN  TRANSFER'!G:G, 'STOCK IN  TRANSFER'!D:D, A527, 'STOCK IN  TRANSFER'!F:F, "STOCK IN") + SUMIFS('STOCK IN  TRANSFER'!G:G, 'STOCK IN  TRANSFER'!D:D, A527, 'STOCK IN  TRANSFER'!F:F, "ADJUSTMENT (+)")</f>
        <v>0</v>
      </c>
    </row>
    <row r="528" ht="22.5" customHeight="1">
      <c r="A528" s="13"/>
      <c r="B528" s="13"/>
      <c r="C528" s="16"/>
      <c r="D528" s="13"/>
      <c r="E528" s="28"/>
      <c r="F528" s="52">
        <f>SUMIF(SALES!D:D, A528, SALES!H:H) + SUMIFS('STOCK IN  TRANSFER'!G:G, 'STOCK IN  TRANSFER'!D:D, A528, 'STOCK IN  TRANSFER'!F:F, "TRANSFER") + SUMIFS('STOCK IN  TRANSFER'!G:G, 'STOCK IN  TRANSFER'!D:D, A528, 'STOCK IN  TRANSFER'!F:F, "ADJUSTMENT (-)")</f>
        <v>0</v>
      </c>
      <c r="G528" s="52">
        <f>SUMIFS('STOCK IN  TRANSFER'!G:G, 'STOCK IN  TRANSFER'!D:D, A528, 'STOCK IN  TRANSFER'!F:F, "STOCK IN") + SUMIFS('STOCK IN  TRANSFER'!G:G, 'STOCK IN  TRANSFER'!D:D, A528, 'STOCK IN  TRANSFER'!F:F, "ADJUSTMENT (+)")</f>
        <v>0</v>
      </c>
    </row>
    <row r="529" ht="22.5" customHeight="1">
      <c r="A529" s="13"/>
      <c r="B529" s="13"/>
      <c r="C529" s="16"/>
      <c r="D529" s="13"/>
      <c r="E529" s="28"/>
      <c r="F529" s="52">
        <f>SUMIF(SALES!D:D, A529, SALES!H:H) + SUMIFS('STOCK IN  TRANSFER'!G:G, 'STOCK IN  TRANSFER'!D:D, A529, 'STOCK IN  TRANSFER'!F:F, "TRANSFER") + SUMIFS('STOCK IN  TRANSFER'!G:G, 'STOCK IN  TRANSFER'!D:D, A529, 'STOCK IN  TRANSFER'!F:F, "ADJUSTMENT (-)")</f>
        <v>0</v>
      </c>
      <c r="G529" s="52">
        <f>SUMIFS('STOCK IN  TRANSFER'!G:G, 'STOCK IN  TRANSFER'!D:D, A529, 'STOCK IN  TRANSFER'!F:F, "STOCK IN") + SUMIFS('STOCK IN  TRANSFER'!G:G, 'STOCK IN  TRANSFER'!D:D, A529, 'STOCK IN  TRANSFER'!F:F, "ADJUSTMENT (+)")</f>
        <v>0</v>
      </c>
    </row>
    <row r="530" ht="22.5" customHeight="1">
      <c r="A530" s="13"/>
      <c r="B530" s="13"/>
      <c r="C530" s="16"/>
      <c r="D530" s="13"/>
      <c r="E530" s="28"/>
      <c r="F530" s="52">
        <f>SUMIF(SALES!D:D, A530, SALES!H:H) + SUMIFS('STOCK IN  TRANSFER'!G:G, 'STOCK IN  TRANSFER'!D:D, A530, 'STOCK IN  TRANSFER'!F:F, "TRANSFER") + SUMIFS('STOCK IN  TRANSFER'!G:G, 'STOCK IN  TRANSFER'!D:D, A530, 'STOCK IN  TRANSFER'!F:F, "ADJUSTMENT (-)")</f>
        <v>0</v>
      </c>
      <c r="G530" s="52">
        <f>SUMIFS('STOCK IN  TRANSFER'!G:G, 'STOCK IN  TRANSFER'!D:D, A530, 'STOCK IN  TRANSFER'!F:F, "STOCK IN") + SUMIFS('STOCK IN  TRANSFER'!G:G, 'STOCK IN  TRANSFER'!D:D, A530, 'STOCK IN  TRANSFER'!F:F, "ADJUSTMENT (+)")</f>
        <v>0</v>
      </c>
    </row>
    <row r="531" ht="22.5" customHeight="1">
      <c r="A531" s="13"/>
      <c r="B531" s="13"/>
      <c r="C531" s="16"/>
      <c r="D531" s="13"/>
      <c r="E531" s="28"/>
      <c r="F531" s="52">
        <f>SUMIF(SALES!D:D, A531, SALES!H:H) + SUMIFS('STOCK IN  TRANSFER'!G:G, 'STOCK IN  TRANSFER'!D:D, A531, 'STOCK IN  TRANSFER'!F:F, "TRANSFER") + SUMIFS('STOCK IN  TRANSFER'!G:G, 'STOCK IN  TRANSFER'!D:D, A531, 'STOCK IN  TRANSFER'!F:F, "ADJUSTMENT (-)")</f>
        <v>0</v>
      </c>
      <c r="G531" s="52">
        <f>SUMIFS('STOCK IN  TRANSFER'!G:G, 'STOCK IN  TRANSFER'!D:D, A531, 'STOCK IN  TRANSFER'!F:F, "STOCK IN") + SUMIFS('STOCK IN  TRANSFER'!G:G, 'STOCK IN  TRANSFER'!D:D, A531, 'STOCK IN  TRANSFER'!F:F, "ADJUSTMENT (+)")</f>
        <v>0</v>
      </c>
    </row>
    <row r="532" ht="22.5" customHeight="1">
      <c r="A532" s="13"/>
      <c r="B532" s="13"/>
      <c r="C532" s="16"/>
      <c r="D532" s="13"/>
      <c r="E532" s="28"/>
      <c r="F532" s="52">
        <f>SUMIF(SALES!D:D, A532, SALES!H:H) + SUMIFS('STOCK IN  TRANSFER'!G:G, 'STOCK IN  TRANSFER'!D:D, A532, 'STOCK IN  TRANSFER'!F:F, "TRANSFER") + SUMIFS('STOCK IN  TRANSFER'!G:G, 'STOCK IN  TRANSFER'!D:D, A532, 'STOCK IN  TRANSFER'!F:F, "ADJUSTMENT (-)")</f>
        <v>0</v>
      </c>
      <c r="G532" s="52">
        <f>SUMIFS('STOCK IN  TRANSFER'!G:G, 'STOCK IN  TRANSFER'!D:D, A532, 'STOCK IN  TRANSFER'!F:F, "STOCK IN") + SUMIFS('STOCK IN  TRANSFER'!G:G, 'STOCK IN  TRANSFER'!D:D, A532, 'STOCK IN  TRANSFER'!F:F, "ADJUSTMENT (+)")</f>
        <v>0</v>
      </c>
    </row>
    <row r="533" ht="22.5" customHeight="1">
      <c r="A533" s="13"/>
      <c r="B533" s="13"/>
      <c r="C533" s="16"/>
      <c r="D533" s="13"/>
      <c r="E533" s="28"/>
      <c r="F533" s="52">
        <f>SUMIF(SALES!D:D, A533, SALES!H:H) + SUMIFS('STOCK IN  TRANSFER'!G:G, 'STOCK IN  TRANSFER'!D:D, A533, 'STOCK IN  TRANSFER'!F:F, "TRANSFER") + SUMIFS('STOCK IN  TRANSFER'!G:G, 'STOCK IN  TRANSFER'!D:D, A533, 'STOCK IN  TRANSFER'!F:F, "ADJUSTMENT (-)")</f>
        <v>0</v>
      </c>
      <c r="G533" s="52">
        <f>SUMIFS('STOCK IN  TRANSFER'!G:G, 'STOCK IN  TRANSFER'!D:D, A533, 'STOCK IN  TRANSFER'!F:F, "STOCK IN") + SUMIFS('STOCK IN  TRANSFER'!G:G, 'STOCK IN  TRANSFER'!D:D, A533, 'STOCK IN  TRANSFER'!F:F, "ADJUSTMENT (+)")</f>
        <v>0</v>
      </c>
    </row>
    <row r="534" ht="22.5" customHeight="1">
      <c r="A534" s="13"/>
      <c r="B534" s="13"/>
      <c r="C534" s="16"/>
      <c r="D534" s="13"/>
      <c r="E534" s="28"/>
      <c r="F534" s="52">
        <f>SUMIF(SALES!D:D, A534, SALES!H:H) + SUMIFS('STOCK IN  TRANSFER'!G:G, 'STOCK IN  TRANSFER'!D:D, A534, 'STOCK IN  TRANSFER'!F:F, "TRANSFER") + SUMIFS('STOCK IN  TRANSFER'!G:G, 'STOCK IN  TRANSFER'!D:D, A534, 'STOCK IN  TRANSFER'!F:F, "ADJUSTMENT (-)")</f>
        <v>0</v>
      </c>
      <c r="G534" s="52">
        <f>SUMIFS('STOCK IN  TRANSFER'!G:G, 'STOCK IN  TRANSFER'!D:D, A534, 'STOCK IN  TRANSFER'!F:F, "STOCK IN") + SUMIFS('STOCK IN  TRANSFER'!G:G, 'STOCK IN  TRANSFER'!D:D, A534, 'STOCK IN  TRANSFER'!F:F, "ADJUSTMENT (+)")</f>
        <v>0</v>
      </c>
    </row>
    <row r="535" ht="22.5" customHeight="1">
      <c r="A535" s="13"/>
      <c r="B535" s="13"/>
      <c r="C535" s="16"/>
      <c r="D535" s="13"/>
      <c r="E535" s="28"/>
      <c r="F535" s="52">
        <f>SUMIF(SALES!D:D, A535, SALES!H:H) + SUMIFS('STOCK IN  TRANSFER'!G:G, 'STOCK IN  TRANSFER'!D:D, A535, 'STOCK IN  TRANSFER'!F:F, "TRANSFER") + SUMIFS('STOCK IN  TRANSFER'!G:G, 'STOCK IN  TRANSFER'!D:D, A535, 'STOCK IN  TRANSFER'!F:F, "ADJUSTMENT (-)")</f>
        <v>0</v>
      </c>
      <c r="G535" s="52">
        <f>SUMIFS('STOCK IN  TRANSFER'!G:G, 'STOCK IN  TRANSFER'!D:D, A535, 'STOCK IN  TRANSFER'!F:F, "STOCK IN") + SUMIFS('STOCK IN  TRANSFER'!G:G, 'STOCK IN  TRANSFER'!D:D, A535, 'STOCK IN  TRANSFER'!F:F, "ADJUSTMENT (+)")</f>
        <v>0</v>
      </c>
    </row>
    <row r="536" ht="22.5" customHeight="1">
      <c r="A536" s="13"/>
      <c r="B536" s="13"/>
      <c r="C536" s="16"/>
      <c r="D536" s="13"/>
      <c r="E536" s="28"/>
      <c r="F536" s="52">
        <f>SUMIF(SALES!D:D, A536, SALES!H:H) + SUMIFS('STOCK IN  TRANSFER'!G:G, 'STOCK IN  TRANSFER'!D:D, A536, 'STOCK IN  TRANSFER'!F:F, "TRANSFER") + SUMIFS('STOCK IN  TRANSFER'!G:G, 'STOCK IN  TRANSFER'!D:D, A536, 'STOCK IN  TRANSFER'!F:F, "ADJUSTMENT (-)")</f>
        <v>0</v>
      </c>
      <c r="G536" s="52">
        <f>SUMIFS('STOCK IN  TRANSFER'!G:G, 'STOCK IN  TRANSFER'!D:D, A536, 'STOCK IN  TRANSFER'!F:F, "STOCK IN") + SUMIFS('STOCK IN  TRANSFER'!G:G, 'STOCK IN  TRANSFER'!D:D, A536, 'STOCK IN  TRANSFER'!F:F, "ADJUSTMENT (+)")</f>
        <v>0</v>
      </c>
    </row>
    <row r="537" ht="22.5" customHeight="1">
      <c r="A537" s="13"/>
      <c r="B537" s="13"/>
      <c r="C537" s="16"/>
      <c r="D537" s="13"/>
      <c r="E537" s="28"/>
      <c r="F537" s="52">
        <f>SUMIF(SALES!D:D, A537, SALES!H:H) + SUMIFS('STOCK IN  TRANSFER'!G:G, 'STOCK IN  TRANSFER'!D:D, A537, 'STOCK IN  TRANSFER'!F:F, "TRANSFER") + SUMIFS('STOCK IN  TRANSFER'!G:G, 'STOCK IN  TRANSFER'!D:D, A537, 'STOCK IN  TRANSFER'!F:F, "ADJUSTMENT (-)")</f>
        <v>0</v>
      </c>
      <c r="G537" s="52">
        <f>SUMIFS('STOCK IN  TRANSFER'!G:G, 'STOCK IN  TRANSFER'!D:D, A537, 'STOCK IN  TRANSFER'!F:F, "STOCK IN") + SUMIFS('STOCK IN  TRANSFER'!G:G, 'STOCK IN  TRANSFER'!D:D, A537, 'STOCK IN  TRANSFER'!F:F, "ADJUSTMENT (+)")</f>
        <v>0</v>
      </c>
    </row>
    <row r="538" ht="22.5" customHeight="1">
      <c r="A538" s="13"/>
      <c r="B538" s="13"/>
      <c r="C538" s="16"/>
      <c r="D538" s="13"/>
      <c r="E538" s="28"/>
      <c r="F538" s="52">
        <f>SUMIF(SALES!D:D, A538, SALES!H:H) + SUMIFS('STOCK IN  TRANSFER'!G:G, 'STOCK IN  TRANSFER'!D:D, A538, 'STOCK IN  TRANSFER'!F:F, "TRANSFER") + SUMIFS('STOCK IN  TRANSFER'!G:G, 'STOCK IN  TRANSFER'!D:D, A538, 'STOCK IN  TRANSFER'!F:F, "ADJUSTMENT (-)")</f>
        <v>0</v>
      </c>
      <c r="G538" s="52">
        <f>SUMIFS('STOCK IN  TRANSFER'!G:G, 'STOCK IN  TRANSFER'!D:D, A538, 'STOCK IN  TRANSFER'!F:F, "STOCK IN") + SUMIFS('STOCK IN  TRANSFER'!G:G, 'STOCK IN  TRANSFER'!D:D, A538, 'STOCK IN  TRANSFER'!F:F, "ADJUSTMENT (+)")</f>
        <v>0</v>
      </c>
    </row>
    <row r="539" ht="22.5" customHeight="1">
      <c r="A539" s="13"/>
      <c r="B539" s="13"/>
      <c r="C539" s="16"/>
      <c r="D539" s="13"/>
      <c r="E539" s="28"/>
      <c r="F539" s="52">
        <f>SUMIF(SALES!D:D, A539, SALES!H:H) + SUMIFS('STOCK IN  TRANSFER'!G:G, 'STOCK IN  TRANSFER'!D:D, A539, 'STOCK IN  TRANSFER'!F:F, "TRANSFER") + SUMIFS('STOCK IN  TRANSFER'!G:G, 'STOCK IN  TRANSFER'!D:D, A539, 'STOCK IN  TRANSFER'!F:F, "ADJUSTMENT (-)")</f>
        <v>0</v>
      </c>
      <c r="G539" s="52">
        <f>SUMIFS('STOCK IN  TRANSFER'!G:G, 'STOCK IN  TRANSFER'!D:D, A539, 'STOCK IN  TRANSFER'!F:F, "STOCK IN") + SUMIFS('STOCK IN  TRANSFER'!G:G, 'STOCK IN  TRANSFER'!D:D, A539, 'STOCK IN  TRANSFER'!F:F, "ADJUSTMENT (+)")</f>
        <v>0</v>
      </c>
    </row>
    <row r="540" ht="22.5" customHeight="1">
      <c r="A540" s="13"/>
      <c r="B540" s="13"/>
      <c r="C540" s="16"/>
      <c r="D540" s="13"/>
      <c r="E540" s="28"/>
      <c r="F540" s="52">
        <f>SUMIF(SALES!D:D, A540, SALES!H:H) + SUMIFS('STOCK IN  TRANSFER'!G:G, 'STOCK IN  TRANSFER'!D:D, A540, 'STOCK IN  TRANSFER'!F:F, "TRANSFER") + SUMIFS('STOCK IN  TRANSFER'!G:G, 'STOCK IN  TRANSFER'!D:D, A540, 'STOCK IN  TRANSFER'!F:F, "ADJUSTMENT (-)")</f>
        <v>0</v>
      </c>
      <c r="G540" s="52">
        <f>SUMIFS('STOCK IN  TRANSFER'!G:G, 'STOCK IN  TRANSFER'!D:D, A540, 'STOCK IN  TRANSFER'!F:F, "STOCK IN") + SUMIFS('STOCK IN  TRANSFER'!G:G, 'STOCK IN  TRANSFER'!D:D, A540, 'STOCK IN  TRANSFER'!F:F, "ADJUSTMENT (+)")</f>
        <v>0</v>
      </c>
    </row>
    <row r="541" ht="22.5" customHeight="1">
      <c r="A541" s="13"/>
      <c r="B541" s="13"/>
      <c r="C541" s="16"/>
      <c r="D541" s="13"/>
      <c r="E541" s="28"/>
      <c r="F541" s="52">
        <f>SUMIF(SALES!D:D, A541, SALES!H:H) + SUMIFS('STOCK IN  TRANSFER'!G:G, 'STOCK IN  TRANSFER'!D:D, A541, 'STOCK IN  TRANSFER'!F:F, "TRANSFER") + SUMIFS('STOCK IN  TRANSFER'!G:G, 'STOCK IN  TRANSFER'!D:D, A541, 'STOCK IN  TRANSFER'!F:F, "ADJUSTMENT (-)")</f>
        <v>0</v>
      </c>
      <c r="G541" s="52">
        <f>SUMIFS('STOCK IN  TRANSFER'!G:G, 'STOCK IN  TRANSFER'!D:D, A541, 'STOCK IN  TRANSFER'!F:F, "STOCK IN") + SUMIFS('STOCK IN  TRANSFER'!G:G, 'STOCK IN  TRANSFER'!D:D, A541, 'STOCK IN  TRANSFER'!F:F, "ADJUSTMENT (+)")</f>
        <v>0</v>
      </c>
    </row>
    <row r="542" ht="22.5" customHeight="1">
      <c r="A542" s="13"/>
      <c r="B542" s="13"/>
      <c r="C542" s="16"/>
      <c r="D542" s="13"/>
      <c r="E542" s="28"/>
      <c r="F542" s="52">
        <f>SUMIF(SALES!D:D, A542, SALES!H:H) + SUMIFS('STOCK IN  TRANSFER'!G:G, 'STOCK IN  TRANSFER'!D:D, A542, 'STOCK IN  TRANSFER'!F:F, "TRANSFER") + SUMIFS('STOCK IN  TRANSFER'!G:G, 'STOCK IN  TRANSFER'!D:D, A542, 'STOCK IN  TRANSFER'!F:F, "ADJUSTMENT (-)")</f>
        <v>0</v>
      </c>
      <c r="G542" s="52">
        <f>SUMIFS('STOCK IN  TRANSFER'!G:G, 'STOCK IN  TRANSFER'!D:D, A542, 'STOCK IN  TRANSFER'!F:F, "STOCK IN") + SUMIFS('STOCK IN  TRANSFER'!G:G, 'STOCK IN  TRANSFER'!D:D, A542, 'STOCK IN  TRANSFER'!F:F, "ADJUSTMENT (+)")</f>
        <v>0</v>
      </c>
    </row>
    <row r="543" ht="22.5" customHeight="1">
      <c r="A543" s="13"/>
      <c r="B543" s="13"/>
      <c r="C543" s="16"/>
      <c r="D543" s="13"/>
      <c r="E543" s="28"/>
      <c r="F543" s="52">
        <f>SUMIF(SALES!D:D, A543, SALES!H:H) + SUMIFS('STOCK IN  TRANSFER'!G:G, 'STOCK IN  TRANSFER'!D:D, A543, 'STOCK IN  TRANSFER'!F:F, "TRANSFER") + SUMIFS('STOCK IN  TRANSFER'!G:G, 'STOCK IN  TRANSFER'!D:D, A543, 'STOCK IN  TRANSFER'!F:F, "ADJUSTMENT (-)")</f>
        <v>0</v>
      </c>
      <c r="G543" s="52">
        <f>SUMIFS('STOCK IN  TRANSFER'!G:G, 'STOCK IN  TRANSFER'!D:D, A543, 'STOCK IN  TRANSFER'!F:F, "STOCK IN") + SUMIFS('STOCK IN  TRANSFER'!G:G, 'STOCK IN  TRANSFER'!D:D, A543, 'STOCK IN  TRANSFER'!F:F, "ADJUSTMENT (+)")</f>
        <v>0</v>
      </c>
    </row>
    <row r="544" ht="22.5" customHeight="1">
      <c r="A544" s="13"/>
      <c r="B544" s="13"/>
      <c r="C544" s="16"/>
      <c r="D544" s="13"/>
      <c r="E544" s="28"/>
      <c r="F544" s="52">
        <f>SUMIF(SALES!D:D, A544, SALES!H:H) + SUMIFS('STOCK IN  TRANSFER'!G:G, 'STOCK IN  TRANSFER'!D:D, A544, 'STOCK IN  TRANSFER'!F:F, "TRANSFER") + SUMIFS('STOCK IN  TRANSFER'!G:G, 'STOCK IN  TRANSFER'!D:D, A544, 'STOCK IN  TRANSFER'!F:F, "ADJUSTMENT (-)")</f>
        <v>0</v>
      </c>
      <c r="G544" s="52">
        <f>SUMIFS('STOCK IN  TRANSFER'!G:G, 'STOCK IN  TRANSFER'!D:D, A544, 'STOCK IN  TRANSFER'!F:F, "STOCK IN") + SUMIFS('STOCK IN  TRANSFER'!G:G, 'STOCK IN  TRANSFER'!D:D, A544, 'STOCK IN  TRANSFER'!F:F, "ADJUSTMENT (+)")</f>
        <v>0</v>
      </c>
    </row>
    <row r="545" ht="22.5" customHeight="1">
      <c r="A545" s="13"/>
      <c r="B545" s="13"/>
      <c r="C545" s="16"/>
      <c r="D545" s="13"/>
      <c r="E545" s="28"/>
      <c r="F545" s="52">
        <f>SUMIF(SALES!D:D, A545, SALES!H:H) + SUMIFS('STOCK IN  TRANSFER'!G:G, 'STOCK IN  TRANSFER'!D:D, A545, 'STOCK IN  TRANSFER'!F:F, "TRANSFER") + SUMIFS('STOCK IN  TRANSFER'!G:G, 'STOCK IN  TRANSFER'!D:D, A545, 'STOCK IN  TRANSFER'!F:F, "ADJUSTMENT (-)")</f>
        <v>0</v>
      </c>
      <c r="G545" s="52">
        <f>SUMIFS('STOCK IN  TRANSFER'!G:G, 'STOCK IN  TRANSFER'!D:D, A545, 'STOCK IN  TRANSFER'!F:F, "STOCK IN") + SUMIFS('STOCK IN  TRANSFER'!G:G, 'STOCK IN  TRANSFER'!D:D, A545, 'STOCK IN  TRANSFER'!F:F, "ADJUSTMENT (+)")</f>
        <v>0</v>
      </c>
    </row>
    <row r="546" ht="22.5" customHeight="1">
      <c r="A546" s="13"/>
      <c r="B546" s="13"/>
      <c r="C546" s="16"/>
      <c r="D546" s="13"/>
      <c r="E546" s="28"/>
      <c r="F546" s="52">
        <f>SUMIF(SALES!D:D, A546, SALES!H:H) + SUMIFS('STOCK IN  TRANSFER'!G:G, 'STOCK IN  TRANSFER'!D:D, A546, 'STOCK IN  TRANSFER'!F:F, "TRANSFER") + SUMIFS('STOCK IN  TRANSFER'!G:G, 'STOCK IN  TRANSFER'!D:D, A546, 'STOCK IN  TRANSFER'!F:F, "ADJUSTMENT (-)")</f>
        <v>0</v>
      </c>
      <c r="G546" s="52">
        <f>SUMIFS('STOCK IN  TRANSFER'!G:G, 'STOCK IN  TRANSFER'!D:D, A546, 'STOCK IN  TRANSFER'!F:F, "STOCK IN") + SUMIFS('STOCK IN  TRANSFER'!G:G, 'STOCK IN  TRANSFER'!D:D, A546, 'STOCK IN  TRANSFER'!F:F, "ADJUSTMENT (+)")</f>
        <v>0</v>
      </c>
    </row>
    <row r="547" ht="22.5" customHeight="1">
      <c r="A547" s="13"/>
      <c r="B547" s="13"/>
      <c r="C547" s="16"/>
      <c r="D547" s="13"/>
      <c r="E547" s="28"/>
      <c r="F547" s="52">
        <f>SUMIF(SALES!D:D, A547, SALES!H:H) + SUMIFS('STOCK IN  TRANSFER'!G:G, 'STOCK IN  TRANSFER'!D:D, A547, 'STOCK IN  TRANSFER'!F:F, "TRANSFER") + SUMIFS('STOCK IN  TRANSFER'!G:G, 'STOCK IN  TRANSFER'!D:D, A547, 'STOCK IN  TRANSFER'!F:F, "ADJUSTMENT (-)")</f>
        <v>0</v>
      </c>
      <c r="G547" s="52">
        <f>SUMIFS('STOCK IN  TRANSFER'!G:G, 'STOCK IN  TRANSFER'!D:D, A547, 'STOCK IN  TRANSFER'!F:F, "STOCK IN") + SUMIFS('STOCK IN  TRANSFER'!G:G, 'STOCK IN  TRANSFER'!D:D, A547, 'STOCK IN  TRANSFER'!F:F, "ADJUSTMENT (+)")</f>
        <v>0</v>
      </c>
    </row>
    <row r="548" ht="22.5" customHeight="1">
      <c r="A548" s="13"/>
      <c r="B548" s="13"/>
      <c r="C548" s="16"/>
      <c r="D548" s="13"/>
      <c r="E548" s="28"/>
      <c r="F548" s="52">
        <f>SUMIF(SALES!D:D, A548, SALES!H:H) + SUMIFS('STOCK IN  TRANSFER'!G:G, 'STOCK IN  TRANSFER'!D:D, A548, 'STOCK IN  TRANSFER'!F:F, "TRANSFER") + SUMIFS('STOCK IN  TRANSFER'!G:G, 'STOCK IN  TRANSFER'!D:D, A548, 'STOCK IN  TRANSFER'!F:F, "ADJUSTMENT (-)")</f>
        <v>0</v>
      </c>
      <c r="G548" s="52">
        <f>SUMIFS('STOCK IN  TRANSFER'!G:G, 'STOCK IN  TRANSFER'!D:D, A548, 'STOCK IN  TRANSFER'!F:F, "STOCK IN") + SUMIFS('STOCK IN  TRANSFER'!G:G, 'STOCK IN  TRANSFER'!D:D, A548, 'STOCK IN  TRANSFER'!F:F, "ADJUSTMENT (+)")</f>
        <v>0</v>
      </c>
    </row>
    <row r="549" ht="22.5" customHeight="1">
      <c r="A549" s="13"/>
      <c r="B549" s="13"/>
      <c r="C549" s="16"/>
      <c r="D549" s="13"/>
      <c r="E549" s="28"/>
      <c r="F549" s="52">
        <f>SUMIF(SALES!D:D, A549, SALES!H:H) + SUMIFS('STOCK IN  TRANSFER'!G:G, 'STOCK IN  TRANSFER'!D:D, A549, 'STOCK IN  TRANSFER'!F:F, "TRANSFER") + SUMIFS('STOCK IN  TRANSFER'!G:G, 'STOCK IN  TRANSFER'!D:D, A549, 'STOCK IN  TRANSFER'!F:F, "ADJUSTMENT (-)")</f>
        <v>0</v>
      </c>
      <c r="G549" s="52">
        <f>SUMIFS('STOCK IN  TRANSFER'!G:G, 'STOCK IN  TRANSFER'!D:D, A549, 'STOCK IN  TRANSFER'!F:F, "STOCK IN") + SUMIFS('STOCK IN  TRANSFER'!G:G, 'STOCK IN  TRANSFER'!D:D, A549, 'STOCK IN  TRANSFER'!F:F, "ADJUSTMENT (+)")</f>
        <v>0</v>
      </c>
    </row>
    <row r="550" ht="22.5" customHeight="1">
      <c r="A550" s="13"/>
      <c r="B550" s="13"/>
      <c r="C550" s="16"/>
      <c r="D550" s="13"/>
      <c r="E550" s="28"/>
      <c r="F550" s="52">
        <f>SUMIF(SALES!D:D, A550, SALES!H:H) + SUMIFS('STOCK IN  TRANSFER'!G:G, 'STOCK IN  TRANSFER'!D:D, A550, 'STOCK IN  TRANSFER'!F:F, "TRANSFER") + SUMIFS('STOCK IN  TRANSFER'!G:G, 'STOCK IN  TRANSFER'!D:D, A550, 'STOCK IN  TRANSFER'!F:F, "ADJUSTMENT (-)")</f>
        <v>0</v>
      </c>
      <c r="G550" s="52">
        <f>SUMIFS('STOCK IN  TRANSFER'!G:G, 'STOCK IN  TRANSFER'!D:D, A550, 'STOCK IN  TRANSFER'!F:F, "STOCK IN") + SUMIFS('STOCK IN  TRANSFER'!G:G, 'STOCK IN  TRANSFER'!D:D, A550, 'STOCK IN  TRANSFER'!F:F, "ADJUSTMENT (+)")</f>
        <v>0</v>
      </c>
    </row>
    <row r="551" ht="22.5" customHeight="1">
      <c r="A551" s="13"/>
      <c r="B551" s="13"/>
      <c r="C551" s="16"/>
      <c r="D551" s="13"/>
      <c r="E551" s="28"/>
      <c r="F551" s="52">
        <f>SUMIF(SALES!D:D, A551, SALES!H:H) + SUMIFS('STOCK IN  TRANSFER'!G:G, 'STOCK IN  TRANSFER'!D:D, A551, 'STOCK IN  TRANSFER'!F:F, "TRANSFER") + SUMIFS('STOCK IN  TRANSFER'!G:G, 'STOCK IN  TRANSFER'!D:D, A551, 'STOCK IN  TRANSFER'!F:F, "ADJUSTMENT (-)")</f>
        <v>0</v>
      </c>
      <c r="G551" s="52">
        <f>SUMIFS('STOCK IN  TRANSFER'!G:G, 'STOCK IN  TRANSFER'!D:D, A551, 'STOCK IN  TRANSFER'!F:F, "STOCK IN") + SUMIFS('STOCK IN  TRANSFER'!G:G, 'STOCK IN  TRANSFER'!D:D, A551, 'STOCK IN  TRANSFER'!F:F, "ADJUSTMENT (+)")</f>
        <v>0</v>
      </c>
    </row>
    <row r="552" ht="22.5" customHeight="1">
      <c r="A552" s="13"/>
      <c r="B552" s="13"/>
      <c r="C552" s="16"/>
      <c r="D552" s="13"/>
      <c r="E552" s="28"/>
      <c r="F552" s="52">
        <f>SUMIF(SALES!D:D, A552, SALES!H:H) + SUMIFS('STOCK IN  TRANSFER'!G:G, 'STOCK IN  TRANSFER'!D:D, A552, 'STOCK IN  TRANSFER'!F:F, "TRANSFER") + SUMIFS('STOCK IN  TRANSFER'!G:G, 'STOCK IN  TRANSFER'!D:D, A552, 'STOCK IN  TRANSFER'!F:F, "ADJUSTMENT (-)")</f>
        <v>0</v>
      </c>
      <c r="G552" s="52">
        <f>SUMIFS('STOCK IN  TRANSFER'!G:G, 'STOCK IN  TRANSFER'!D:D, A552, 'STOCK IN  TRANSFER'!F:F, "STOCK IN") + SUMIFS('STOCK IN  TRANSFER'!G:G, 'STOCK IN  TRANSFER'!D:D, A552, 'STOCK IN  TRANSFER'!F:F, "ADJUSTMENT (+)")</f>
        <v>0</v>
      </c>
    </row>
    <row r="553" ht="22.5" customHeight="1">
      <c r="A553" s="13"/>
      <c r="B553" s="13"/>
      <c r="C553" s="16"/>
      <c r="D553" s="13"/>
      <c r="E553" s="28"/>
      <c r="F553" s="52">
        <f>SUMIF(SALES!D:D, A553, SALES!H:H) + SUMIFS('STOCK IN  TRANSFER'!G:G, 'STOCK IN  TRANSFER'!D:D, A553, 'STOCK IN  TRANSFER'!F:F, "TRANSFER") + SUMIFS('STOCK IN  TRANSFER'!G:G, 'STOCK IN  TRANSFER'!D:D, A553, 'STOCK IN  TRANSFER'!F:F, "ADJUSTMENT (-)")</f>
        <v>0</v>
      </c>
      <c r="G553" s="52">
        <f>SUMIFS('STOCK IN  TRANSFER'!G:G, 'STOCK IN  TRANSFER'!D:D, A553, 'STOCK IN  TRANSFER'!F:F, "STOCK IN") + SUMIFS('STOCK IN  TRANSFER'!G:G, 'STOCK IN  TRANSFER'!D:D, A553, 'STOCK IN  TRANSFER'!F:F, "ADJUSTMENT (+)")</f>
        <v>0</v>
      </c>
    </row>
    <row r="554" ht="22.5" customHeight="1">
      <c r="A554" s="13"/>
      <c r="B554" s="13"/>
      <c r="C554" s="16"/>
      <c r="D554" s="13"/>
      <c r="E554" s="28"/>
      <c r="F554" s="52">
        <f>SUMIF(SALES!D:D, A554, SALES!H:H) + SUMIFS('STOCK IN  TRANSFER'!G:G, 'STOCK IN  TRANSFER'!D:D, A554, 'STOCK IN  TRANSFER'!F:F, "TRANSFER") + SUMIFS('STOCK IN  TRANSFER'!G:G, 'STOCK IN  TRANSFER'!D:D, A554, 'STOCK IN  TRANSFER'!F:F, "ADJUSTMENT (-)")</f>
        <v>0</v>
      </c>
      <c r="G554" s="52">
        <f>SUMIFS('STOCK IN  TRANSFER'!G:G, 'STOCK IN  TRANSFER'!D:D, A554, 'STOCK IN  TRANSFER'!F:F, "STOCK IN") + SUMIFS('STOCK IN  TRANSFER'!G:G, 'STOCK IN  TRANSFER'!D:D, A554, 'STOCK IN  TRANSFER'!F:F, "ADJUSTMENT (+)")</f>
        <v>0</v>
      </c>
    </row>
    <row r="555" ht="22.5" customHeight="1">
      <c r="A555" s="13"/>
      <c r="B555" s="13"/>
      <c r="C555" s="16"/>
      <c r="D555" s="13"/>
      <c r="E555" s="28"/>
      <c r="F555" s="52">
        <f>SUMIF(SALES!D:D, A555, SALES!H:H) + SUMIFS('STOCK IN  TRANSFER'!G:G, 'STOCK IN  TRANSFER'!D:D, A555, 'STOCK IN  TRANSFER'!F:F, "TRANSFER") + SUMIFS('STOCK IN  TRANSFER'!G:G, 'STOCK IN  TRANSFER'!D:D, A555, 'STOCK IN  TRANSFER'!F:F, "ADJUSTMENT (-)")</f>
        <v>0</v>
      </c>
      <c r="G555" s="52">
        <f>SUMIFS('STOCK IN  TRANSFER'!G:G, 'STOCK IN  TRANSFER'!D:D, A555, 'STOCK IN  TRANSFER'!F:F, "STOCK IN") + SUMIFS('STOCK IN  TRANSFER'!G:G, 'STOCK IN  TRANSFER'!D:D, A555, 'STOCK IN  TRANSFER'!F:F, "ADJUSTMENT (+)")</f>
        <v>0</v>
      </c>
    </row>
    <row r="556" ht="22.5" customHeight="1">
      <c r="A556" s="13"/>
      <c r="B556" s="13"/>
      <c r="C556" s="16"/>
      <c r="D556" s="13"/>
      <c r="E556" s="28"/>
      <c r="F556" s="52">
        <f>SUMIF(SALES!D:D, A556, SALES!H:H) + SUMIFS('STOCK IN  TRANSFER'!G:G, 'STOCK IN  TRANSFER'!D:D, A556, 'STOCK IN  TRANSFER'!F:F, "TRANSFER") + SUMIFS('STOCK IN  TRANSFER'!G:G, 'STOCK IN  TRANSFER'!D:D, A556, 'STOCK IN  TRANSFER'!F:F, "ADJUSTMENT (-)")</f>
        <v>0</v>
      </c>
      <c r="G556" s="52">
        <f>SUMIFS('STOCK IN  TRANSFER'!G:G, 'STOCK IN  TRANSFER'!D:D, A556, 'STOCK IN  TRANSFER'!F:F, "STOCK IN") + SUMIFS('STOCK IN  TRANSFER'!G:G, 'STOCK IN  TRANSFER'!D:D, A556, 'STOCK IN  TRANSFER'!F:F, "ADJUSTMENT (+)")</f>
        <v>0</v>
      </c>
    </row>
    <row r="557" ht="22.5" customHeight="1">
      <c r="A557" s="13"/>
      <c r="B557" s="13"/>
      <c r="C557" s="16"/>
      <c r="D557" s="13"/>
      <c r="E557" s="28"/>
      <c r="F557" s="52">
        <f>SUMIF(SALES!D:D, A557, SALES!H:H) + SUMIFS('STOCK IN  TRANSFER'!G:G, 'STOCK IN  TRANSFER'!D:D, A557, 'STOCK IN  TRANSFER'!F:F, "TRANSFER") + SUMIFS('STOCK IN  TRANSFER'!G:G, 'STOCK IN  TRANSFER'!D:D, A557, 'STOCK IN  TRANSFER'!F:F, "ADJUSTMENT (-)")</f>
        <v>0</v>
      </c>
      <c r="G557" s="52">
        <f>SUMIFS('STOCK IN  TRANSFER'!G:G, 'STOCK IN  TRANSFER'!D:D, A557, 'STOCK IN  TRANSFER'!F:F, "STOCK IN") + SUMIFS('STOCK IN  TRANSFER'!G:G, 'STOCK IN  TRANSFER'!D:D, A557, 'STOCK IN  TRANSFER'!F:F, "ADJUSTMENT (+)")</f>
        <v>0</v>
      </c>
    </row>
    <row r="558" ht="22.5" customHeight="1">
      <c r="A558" s="13"/>
      <c r="B558" s="13"/>
      <c r="C558" s="16"/>
      <c r="D558" s="13"/>
      <c r="E558" s="28"/>
      <c r="F558" s="52">
        <f>SUMIF(SALES!D:D, A558, SALES!H:H) + SUMIFS('STOCK IN  TRANSFER'!G:G, 'STOCK IN  TRANSFER'!D:D, A558, 'STOCK IN  TRANSFER'!F:F, "TRANSFER") + SUMIFS('STOCK IN  TRANSFER'!G:G, 'STOCK IN  TRANSFER'!D:D, A558, 'STOCK IN  TRANSFER'!F:F, "ADJUSTMENT (-)")</f>
        <v>0</v>
      </c>
      <c r="G558" s="52">
        <f>SUMIFS('STOCK IN  TRANSFER'!G:G, 'STOCK IN  TRANSFER'!D:D, A558, 'STOCK IN  TRANSFER'!F:F, "STOCK IN") + SUMIFS('STOCK IN  TRANSFER'!G:G, 'STOCK IN  TRANSFER'!D:D, A558, 'STOCK IN  TRANSFER'!F:F, "ADJUSTMENT (+)")</f>
        <v>0</v>
      </c>
    </row>
    <row r="559" ht="22.5" customHeight="1">
      <c r="A559" s="13"/>
      <c r="B559" s="13"/>
      <c r="C559" s="16"/>
      <c r="D559" s="13"/>
      <c r="E559" s="28"/>
      <c r="F559" s="52">
        <f>SUMIF(SALES!D:D, A559, SALES!H:H) + SUMIFS('STOCK IN  TRANSFER'!G:G, 'STOCK IN  TRANSFER'!D:D, A559, 'STOCK IN  TRANSFER'!F:F, "TRANSFER") + SUMIFS('STOCK IN  TRANSFER'!G:G, 'STOCK IN  TRANSFER'!D:D, A559, 'STOCK IN  TRANSFER'!F:F, "ADJUSTMENT (-)")</f>
        <v>0</v>
      </c>
      <c r="G559" s="52">
        <f>SUMIFS('STOCK IN  TRANSFER'!G:G, 'STOCK IN  TRANSFER'!D:D, A559, 'STOCK IN  TRANSFER'!F:F, "STOCK IN") + SUMIFS('STOCK IN  TRANSFER'!G:G, 'STOCK IN  TRANSFER'!D:D, A559, 'STOCK IN  TRANSFER'!F:F, "ADJUSTMENT (+)")</f>
        <v>0</v>
      </c>
    </row>
    <row r="560" ht="22.5" customHeight="1">
      <c r="A560" s="13"/>
      <c r="B560" s="13"/>
      <c r="C560" s="16"/>
      <c r="D560" s="13"/>
      <c r="E560" s="28"/>
      <c r="F560" s="52">
        <f>SUMIF(SALES!D:D, A560, SALES!H:H) + SUMIFS('STOCK IN  TRANSFER'!G:G, 'STOCK IN  TRANSFER'!D:D, A560, 'STOCK IN  TRANSFER'!F:F, "TRANSFER") + SUMIFS('STOCK IN  TRANSFER'!G:G, 'STOCK IN  TRANSFER'!D:D, A560, 'STOCK IN  TRANSFER'!F:F, "ADJUSTMENT (-)")</f>
        <v>0</v>
      </c>
      <c r="G560" s="52">
        <f>SUMIFS('STOCK IN  TRANSFER'!G:G, 'STOCK IN  TRANSFER'!D:D, A560, 'STOCK IN  TRANSFER'!F:F, "STOCK IN") + SUMIFS('STOCK IN  TRANSFER'!G:G, 'STOCK IN  TRANSFER'!D:D, A560, 'STOCK IN  TRANSFER'!F:F, "ADJUSTMENT (+)")</f>
        <v>0</v>
      </c>
    </row>
    <row r="561" ht="22.5" customHeight="1">
      <c r="A561" s="13"/>
      <c r="B561" s="13"/>
      <c r="C561" s="16"/>
      <c r="D561" s="13"/>
      <c r="E561" s="28"/>
      <c r="F561" s="52">
        <f>SUMIF(SALES!D:D, A561, SALES!H:H) + SUMIFS('STOCK IN  TRANSFER'!G:G, 'STOCK IN  TRANSFER'!D:D, A561, 'STOCK IN  TRANSFER'!F:F, "TRANSFER") + SUMIFS('STOCK IN  TRANSFER'!G:G, 'STOCK IN  TRANSFER'!D:D, A561, 'STOCK IN  TRANSFER'!F:F, "ADJUSTMENT (-)")</f>
        <v>0</v>
      </c>
      <c r="G561" s="52">
        <f>SUMIFS('STOCK IN  TRANSFER'!G:G, 'STOCK IN  TRANSFER'!D:D, A561, 'STOCK IN  TRANSFER'!F:F, "STOCK IN") + SUMIFS('STOCK IN  TRANSFER'!G:G, 'STOCK IN  TRANSFER'!D:D, A561, 'STOCK IN  TRANSFER'!F:F, "ADJUSTMENT (+)")</f>
        <v>0</v>
      </c>
    </row>
    <row r="562" ht="22.5" customHeight="1">
      <c r="A562" s="13"/>
      <c r="B562" s="13"/>
      <c r="C562" s="55"/>
      <c r="D562" s="13"/>
      <c r="E562" s="28"/>
      <c r="F562" s="52">
        <f>SUMIF(SALES!D:D, A562, SALES!H:H) + SUMIFS('STOCK IN  TRANSFER'!G:G, 'STOCK IN  TRANSFER'!D:D, A562, 'STOCK IN  TRANSFER'!F:F, "TRANSFER") + SUMIFS('STOCK IN  TRANSFER'!G:G, 'STOCK IN  TRANSFER'!D:D, A562, 'STOCK IN  TRANSFER'!F:F, "ADJUSTMENT (-)")</f>
        <v>0</v>
      </c>
      <c r="G562" s="52">
        <f>SUMIFS('STOCK IN  TRANSFER'!G:G, 'STOCK IN  TRANSFER'!D:D, A562, 'STOCK IN  TRANSFER'!F:F, "STOCK IN") + SUMIFS('STOCK IN  TRANSFER'!G:G, 'STOCK IN  TRANSFER'!D:D, A562, 'STOCK IN  TRANSFER'!F:F, "ADJUSTMENT (+)")</f>
        <v>0</v>
      </c>
    </row>
    <row r="563" ht="22.5" customHeight="1">
      <c r="A563" s="13"/>
      <c r="B563" s="13"/>
      <c r="C563" s="16"/>
      <c r="D563" s="13"/>
      <c r="E563" s="28"/>
      <c r="F563" s="52">
        <f>SUMIF(SALES!D:D, A563, SALES!H:H) + SUMIFS('STOCK IN  TRANSFER'!G:G, 'STOCK IN  TRANSFER'!D:D, A563, 'STOCK IN  TRANSFER'!F:F, "TRANSFER") + SUMIFS('STOCK IN  TRANSFER'!G:G, 'STOCK IN  TRANSFER'!D:D, A563, 'STOCK IN  TRANSFER'!F:F, "ADJUSTMENT (-)")</f>
        <v>0</v>
      </c>
      <c r="G563" s="52">
        <f>SUMIFS('STOCK IN  TRANSFER'!G:G, 'STOCK IN  TRANSFER'!D:D, A563, 'STOCK IN  TRANSFER'!F:F, "STOCK IN") + SUMIFS('STOCK IN  TRANSFER'!G:G, 'STOCK IN  TRANSFER'!D:D, A563, 'STOCK IN  TRANSFER'!F:F, "ADJUSTMENT (+)")</f>
        <v>0</v>
      </c>
    </row>
    <row r="564" ht="22.5" customHeight="1">
      <c r="A564" s="13"/>
      <c r="B564" s="13"/>
      <c r="C564" s="16"/>
      <c r="D564" s="13"/>
      <c r="E564" s="28"/>
      <c r="F564" s="52">
        <f>SUMIF(SALES!D:D, A564, SALES!H:H) + SUMIFS('STOCK IN  TRANSFER'!G:G, 'STOCK IN  TRANSFER'!D:D, A564, 'STOCK IN  TRANSFER'!F:F, "TRANSFER") + SUMIFS('STOCK IN  TRANSFER'!G:G, 'STOCK IN  TRANSFER'!D:D, A564, 'STOCK IN  TRANSFER'!F:F, "ADJUSTMENT (-)")</f>
        <v>0</v>
      </c>
      <c r="G564" s="52">
        <f>SUMIFS('STOCK IN  TRANSFER'!G:G, 'STOCK IN  TRANSFER'!D:D, A564, 'STOCK IN  TRANSFER'!F:F, "STOCK IN") + SUMIFS('STOCK IN  TRANSFER'!G:G, 'STOCK IN  TRANSFER'!D:D, A564, 'STOCK IN  TRANSFER'!F:F, "ADJUSTMENT (+)")</f>
        <v>0</v>
      </c>
    </row>
    <row r="565" ht="22.5" customHeight="1">
      <c r="A565" s="13"/>
      <c r="B565" s="13"/>
      <c r="C565" s="16"/>
      <c r="D565" s="13"/>
      <c r="E565" s="28"/>
      <c r="F565" s="52">
        <f>SUMIF(SALES!D:D, A565, SALES!H:H) + SUMIFS('STOCK IN  TRANSFER'!G:G, 'STOCK IN  TRANSFER'!D:D, A565, 'STOCK IN  TRANSFER'!F:F, "TRANSFER") + SUMIFS('STOCK IN  TRANSFER'!G:G, 'STOCK IN  TRANSFER'!D:D, A565, 'STOCK IN  TRANSFER'!F:F, "ADJUSTMENT (-)")</f>
        <v>0</v>
      </c>
      <c r="G565" s="52">
        <f>SUMIFS('STOCK IN  TRANSFER'!G:G, 'STOCK IN  TRANSFER'!D:D, A565, 'STOCK IN  TRANSFER'!F:F, "STOCK IN") + SUMIFS('STOCK IN  TRANSFER'!G:G, 'STOCK IN  TRANSFER'!D:D, A565, 'STOCK IN  TRANSFER'!F:F, "ADJUSTMENT (+)")</f>
        <v>0</v>
      </c>
    </row>
    <row r="566" ht="22.5" customHeight="1">
      <c r="A566" s="13"/>
      <c r="B566" s="13"/>
      <c r="C566" s="16"/>
      <c r="D566" s="13"/>
      <c r="E566" s="28"/>
      <c r="F566" s="52">
        <f>SUMIF(SALES!D:D, A566, SALES!H:H) + SUMIFS('STOCK IN  TRANSFER'!G:G, 'STOCK IN  TRANSFER'!D:D, A566, 'STOCK IN  TRANSFER'!F:F, "TRANSFER") + SUMIFS('STOCK IN  TRANSFER'!G:G, 'STOCK IN  TRANSFER'!D:D, A566, 'STOCK IN  TRANSFER'!F:F, "ADJUSTMENT (-)")</f>
        <v>0</v>
      </c>
      <c r="G566" s="52">
        <f>SUMIFS('STOCK IN  TRANSFER'!G:G, 'STOCK IN  TRANSFER'!D:D, A566, 'STOCK IN  TRANSFER'!F:F, "STOCK IN") + SUMIFS('STOCK IN  TRANSFER'!G:G, 'STOCK IN  TRANSFER'!D:D, A566, 'STOCK IN  TRANSFER'!F:F, "ADJUSTMENT (+)")</f>
        <v>0</v>
      </c>
    </row>
    <row r="567" ht="22.5" customHeight="1">
      <c r="A567" s="13"/>
      <c r="B567" s="13"/>
      <c r="C567" s="16"/>
      <c r="D567" s="13"/>
      <c r="E567" s="28"/>
      <c r="F567" s="52">
        <f>SUMIF(SALES!D:D, A567, SALES!H:H) + SUMIFS('STOCK IN  TRANSFER'!G:G, 'STOCK IN  TRANSFER'!D:D, A567, 'STOCK IN  TRANSFER'!F:F, "TRANSFER") + SUMIFS('STOCK IN  TRANSFER'!G:G, 'STOCK IN  TRANSFER'!D:D, A567, 'STOCK IN  TRANSFER'!F:F, "ADJUSTMENT (-)")</f>
        <v>0</v>
      </c>
      <c r="G567" s="52">
        <f>SUMIFS('STOCK IN  TRANSFER'!G:G, 'STOCK IN  TRANSFER'!D:D, A567, 'STOCK IN  TRANSFER'!F:F, "STOCK IN") + SUMIFS('STOCK IN  TRANSFER'!G:G, 'STOCK IN  TRANSFER'!D:D, A567, 'STOCK IN  TRANSFER'!F:F, "ADJUSTMENT (+)")</f>
        <v>0</v>
      </c>
    </row>
    <row r="568" ht="22.5" customHeight="1">
      <c r="A568" s="13"/>
      <c r="B568" s="13"/>
      <c r="C568" s="16"/>
      <c r="D568" s="13"/>
      <c r="E568" s="28"/>
      <c r="F568" s="52">
        <f>SUMIF(SALES!D:D, A568, SALES!H:H) + SUMIFS('STOCK IN  TRANSFER'!G:G, 'STOCK IN  TRANSFER'!D:D, A568, 'STOCK IN  TRANSFER'!F:F, "TRANSFER") + SUMIFS('STOCK IN  TRANSFER'!G:G, 'STOCK IN  TRANSFER'!D:D, A568, 'STOCK IN  TRANSFER'!F:F, "ADJUSTMENT (-)")</f>
        <v>0</v>
      </c>
      <c r="G568" s="52">
        <f>SUMIFS('STOCK IN  TRANSFER'!G:G, 'STOCK IN  TRANSFER'!D:D, A568, 'STOCK IN  TRANSFER'!F:F, "STOCK IN") + SUMIFS('STOCK IN  TRANSFER'!G:G, 'STOCK IN  TRANSFER'!D:D, A568, 'STOCK IN  TRANSFER'!F:F, "ADJUSTMENT (+)")</f>
        <v>0</v>
      </c>
    </row>
    <row r="569" ht="22.5" customHeight="1">
      <c r="A569" s="13"/>
      <c r="B569" s="13"/>
      <c r="C569" s="16"/>
      <c r="D569" s="13"/>
      <c r="E569" s="28"/>
      <c r="F569" s="52">
        <f>SUMIF(SALES!D:D, A569, SALES!H:H) + SUMIFS('STOCK IN  TRANSFER'!G:G, 'STOCK IN  TRANSFER'!D:D, A569, 'STOCK IN  TRANSFER'!F:F, "TRANSFER") + SUMIFS('STOCK IN  TRANSFER'!G:G, 'STOCK IN  TRANSFER'!D:D, A569, 'STOCK IN  TRANSFER'!F:F, "ADJUSTMENT (-)")</f>
        <v>0</v>
      </c>
      <c r="G569" s="52">
        <f>SUMIFS('STOCK IN  TRANSFER'!G:G, 'STOCK IN  TRANSFER'!D:D, A569, 'STOCK IN  TRANSFER'!F:F, "STOCK IN") + SUMIFS('STOCK IN  TRANSFER'!G:G, 'STOCK IN  TRANSFER'!D:D, A569, 'STOCK IN  TRANSFER'!F:F, "ADJUSTMENT (+)")</f>
        <v>0</v>
      </c>
    </row>
    <row r="570" ht="22.5" customHeight="1">
      <c r="A570" s="13"/>
      <c r="B570" s="13"/>
      <c r="C570" s="16"/>
      <c r="D570" s="13"/>
      <c r="E570" s="28"/>
      <c r="F570" s="52">
        <f>SUMIF(SALES!D:D, A570, SALES!H:H) + SUMIFS('STOCK IN  TRANSFER'!G:G, 'STOCK IN  TRANSFER'!D:D, A570, 'STOCK IN  TRANSFER'!F:F, "TRANSFER") + SUMIFS('STOCK IN  TRANSFER'!G:G, 'STOCK IN  TRANSFER'!D:D, A570, 'STOCK IN  TRANSFER'!F:F, "ADJUSTMENT (-)")</f>
        <v>0</v>
      </c>
      <c r="G570" s="52">
        <f>SUMIFS('STOCK IN  TRANSFER'!G:G, 'STOCK IN  TRANSFER'!D:D, A570, 'STOCK IN  TRANSFER'!F:F, "STOCK IN") + SUMIFS('STOCK IN  TRANSFER'!G:G, 'STOCK IN  TRANSFER'!D:D, A570, 'STOCK IN  TRANSFER'!F:F, "ADJUSTMENT (+)")</f>
        <v>0</v>
      </c>
    </row>
    <row r="571" ht="22.5" customHeight="1">
      <c r="A571" s="13"/>
      <c r="B571" s="13"/>
      <c r="C571" s="16"/>
      <c r="D571" s="13"/>
      <c r="E571" s="28"/>
      <c r="F571" s="52">
        <f>SUMIF(SALES!D:D, A571, SALES!H:H) + SUMIFS('STOCK IN  TRANSFER'!G:G, 'STOCK IN  TRANSFER'!D:D, A571, 'STOCK IN  TRANSFER'!F:F, "TRANSFER") + SUMIFS('STOCK IN  TRANSFER'!G:G, 'STOCK IN  TRANSFER'!D:D, A571, 'STOCK IN  TRANSFER'!F:F, "ADJUSTMENT (-)")</f>
        <v>0</v>
      </c>
      <c r="G571" s="52">
        <f>SUMIFS('STOCK IN  TRANSFER'!G:G, 'STOCK IN  TRANSFER'!D:D, A571, 'STOCK IN  TRANSFER'!F:F, "STOCK IN") + SUMIFS('STOCK IN  TRANSFER'!G:G, 'STOCK IN  TRANSFER'!D:D, A571, 'STOCK IN  TRANSFER'!F:F, "ADJUSTMENT (+)")</f>
        <v>0</v>
      </c>
    </row>
    <row r="572" ht="22.5" customHeight="1">
      <c r="A572" s="13"/>
      <c r="B572" s="13"/>
      <c r="C572" s="16"/>
      <c r="D572" s="13"/>
      <c r="E572" s="28"/>
      <c r="F572" s="52">
        <f>SUMIF(SALES!D:D, A572, SALES!H:H) + SUMIFS('STOCK IN  TRANSFER'!G:G, 'STOCK IN  TRANSFER'!D:D, A572, 'STOCK IN  TRANSFER'!F:F, "TRANSFER") + SUMIFS('STOCK IN  TRANSFER'!G:G, 'STOCK IN  TRANSFER'!D:D, A572, 'STOCK IN  TRANSFER'!F:F, "ADJUSTMENT (-)")</f>
        <v>0</v>
      </c>
      <c r="G572" s="52">
        <f>SUMIFS('STOCK IN  TRANSFER'!G:G, 'STOCK IN  TRANSFER'!D:D, A572, 'STOCK IN  TRANSFER'!F:F, "STOCK IN") + SUMIFS('STOCK IN  TRANSFER'!G:G, 'STOCK IN  TRANSFER'!D:D, A572, 'STOCK IN  TRANSFER'!F:F, "ADJUSTMENT (+)")</f>
        <v>0</v>
      </c>
    </row>
    <row r="573" ht="22.5" customHeight="1">
      <c r="A573" s="13"/>
      <c r="B573" s="13"/>
      <c r="C573" s="16"/>
      <c r="D573" s="13"/>
      <c r="E573" s="28"/>
      <c r="F573" s="52">
        <f>SUMIF(SALES!D:D, A573, SALES!H:H) + SUMIFS('STOCK IN  TRANSFER'!G:G, 'STOCK IN  TRANSFER'!D:D, A573, 'STOCK IN  TRANSFER'!F:F, "TRANSFER") + SUMIFS('STOCK IN  TRANSFER'!G:G, 'STOCK IN  TRANSFER'!D:D, A573, 'STOCK IN  TRANSFER'!F:F, "ADJUSTMENT (-)")</f>
        <v>0</v>
      </c>
      <c r="G573" s="52">
        <f>SUMIFS('STOCK IN  TRANSFER'!G:G, 'STOCK IN  TRANSFER'!D:D, A573, 'STOCK IN  TRANSFER'!F:F, "STOCK IN") + SUMIFS('STOCK IN  TRANSFER'!G:G, 'STOCK IN  TRANSFER'!D:D, A573, 'STOCK IN  TRANSFER'!F:F, "ADJUSTMENT (+)")</f>
        <v>0</v>
      </c>
    </row>
    <row r="574" ht="22.5" customHeight="1">
      <c r="A574" s="13"/>
      <c r="B574" s="13"/>
      <c r="C574" s="16"/>
      <c r="D574" s="13"/>
      <c r="E574" s="28"/>
      <c r="F574" s="52">
        <f>SUMIF(SALES!D:D, A574, SALES!H:H) + SUMIFS('STOCK IN  TRANSFER'!G:G, 'STOCK IN  TRANSFER'!D:D, A574, 'STOCK IN  TRANSFER'!F:F, "TRANSFER") + SUMIFS('STOCK IN  TRANSFER'!G:G, 'STOCK IN  TRANSFER'!D:D, A574, 'STOCK IN  TRANSFER'!F:F, "ADJUSTMENT (-)")</f>
        <v>0</v>
      </c>
      <c r="G574" s="52">
        <f>SUMIFS('STOCK IN  TRANSFER'!G:G, 'STOCK IN  TRANSFER'!D:D, A574, 'STOCK IN  TRANSFER'!F:F, "STOCK IN") + SUMIFS('STOCK IN  TRANSFER'!G:G, 'STOCK IN  TRANSFER'!D:D, A574, 'STOCK IN  TRANSFER'!F:F, "ADJUSTMENT (+)")</f>
        <v>0</v>
      </c>
    </row>
    <row r="575" ht="22.5" customHeight="1">
      <c r="A575" s="13"/>
      <c r="B575" s="13"/>
      <c r="C575" s="16"/>
      <c r="D575" s="13"/>
      <c r="E575" s="28"/>
      <c r="F575" s="52">
        <f>SUMIF(SALES!D:D, A575, SALES!H:H) + SUMIFS('STOCK IN  TRANSFER'!G:G, 'STOCK IN  TRANSFER'!D:D, A575, 'STOCK IN  TRANSFER'!F:F, "TRANSFER") + SUMIFS('STOCK IN  TRANSFER'!G:G, 'STOCK IN  TRANSFER'!D:D, A575, 'STOCK IN  TRANSFER'!F:F, "ADJUSTMENT (-)")</f>
        <v>0</v>
      </c>
      <c r="G575" s="52">
        <f>SUMIFS('STOCK IN  TRANSFER'!G:G, 'STOCK IN  TRANSFER'!D:D, A575, 'STOCK IN  TRANSFER'!F:F, "STOCK IN") + SUMIFS('STOCK IN  TRANSFER'!G:G, 'STOCK IN  TRANSFER'!D:D, A575, 'STOCK IN  TRANSFER'!F:F, "ADJUSTMENT (+)")</f>
        <v>0</v>
      </c>
    </row>
    <row r="576" ht="22.5" customHeight="1">
      <c r="A576" s="13"/>
      <c r="B576" s="13"/>
      <c r="C576" s="16"/>
      <c r="D576" s="13"/>
      <c r="E576" s="28"/>
      <c r="F576" s="52">
        <f>SUMIF(SALES!D:D, A576, SALES!H:H) + SUMIFS('STOCK IN  TRANSFER'!G:G, 'STOCK IN  TRANSFER'!D:D, A576, 'STOCK IN  TRANSFER'!F:F, "TRANSFER") + SUMIFS('STOCK IN  TRANSFER'!G:G, 'STOCK IN  TRANSFER'!D:D, A576, 'STOCK IN  TRANSFER'!F:F, "ADJUSTMENT (-)")</f>
        <v>0</v>
      </c>
      <c r="G576" s="52">
        <f>SUMIFS('STOCK IN  TRANSFER'!G:G, 'STOCK IN  TRANSFER'!D:D, A576, 'STOCK IN  TRANSFER'!F:F, "STOCK IN") + SUMIFS('STOCK IN  TRANSFER'!G:G, 'STOCK IN  TRANSFER'!D:D, A576, 'STOCK IN  TRANSFER'!F:F, "ADJUSTMENT (+)")</f>
        <v>0</v>
      </c>
    </row>
    <row r="577" ht="22.5" customHeight="1">
      <c r="A577" s="13"/>
      <c r="B577" s="13"/>
      <c r="C577" s="16"/>
      <c r="D577" s="13"/>
      <c r="E577" s="28"/>
      <c r="F577" s="52">
        <f>SUMIF(SALES!D:D, A577, SALES!H:H) + SUMIFS('STOCK IN  TRANSFER'!G:G, 'STOCK IN  TRANSFER'!D:D, A577, 'STOCK IN  TRANSFER'!F:F, "TRANSFER") + SUMIFS('STOCK IN  TRANSFER'!G:G, 'STOCK IN  TRANSFER'!D:D, A577, 'STOCK IN  TRANSFER'!F:F, "ADJUSTMENT (-)")</f>
        <v>0</v>
      </c>
      <c r="G577" s="52">
        <f>SUMIFS('STOCK IN  TRANSFER'!G:G, 'STOCK IN  TRANSFER'!D:D, A577, 'STOCK IN  TRANSFER'!F:F, "STOCK IN") + SUMIFS('STOCK IN  TRANSFER'!G:G, 'STOCK IN  TRANSFER'!D:D, A577, 'STOCK IN  TRANSFER'!F:F, "ADJUSTMENT (+)")</f>
        <v>0</v>
      </c>
    </row>
    <row r="578" ht="22.5" customHeight="1">
      <c r="A578" s="13"/>
      <c r="B578" s="13"/>
      <c r="C578" s="16"/>
      <c r="D578" s="13"/>
      <c r="E578" s="28"/>
      <c r="F578" s="52">
        <f>SUMIF(SALES!D:D, A578, SALES!H:H) + SUMIFS('STOCK IN  TRANSFER'!G:G, 'STOCK IN  TRANSFER'!D:D, A578, 'STOCK IN  TRANSFER'!F:F, "TRANSFER") + SUMIFS('STOCK IN  TRANSFER'!G:G, 'STOCK IN  TRANSFER'!D:D, A578, 'STOCK IN  TRANSFER'!F:F, "ADJUSTMENT (-)")</f>
        <v>0</v>
      </c>
      <c r="G578" s="52">
        <f>SUMIFS('STOCK IN  TRANSFER'!G:G, 'STOCK IN  TRANSFER'!D:D, A578, 'STOCK IN  TRANSFER'!F:F, "STOCK IN") + SUMIFS('STOCK IN  TRANSFER'!G:G, 'STOCK IN  TRANSFER'!D:D, A578, 'STOCK IN  TRANSFER'!F:F, "ADJUSTMENT (+)")</f>
        <v>0</v>
      </c>
    </row>
    <row r="579" ht="22.5" customHeight="1">
      <c r="A579" s="13"/>
      <c r="B579" s="13"/>
      <c r="C579" s="16"/>
      <c r="D579" s="13"/>
      <c r="E579" s="28"/>
      <c r="F579" s="52"/>
      <c r="G579" s="52"/>
    </row>
    <row r="580" ht="22.5" customHeight="1">
      <c r="A580" s="13"/>
      <c r="B580" s="13"/>
      <c r="C580" s="16"/>
      <c r="D580" s="13"/>
      <c r="E580" s="28"/>
      <c r="F580" s="52"/>
      <c r="G580" s="52"/>
    </row>
    <row r="581" ht="22.5" customHeight="1">
      <c r="A581" s="13"/>
      <c r="B581" s="13"/>
      <c r="C581" s="16"/>
      <c r="D581" s="13"/>
      <c r="E581" s="28"/>
      <c r="F581" s="52"/>
      <c r="G581" s="52"/>
    </row>
    <row r="582" ht="22.5" customHeight="1">
      <c r="A582" s="13"/>
      <c r="B582" s="13"/>
      <c r="C582" s="16"/>
      <c r="D582" s="13"/>
      <c r="E582" s="28"/>
      <c r="F582" s="52"/>
      <c r="G582" s="52"/>
    </row>
    <row r="583" ht="22.5" customHeight="1">
      <c r="A583" s="13"/>
      <c r="B583" s="13"/>
      <c r="C583" s="16"/>
      <c r="D583" s="13"/>
      <c r="E583" s="28"/>
      <c r="F583" s="52"/>
      <c r="G583" s="52"/>
    </row>
    <row r="584" ht="22.5" customHeight="1">
      <c r="A584" s="13"/>
      <c r="B584" s="13"/>
      <c r="C584" s="16"/>
      <c r="D584" s="13"/>
      <c r="E584" s="28"/>
      <c r="F584" s="52"/>
      <c r="G584" s="52"/>
    </row>
    <row r="585" ht="22.5" customHeight="1">
      <c r="A585" s="13"/>
      <c r="B585" s="13"/>
      <c r="C585" s="16"/>
      <c r="D585" s="13"/>
      <c r="E585" s="28"/>
      <c r="F585" s="52"/>
      <c r="G585" s="52"/>
    </row>
    <row r="586" ht="22.5" customHeight="1">
      <c r="A586" s="13"/>
      <c r="B586" s="13"/>
      <c r="C586" s="16"/>
      <c r="D586" s="13"/>
      <c r="E586" s="28"/>
      <c r="F586" s="52"/>
      <c r="G586" s="52"/>
    </row>
    <row r="587" ht="22.5" customHeight="1">
      <c r="A587" s="13"/>
      <c r="B587" s="13"/>
      <c r="C587" s="16"/>
      <c r="D587" s="13"/>
      <c r="E587" s="28"/>
      <c r="F587" s="52"/>
      <c r="G587" s="52"/>
    </row>
    <row r="588" ht="22.5" customHeight="1">
      <c r="A588" s="13"/>
      <c r="B588" s="13"/>
      <c r="C588" s="16"/>
      <c r="D588" s="13"/>
      <c r="E588" s="28"/>
      <c r="F588" s="52"/>
      <c r="G588" s="52"/>
    </row>
    <row r="589" ht="22.5" customHeight="1">
      <c r="A589" s="13"/>
      <c r="B589" s="13"/>
      <c r="C589" s="16"/>
      <c r="D589" s="13"/>
      <c r="E589" s="28"/>
      <c r="F589" s="52"/>
      <c r="G589" s="52"/>
    </row>
    <row r="590" ht="22.5" customHeight="1">
      <c r="A590" s="13"/>
      <c r="B590" s="13"/>
      <c r="C590" s="16"/>
      <c r="D590" s="13"/>
      <c r="E590" s="28"/>
      <c r="F590" s="52"/>
      <c r="G590" s="52"/>
    </row>
    <row r="591" ht="22.5" customHeight="1">
      <c r="A591" s="13"/>
      <c r="B591" s="13"/>
      <c r="C591" s="16"/>
      <c r="D591" s="13"/>
      <c r="E591" s="28"/>
      <c r="F591" s="52"/>
      <c r="G591" s="52"/>
    </row>
    <row r="592" ht="22.5" customHeight="1">
      <c r="A592" s="13"/>
      <c r="B592" s="13"/>
      <c r="C592" s="16"/>
      <c r="D592" s="13"/>
      <c r="E592" s="28"/>
      <c r="F592" s="52"/>
      <c r="G592" s="52"/>
    </row>
    <row r="593" ht="22.5" customHeight="1">
      <c r="A593" s="13"/>
      <c r="B593" s="13"/>
      <c r="C593" s="16"/>
      <c r="D593" s="13"/>
      <c r="E593" s="28"/>
      <c r="F593" s="52"/>
      <c r="G593" s="52"/>
    </row>
    <row r="594" ht="22.5" customHeight="1">
      <c r="A594" s="13"/>
      <c r="B594" s="13"/>
      <c r="C594" s="16"/>
      <c r="D594" s="13"/>
      <c r="E594" s="28"/>
      <c r="F594" s="52"/>
      <c r="G594" s="52"/>
    </row>
    <row r="595" ht="22.5" customHeight="1">
      <c r="A595" s="13"/>
      <c r="B595" s="13"/>
      <c r="C595" s="16"/>
      <c r="D595" s="13"/>
      <c r="E595" s="28"/>
      <c r="F595" s="52"/>
      <c r="G595" s="52"/>
    </row>
    <row r="596" ht="22.5" customHeight="1">
      <c r="A596" s="13"/>
      <c r="B596" s="13"/>
      <c r="C596" s="16"/>
      <c r="D596" s="13"/>
      <c r="E596" s="28"/>
      <c r="F596" s="52"/>
      <c r="G596" s="52"/>
    </row>
    <row r="597" ht="22.5" customHeight="1">
      <c r="A597" s="13"/>
      <c r="B597" s="13"/>
      <c r="C597" s="16"/>
      <c r="D597" s="13"/>
      <c r="E597" s="28"/>
      <c r="F597" s="52"/>
      <c r="G597" s="52"/>
    </row>
    <row r="598" ht="22.5" customHeight="1">
      <c r="A598" s="13"/>
      <c r="B598" s="13"/>
      <c r="C598" s="16"/>
      <c r="D598" s="13"/>
      <c r="E598" s="28"/>
      <c r="F598" s="52"/>
      <c r="G598" s="52"/>
    </row>
    <row r="599" ht="22.5" customHeight="1">
      <c r="A599" s="13"/>
      <c r="B599" s="13"/>
      <c r="C599" s="16"/>
      <c r="D599" s="13"/>
      <c r="E599" s="28"/>
      <c r="F599" s="52"/>
      <c r="G599" s="52"/>
    </row>
    <row r="600" ht="22.5" customHeight="1">
      <c r="A600" s="13"/>
      <c r="B600" s="13"/>
      <c r="C600" s="16"/>
      <c r="D600" s="13"/>
      <c r="E600" s="28"/>
      <c r="F600" s="52"/>
      <c r="G600" s="52"/>
    </row>
    <row r="601" ht="22.5" customHeight="1">
      <c r="A601" s="13"/>
      <c r="B601" s="13"/>
      <c r="C601" s="16"/>
      <c r="D601" s="13"/>
      <c r="E601" s="28"/>
      <c r="F601" s="52"/>
      <c r="G601" s="52"/>
    </row>
    <row r="602" ht="22.5" customHeight="1">
      <c r="A602" s="13"/>
      <c r="B602" s="13"/>
      <c r="C602" s="16"/>
      <c r="D602" s="13"/>
      <c r="E602" s="28"/>
      <c r="F602" s="52"/>
      <c r="G602" s="52"/>
    </row>
    <row r="603" ht="22.5" customHeight="1">
      <c r="A603" s="13"/>
      <c r="B603" s="13"/>
      <c r="C603" s="16"/>
      <c r="D603" s="13"/>
      <c r="E603" s="28"/>
      <c r="F603" s="52"/>
      <c r="G603" s="52"/>
    </row>
    <row r="604" ht="22.5" customHeight="1">
      <c r="A604" s="13"/>
      <c r="B604" s="13"/>
      <c r="C604" s="16"/>
      <c r="D604" s="13"/>
      <c r="E604" s="28"/>
      <c r="F604" s="52"/>
      <c r="G604" s="52"/>
    </row>
    <row r="605" ht="22.5" customHeight="1">
      <c r="A605" s="13"/>
      <c r="B605" s="13"/>
      <c r="C605" s="16"/>
      <c r="D605" s="13"/>
      <c r="E605" s="28"/>
      <c r="F605" s="52"/>
      <c r="G605" s="52"/>
    </row>
    <row r="606" ht="22.5" customHeight="1">
      <c r="A606" s="13"/>
      <c r="B606" s="13"/>
      <c r="C606" s="16"/>
      <c r="D606" s="13"/>
      <c r="E606" s="28"/>
      <c r="F606" s="52"/>
      <c r="G606" s="52"/>
    </row>
    <row r="607" ht="22.5" customHeight="1">
      <c r="A607" s="13"/>
      <c r="B607" s="13"/>
      <c r="C607" s="16"/>
      <c r="D607" s="13"/>
      <c r="E607" s="28"/>
      <c r="F607" s="52"/>
      <c r="G607" s="52"/>
    </row>
    <row r="608" ht="22.5" customHeight="1">
      <c r="A608" s="13"/>
      <c r="B608" s="13"/>
      <c r="C608" s="16"/>
      <c r="D608" s="13"/>
      <c r="E608" s="28"/>
      <c r="F608" s="52"/>
      <c r="G608" s="52"/>
    </row>
    <row r="609" ht="22.5" customHeight="1">
      <c r="A609" s="13"/>
      <c r="B609" s="13"/>
      <c r="C609" s="16"/>
      <c r="D609" s="13"/>
      <c r="E609" s="28"/>
      <c r="F609" s="52"/>
      <c r="G609" s="52"/>
    </row>
    <row r="610" ht="22.5" customHeight="1">
      <c r="A610" s="13"/>
      <c r="B610" s="13"/>
      <c r="C610" s="16"/>
      <c r="D610" s="13"/>
      <c r="E610" s="28"/>
      <c r="F610" s="52"/>
      <c r="G610" s="52"/>
    </row>
    <row r="611" ht="22.5" customHeight="1">
      <c r="A611" s="13"/>
      <c r="B611" s="13"/>
      <c r="C611" s="16"/>
      <c r="D611" s="13"/>
      <c r="E611" s="28"/>
      <c r="F611" s="52"/>
      <c r="G611" s="52"/>
    </row>
    <row r="612" ht="22.5" customHeight="1">
      <c r="A612" s="13"/>
      <c r="B612" s="13"/>
      <c r="C612" s="16"/>
      <c r="D612" s="13"/>
      <c r="E612" s="28"/>
      <c r="F612" s="52"/>
      <c r="G612" s="52"/>
    </row>
    <row r="613" ht="22.5" customHeight="1">
      <c r="A613" s="13"/>
      <c r="B613" s="13"/>
      <c r="C613" s="16"/>
      <c r="D613" s="13"/>
      <c r="E613" s="28"/>
      <c r="F613" s="52"/>
      <c r="G613" s="52"/>
    </row>
    <row r="614" ht="22.5" customHeight="1">
      <c r="A614" s="13"/>
      <c r="B614" s="13"/>
      <c r="C614" s="16"/>
      <c r="D614" s="13"/>
      <c r="E614" s="28"/>
      <c r="F614" s="52"/>
      <c r="G614" s="52"/>
    </row>
    <row r="615" ht="22.5" customHeight="1">
      <c r="A615" s="19"/>
      <c r="B615" s="19"/>
      <c r="C615" s="50"/>
      <c r="D615" s="19"/>
      <c r="E615" s="28"/>
      <c r="F615" s="52"/>
      <c r="G615" s="52"/>
    </row>
    <row r="616" ht="22.5" customHeight="1">
      <c r="A616" s="19"/>
      <c r="B616" s="19"/>
      <c r="C616" s="19"/>
      <c r="D616" s="19"/>
      <c r="E616" s="28"/>
      <c r="F616" s="52"/>
      <c r="G616" s="52"/>
    </row>
    <row r="617" ht="22.5" customHeight="1">
      <c r="A617" s="19"/>
      <c r="B617" s="19"/>
      <c r="C617" s="50"/>
      <c r="D617" s="19"/>
      <c r="E617" s="28"/>
      <c r="F617" s="52"/>
      <c r="G617" s="52"/>
    </row>
    <row r="618" ht="22.5" customHeight="1">
      <c r="A618" s="19"/>
      <c r="B618" s="19"/>
      <c r="C618" s="50"/>
      <c r="D618" s="19"/>
      <c r="E618" s="28"/>
      <c r="F618" s="52"/>
      <c r="G618" s="52"/>
    </row>
    <row r="619" ht="22.5" customHeight="1">
      <c r="A619" s="19"/>
      <c r="B619" s="19"/>
      <c r="C619" s="50"/>
      <c r="D619" s="19"/>
      <c r="E619" s="28"/>
      <c r="F619" s="52"/>
      <c r="G619" s="52"/>
    </row>
    <row r="620" ht="22.5" customHeight="1">
      <c r="A620" s="19"/>
      <c r="B620" s="19"/>
      <c r="C620" s="50"/>
      <c r="D620" s="19"/>
      <c r="E620" s="28"/>
      <c r="F620" s="52"/>
      <c r="G620" s="52"/>
    </row>
    <row r="621" ht="22.5" customHeight="1">
      <c r="A621" s="19"/>
      <c r="B621" s="19"/>
      <c r="C621" s="50"/>
      <c r="D621" s="19"/>
      <c r="E621" s="28"/>
      <c r="F621" s="52"/>
      <c r="G621" s="52"/>
    </row>
    <row r="622" ht="22.5" customHeight="1">
      <c r="A622" s="19"/>
      <c r="B622" s="19"/>
      <c r="C622" s="50"/>
      <c r="D622" s="19"/>
      <c r="E622" s="28"/>
      <c r="F622" s="52"/>
      <c r="G622" s="52"/>
    </row>
    <row r="623" ht="22.5" customHeight="1">
      <c r="A623" s="19"/>
      <c r="B623" s="19"/>
      <c r="C623" s="50"/>
      <c r="D623" s="19"/>
      <c r="E623" s="28"/>
      <c r="F623" s="52"/>
      <c r="G623" s="52"/>
    </row>
    <row r="624" ht="22.5" customHeight="1">
      <c r="A624" s="19"/>
      <c r="B624" s="19"/>
      <c r="C624" s="50"/>
      <c r="D624" s="19"/>
      <c r="E624" s="28"/>
      <c r="F624" s="52"/>
      <c r="G624" s="52"/>
    </row>
    <row r="625" ht="22.5" customHeight="1">
      <c r="A625" s="13"/>
      <c r="B625" s="13"/>
      <c r="C625" s="16"/>
      <c r="D625" s="13"/>
      <c r="E625" s="28"/>
      <c r="F625" s="52"/>
      <c r="G625" s="52"/>
    </row>
    <row r="626" ht="22.5" customHeight="1">
      <c r="A626" s="13"/>
      <c r="B626" s="13"/>
      <c r="C626" s="16"/>
      <c r="D626" s="13"/>
      <c r="E626" s="28"/>
      <c r="F626" s="52"/>
      <c r="G626" s="52"/>
    </row>
    <row r="627" ht="22.5" customHeight="1">
      <c r="A627" s="13"/>
      <c r="B627" s="13"/>
      <c r="C627" s="16"/>
      <c r="D627" s="13"/>
      <c r="E627" s="28"/>
      <c r="F627" s="52"/>
      <c r="G627" s="52"/>
    </row>
    <row r="628" ht="22.5" customHeight="1">
      <c r="A628" s="13"/>
      <c r="B628" s="13"/>
      <c r="C628" s="16"/>
      <c r="D628" s="13"/>
      <c r="E628" s="28"/>
      <c r="F628" s="52"/>
      <c r="G628" s="52"/>
    </row>
    <row r="629" ht="22.5" customHeight="1">
      <c r="A629" s="13"/>
      <c r="B629" s="13"/>
      <c r="C629" s="16"/>
      <c r="D629" s="13"/>
      <c r="E629" s="28"/>
      <c r="F629" s="52"/>
      <c r="G629" s="52"/>
    </row>
    <row r="630" ht="22.5" customHeight="1">
      <c r="A630" s="13"/>
      <c r="B630" s="13"/>
      <c r="C630" s="16"/>
      <c r="D630" s="13"/>
      <c r="E630" s="28"/>
      <c r="F630" s="52"/>
      <c r="G630" s="52"/>
    </row>
    <row r="631" ht="22.5" customHeight="1">
      <c r="A631" s="13"/>
      <c r="B631" s="13"/>
      <c r="C631" s="16"/>
      <c r="D631" s="13"/>
      <c r="E631" s="28"/>
      <c r="F631" s="52"/>
      <c r="G631" s="52"/>
    </row>
    <row r="632" ht="22.5" customHeight="1">
      <c r="A632" s="13"/>
      <c r="B632" s="13"/>
      <c r="C632" s="16"/>
      <c r="D632" s="13"/>
      <c r="E632" s="28"/>
      <c r="F632" s="52"/>
      <c r="G632" s="52"/>
    </row>
    <row r="633" ht="22.5" customHeight="1">
      <c r="A633" s="13"/>
      <c r="B633" s="13"/>
      <c r="C633" s="16"/>
      <c r="D633" s="13"/>
      <c r="E633" s="28"/>
      <c r="F633" s="52"/>
      <c r="G633" s="52"/>
    </row>
    <row r="634" ht="22.5" customHeight="1">
      <c r="A634" s="13"/>
      <c r="B634" s="13"/>
      <c r="C634" s="16"/>
      <c r="D634" s="13"/>
      <c r="E634" s="28"/>
      <c r="F634" s="52"/>
      <c r="G634" s="52"/>
    </row>
    <row r="635" ht="22.5" customHeight="1">
      <c r="A635" s="19"/>
      <c r="B635" s="19"/>
      <c r="C635" s="50"/>
      <c r="D635" s="19"/>
      <c r="E635" s="28"/>
      <c r="F635" s="52"/>
      <c r="G635" s="52"/>
    </row>
    <row r="636" ht="22.5" customHeight="1">
      <c r="A636" s="19"/>
      <c r="B636" s="19"/>
      <c r="C636" s="19"/>
      <c r="D636" s="19"/>
      <c r="E636" s="28"/>
      <c r="F636" s="52"/>
      <c r="G636" s="52"/>
    </row>
    <row r="637" ht="22.5" customHeight="1">
      <c r="A637" s="19"/>
      <c r="B637" s="19"/>
      <c r="C637" s="50"/>
      <c r="D637" s="19"/>
      <c r="E637" s="28"/>
      <c r="F637" s="52"/>
      <c r="G637" s="52"/>
    </row>
    <row r="638" ht="22.5" customHeight="1">
      <c r="A638" s="19"/>
      <c r="B638" s="19"/>
      <c r="C638" s="50"/>
      <c r="D638" s="19"/>
      <c r="E638" s="28"/>
      <c r="F638" s="52"/>
      <c r="G638" s="52"/>
    </row>
    <row r="639" ht="22.5" customHeight="1">
      <c r="A639" s="19"/>
      <c r="B639" s="19"/>
      <c r="C639" s="50"/>
      <c r="D639" s="19"/>
      <c r="E639" s="28"/>
      <c r="F639" s="52"/>
      <c r="G639" s="52"/>
    </row>
    <row r="640" ht="22.5" customHeight="1">
      <c r="A640" s="19"/>
      <c r="B640" s="19"/>
      <c r="C640" s="50"/>
      <c r="D640" s="19"/>
      <c r="E640" s="28"/>
      <c r="F640" s="52"/>
      <c r="G640" s="52"/>
    </row>
    <row r="641" ht="22.5" customHeight="1">
      <c r="A641" s="19"/>
      <c r="B641" s="19"/>
      <c r="C641" s="50"/>
      <c r="D641" s="19"/>
      <c r="E641" s="28"/>
      <c r="F641" s="52"/>
      <c r="G641" s="52"/>
    </row>
    <row r="642" ht="22.5" customHeight="1">
      <c r="A642" s="19"/>
      <c r="B642" s="19"/>
      <c r="C642" s="50"/>
      <c r="D642" s="19"/>
      <c r="E642" s="28"/>
      <c r="F642" s="52"/>
      <c r="G642" s="52"/>
    </row>
    <row r="643" ht="22.5" customHeight="1">
      <c r="A643" s="19"/>
      <c r="B643" s="19"/>
      <c r="C643" s="50"/>
      <c r="D643" s="19"/>
      <c r="E643" s="28"/>
      <c r="F643" s="52"/>
      <c r="G643" s="52"/>
    </row>
    <row r="644" ht="22.5" customHeight="1">
      <c r="A644" s="19"/>
      <c r="B644" s="19"/>
      <c r="C644" s="50"/>
      <c r="D644" s="19"/>
      <c r="E644" s="28"/>
      <c r="F644" s="52"/>
      <c r="G644" s="52"/>
    </row>
    <row r="645" ht="22.5" customHeight="1">
      <c r="A645" s="19"/>
      <c r="B645" s="19"/>
      <c r="C645" s="50"/>
      <c r="D645" s="19"/>
      <c r="E645" s="28"/>
      <c r="F645" s="52"/>
      <c r="G645" s="52"/>
    </row>
    <row r="646" ht="22.5" customHeight="1">
      <c r="A646" s="19"/>
      <c r="B646" s="19"/>
      <c r="C646" s="50"/>
      <c r="D646" s="19"/>
      <c r="E646" s="28"/>
      <c r="F646" s="52"/>
      <c r="G646" s="52"/>
    </row>
    <row r="647" ht="22.5" customHeight="1">
      <c r="A647" s="19"/>
      <c r="B647" s="19"/>
      <c r="C647" s="50"/>
      <c r="D647" s="19"/>
      <c r="E647" s="28"/>
      <c r="F647" s="52"/>
      <c r="G647" s="52"/>
    </row>
    <row r="648" ht="22.5" customHeight="1">
      <c r="A648" s="72"/>
      <c r="B648" s="72"/>
      <c r="C648" s="72"/>
      <c r="D648" s="72"/>
      <c r="E648" s="28"/>
      <c r="F648" s="52"/>
      <c r="G648" s="52"/>
    </row>
    <row r="649" ht="22.5" customHeight="1">
      <c r="A649" s="72"/>
      <c r="B649" s="72"/>
      <c r="C649" s="72"/>
      <c r="D649" s="72"/>
      <c r="E649" s="28"/>
      <c r="F649" s="52"/>
      <c r="G649" s="52"/>
    </row>
    <row r="650" ht="22.5" customHeight="1">
      <c r="A650" s="72"/>
      <c r="B650" s="72"/>
      <c r="C650" s="72"/>
      <c r="D650" s="72"/>
      <c r="E650" s="28"/>
      <c r="F650" s="52"/>
      <c r="G650" s="52"/>
    </row>
    <row r="651" ht="22.5" customHeight="1">
      <c r="A651" s="72"/>
      <c r="B651" s="72"/>
      <c r="C651" s="72"/>
      <c r="D651" s="72"/>
      <c r="E651" s="28"/>
      <c r="F651" s="52"/>
      <c r="G651" s="52"/>
    </row>
    <row r="652" ht="22.5" customHeight="1">
      <c r="A652" s="72"/>
      <c r="B652" s="72"/>
      <c r="C652" s="72"/>
      <c r="D652" s="72"/>
      <c r="E652" s="28"/>
      <c r="F652" s="52"/>
      <c r="G652" s="52"/>
    </row>
    <row r="653" ht="22.5" customHeight="1">
      <c r="A653" s="72"/>
      <c r="B653" s="72"/>
      <c r="C653" s="72"/>
      <c r="D653" s="72"/>
      <c r="E653" s="28"/>
      <c r="F653" s="52"/>
      <c r="G653" s="52"/>
    </row>
    <row r="654" ht="22.5" customHeight="1">
      <c r="A654" s="72"/>
      <c r="B654" s="72"/>
      <c r="C654" s="72"/>
      <c r="D654" s="72"/>
      <c r="E654" s="28"/>
      <c r="F654" s="52"/>
      <c r="G654" s="52"/>
    </row>
    <row r="655" ht="22.5" customHeight="1">
      <c r="A655" s="72"/>
      <c r="B655" s="72"/>
      <c r="C655" s="72"/>
      <c r="D655" s="72"/>
      <c r="E655" s="28"/>
      <c r="F655" s="52"/>
      <c r="G655" s="52"/>
    </row>
    <row r="656" ht="22.5" customHeight="1">
      <c r="A656" s="72"/>
      <c r="B656" s="72"/>
      <c r="C656" s="72"/>
      <c r="D656" s="72"/>
      <c r="E656" s="28"/>
      <c r="F656" s="52"/>
      <c r="G656" s="52"/>
    </row>
    <row r="657" ht="22.5" customHeight="1">
      <c r="A657" s="72"/>
      <c r="B657" s="72"/>
      <c r="C657" s="72"/>
      <c r="D657" s="72"/>
      <c r="E657" s="28"/>
      <c r="F657" s="52"/>
      <c r="G657" s="52"/>
    </row>
    <row r="658" ht="22.5" customHeight="1">
      <c r="A658" s="72"/>
      <c r="B658" s="72"/>
      <c r="C658" s="72"/>
      <c r="D658" s="72"/>
      <c r="E658" s="28"/>
      <c r="F658" s="52"/>
      <c r="G658" s="52"/>
    </row>
    <row r="659" ht="22.5" customHeight="1">
      <c r="A659" s="72"/>
      <c r="B659" s="72"/>
      <c r="C659" s="72"/>
      <c r="D659" s="72"/>
      <c r="E659" s="28"/>
      <c r="F659" s="52"/>
      <c r="G659" s="52"/>
    </row>
    <row r="660" ht="22.5" customHeight="1">
      <c r="A660" s="72"/>
      <c r="B660" s="72"/>
      <c r="C660" s="72"/>
      <c r="D660" s="72"/>
      <c r="E660" s="28"/>
      <c r="F660" s="52"/>
      <c r="G660" s="52"/>
    </row>
    <row r="661" ht="22.5" customHeight="1">
      <c r="A661" s="72"/>
      <c r="B661" s="72"/>
      <c r="C661" s="72"/>
      <c r="D661" s="72"/>
      <c r="E661" s="28"/>
      <c r="F661" s="52"/>
      <c r="G661" s="52"/>
    </row>
    <row r="662" ht="22.5" customHeight="1">
      <c r="A662" s="72"/>
      <c r="B662" s="72"/>
      <c r="C662" s="72"/>
      <c r="D662" s="72"/>
      <c r="E662" s="28"/>
      <c r="F662" s="52"/>
      <c r="G662" s="52"/>
    </row>
    <row r="663" ht="22.5" customHeight="1">
      <c r="A663" s="72"/>
      <c r="B663" s="72"/>
      <c r="C663" s="72"/>
      <c r="D663" s="72"/>
      <c r="E663" s="28"/>
      <c r="F663" s="52"/>
      <c r="G663" s="52"/>
    </row>
    <row r="664" ht="22.5" customHeight="1">
      <c r="A664" s="72"/>
      <c r="B664" s="72"/>
      <c r="C664" s="72"/>
      <c r="D664" s="72"/>
      <c r="E664" s="28"/>
      <c r="F664" s="52"/>
      <c r="G664" s="52"/>
    </row>
    <row r="665" ht="22.5" customHeight="1">
      <c r="A665" s="72"/>
      <c r="B665" s="72"/>
      <c r="C665" s="72"/>
      <c r="D665" s="72"/>
      <c r="E665" s="28"/>
      <c r="F665" s="52"/>
      <c r="G665" s="52"/>
    </row>
    <row r="666" ht="22.5" customHeight="1">
      <c r="A666" s="72"/>
      <c r="B666" s="72"/>
      <c r="C666" s="72"/>
      <c r="D666" s="72"/>
      <c r="E666" s="28"/>
      <c r="F666" s="52"/>
      <c r="G666" s="52"/>
    </row>
    <row r="667" ht="22.5" customHeight="1">
      <c r="A667" s="72"/>
      <c r="B667" s="72"/>
      <c r="C667" s="72"/>
      <c r="D667" s="72"/>
      <c r="E667" s="28"/>
      <c r="F667" s="52"/>
      <c r="G667" s="52"/>
    </row>
    <row r="668" ht="22.5" customHeight="1">
      <c r="A668" s="72"/>
      <c r="B668" s="72"/>
      <c r="C668" s="72"/>
      <c r="D668" s="72"/>
      <c r="E668" s="28"/>
      <c r="F668" s="52"/>
      <c r="G668" s="52"/>
    </row>
    <row r="669" ht="22.5" customHeight="1">
      <c r="A669" s="72"/>
      <c r="B669" s="72"/>
      <c r="C669" s="72"/>
      <c r="D669" s="72"/>
      <c r="E669" s="28"/>
      <c r="F669" s="52"/>
      <c r="G669" s="52"/>
    </row>
    <row r="670" ht="22.5" customHeight="1">
      <c r="A670" s="72"/>
      <c r="B670" s="72"/>
      <c r="C670" s="72"/>
      <c r="D670" s="72"/>
      <c r="E670" s="28"/>
      <c r="F670" s="52"/>
      <c r="G670" s="52"/>
    </row>
    <row r="671" ht="22.5" customHeight="1">
      <c r="A671" s="72"/>
      <c r="B671" s="72"/>
      <c r="C671" s="72"/>
      <c r="D671" s="72"/>
      <c r="E671" s="28"/>
      <c r="F671" s="52"/>
      <c r="G671" s="52"/>
    </row>
    <row r="672" ht="22.5" customHeight="1">
      <c r="A672" s="72"/>
      <c r="B672" s="72"/>
      <c r="C672" s="72"/>
      <c r="D672" s="72"/>
      <c r="E672" s="28"/>
      <c r="F672" s="52"/>
      <c r="G672" s="52"/>
    </row>
    <row r="673" ht="22.5" customHeight="1">
      <c r="A673" s="72"/>
      <c r="B673" s="72"/>
      <c r="C673" s="72"/>
      <c r="D673" s="72"/>
      <c r="E673" s="28"/>
      <c r="F673" s="52"/>
      <c r="G673" s="52"/>
    </row>
    <row r="674" ht="22.5" customHeight="1">
      <c r="A674" s="72"/>
      <c r="B674" s="72"/>
      <c r="C674" s="72"/>
      <c r="D674" s="72"/>
      <c r="E674" s="28"/>
      <c r="F674" s="52"/>
      <c r="G674" s="52"/>
    </row>
    <row r="675" ht="22.5" customHeight="1">
      <c r="A675" s="72"/>
      <c r="B675" s="72"/>
      <c r="C675" s="72"/>
      <c r="D675" s="72"/>
      <c r="E675" s="28"/>
      <c r="F675" s="52"/>
      <c r="G675" s="52"/>
    </row>
    <row r="676" ht="22.5" customHeight="1">
      <c r="A676" s="72"/>
      <c r="B676" s="72"/>
      <c r="C676" s="72"/>
      <c r="D676" s="72"/>
      <c r="E676" s="28"/>
      <c r="F676" s="52"/>
      <c r="G676" s="52"/>
    </row>
    <row r="677" ht="22.5" customHeight="1">
      <c r="A677" s="72"/>
      <c r="B677" s="72"/>
      <c r="C677" s="72"/>
      <c r="D677" s="72"/>
      <c r="E677" s="28"/>
      <c r="F677" s="52"/>
      <c r="G677" s="52"/>
    </row>
    <row r="678" ht="22.5" customHeight="1">
      <c r="A678" s="72"/>
      <c r="B678" s="72"/>
      <c r="C678" s="72"/>
      <c r="D678" s="72"/>
      <c r="E678" s="28"/>
      <c r="F678" s="52"/>
      <c r="G678" s="52"/>
    </row>
    <row r="679" ht="22.5" customHeight="1">
      <c r="A679" s="72"/>
      <c r="B679" s="72"/>
      <c r="C679" s="72"/>
      <c r="D679" s="72"/>
      <c r="E679" s="28"/>
      <c r="F679" s="52"/>
      <c r="G679" s="52"/>
    </row>
    <row r="680" ht="22.5" customHeight="1">
      <c r="A680" s="72"/>
      <c r="B680" s="72"/>
      <c r="C680" s="72"/>
      <c r="D680" s="72"/>
      <c r="E680" s="28"/>
      <c r="F680" s="52"/>
      <c r="G680" s="52"/>
    </row>
    <row r="681" ht="22.5" customHeight="1">
      <c r="A681" s="72"/>
      <c r="B681" s="72"/>
      <c r="C681" s="72"/>
      <c r="D681" s="72"/>
      <c r="E681" s="28"/>
      <c r="F681" s="52"/>
      <c r="G681" s="52"/>
    </row>
    <row r="682" ht="22.5" customHeight="1">
      <c r="A682" s="72"/>
      <c r="B682" s="72"/>
      <c r="C682" s="72"/>
      <c r="D682" s="72"/>
      <c r="E682" s="28"/>
      <c r="F682" s="52"/>
      <c r="G682" s="52"/>
    </row>
    <row r="683" ht="22.5" customHeight="1">
      <c r="A683" s="72"/>
      <c r="B683" s="72"/>
      <c r="C683" s="72"/>
      <c r="D683" s="72"/>
      <c r="E683" s="28"/>
      <c r="F683" s="52"/>
      <c r="G683" s="52"/>
    </row>
    <row r="684" ht="22.5" customHeight="1">
      <c r="A684" s="72"/>
      <c r="B684" s="72"/>
      <c r="C684" s="72"/>
      <c r="D684" s="72"/>
      <c r="E684" s="28"/>
      <c r="F684" s="52"/>
      <c r="G684" s="52"/>
    </row>
    <row r="685" ht="22.5" customHeight="1">
      <c r="A685" s="72"/>
      <c r="B685" s="72"/>
      <c r="C685" s="72"/>
      <c r="D685" s="72"/>
      <c r="E685" s="28"/>
      <c r="F685" s="52"/>
      <c r="G685" s="52"/>
    </row>
    <row r="686" ht="22.5" customHeight="1">
      <c r="A686" s="72"/>
      <c r="B686" s="72"/>
      <c r="C686" s="72"/>
      <c r="D686" s="72"/>
      <c r="E686" s="28"/>
      <c r="F686" s="52"/>
      <c r="G686" s="52"/>
    </row>
    <row r="687" ht="22.5" customHeight="1">
      <c r="A687" s="72"/>
      <c r="B687" s="72"/>
      <c r="C687" s="72"/>
      <c r="D687" s="72"/>
      <c r="E687" s="28"/>
      <c r="F687" s="52"/>
      <c r="G687" s="52"/>
    </row>
    <row r="688" ht="22.5" customHeight="1">
      <c r="A688" s="72"/>
      <c r="B688" s="72"/>
      <c r="C688" s="72"/>
      <c r="D688" s="72"/>
      <c r="E688" s="28"/>
      <c r="F688" s="52"/>
      <c r="G688" s="52"/>
    </row>
    <row r="689" ht="22.5" customHeight="1">
      <c r="A689" s="72"/>
      <c r="B689" s="72"/>
      <c r="C689" s="72"/>
      <c r="D689" s="72"/>
      <c r="E689" s="28"/>
      <c r="F689" s="52"/>
      <c r="G689" s="52"/>
    </row>
    <row r="690" ht="22.5" customHeight="1">
      <c r="A690" s="72"/>
      <c r="B690" s="72"/>
      <c r="C690" s="72"/>
      <c r="D690" s="72"/>
      <c r="E690" s="28"/>
      <c r="F690" s="52"/>
      <c r="G690" s="52"/>
    </row>
    <row r="691" ht="22.5" customHeight="1">
      <c r="A691" s="72"/>
      <c r="B691" s="72"/>
      <c r="C691" s="72"/>
      <c r="D691" s="72"/>
      <c r="E691" s="28"/>
      <c r="F691" s="52"/>
      <c r="G691" s="52"/>
    </row>
    <row r="692" ht="22.5" customHeight="1">
      <c r="A692" s="72"/>
      <c r="B692" s="72"/>
      <c r="C692" s="72"/>
      <c r="D692" s="72"/>
      <c r="E692" s="28"/>
      <c r="F692" s="52"/>
      <c r="G692" s="52"/>
    </row>
    <row r="693" ht="22.5" customHeight="1">
      <c r="A693" s="72"/>
      <c r="B693" s="72"/>
      <c r="C693" s="72"/>
      <c r="D693" s="72"/>
      <c r="E693" s="28"/>
      <c r="F693" s="52"/>
      <c r="G693" s="52"/>
    </row>
    <row r="694" ht="22.5" customHeight="1">
      <c r="A694" s="72"/>
      <c r="B694" s="72"/>
      <c r="C694" s="72"/>
      <c r="D694" s="72"/>
      <c r="E694" s="28"/>
      <c r="F694" s="52"/>
      <c r="G694" s="52"/>
    </row>
    <row r="695" ht="22.5" customHeight="1">
      <c r="A695" s="72"/>
      <c r="B695" s="72"/>
      <c r="C695" s="72"/>
      <c r="D695" s="72"/>
      <c r="E695" s="28"/>
      <c r="F695" s="52"/>
      <c r="G695" s="52"/>
    </row>
    <row r="696" ht="22.5" customHeight="1">
      <c r="A696" s="72"/>
      <c r="B696" s="72"/>
      <c r="C696" s="72"/>
      <c r="D696" s="72"/>
      <c r="E696" s="28"/>
      <c r="F696" s="52"/>
      <c r="G696" s="52"/>
    </row>
    <row r="697" ht="22.5" customHeight="1">
      <c r="A697" s="72"/>
      <c r="B697" s="72"/>
      <c r="C697" s="72"/>
      <c r="D697" s="72"/>
      <c r="E697" s="28"/>
      <c r="F697" s="52"/>
      <c r="G697" s="52"/>
    </row>
    <row r="698" ht="22.5" customHeight="1">
      <c r="A698" s="72"/>
      <c r="B698" s="72"/>
      <c r="C698" s="72"/>
      <c r="D698" s="72"/>
      <c r="E698" s="28"/>
      <c r="F698" s="52"/>
      <c r="G698" s="52"/>
    </row>
    <row r="699" ht="22.5" customHeight="1">
      <c r="A699" s="72"/>
      <c r="B699" s="72"/>
      <c r="C699" s="72"/>
      <c r="D699" s="72"/>
      <c r="E699" s="28"/>
      <c r="F699" s="52"/>
      <c r="G699" s="52"/>
    </row>
    <row r="700" ht="22.5" customHeight="1">
      <c r="A700" s="72"/>
      <c r="B700" s="72"/>
      <c r="C700" s="72"/>
      <c r="D700" s="72"/>
      <c r="E700" s="28"/>
      <c r="F700" s="52"/>
      <c r="G700" s="52"/>
    </row>
    <row r="701" ht="22.5" customHeight="1">
      <c r="A701" s="72"/>
      <c r="B701" s="72"/>
      <c r="C701" s="72"/>
      <c r="D701" s="72"/>
      <c r="E701" s="28"/>
      <c r="F701" s="52"/>
      <c r="G701" s="52"/>
    </row>
    <row r="702" ht="22.5" customHeight="1">
      <c r="A702" s="72"/>
      <c r="B702" s="72"/>
      <c r="C702" s="72"/>
      <c r="D702" s="72"/>
      <c r="E702" s="28"/>
      <c r="F702" s="52"/>
      <c r="G702" s="52"/>
    </row>
    <row r="703" ht="22.5" customHeight="1">
      <c r="A703" s="72"/>
      <c r="B703" s="72"/>
      <c r="C703" s="72"/>
      <c r="D703" s="72"/>
      <c r="E703" s="28"/>
      <c r="F703" s="52"/>
      <c r="G703" s="52"/>
    </row>
    <row r="704" ht="22.5" customHeight="1">
      <c r="A704" s="72"/>
      <c r="B704" s="72"/>
      <c r="C704" s="72"/>
      <c r="D704" s="72"/>
      <c r="E704" s="28"/>
      <c r="F704" s="52"/>
      <c r="G704" s="52"/>
    </row>
    <row r="705" ht="22.5" customHeight="1">
      <c r="A705" s="72"/>
      <c r="B705" s="72"/>
      <c r="C705" s="72"/>
      <c r="D705" s="72"/>
      <c r="E705" s="28"/>
      <c r="F705" s="52"/>
      <c r="G705" s="52"/>
    </row>
    <row r="706" ht="22.5" customHeight="1">
      <c r="A706" s="72"/>
      <c r="B706" s="72"/>
      <c r="C706" s="72"/>
      <c r="D706" s="72"/>
      <c r="E706" s="28"/>
      <c r="F706" s="52"/>
      <c r="G706" s="52"/>
    </row>
    <row r="707" ht="22.5" customHeight="1">
      <c r="A707" s="72"/>
      <c r="B707" s="72"/>
      <c r="C707" s="72"/>
      <c r="D707" s="72"/>
      <c r="E707" s="28"/>
      <c r="F707" s="52"/>
      <c r="G707" s="52"/>
    </row>
    <row r="708" ht="22.5" customHeight="1">
      <c r="A708" s="72"/>
      <c r="B708" s="72"/>
      <c r="C708" s="72"/>
      <c r="D708" s="72"/>
      <c r="E708" s="28"/>
      <c r="F708" s="52"/>
      <c r="G708" s="52"/>
    </row>
    <row r="709" ht="22.5" customHeight="1">
      <c r="A709" s="72"/>
      <c r="B709" s="72"/>
      <c r="C709" s="72"/>
      <c r="D709" s="72"/>
      <c r="E709" s="28"/>
      <c r="F709" s="52"/>
      <c r="G709" s="52"/>
    </row>
    <row r="710" ht="22.5" customHeight="1">
      <c r="A710" s="72"/>
      <c r="B710" s="72"/>
      <c r="C710" s="72"/>
      <c r="D710" s="72"/>
      <c r="E710" s="28"/>
      <c r="F710" s="52"/>
      <c r="G710" s="52"/>
    </row>
    <row r="711" ht="22.5" customHeight="1">
      <c r="A711" s="72"/>
      <c r="B711" s="72"/>
      <c r="C711" s="72"/>
      <c r="D711" s="72"/>
      <c r="E711" s="28"/>
      <c r="F711" s="52"/>
      <c r="G711" s="52"/>
    </row>
    <row r="712" ht="22.5" customHeight="1">
      <c r="A712" s="72"/>
      <c r="B712" s="72"/>
      <c r="C712" s="72"/>
      <c r="D712" s="72"/>
      <c r="E712" s="28"/>
      <c r="F712" s="52"/>
      <c r="G712" s="52"/>
    </row>
    <row r="713" ht="22.5" customHeight="1">
      <c r="A713" s="72"/>
      <c r="B713" s="72"/>
      <c r="C713" s="72"/>
      <c r="D713" s="72"/>
      <c r="E713" s="28"/>
      <c r="F713" s="52"/>
      <c r="G713" s="52"/>
    </row>
    <row r="714" ht="22.5" customHeight="1">
      <c r="A714" s="72"/>
      <c r="B714" s="72"/>
      <c r="C714" s="72"/>
      <c r="D714" s="72"/>
      <c r="E714" s="28"/>
      <c r="F714" s="52"/>
      <c r="G714" s="52"/>
    </row>
    <row r="715" ht="22.5" customHeight="1">
      <c r="A715" s="72"/>
      <c r="B715" s="72"/>
      <c r="C715" s="72"/>
      <c r="D715" s="72"/>
      <c r="E715" s="28"/>
      <c r="F715" s="52"/>
      <c r="G715" s="52"/>
    </row>
    <row r="716" ht="22.5" customHeight="1">
      <c r="A716" s="72"/>
      <c r="B716" s="72"/>
      <c r="C716" s="72"/>
      <c r="D716" s="72"/>
      <c r="E716" s="28"/>
      <c r="F716" s="52"/>
      <c r="G716" s="52"/>
    </row>
    <row r="717" ht="22.5" customHeight="1">
      <c r="A717" s="72"/>
      <c r="B717" s="72"/>
      <c r="C717" s="72"/>
      <c r="D717" s="72"/>
      <c r="E717" s="28"/>
      <c r="F717" s="52"/>
      <c r="G717" s="52"/>
    </row>
    <row r="718" ht="22.5" customHeight="1">
      <c r="A718" s="72"/>
      <c r="B718" s="72"/>
      <c r="C718" s="72"/>
      <c r="D718" s="72"/>
      <c r="E718" s="28"/>
      <c r="F718" s="52"/>
      <c r="G718" s="52"/>
    </row>
    <row r="719" ht="22.5" customHeight="1">
      <c r="A719" s="72"/>
      <c r="B719" s="72"/>
      <c r="C719" s="72"/>
      <c r="D719" s="72"/>
      <c r="E719" s="28"/>
      <c r="F719" s="52"/>
      <c r="G719" s="52"/>
    </row>
    <row r="720" ht="22.5" customHeight="1">
      <c r="A720" s="72"/>
      <c r="B720" s="72"/>
      <c r="C720" s="72"/>
      <c r="D720" s="72"/>
      <c r="E720" s="28"/>
      <c r="F720" s="52"/>
      <c r="G720" s="52"/>
    </row>
    <row r="721" ht="22.5" customHeight="1">
      <c r="A721" s="72"/>
      <c r="B721" s="72"/>
      <c r="C721" s="72"/>
      <c r="D721" s="72"/>
      <c r="E721" s="28"/>
      <c r="F721" s="52"/>
      <c r="G721" s="52"/>
    </row>
    <row r="722" ht="22.5" customHeight="1">
      <c r="A722" s="72"/>
      <c r="B722" s="72"/>
      <c r="C722" s="72"/>
      <c r="D722" s="72"/>
      <c r="E722" s="28"/>
      <c r="F722" s="52"/>
      <c r="G722" s="52"/>
    </row>
    <row r="723" ht="22.5" customHeight="1">
      <c r="A723" s="72"/>
      <c r="B723" s="72"/>
      <c r="C723" s="72"/>
      <c r="D723" s="72"/>
      <c r="E723" s="28"/>
      <c r="F723" s="52"/>
      <c r="G723" s="52"/>
    </row>
    <row r="724" ht="22.5" customHeight="1">
      <c r="A724" s="72"/>
      <c r="B724" s="72"/>
      <c r="C724" s="72"/>
      <c r="D724" s="72"/>
      <c r="E724" s="28"/>
      <c r="F724" s="52"/>
      <c r="G724" s="52"/>
    </row>
    <row r="725" ht="22.5" customHeight="1">
      <c r="A725" s="72"/>
      <c r="B725" s="72"/>
      <c r="C725" s="72"/>
      <c r="D725" s="72"/>
      <c r="E725" s="28"/>
      <c r="F725" s="52"/>
      <c r="G725" s="52"/>
    </row>
    <row r="726" ht="22.5" customHeight="1">
      <c r="A726" s="72"/>
      <c r="B726" s="72"/>
      <c r="C726" s="72"/>
      <c r="D726" s="72"/>
      <c r="E726" s="28"/>
      <c r="F726" s="52"/>
      <c r="G726" s="52"/>
    </row>
    <row r="727" ht="22.5" customHeight="1">
      <c r="A727" s="72"/>
      <c r="B727" s="72"/>
      <c r="C727" s="72"/>
      <c r="D727" s="72"/>
      <c r="E727" s="28"/>
      <c r="F727" s="52"/>
      <c r="G727" s="52"/>
    </row>
    <row r="728" ht="22.5" customHeight="1">
      <c r="A728" s="72"/>
      <c r="B728" s="72"/>
      <c r="C728" s="72"/>
      <c r="D728" s="72"/>
      <c r="E728" s="28"/>
      <c r="F728" s="52"/>
      <c r="G728" s="52"/>
    </row>
    <row r="729" ht="22.5" customHeight="1">
      <c r="A729" s="72"/>
      <c r="B729" s="72"/>
      <c r="C729" s="72"/>
      <c r="D729" s="72"/>
      <c r="E729" s="28"/>
      <c r="F729" s="52"/>
      <c r="G729" s="52"/>
    </row>
    <row r="730" ht="22.5" customHeight="1">
      <c r="A730" s="72"/>
      <c r="B730" s="72"/>
      <c r="C730" s="72"/>
      <c r="D730" s="72"/>
      <c r="E730" s="28"/>
      <c r="F730" s="52"/>
      <c r="G730" s="52"/>
    </row>
    <row r="731" ht="22.5" customHeight="1">
      <c r="A731" s="72"/>
      <c r="B731" s="72"/>
      <c r="C731" s="72"/>
      <c r="D731" s="72"/>
      <c r="E731" s="28"/>
      <c r="F731" s="52"/>
      <c r="G731" s="52"/>
    </row>
    <row r="732" ht="22.5" customHeight="1">
      <c r="A732" s="72"/>
      <c r="B732" s="72"/>
      <c r="C732" s="72"/>
      <c r="D732" s="72"/>
      <c r="E732" s="28"/>
      <c r="F732" s="52"/>
      <c r="G732" s="52"/>
    </row>
    <row r="733" ht="22.5" customHeight="1">
      <c r="A733" s="72"/>
      <c r="B733" s="72"/>
      <c r="C733" s="72"/>
      <c r="D733" s="72"/>
      <c r="E733" s="28"/>
      <c r="F733" s="52"/>
      <c r="G733" s="52"/>
    </row>
    <row r="734" ht="22.5" customHeight="1">
      <c r="A734" s="72"/>
      <c r="B734" s="72"/>
      <c r="C734" s="72"/>
      <c r="D734" s="72"/>
      <c r="E734" s="28"/>
      <c r="F734" s="52"/>
      <c r="G734" s="52"/>
    </row>
    <row r="735" ht="22.5" customHeight="1">
      <c r="A735" s="72"/>
      <c r="B735" s="72"/>
      <c r="C735" s="72"/>
      <c r="D735" s="72"/>
      <c r="E735" s="28"/>
      <c r="F735" s="52"/>
      <c r="G735" s="52"/>
    </row>
    <row r="736" ht="22.5" customHeight="1">
      <c r="A736" s="72"/>
      <c r="B736" s="72"/>
      <c r="C736" s="72"/>
      <c r="D736" s="72"/>
      <c r="E736" s="28"/>
      <c r="F736" s="52"/>
      <c r="G736" s="52"/>
    </row>
    <row r="737" ht="22.5" customHeight="1">
      <c r="A737" s="72"/>
      <c r="B737" s="72"/>
      <c r="C737" s="72"/>
      <c r="D737" s="72"/>
      <c r="E737" s="28"/>
      <c r="F737" s="52"/>
      <c r="G737" s="52"/>
    </row>
    <row r="738" ht="22.5" customHeight="1">
      <c r="A738" s="72"/>
      <c r="B738" s="72"/>
      <c r="C738" s="72"/>
      <c r="D738" s="72"/>
      <c r="E738" s="28"/>
      <c r="F738" s="52"/>
      <c r="G738" s="52"/>
    </row>
    <row r="739" ht="22.5" customHeight="1">
      <c r="A739" s="72"/>
      <c r="B739" s="72"/>
      <c r="C739" s="72"/>
      <c r="D739" s="72"/>
      <c r="E739" s="28"/>
      <c r="F739" s="52"/>
      <c r="G739" s="52"/>
    </row>
    <row r="740" ht="22.5" customHeight="1">
      <c r="A740" s="72"/>
      <c r="B740" s="72"/>
      <c r="C740" s="72"/>
      <c r="D740" s="72"/>
      <c r="E740" s="28"/>
      <c r="F740" s="52"/>
      <c r="G740" s="52"/>
    </row>
    <row r="741" ht="22.5" customHeight="1">
      <c r="A741" s="72"/>
      <c r="B741" s="72"/>
      <c r="C741" s="72"/>
      <c r="D741" s="72"/>
      <c r="E741" s="28"/>
      <c r="F741" s="52"/>
      <c r="G741" s="52"/>
    </row>
    <row r="742" ht="22.5" customHeight="1">
      <c r="A742" s="72"/>
      <c r="B742" s="72"/>
      <c r="C742" s="72"/>
      <c r="D742" s="72"/>
      <c r="E742" s="28"/>
      <c r="F742" s="52"/>
      <c r="G742" s="52"/>
    </row>
    <row r="743" ht="22.5" customHeight="1">
      <c r="A743" s="72"/>
      <c r="B743" s="72"/>
      <c r="C743" s="72"/>
      <c r="D743" s="72"/>
      <c r="E743" s="28"/>
      <c r="F743" s="52"/>
      <c r="G743" s="52"/>
    </row>
    <row r="744" ht="22.5" customHeight="1">
      <c r="A744" s="72"/>
      <c r="B744" s="72"/>
      <c r="C744" s="72"/>
      <c r="D744" s="72"/>
      <c r="E744" s="28"/>
      <c r="F744" s="52"/>
      <c r="G744" s="52"/>
    </row>
    <row r="745" ht="22.5" customHeight="1">
      <c r="A745" s="72"/>
      <c r="B745" s="72"/>
      <c r="C745" s="72"/>
      <c r="D745" s="72"/>
      <c r="E745" s="28"/>
      <c r="F745" s="52"/>
      <c r="G745" s="52"/>
    </row>
    <row r="746" ht="22.5" customHeight="1">
      <c r="A746" s="72"/>
      <c r="B746" s="72"/>
      <c r="C746" s="72"/>
      <c r="D746" s="72"/>
      <c r="E746" s="28"/>
      <c r="F746" s="52"/>
      <c r="G746" s="52"/>
    </row>
    <row r="747" ht="22.5" customHeight="1">
      <c r="A747" s="72"/>
      <c r="B747" s="72"/>
      <c r="C747" s="72"/>
      <c r="D747" s="72"/>
      <c r="E747" s="28"/>
      <c r="F747" s="52"/>
      <c r="G747" s="52"/>
    </row>
    <row r="748" ht="22.5" customHeight="1">
      <c r="A748" s="72"/>
      <c r="B748" s="72"/>
      <c r="C748" s="72"/>
      <c r="D748" s="72"/>
      <c r="E748" s="28"/>
      <c r="F748" s="52"/>
      <c r="G748" s="52"/>
    </row>
    <row r="749" ht="22.5" customHeight="1">
      <c r="A749" s="72"/>
      <c r="B749" s="72"/>
      <c r="C749" s="72"/>
      <c r="D749" s="72"/>
      <c r="E749" s="28"/>
      <c r="F749" s="52"/>
      <c r="G749" s="52"/>
    </row>
    <row r="750" ht="22.5" customHeight="1">
      <c r="A750" s="72"/>
      <c r="B750" s="72"/>
      <c r="C750" s="72"/>
      <c r="D750" s="72"/>
      <c r="E750" s="28"/>
      <c r="F750" s="52"/>
      <c r="G750" s="52"/>
    </row>
    <row r="751" ht="22.5" customHeight="1">
      <c r="A751" s="72"/>
      <c r="B751" s="72"/>
      <c r="C751" s="72"/>
      <c r="D751" s="72"/>
      <c r="E751" s="28"/>
      <c r="F751" s="52"/>
      <c r="G751" s="52"/>
    </row>
    <row r="752" ht="22.5" customHeight="1">
      <c r="A752" s="72"/>
      <c r="B752" s="72"/>
      <c r="C752" s="72"/>
      <c r="D752" s="72"/>
      <c r="E752" s="28"/>
      <c r="F752" s="52"/>
      <c r="G752" s="52"/>
    </row>
    <row r="753" ht="22.5" customHeight="1">
      <c r="A753" s="72"/>
      <c r="B753" s="72"/>
      <c r="C753" s="72"/>
      <c r="D753" s="72"/>
      <c r="E753" s="28"/>
      <c r="F753" s="52"/>
      <c r="G753" s="52"/>
    </row>
    <row r="754" ht="22.5" customHeight="1">
      <c r="A754" s="72"/>
      <c r="B754" s="72"/>
      <c r="C754" s="72"/>
      <c r="D754" s="72"/>
      <c r="E754" s="28"/>
      <c r="F754" s="52"/>
      <c r="G754" s="52"/>
    </row>
    <row r="755" ht="22.5" customHeight="1">
      <c r="A755" s="72"/>
      <c r="B755" s="72"/>
      <c r="C755" s="72"/>
      <c r="D755" s="72"/>
      <c r="E755" s="28"/>
      <c r="F755" s="52"/>
      <c r="G755" s="52"/>
    </row>
    <row r="756" ht="22.5" customHeight="1">
      <c r="A756" s="72"/>
      <c r="B756" s="72"/>
      <c r="C756" s="72"/>
      <c r="D756" s="72"/>
      <c r="E756" s="28"/>
      <c r="F756" s="52"/>
      <c r="G756" s="52"/>
    </row>
    <row r="757" ht="22.5" customHeight="1">
      <c r="A757" s="72"/>
      <c r="B757" s="72"/>
      <c r="C757" s="72"/>
      <c r="D757" s="72"/>
      <c r="E757" s="28"/>
      <c r="F757" s="52"/>
      <c r="G757" s="52"/>
    </row>
    <row r="758" ht="22.5" customHeight="1">
      <c r="A758" s="13"/>
      <c r="B758" s="13"/>
      <c r="C758" s="16"/>
      <c r="D758" s="13"/>
      <c r="E758" s="28"/>
      <c r="F758" s="52"/>
      <c r="G758" s="52"/>
    </row>
    <row r="759" ht="22.5" customHeight="1">
      <c r="A759" s="13"/>
      <c r="B759" s="13"/>
      <c r="C759" s="16"/>
      <c r="D759" s="13"/>
      <c r="E759" s="28"/>
      <c r="F759" s="52"/>
      <c r="G759" s="52"/>
    </row>
    <row r="760" ht="22.5" customHeight="1">
      <c r="A760" s="13"/>
      <c r="B760" s="13"/>
      <c r="C760" s="16"/>
      <c r="D760" s="13"/>
      <c r="E760" s="28"/>
      <c r="F760" s="52"/>
      <c r="G760" s="52"/>
    </row>
    <row r="761" ht="22.5" customHeight="1">
      <c r="A761" s="13"/>
      <c r="B761" s="13"/>
      <c r="C761" s="16"/>
      <c r="D761" s="13"/>
      <c r="E761" s="28"/>
      <c r="F761" s="52"/>
      <c r="G761" s="52"/>
    </row>
    <row r="762" ht="22.5" customHeight="1">
      <c r="A762" s="13"/>
      <c r="B762" s="13"/>
      <c r="C762" s="16"/>
      <c r="D762" s="13"/>
      <c r="E762" s="28"/>
      <c r="F762" s="52"/>
      <c r="G762" s="52"/>
    </row>
    <row r="763" ht="22.5" customHeight="1">
      <c r="A763" s="13"/>
      <c r="B763" s="13"/>
      <c r="C763" s="16"/>
      <c r="D763" s="13"/>
      <c r="E763" s="28"/>
      <c r="F763" s="52"/>
      <c r="G763" s="52"/>
    </row>
    <row r="764" ht="22.5" customHeight="1">
      <c r="A764" s="13"/>
      <c r="B764" s="13"/>
      <c r="C764" s="16"/>
      <c r="D764" s="13"/>
      <c r="E764" s="28"/>
      <c r="F764" s="52"/>
      <c r="G764" s="52"/>
    </row>
    <row r="765" ht="22.5" customHeight="1">
      <c r="A765" s="13"/>
      <c r="B765" s="13"/>
      <c r="C765" s="16"/>
      <c r="D765" s="13"/>
      <c r="E765" s="28"/>
      <c r="F765" s="52"/>
      <c r="G765" s="52"/>
    </row>
    <row r="766" ht="22.5" customHeight="1">
      <c r="A766" s="13"/>
      <c r="B766" s="13"/>
      <c r="C766" s="16"/>
      <c r="D766" s="13"/>
      <c r="E766" s="28"/>
      <c r="F766" s="52"/>
      <c r="G766" s="52"/>
    </row>
    <row r="767" ht="22.5" customHeight="1">
      <c r="A767" s="13"/>
      <c r="B767" s="13"/>
      <c r="C767" s="16"/>
      <c r="D767" s="13"/>
      <c r="E767" s="28"/>
      <c r="F767" s="52"/>
      <c r="G767" s="52"/>
    </row>
    <row r="768" ht="22.5" customHeight="1">
      <c r="A768" s="13"/>
      <c r="B768" s="13"/>
      <c r="C768" s="16"/>
      <c r="D768" s="13"/>
      <c r="E768" s="28"/>
      <c r="F768" s="52"/>
      <c r="G768" s="52"/>
    </row>
    <row r="769" ht="22.5" customHeight="1">
      <c r="A769" s="13"/>
      <c r="B769" s="13"/>
      <c r="C769" s="16"/>
      <c r="D769" s="13"/>
      <c r="E769" s="28"/>
      <c r="F769" s="52"/>
      <c r="G769" s="52"/>
    </row>
    <row r="770" ht="22.5" customHeight="1">
      <c r="A770" s="13"/>
      <c r="B770" s="13"/>
      <c r="C770" s="16"/>
      <c r="D770" s="13"/>
      <c r="E770" s="28"/>
      <c r="F770" s="52"/>
      <c r="G770" s="52"/>
    </row>
    <row r="771" ht="22.5" customHeight="1">
      <c r="A771" s="13"/>
      <c r="B771" s="13"/>
      <c r="C771" s="16"/>
      <c r="D771" s="13"/>
      <c r="E771" s="28"/>
      <c r="F771" s="52"/>
      <c r="G771" s="52"/>
    </row>
    <row r="772" ht="22.5" customHeight="1">
      <c r="A772" s="13"/>
      <c r="B772" s="13"/>
      <c r="C772" s="16"/>
      <c r="D772" s="13"/>
      <c r="E772" s="28"/>
      <c r="F772" s="52"/>
      <c r="G772" s="52"/>
    </row>
    <row r="773" ht="22.5" customHeight="1">
      <c r="A773" s="13"/>
      <c r="B773" s="13"/>
      <c r="C773" s="16"/>
      <c r="D773" s="13"/>
      <c r="E773" s="28"/>
      <c r="F773" s="52"/>
      <c r="G773" s="52"/>
    </row>
    <row r="774" ht="22.5" customHeight="1">
      <c r="A774" s="13"/>
      <c r="B774" s="13"/>
      <c r="C774" s="16"/>
      <c r="D774" s="13"/>
      <c r="E774" s="28"/>
      <c r="F774" s="52"/>
      <c r="G774" s="52"/>
    </row>
    <row r="775" ht="22.5" customHeight="1">
      <c r="A775" s="13"/>
      <c r="B775" s="13"/>
      <c r="C775" s="16"/>
      <c r="D775" s="13"/>
      <c r="E775" s="28"/>
      <c r="F775" s="52"/>
      <c r="G775" s="52"/>
    </row>
    <row r="776" ht="22.5" customHeight="1">
      <c r="A776" s="13"/>
      <c r="B776" s="13"/>
      <c r="C776" s="16"/>
      <c r="D776" s="13"/>
      <c r="E776" s="28"/>
      <c r="F776" s="52"/>
      <c r="G776" s="52"/>
    </row>
    <row r="777" ht="22.5" customHeight="1">
      <c r="A777" s="13"/>
      <c r="B777" s="13"/>
      <c r="C777" s="16"/>
      <c r="D777" s="13"/>
      <c r="E777" s="28"/>
      <c r="F777" s="52"/>
      <c r="G777" s="52"/>
    </row>
    <row r="778" ht="22.5" customHeight="1">
      <c r="A778" s="13"/>
      <c r="B778" s="13"/>
      <c r="C778" s="16"/>
      <c r="D778" s="13"/>
      <c r="E778" s="28"/>
      <c r="F778" s="52"/>
      <c r="G778" s="52"/>
    </row>
    <row r="779" ht="22.5" customHeight="1">
      <c r="A779" s="13"/>
      <c r="B779" s="13"/>
      <c r="C779" s="16"/>
      <c r="D779" s="13"/>
      <c r="E779" s="28"/>
      <c r="F779" s="52"/>
      <c r="G779" s="52"/>
    </row>
    <row r="780" ht="22.5" customHeight="1">
      <c r="A780" s="13"/>
      <c r="B780" s="13"/>
      <c r="C780" s="16"/>
      <c r="D780" s="13"/>
      <c r="E780" s="28"/>
      <c r="F780" s="52"/>
      <c r="G780" s="52"/>
    </row>
    <row r="781" ht="22.5" customHeight="1">
      <c r="A781" s="13"/>
      <c r="B781" s="13"/>
      <c r="C781" s="16"/>
      <c r="D781" s="13"/>
      <c r="E781" s="28"/>
      <c r="F781" s="52"/>
      <c r="G781" s="52"/>
    </row>
    <row r="782" ht="22.5" customHeight="1">
      <c r="A782" s="13"/>
      <c r="B782" s="13"/>
      <c r="C782" s="16"/>
      <c r="D782" s="13"/>
      <c r="E782" s="28"/>
      <c r="F782" s="52"/>
      <c r="G782" s="52"/>
    </row>
    <row r="783" ht="22.5" customHeight="1">
      <c r="A783" s="13"/>
      <c r="B783" s="13"/>
      <c r="C783" s="16"/>
      <c r="D783" s="13"/>
      <c r="E783" s="28"/>
      <c r="F783" s="52"/>
      <c r="G783" s="52"/>
    </row>
    <row r="784" ht="22.5" customHeight="1">
      <c r="A784" s="13"/>
      <c r="B784" s="13"/>
      <c r="C784" s="16"/>
      <c r="D784" s="13"/>
      <c r="E784" s="28"/>
      <c r="F784" s="52"/>
      <c r="G784" s="52"/>
    </row>
    <row r="785" ht="22.5" customHeight="1">
      <c r="A785" s="13"/>
      <c r="B785" s="13"/>
      <c r="C785" s="16"/>
      <c r="D785" s="13"/>
      <c r="E785" s="28"/>
      <c r="F785" s="52"/>
      <c r="G785" s="52"/>
    </row>
    <row r="786" ht="22.5" customHeight="1">
      <c r="A786" s="13"/>
      <c r="B786" s="13"/>
      <c r="C786" s="16"/>
      <c r="D786" s="13"/>
      <c r="E786" s="28"/>
      <c r="F786" s="52"/>
      <c r="G786" s="52"/>
    </row>
    <row r="787" ht="22.5" customHeight="1">
      <c r="A787" s="13"/>
      <c r="B787" s="13"/>
      <c r="C787" s="16"/>
      <c r="D787" s="13"/>
      <c r="E787" s="28"/>
      <c r="F787" s="52"/>
      <c r="G787" s="52"/>
    </row>
    <row r="788" ht="22.5" customHeight="1">
      <c r="A788" s="13"/>
      <c r="B788" s="13"/>
      <c r="C788" s="16"/>
      <c r="D788" s="13"/>
      <c r="E788" s="28"/>
      <c r="F788" s="52"/>
      <c r="G788" s="52"/>
    </row>
    <row r="789" ht="22.5" customHeight="1">
      <c r="A789" s="13"/>
      <c r="B789" s="13"/>
      <c r="C789" s="16"/>
      <c r="D789" s="13"/>
      <c r="E789" s="28"/>
      <c r="F789" s="52"/>
      <c r="G789" s="52"/>
    </row>
    <row r="790" ht="22.5" customHeight="1">
      <c r="A790" s="13"/>
      <c r="B790" s="13"/>
      <c r="C790" s="16"/>
      <c r="D790" s="13"/>
      <c r="E790" s="28"/>
      <c r="F790" s="52"/>
      <c r="G790" s="52"/>
    </row>
    <row r="791" ht="22.5" customHeight="1">
      <c r="A791" s="13"/>
      <c r="B791" s="13"/>
      <c r="C791" s="16"/>
      <c r="D791" s="13"/>
      <c r="E791" s="28"/>
      <c r="F791" s="52"/>
      <c r="G791" s="52"/>
    </row>
    <row r="792" ht="22.5" customHeight="1">
      <c r="A792" s="13"/>
      <c r="B792" s="13"/>
      <c r="C792" s="16"/>
      <c r="D792" s="13"/>
      <c r="E792" s="28"/>
      <c r="F792" s="52"/>
      <c r="G792" s="52"/>
    </row>
    <row r="793" ht="22.5" customHeight="1">
      <c r="A793" s="13"/>
      <c r="B793" s="13"/>
      <c r="C793" s="16"/>
      <c r="D793" s="13"/>
      <c r="E793" s="28"/>
      <c r="F793" s="52"/>
      <c r="G793" s="52"/>
    </row>
    <row r="794" ht="22.5" customHeight="1">
      <c r="A794" s="13"/>
      <c r="B794" s="13"/>
      <c r="C794" s="16"/>
      <c r="D794" s="13"/>
      <c r="E794" s="28"/>
      <c r="F794" s="52"/>
      <c r="G794" s="52"/>
    </row>
    <row r="795" ht="22.5" customHeight="1">
      <c r="A795" s="13"/>
      <c r="B795" s="13"/>
      <c r="C795" s="16"/>
      <c r="D795" s="13"/>
      <c r="E795" s="28"/>
      <c r="F795" s="52"/>
      <c r="G795" s="52"/>
    </row>
    <row r="796" ht="22.5" customHeight="1">
      <c r="A796" s="13"/>
      <c r="B796" s="13"/>
      <c r="C796" s="16"/>
      <c r="D796" s="13"/>
      <c r="E796" s="28"/>
      <c r="F796" s="52"/>
      <c r="G796" s="52"/>
    </row>
    <row r="797" ht="22.5" customHeight="1">
      <c r="A797" s="13"/>
      <c r="B797" s="13"/>
      <c r="C797" s="16"/>
      <c r="D797" s="13"/>
      <c r="E797" s="28"/>
      <c r="F797" s="52"/>
      <c r="G797" s="52"/>
    </row>
    <row r="798" ht="22.5" customHeight="1">
      <c r="A798" s="13"/>
      <c r="B798" s="13"/>
      <c r="C798" s="16"/>
      <c r="D798" s="13"/>
      <c r="E798" s="28"/>
      <c r="F798" s="52"/>
      <c r="G798" s="52"/>
    </row>
    <row r="799" ht="22.5" customHeight="1">
      <c r="A799" s="13"/>
      <c r="B799" s="13"/>
      <c r="C799" s="16"/>
      <c r="D799" s="13"/>
      <c r="E799" s="28"/>
      <c r="F799" s="52"/>
      <c r="G799" s="52"/>
    </row>
    <row r="800" ht="22.5" customHeight="1">
      <c r="A800" s="13"/>
      <c r="B800" s="13"/>
      <c r="C800" s="16"/>
      <c r="D800" s="13"/>
      <c r="E800" s="28"/>
      <c r="F800" s="52"/>
      <c r="G800" s="52"/>
    </row>
    <row r="801" ht="22.5" customHeight="1">
      <c r="A801" s="13"/>
      <c r="B801" s="13"/>
      <c r="C801" s="16"/>
      <c r="D801" s="13"/>
      <c r="E801" s="28"/>
      <c r="F801" s="52"/>
      <c r="G801" s="52"/>
    </row>
    <row r="802" ht="22.5" customHeight="1">
      <c r="A802" s="13"/>
      <c r="B802" s="13"/>
      <c r="C802" s="16"/>
      <c r="D802" s="13"/>
      <c r="E802" s="28"/>
      <c r="F802" s="52"/>
      <c r="G802" s="52"/>
    </row>
    <row r="803" ht="22.5" customHeight="1">
      <c r="A803" s="13"/>
      <c r="B803" s="13"/>
      <c r="C803" s="16"/>
      <c r="D803" s="13"/>
      <c r="E803" s="28"/>
      <c r="F803" s="52"/>
      <c r="G803" s="52"/>
    </row>
    <row r="804" ht="22.5" customHeight="1">
      <c r="A804" s="13"/>
      <c r="B804" s="13"/>
      <c r="C804" s="16"/>
      <c r="D804" s="13"/>
      <c r="E804" s="28"/>
      <c r="F804" s="52"/>
      <c r="G804" s="52"/>
    </row>
    <row r="805" ht="22.5" customHeight="1">
      <c r="A805" s="13"/>
      <c r="B805" s="13"/>
      <c r="C805" s="16"/>
      <c r="D805" s="13"/>
      <c r="E805" s="28"/>
      <c r="F805" s="52"/>
      <c r="G805" s="52"/>
    </row>
    <row r="806" ht="22.5" customHeight="1">
      <c r="A806" s="13"/>
      <c r="B806" s="13"/>
      <c r="C806" s="16"/>
      <c r="D806" s="13"/>
      <c r="E806" s="28"/>
      <c r="F806" s="52"/>
      <c r="G806" s="52"/>
    </row>
    <row r="807" ht="22.5" customHeight="1">
      <c r="A807" s="13"/>
      <c r="B807" s="13"/>
      <c r="C807" s="16"/>
      <c r="D807" s="13"/>
      <c r="E807" s="28"/>
      <c r="F807" s="52"/>
      <c r="G807" s="52"/>
    </row>
    <row r="808" ht="22.5" customHeight="1">
      <c r="A808" s="13"/>
      <c r="B808" s="13"/>
      <c r="C808" s="16"/>
      <c r="D808" s="13"/>
      <c r="E808" s="28"/>
      <c r="F808" s="52"/>
      <c r="G808" s="52"/>
    </row>
    <row r="809" ht="22.5" customHeight="1">
      <c r="A809" s="13"/>
      <c r="B809" s="13"/>
      <c r="C809" s="16"/>
      <c r="D809" s="13"/>
      <c r="E809" s="28"/>
      <c r="F809" s="52"/>
      <c r="G809" s="52"/>
    </row>
    <row r="810" ht="22.5" customHeight="1">
      <c r="A810" s="13"/>
      <c r="B810" s="13"/>
      <c r="C810" s="16"/>
      <c r="D810" s="13"/>
      <c r="E810" s="28"/>
      <c r="F810" s="52"/>
      <c r="G810" s="52"/>
    </row>
    <row r="811" ht="22.5" customHeight="1">
      <c r="A811" s="13"/>
      <c r="B811" s="13"/>
      <c r="C811" s="16"/>
      <c r="D811" s="13"/>
      <c r="E811" s="28"/>
      <c r="F811" s="52"/>
      <c r="G811" s="52"/>
    </row>
    <row r="812" ht="22.5" customHeight="1">
      <c r="A812" s="13"/>
      <c r="B812" s="13"/>
      <c r="C812" s="16"/>
      <c r="D812" s="13"/>
      <c r="E812" s="28"/>
      <c r="F812" s="52"/>
      <c r="G812" s="52"/>
    </row>
    <row r="813" ht="22.5" customHeight="1">
      <c r="A813" s="13"/>
      <c r="B813" s="13"/>
      <c r="C813" s="16"/>
      <c r="D813" s="13"/>
      <c r="E813" s="28"/>
      <c r="F813" s="52"/>
      <c r="G813" s="52"/>
    </row>
    <row r="814" ht="22.5" customHeight="1">
      <c r="A814" s="13"/>
      <c r="B814" s="13"/>
      <c r="C814" s="16"/>
      <c r="D814" s="13"/>
      <c r="E814" s="28"/>
      <c r="F814" s="52"/>
      <c r="G814" s="52"/>
    </row>
    <row r="815" ht="22.5" customHeight="1">
      <c r="A815" s="13"/>
      <c r="B815" s="13"/>
      <c r="C815" s="16"/>
      <c r="D815" s="13"/>
      <c r="E815" s="28"/>
      <c r="F815" s="52"/>
      <c r="G815" s="52"/>
    </row>
    <row r="816" ht="22.5" customHeight="1">
      <c r="A816" s="13"/>
      <c r="B816" s="13"/>
      <c r="C816" s="16"/>
      <c r="D816" s="13"/>
      <c r="E816" s="28"/>
      <c r="F816" s="52"/>
      <c r="G816" s="52"/>
    </row>
    <row r="817" ht="22.5" customHeight="1">
      <c r="A817" s="13"/>
      <c r="B817" s="13"/>
      <c r="C817" s="16"/>
      <c r="D817" s="13"/>
      <c r="E817" s="28"/>
      <c r="F817" s="52"/>
      <c r="G817" s="52"/>
    </row>
    <row r="818" ht="22.5" customHeight="1">
      <c r="A818" s="13"/>
      <c r="B818" s="13"/>
      <c r="C818" s="16"/>
      <c r="D818" s="13"/>
      <c r="E818" s="28"/>
      <c r="F818" s="52"/>
      <c r="G818" s="52"/>
    </row>
    <row r="819" ht="22.5" customHeight="1">
      <c r="A819" s="13"/>
      <c r="B819" s="13"/>
      <c r="C819" s="16"/>
      <c r="D819" s="13"/>
      <c r="E819" s="28"/>
      <c r="F819" s="52"/>
      <c r="G819" s="52"/>
    </row>
    <row r="820" ht="22.5" customHeight="1">
      <c r="A820" s="13"/>
      <c r="B820" s="13"/>
      <c r="C820" s="16"/>
      <c r="D820" s="13"/>
      <c r="E820" s="28"/>
      <c r="F820" s="52"/>
      <c r="G820" s="52"/>
    </row>
    <row r="821" ht="22.5" customHeight="1">
      <c r="A821" s="13"/>
      <c r="B821" s="13"/>
      <c r="C821" s="16"/>
      <c r="D821" s="13"/>
      <c r="E821" s="28"/>
      <c r="F821" s="52"/>
      <c r="G821" s="52"/>
    </row>
    <row r="822" ht="22.5" customHeight="1">
      <c r="A822" s="13"/>
      <c r="B822" s="13"/>
      <c r="C822" s="16"/>
      <c r="D822" s="13"/>
      <c r="E822" s="28"/>
      <c r="F822" s="52"/>
      <c r="G822" s="52"/>
    </row>
    <row r="823" ht="22.5" customHeight="1">
      <c r="A823" s="13"/>
      <c r="B823" s="13"/>
      <c r="C823" s="16"/>
      <c r="D823" s="13"/>
      <c r="E823" s="28"/>
      <c r="F823" s="52"/>
      <c r="G823" s="52"/>
    </row>
    <row r="824" ht="22.5" customHeight="1">
      <c r="A824" s="13"/>
      <c r="B824" s="13"/>
      <c r="C824" s="16"/>
      <c r="D824" s="13"/>
      <c r="E824" s="28"/>
      <c r="F824" s="52"/>
      <c r="G824" s="52"/>
    </row>
    <row r="825" ht="22.5" customHeight="1">
      <c r="A825" s="13"/>
      <c r="B825" s="13"/>
      <c r="C825" s="16"/>
      <c r="D825" s="13"/>
      <c r="E825" s="28"/>
      <c r="F825" s="52"/>
      <c r="G825" s="52"/>
    </row>
    <row r="826" ht="22.5" customHeight="1">
      <c r="A826" s="13"/>
      <c r="B826" s="13"/>
      <c r="C826" s="16"/>
      <c r="D826" s="13"/>
      <c r="E826" s="28"/>
      <c r="F826" s="52"/>
      <c r="G826" s="52"/>
    </row>
    <row r="827" ht="22.5" customHeight="1">
      <c r="A827" s="13"/>
      <c r="B827" s="13"/>
      <c r="C827" s="16"/>
      <c r="D827" s="13"/>
      <c r="E827" s="28"/>
      <c r="F827" s="52"/>
      <c r="G827" s="52"/>
    </row>
    <row r="828" ht="22.5" customHeight="1">
      <c r="A828" s="13"/>
      <c r="B828" s="13"/>
      <c r="C828" s="16"/>
      <c r="D828" s="13"/>
      <c r="E828" s="28"/>
      <c r="F828" s="52"/>
      <c r="G828" s="52"/>
    </row>
    <row r="829" ht="22.5" customHeight="1">
      <c r="A829" s="13"/>
      <c r="B829" s="13"/>
      <c r="C829" s="16"/>
      <c r="D829" s="13"/>
      <c r="E829" s="28"/>
      <c r="F829" s="52"/>
      <c r="G829" s="52"/>
    </row>
    <row r="830" ht="22.5" customHeight="1">
      <c r="A830" s="13"/>
      <c r="B830" s="13"/>
      <c r="C830" s="16"/>
      <c r="D830" s="13"/>
      <c r="E830" s="28"/>
      <c r="F830" s="52"/>
      <c r="G830" s="52"/>
    </row>
    <row r="831" ht="22.5" customHeight="1">
      <c r="A831" s="13"/>
      <c r="B831" s="13"/>
      <c r="C831" s="16"/>
      <c r="D831" s="13"/>
      <c r="E831" s="28"/>
      <c r="F831" s="52"/>
      <c r="G831" s="52"/>
    </row>
    <row r="832" ht="22.5" customHeight="1">
      <c r="A832" s="13"/>
      <c r="B832" s="13"/>
      <c r="C832" s="16"/>
      <c r="D832" s="13"/>
      <c r="E832" s="28"/>
      <c r="F832" s="52"/>
      <c r="G832" s="52"/>
    </row>
    <row r="833" ht="22.5" customHeight="1">
      <c r="A833" s="13"/>
      <c r="B833" s="13"/>
      <c r="C833" s="16"/>
      <c r="D833" s="13"/>
      <c r="E833" s="28"/>
      <c r="F833" s="52"/>
      <c r="G833" s="52"/>
    </row>
    <row r="834" ht="22.5" customHeight="1">
      <c r="A834" s="13"/>
      <c r="B834" s="13"/>
      <c r="C834" s="16"/>
      <c r="D834" s="13"/>
      <c r="E834" s="28"/>
      <c r="F834" s="52"/>
      <c r="G834" s="52"/>
    </row>
    <row r="835" ht="22.5" customHeight="1">
      <c r="A835" s="13"/>
      <c r="B835" s="13"/>
      <c r="C835" s="16"/>
      <c r="D835" s="13"/>
      <c r="E835" s="28"/>
      <c r="F835" s="52"/>
      <c r="G835" s="52"/>
    </row>
    <row r="836" ht="22.5" customHeight="1">
      <c r="A836" s="13"/>
      <c r="B836" s="13"/>
      <c r="C836" s="16"/>
      <c r="D836" s="13"/>
      <c r="E836" s="28"/>
      <c r="F836" s="52"/>
      <c r="G836" s="52"/>
    </row>
    <row r="837" ht="22.5" customHeight="1">
      <c r="A837" s="13"/>
      <c r="B837" s="13"/>
      <c r="C837" s="16"/>
      <c r="D837" s="13"/>
      <c r="E837" s="28"/>
      <c r="F837" s="52"/>
      <c r="G837" s="52"/>
    </row>
    <row r="838" ht="22.5" customHeight="1">
      <c r="A838" s="13"/>
      <c r="B838" s="13"/>
      <c r="C838" s="16"/>
      <c r="D838" s="13"/>
      <c r="E838" s="28"/>
      <c r="F838" s="52"/>
      <c r="G838" s="52"/>
    </row>
    <row r="839" ht="22.5" customHeight="1">
      <c r="A839" s="13"/>
      <c r="B839" s="13"/>
      <c r="C839" s="16"/>
      <c r="D839" s="13"/>
      <c r="E839" s="28"/>
      <c r="F839" s="52"/>
      <c r="G839" s="52"/>
    </row>
    <row r="840" ht="22.5" customHeight="1">
      <c r="A840" s="13"/>
      <c r="B840" s="13"/>
      <c r="C840" s="16"/>
      <c r="D840" s="13"/>
      <c r="E840" s="28"/>
      <c r="F840" s="52"/>
      <c r="G840" s="52"/>
    </row>
    <row r="841" ht="22.5" customHeight="1">
      <c r="A841" s="13"/>
      <c r="B841" s="13"/>
      <c r="C841" s="16"/>
      <c r="D841" s="13"/>
      <c r="E841" s="28"/>
      <c r="F841" s="52"/>
      <c r="G841" s="52"/>
    </row>
    <row r="842" ht="22.5" customHeight="1">
      <c r="A842" s="13"/>
      <c r="B842" s="13"/>
      <c r="C842" s="16"/>
      <c r="D842" s="13"/>
      <c r="E842" s="28"/>
      <c r="F842" s="52"/>
      <c r="G842" s="52"/>
    </row>
    <row r="843" ht="22.5" customHeight="1">
      <c r="A843" s="13"/>
      <c r="B843" s="13"/>
      <c r="C843" s="16"/>
      <c r="D843" s="13"/>
      <c r="E843" s="28"/>
      <c r="F843" s="52"/>
      <c r="G843" s="52"/>
    </row>
    <row r="844" ht="22.5" customHeight="1">
      <c r="A844" s="13"/>
      <c r="B844" s="13"/>
      <c r="C844" s="16"/>
      <c r="D844" s="13"/>
      <c r="E844" s="28"/>
      <c r="F844" s="52"/>
      <c r="G844" s="52"/>
    </row>
    <row r="845" ht="22.5" customHeight="1">
      <c r="A845" s="13"/>
      <c r="B845" s="13"/>
      <c r="C845" s="16"/>
      <c r="D845" s="13"/>
      <c r="E845" s="28"/>
      <c r="F845" s="52"/>
      <c r="G845" s="52"/>
    </row>
    <row r="846" ht="22.5" customHeight="1">
      <c r="A846" s="13"/>
      <c r="B846" s="13"/>
      <c r="C846" s="16"/>
      <c r="D846" s="13"/>
      <c r="E846" s="28"/>
      <c r="F846" s="52"/>
      <c r="G846" s="52"/>
    </row>
    <row r="847" ht="22.5" customHeight="1">
      <c r="A847" s="13"/>
      <c r="B847" s="13"/>
      <c r="C847" s="16"/>
      <c r="D847" s="13"/>
      <c r="E847" s="28"/>
      <c r="F847" s="52"/>
      <c r="G847" s="52"/>
    </row>
    <row r="848" ht="22.5" customHeight="1">
      <c r="A848" s="13"/>
      <c r="B848" s="13"/>
      <c r="C848" s="16"/>
      <c r="D848" s="13"/>
      <c r="E848" s="28"/>
      <c r="F848" s="52"/>
      <c r="G848" s="52"/>
    </row>
    <row r="849" ht="22.5" customHeight="1">
      <c r="A849" s="13"/>
      <c r="B849" s="13"/>
      <c r="C849" s="16"/>
      <c r="D849" s="13"/>
      <c r="E849" s="28"/>
      <c r="F849" s="52"/>
      <c r="G849" s="52"/>
    </row>
    <row r="850" ht="22.5" customHeight="1">
      <c r="A850" s="13"/>
      <c r="B850" s="13"/>
      <c r="C850" s="16"/>
      <c r="D850" s="13"/>
      <c r="E850" s="28"/>
      <c r="F850" s="52"/>
      <c r="G850" s="52"/>
    </row>
    <row r="851" ht="22.5" customHeight="1">
      <c r="A851" s="13"/>
      <c r="B851" s="13"/>
      <c r="C851" s="16"/>
      <c r="D851" s="13"/>
      <c r="E851" s="28"/>
      <c r="F851" s="52"/>
      <c r="G851" s="52"/>
    </row>
    <row r="852" ht="22.5" customHeight="1">
      <c r="A852" s="13"/>
      <c r="B852" s="13"/>
      <c r="C852" s="16"/>
      <c r="D852" s="13"/>
      <c r="E852" s="28"/>
      <c r="F852" s="52"/>
      <c r="G852" s="52"/>
    </row>
    <row r="853" ht="22.5" customHeight="1">
      <c r="A853" s="13"/>
      <c r="B853" s="13"/>
      <c r="C853" s="16"/>
      <c r="D853" s="13"/>
      <c r="E853" s="28"/>
      <c r="F853" s="52"/>
      <c r="G853" s="52"/>
    </row>
    <row r="854" ht="22.5" customHeight="1">
      <c r="A854" s="13"/>
      <c r="B854" s="13"/>
      <c r="C854" s="16"/>
      <c r="D854" s="13"/>
      <c r="E854" s="28"/>
      <c r="F854" s="52"/>
      <c r="G854" s="52"/>
    </row>
    <row r="855" ht="22.5" customHeight="1">
      <c r="A855" s="13"/>
      <c r="B855" s="13"/>
      <c r="C855" s="16"/>
      <c r="D855" s="13"/>
      <c r="E855" s="28"/>
      <c r="F855" s="52"/>
      <c r="G855" s="52"/>
    </row>
    <row r="856" ht="22.5" customHeight="1">
      <c r="A856" s="13"/>
      <c r="B856" s="13"/>
      <c r="C856" s="16"/>
      <c r="D856" s="13"/>
      <c r="E856" s="28"/>
      <c r="F856" s="52"/>
      <c r="G856" s="52"/>
    </row>
    <row r="857" ht="22.5" customHeight="1">
      <c r="A857" s="13"/>
      <c r="B857" s="13"/>
      <c r="C857" s="16"/>
      <c r="D857" s="13"/>
      <c r="E857" s="28"/>
      <c r="F857" s="52"/>
      <c r="G857" s="52"/>
    </row>
    <row r="858" ht="22.5" customHeight="1">
      <c r="A858" s="13"/>
      <c r="B858" s="13"/>
      <c r="C858" s="16"/>
      <c r="D858" s="13"/>
      <c r="E858" s="28"/>
      <c r="F858" s="52"/>
      <c r="G858" s="52"/>
    </row>
    <row r="859" ht="22.5" customHeight="1">
      <c r="A859" s="13"/>
      <c r="B859" s="13"/>
      <c r="C859" s="16"/>
      <c r="D859" s="13"/>
      <c r="E859" s="28"/>
      <c r="F859" s="52"/>
      <c r="G859" s="52"/>
    </row>
    <row r="860" ht="22.5" customHeight="1">
      <c r="A860" s="13"/>
      <c r="B860" s="13"/>
      <c r="C860" s="16"/>
      <c r="D860" s="13"/>
      <c r="E860" s="28"/>
      <c r="F860" s="52"/>
      <c r="G860" s="52"/>
    </row>
    <row r="861" ht="22.5" customHeight="1">
      <c r="A861" s="13"/>
      <c r="B861" s="13"/>
      <c r="C861" s="16"/>
      <c r="D861" s="13"/>
      <c r="E861" s="28"/>
      <c r="F861" s="52"/>
      <c r="G861" s="52"/>
    </row>
    <row r="862" ht="22.5" customHeight="1">
      <c r="A862" s="13"/>
      <c r="B862" s="13"/>
      <c r="C862" s="16"/>
      <c r="D862" s="13"/>
      <c r="E862" s="28"/>
      <c r="F862" s="52"/>
      <c r="G862" s="52"/>
    </row>
    <row r="863" ht="22.5" customHeight="1">
      <c r="A863" s="13"/>
      <c r="B863" s="13"/>
      <c r="C863" s="16"/>
      <c r="D863" s="13"/>
      <c r="E863" s="28"/>
      <c r="F863" s="52"/>
      <c r="G863" s="52"/>
    </row>
    <row r="864" ht="22.5" customHeight="1">
      <c r="A864" s="13"/>
      <c r="B864" s="13"/>
      <c r="C864" s="16"/>
      <c r="D864" s="13"/>
      <c r="E864" s="28"/>
      <c r="F864" s="52"/>
      <c r="G864" s="52"/>
    </row>
    <row r="865" ht="22.5" customHeight="1">
      <c r="A865" s="13"/>
      <c r="B865" s="13"/>
      <c r="C865" s="16"/>
      <c r="D865" s="13"/>
      <c r="E865" s="28"/>
      <c r="F865" s="52"/>
      <c r="G865" s="52"/>
    </row>
    <row r="866" ht="22.5" customHeight="1">
      <c r="A866" s="13"/>
      <c r="B866" s="13"/>
      <c r="C866" s="16"/>
      <c r="D866" s="13"/>
      <c r="E866" s="28"/>
      <c r="F866" s="52"/>
      <c r="G866" s="52"/>
    </row>
    <row r="867" ht="22.5" customHeight="1">
      <c r="A867" s="13"/>
      <c r="B867" s="13"/>
      <c r="C867" s="16"/>
      <c r="D867" s="13"/>
      <c r="E867" s="28"/>
      <c r="F867" s="52"/>
      <c r="G867" s="52"/>
    </row>
    <row r="868" ht="22.5" customHeight="1">
      <c r="A868" s="13"/>
      <c r="B868" s="13"/>
      <c r="C868" s="16"/>
      <c r="D868" s="13"/>
      <c r="E868" s="28"/>
      <c r="F868" s="52"/>
      <c r="G868" s="52"/>
    </row>
    <row r="869" ht="22.5" customHeight="1">
      <c r="A869" s="13"/>
      <c r="B869" s="13"/>
      <c r="C869" s="16"/>
      <c r="D869" s="13"/>
      <c r="E869" s="28"/>
      <c r="F869" s="52"/>
      <c r="G869" s="52"/>
    </row>
    <row r="870" ht="22.5" customHeight="1">
      <c r="A870" s="13"/>
      <c r="B870" s="13"/>
      <c r="C870" s="16"/>
      <c r="D870" s="13"/>
      <c r="E870" s="28"/>
      <c r="F870" s="52"/>
      <c r="G870" s="52"/>
    </row>
    <row r="871" ht="22.5" customHeight="1">
      <c r="A871" s="13"/>
      <c r="B871" s="13"/>
      <c r="C871" s="16"/>
      <c r="D871" s="13"/>
      <c r="E871" s="28"/>
      <c r="F871" s="52"/>
      <c r="G871" s="52"/>
    </row>
    <row r="872" ht="22.5" customHeight="1">
      <c r="A872" s="13"/>
      <c r="B872" s="13"/>
      <c r="C872" s="16"/>
      <c r="D872" s="13"/>
      <c r="E872" s="28"/>
      <c r="F872" s="52"/>
      <c r="G872" s="52"/>
    </row>
    <row r="873" ht="22.5" customHeight="1">
      <c r="A873" s="13"/>
      <c r="B873" s="13"/>
      <c r="C873" s="16"/>
      <c r="D873" s="13"/>
      <c r="E873" s="28"/>
      <c r="F873" s="52"/>
      <c r="G873" s="52"/>
    </row>
    <row r="874" ht="22.5" customHeight="1">
      <c r="A874" s="13"/>
      <c r="B874" s="13"/>
      <c r="C874" s="16"/>
      <c r="D874" s="13"/>
      <c r="E874" s="28"/>
      <c r="F874" s="52"/>
      <c r="G874" s="52"/>
    </row>
    <row r="875" ht="22.5" customHeight="1">
      <c r="A875" s="13"/>
      <c r="B875" s="13"/>
      <c r="C875" s="16"/>
      <c r="D875" s="13"/>
      <c r="E875" s="28"/>
      <c r="F875" s="52"/>
      <c r="G875" s="52"/>
    </row>
    <row r="876" ht="22.5" customHeight="1">
      <c r="A876" s="13"/>
      <c r="B876" s="13"/>
      <c r="C876" s="16"/>
      <c r="D876" s="13"/>
      <c r="E876" s="28"/>
      <c r="F876" s="52"/>
      <c r="G876" s="52"/>
    </row>
    <row r="877" ht="22.5" customHeight="1">
      <c r="A877" s="13"/>
      <c r="B877" s="13"/>
      <c r="C877" s="16"/>
      <c r="D877" s="13"/>
      <c r="E877" s="28"/>
      <c r="F877" s="52"/>
      <c r="G877" s="52"/>
    </row>
    <row r="878" ht="22.5" customHeight="1">
      <c r="A878" s="13"/>
      <c r="B878" s="13"/>
      <c r="C878" s="16"/>
      <c r="D878" s="13"/>
      <c r="E878" s="28"/>
      <c r="F878" s="52"/>
      <c r="G878" s="52"/>
    </row>
    <row r="879" ht="22.5" customHeight="1">
      <c r="A879" s="13"/>
      <c r="B879" s="13"/>
      <c r="C879" s="16"/>
      <c r="D879" s="13"/>
      <c r="E879" s="28"/>
      <c r="F879" s="52"/>
      <c r="G879" s="52"/>
    </row>
    <row r="880" ht="22.5" customHeight="1">
      <c r="A880" s="13"/>
      <c r="B880" s="13"/>
      <c r="C880" s="16"/>
      <c r="D880" s="13"/>
      <c r="E880" s="28"/>
      <c r="F880" s="52"/>
      <c r="G880" s="52"/>
    </row>
    <row r="881" ht="22.5" customHeight="1">
      <c r="A881" s="13"/>
      <c r="B881" s="13"/>
      <c r="C881" s="16"/>
      <c r="D881" s="13"/>
      <c r="E881" s="28"/>
      <c r="F881" s="52"/>
      <c r="G881" s="52"/>
    </row>
    <row r="882" ht="22.5" customHeight="1">
      <c r="A882" s="13"/>
      <c r="B882" s="13"/>
      <c r="C882" s="16"/>
      <c r="D882" s="13"/>
      <c r="E882" s="28"/>
      <c r="F882" s="52"/>
      <c r="G882" s="52"/>
    </row>
    <row r="883" ht="22.5" customHeight="1">
      <c r="A883" s="13"/>
      <c r="B883" s="13"/>
      <c r="C883" s="16"/>
      <c r="D883" s="13"/>
      <c r="E883" s="28"/>
      <c r="F883" s="52"/>
      <c r="G883" s="52"/>
    </row>
    <row r="884" ht="22.5" customHeight="1">
      <c r="A884" s="13"/>
      <c r="B884" s="13"/>
      <c r="C884" s="16"/>
      <c r="D884" s="13"/>
      <c r="E884" s="28"/>
      <c r="F884" s="52"/>
      <c r="G884" s="52"/>
    </row>
    <row r="885" ht="22.5" customHeight="1">
      <c r="A885" s="13"/>
      <c r="B885" s="13"/>
      <c r="C885" s="16"/>
      <c r="D885" s="13"/>
      <c r="E885" s="28"/>
      <c r="F885" s="52"/>
      <c r="G885" s="52"/>
    </row>
    <row r="886" ht="22.5" customHeight="1">
      <c r="A886" s="13"/>
      <c r="B886" s="13"/>
      <c r="C886" s="16"/>
      <c r="D886" s="13"/>
      <c r="E886" s="28"/>
      <c r="F886" s="52"/>
      <c r="G886" s="52"/>
    </row>
    <row r="887" ht="22.5" customHeight="1">
      <c r="A887" s="13"/>
      <c r="B887" s="13"/>
      <c r="C887" s="16"/>
      <c r="D887" s="13"/>
      <c r="E887" s="28"/>
      <c r="F887" s="52"/>
      <c r="G887" s="52"/>
    </row>
    <row r="888" ht="22.5" customHeight="1">
      <c r="A888" s="13"/>
      <c r="B888" s="13"/>
      <c r="C888" s="16"/>
      <c r="D888" s="13"/>
      <c r="E888" s="28"/>
      <c r="F888" s="52"/>
      <c r="G888" s="52"/>
    </row>
    <row r="889" ht="22.5" customHeight="1">
      <c r="A889" s="13"/>
      <c r="B889" s="13"/>
      <c r="C889" s="16"/>
      <c r="D889" s="13"/>
      <c r="E889" s="28"/>
      <c r="F889" s="52"/>
      <c r="G889" s="52"/>
    </row>
    <row r="890" ht="22.5" customHeight="1">
      <c r="A890" s="13"/>
      <c r="B890" s="13"/>
      <c r="C890" s="16"/>
      <c r="D890" s="13"/>
      <c r="E890" s="28"/>
      <c r="F890" s="52"/>
      <c r="G890" s="52"/>
    </row>
    <row r="891" ht="22.5" customHeight="1">
      <c r="A891" s="72"/>
      <c r="B891" s="72"/>
      <c r="C891" s="72"/>
      <c r="D891" s="72"/>
      <c r="E891" s="28"/>
      <c r="F891" s="52"/>
      <c r="G891" s="52"/>
    </row>
    <row r="892" ht="22.5" customHeight="1">
      <c r="A892" s="13"/>
      <c r="B892" s="13"/>
      <c r="C892" s="55"/>
      <c r="D892" s="13"/>
      <c r="E892" s="28"/>
      <c r="F892" s="52"/>
      <c r="G892" s="52"/>
    </row>
    <row r="893" ht="22.5" customHeight="1">
      <c r="A893" s="13"/>
      <c r="B893" s="13"/>
      <c r="C893" s="16"/>
      <c r="D893" s="13"/>
      <c r="E893" s="28"/>
      <c r="F893" s="52"/>
      <c r="G893" s="52"/>
    </row>
    <row r="894" ht="22.5" customHeight="1">
      <c r="A894" s="13"/>
      <c r="B894" s="13"/>
      <c r="C894" s="16"/>
      <c r="D894" s="13"/>
      <c r="E894" s="28"/>
      <c r="F894" s="52"/>
      <c r="G894" s="52"/>
    </row>
    <row r="895" ht="22.5" customHeight="1">
      <c r="A895" s="72"/>
      <c r="B895" s="72"/>
      <c r="C895" s="72"/>
      <c r="D895" s="72"/>
      <c r="E895" s="28"/>
      <c r="F895" s="52"/>
      <c r="G895" s="52"/>
    </row>
    <row r="896" ht="22.5" customHeight="1">
      <c r="A896" s="72"/>
      <c r="B896" s="72"/>
      <c r="C896" s="72"/>
      <c r="D896" s="72"/>
      <c r="E896" s="28"/>
      <c r="F896" s="52"/>
      <c r="G896" s="52"/>
    </row>
    <row r="897" ht="22.5" customHeight="1">
      <c r="A897" s="72"/>
      <c r="B897" s="72"/>
      <c r="C897" s="72"/>
      <c r="D897" s="72"/>
      <c r="E897" s="28"/>
      <c r="F897" s="52"/>
      <c r="G897" s="52"/>
    </row>
    <row r="898" ht="22.5" customHeight="1">
      <c r="A898" s="72"/>
      <c r="B898" s="72"/>
      <c r="C898" s="72"/>
      <c r="D898" s="72"/>
      <c r="E898" s="28"/>
      <c r="F898" s="52"/>
      <c r="G898" s="52"/>
    </row>
    <row r="899" ht="22.5" customHeight="1">
      <c r="A899" s="72"/>
      <c r="B899" s="72"/>
      <c r="C899" s="72"/>
      <c r="D899" s="72"/>
      <c r="E899" s="28"/>
      <c r="F899" s="52"/>
      <c r="G899" s="52"/>
    </row>
    <row r="900" ht="22.5" customHeight="1">
      <c r="A900" s="72"/>
      <c r="B900" s="72"/>
      <c r="C900" s="72"/>
      <c r="D900" s="72"/>
      <c r="E900" s="28"/>
      <c r="F900" s="52"/>
      <c r="G900" s="52"/>
    </row>
    <row r="901" ht="22.5" customHeight="1">
      <c r="A901" s="72"/>
      <c r="B901" s="72"/>
      <c r="C901" s="72"/>
      <c r="D901" s="72"/>
      <c r="E901" s="28"/>
      <c r="F901" s="52"/>
      <c r="G901" s="52"/>
    </row>
    <row r="902" ht="22.5" customHeight="1">
      <c r="A902" s="72"/>
      <c r="B902" s="72"/>
      <c r="C902" s="72"/>
      <c r="D902" s="72"/>
      <c r="E902" s="28"/>
      <c r="F902" s="52"/>
      <c r="G902" s="52"/>
    </row>
    <row r="903" ht="22.5" customHeight="1">
      <c r="A903" s="72"/>
      <c r="B903" s="72"/>
      <c r="C903" s="72"/>
      <c r="D903" s="72"/>
      <c r="E903" s="28"/>
      <c r="F903" s="52"/>
      <c r="G903" s="52"/>
    </row>
    <row r="904" ht="22.5" customHeight="1">
      <c r="A904" s="72"/>
      <c r="B904" s="72"/>
      <c r="C904" s="72"/>
      <c r="D904" s="72"/>
      <c r="E904" s="28"/>
      <c r="F904" s="52"/>
      <c r="G904" s="52"/>
    </row>
    <row r="905" ht="22.5" customHeight="1">
      <c r="A905" s="72"/>
      <c r="B905" s="72"/>
      <c r="C905" s="72"/>
      <c r="D905" s="72"/>
      <c r="E905" s="28"/>
      <c r="F905" s="52"/>
      <c r="G905" s="52"/>
    </row>
    <row r="906" ht="22.5" customHeight="1">
      <c r="A906" s="72"/>
      <c r="B906" s="72"/>
      <c r="C906" s="72"/>
      <c r="D906" s="72"/>
      <c r="E906" s="28"/>
      <c r="F906" s="52"/>
      <c r="G906" s="52"/>
    </row>
    <row r="907" ht="22.5" customHeight="1">
      <c r="A907" s="72"/>
      <c r="B907" s="72"/>
      <c r="C907" s="72"/>
      <c r="D907" s="72"/>
      <c r="E907" s="28"/>
      <c r="F907" s="52"/>
      <c r="G907" s="52"/>
    </row>
    <row r="908" ht="22.5" customHeight="1">
      <c r="A908" s="72"/>
      <c r="B908" s="72"/>
      <c r="C908" s="72"/>
      <c r="D908" s="72"/>
      <c r="E908" s="28"/>
      <c r="F908" s="52"/>
      <c r="G908" s="52"/>
    </row>
    <row r="909" ht="22.5" customHeight="1">
      <c r="A909" s="72"/>
      <c r="B909" s="72"/>
      <c r="C909" s="72"/>
      <c r="D909" s="72"/>
      <c r="E909" s="28"/>
      <c r="F909" s="52"/>
      <c r="G909" s="52"/>
    </row>
    <row r="910" ht="22.5" customHeight="1">
      <c r="A910" s="72"/>
      <c r="B910" s="72"/>
      <c r="C910" s="72"/>
      <c r="D910" s="72"/>
      <c r="E910" s="28"/>
      <c r="F910" s="52"/>
      <c r="G910" s="52"/>
    </row>
    <row r="911" ht="22.5" customHeight="1">
      <c r="A911" s="72"/>
      <c r="B911" s="72"/>
      <c r="C911" s="72"/>
      <c r="D911" s="72"/>
      <c r="E911" s="28"/>
      <c r="F911" s="52"/>
      <c r="G911" s="52"/>
    </row>
    <row r="912" ht="22.5" customHeight="1">
      <c r="A912" s="72"/>
      <c r="B912" s="72"/>
      <c r="C912" s="72"/>
      <c r="D912" s="72"/>
      <c r="E912" s="28"/>
      <c r="F912" s="52"/>
      <c r="G912" s="52"/>
    </row>
    <row r="913" ht="22.5" customHeight="1">
      <c r="A913" s="72"/>
      <c r="B913" s="72"/>
      <c r="C913" s="72"/>
      <c r="D913" s="72"/>
      <c r="E913" s="28"/>
      <c r="F913" s="52"/>
      <c r="G913" s="52"/>
    </row>
    <row r="914" ht="22.5" customHeight="1">
      <c r="A914" s="72"/>
      <c r="B914" s="72"/>
      <c r="C914" s="72"/>
      <c r="D914" s="72"/>
      <c r="E914" s="28"/>
      <c r="F914" s="52"/>
      <c r="G914" s="52"/>
    </row>
    <row r="915" ht="22.5" customHeight="1">
      <c r="A915" s="72"/>
      <c r="B915" s="72"/>
      <c r="C915" s="72"/>
      <c r="D915" s="72"/>
      <c r="E915" s="28"/>
      <c r="F915" s="52"/>
      <c r="G915" s="52"/>
    </row>
    <row r="916" ht="22.5" customHeight="1">
      <c r="A916" s="72"/>
      <c r="B916" s="72"/>
      <c r="C916" s="72"/>
      <c r="D916" s="72"/>
      <c r="E916" s="28"/>
      <c r="F916" s="52"/>
      <c r="G916" s="52"/>
    </row>
    <row r="917" ht="22.5" customHeight="1">
      <c r="A917" s="72"/>
      <c r="B917" s="72"/>
      <c r="C917" s="72"/>
      <c r="D917" s="72"/>
      <c r="E917" s="28"/>
      <c r="F917" s="52"/>
      <c r="G917" s="52"/>
    </row>
    <row r="918" ht="22.5" customHeight="1">
      <c r="A918" s="72"/>
      <c r="B918" s="72"/>
      <c r="C918" s="72"/>
      <c r="D918" s="72"/>
      <c r="E918" s="28"/>
      <c r="F918" s="52"/>
      <c r="G918" s="52"/>
    </row>
    <row r="919" ht="22.5" customHeight="1">
      <c r="A919" s="72"/>
      <c r="B919" s="72"/>
      <c r="C919" s="72"/>
      <c r="D919" s="72"/>
      <c r="E919" s="28"/>
      <c r="F919" s="52"/>
      <c r="G919" s="52"/>
    </row>
    <row r="920" ht="22.5" customHeight="1">
      <c r="A920" s="72"/>
      <c r="B920" s="72"/>
      <c r="C920" s="72"/>
      <c r="D920" s="72"/>
      <c r="E920" s="28"/>
      <c r="F920" s="52"/>
      <c r="G920" s="52"/>
    </row>
    <row r="921" ht="22.5" customHeight="1">
      <c r="A921" s="72"/>
      <c r="B921" s="72"/>
      <c r="C921" s="72"/>
      <c r="D921" s="72"/>
      <c r="E921" s="28"/>
      <c r="F921" s="52"/>
      <c r="G921" s="52"/>
    </row>
    <row r="922" ht="22.5" customHeight="1">
      <c r="A922" s="72"/>
      <c r="B922" s="72"/>
      <c r="C922" s="72"/>
      <c r="D922" s="72"/>
      <c r="E922" s="28"/>
      <c r="F922" s="52"/>
      <c r="G922" s="52"/>
    </row>
    <row r="923" ht="22.5" customHeight="1">
      <c r="A923" s="72"/>
      <c r="B923" s="72"/>
      <c r="C923" s="72"/>
      <c r="D923" s="72"/>
      <c r="E923" s="28"/>
      <c r="F923" s="52"/>
      <c r="G923" s="52"/>
    </row>
    <row r="924" ht="22.5" customHeight="1">
      <c r="A924" s="72"/>
      <c r="B924" s="72"/>
      <c r="C924" s="72"/>
      <c r="D924" s="72"/>
      <c r="E924" s="28"/>
      <c r="F924" s="52"/>
      <c r="G924" s="52"/>
    </row>
    <row r="925" ht="22.5" customHeight="1">
      <c r="A925" s="72"/>
      <c r="B925" s="72"/>
      <c r="C925" s="72"/>
      <c r="D925" s="72"/>
      <c r="E925" s="28"/>
      <c r="F925" s="52"/>
      <c r="G925" s="52"/>
    </row>
    <row r="926" ht="22.5" customHeight="1">
      <c r="A926" s="72"/>
      <c r="B926" s="72"/>
      <c r="C926" s="72"/>
      <c r="D926" s="72"/>
      <c r="E926" s="28"/>
      <c r="F926" s="52"/>
      <c r="G926" s="52"/>
    </row>
    <row r="927" ht="22.5" customHeight="1">
      <c r="A927" s="72"/>
      <c r="B927" s="72"/>
      <c r="C927" s="72"/>
      <c r="D927" s="72"/>
      <c r="E927" s="28"/>
      <c r="F927" s="52"/>
      <c r="G927" s="52"/>
    </row>
    <row r="928" ht="22.5" customHeight="1">
      <c r="A928" s="72"/>
      <c r="B928" s="72"/>
      <c r="C928" s="72"/>
      <c r="D928" s="72"/>
      <c r="E928" s="28"/>
      <c r="F928" s="52"/>
      <c r="G928" s="52"/>
    </row>
    <row r="929" ht="22.5" customHeight="1">
      <c r="A929" s="72"/>
      <c r="B929" s="72"/>
      <c r="C929" s="72"/>
      <c r="D929" s="72"/>
      <c r="E929" s="28"/>
      <c r="F929" s="52"/>
      <c r="G929" s="52"/>
    </row>
    <row r="930" ht="22.5" customHeight="1">
      <c r="A930" s="72"/>
      <c r="B930" s="72"/>
      <c r="C930" s="72"/>
      <c r="D930" s="72"/>
      <c r="E930" s="28"/>
      <c r="F930" s="52"/>
      <c r="G930" s="52"/>
    </row>
    <row r="931" ht="22.5" customHeight="1">
      <c r="A931" s="72"/>
      <c r="B931" s="72"/>
      <c r="C931" s="72"/>
      <c r="D931" s="72"/>
      <c r="E931" s="28"/>
      <c r="F931" s="52"/>
      <c r="G931" s="52"/>
    </row>
    <row r="932" ht="22.5" customHeight="1">
      <c r="A932" s="72"/>
      <c r="B932" s="72"/>
      <c r="C932" s="72"/>
      <c r="D932" s="72"/>
      <c r="E932" s="28"/>
      <c r="F932" s="52"/>
      <c r="G932" s="52"/>
    </row>
    <row r="933" ht="22.5" customHeight="1">
      <c r="A933" s="72"/>
      <c r="B933" s="72"/>
      <c r="C933" s="72"/>
      <c r="D933" s="72"/>
      <c r="E933" s="28"/>
      <c r="F933" s="52"/>
      <c r="G933" s="52"/>
    </row>
    <row r="934" ht="22.5" customHeight="1">
      <c r="A934" s="72"/>
      <c r="B934" s="72"/>
      <c r="C934" s="72"/>
      <c r="D934" s="72"/>
      <c r="E934" s="28"/>
      <c r="F934" s="52"/>
      <c r="G934" s="52"/>
    </row>
    <row r="935" ht="22.5" customHeight="1">
      <c r="A935" s="72"/>
      <c r="B935" s="72"/>
      <c r="C935" s="72"/>
      <c r="D935" s="72"/>
      <c r="E935" s="28"/>
      <c r="F935" s="52"/>
      <c r="G935" s="52"/>
    </row>
    <row r="936" ht="22.5" customHeight="1">
      <c r="A936" s="72"/>
      <c r="B936" s="72"/>
      <c r="C936" s="72"/>
      <c r="D936" s="72"/>
      <c r="E936" s="28"/>
      <c r="F936" s="52"/>
      <c r="G936" s="52"/>
    </row>
    <row r="937" ht="22.5" customHeight="1">
      <c r="A937" s="72"/>
      <c r="B937" s="72"/>
      <c r="C937" s="72"/>
      <c r="D937" s="72"/>
      <c r="E937" s="28"/>
      <c r="F937" s="52"/>
      <c r="G937" s="52"/>
    </row>
    <row r="938" ht="22.5" customHeight="1">
      <c r="A938" s="72"/>
      <c r="B938" s="72"/>
      <c r="C938" s="72"/>
      <c r="D938" s="72"/>
      <c r="E938" s="28"/>
      <c r="F938" s="52"/>
      <c r="G938" s="52"/>
    </row>
    <row r="939" ht="22.5" customHeight="1">
      <c r="A939" s="72"/>
      <c r="B939" s="72"/>
      <c r="C939" s="72"/>
      <c r="D939" s="72"/>
      <c r="E939" s="28"/>
      <c r="F939" s="52"/>
      <c r="G939" s="52"/>
    </row>
    <row r="940" ht="22.5" customHeight="1">
      <c r="A940" s="72"/>
      <c r="B940" s="72"/>
      <c r="C940" s="72"/>
      <c r="D940" s="72"/>
      <c r="E940" s="28"/>
      <c r="F940" s="52"/>
      <c r="G940" s="52"/>
    </row>
    <row r="941" ht="22.5" customHeight="1">
      <c r="A941" s="72"/>
      <c r="B941" s="72"/>
      <c r="C941" s="72"/>
      <c r="D941" s="72"/>
      <c r="E941" s="28"/>
      <c r="F941" s="52"/>
      <c r="G941" s="52"/>
    </row>
    <row r="942" ht="22.5" customHeight="1">
      <c r="A942" s="72"/>
      <c r="B942" s="72"/>
      <c r="C942" s="72"/>
      <c r="D942" s="72"/>
      <c r="E942" s="28"/>
      <c r="F942" s="52"/>
      <c r="G942" s="52"/>
    </row>
    <row r="943" ht="22.5" customHeight="1">
      <c r="A943" s="72"/>
      <c r="B943" s="72"/>
      <c r="C943" s="72"/>
      <c r="D943" s="72"/>
      <c r="E943" s="28"/>
      <c r="F943" s="52"/>
      <c r="G943" s="52"/>
    </row>
    <row r="944" ht="22.5" customHeight="1">
      <c r="A944" s="72"/>
      <c r="B944" s="72"/>
      <c r="C944" s="72"/>
      <c r="D944" s="72"/>
      <c r="E944" s="28"/>
      <c r="F944" s="52"/>
      <c r="G944" s="52"/>
    </row>
    <row r="945" ht="22.5" customHeight="1">
      <c r="A945" s="72"/>
      <c r="B945" s="72"/>
      <c r="C945" s="72"/>
      <c r="D945" s="72"/>
      <c r="E945" s="28"/>
      <c r="F945" s="52"/>
      <c r="G945" s="52"/>
    </row>
    <row r="946" ht="22.5" customHeight="1">
      <c r="A946" s="72"/>
      <c r="B946" s="72"/>
      <c r="C946" s="72"/>
      <c r="D946" s="72"/>
      <c r="E946" s="28"/>
      <c r="F946" s="52"/>
      <c r="G946" s="52"/>
    </row>
    <row r="947" ht="22.5" customHeight="1">
      <c r="A947" s="72"/>
      <c r="B947" s="72"/>
      <c r="C947" s="72"/>
      <c r="D947" s="72"/>
      <c r="E947" s="28"/>
      <c r="F947" s="52"/>
      <c r="G947" s="52"/>
    </row>
    <row r="948" ht="22.5" customHeight="1">
      <c r="A948" s="72"/>
      <c r="B948" s="72"/>
      <c r="C948" s="72"/>
      <c r="D948" s="72"/>
      <c r="E948" s="28"/>
      <c r="F948" s="52"/>
      <c r="G948" s="52"/>
    </row>
    <row r="949" ht="22.5" customHeight="1">
      <c r="A949" s="72"/>
      <c r="B949" s="72"/>
      <c r="C949" s="72"/>
      <c r="D949" s="72"/>
      <c r="E949" s="28"/>
      <c r="F949" s="52"/>
      <c r="G949" s="52"/>
    </row>
    <row r="950" ht="22.5" customHeight="1">
      <c r="A950" s="72"/>
      <c r="B950" s="72"/>
      <c r="C950" s="72"/>
      <c r="D950" s="72"/>
      <c r="E950" s="28"/>
      <c r="F950" s="52"/>
      <c r="G950" s="52"/>
    </row>
    <row r="951" ht="22.5" customHeight="1">
      <c r="A951" s="72"/>
      <c r="B951" s="72"/>
      <c r="C951" s="72"/>
      <c r="D951" s="72"/>
      <c r="E951" s="28"/>
      <c r="F951" s="52"/>
      <c r="G951" s="52"/>
    </row>
    <row r="952" ht="22.5" customHeight="1">
      <c r="A952" s="72"/>
      <c r="B952" s="72"/>
      <c r="C952" s="72"/>
      <c r="D952" s="72"/>
      <c r="E952" s="28"/>
      <c r="F952" s="52"/>
      <c r="G952" s="52"/>
    </row>
    <row r="953" ht="22.5" customHeight="1">
      <c r="A953" s="72"/>
      <c r="B953" s="72"/>
      <c r="C953" s="72"/>
      <c r="D953" s="72"/>
      <c r="E953" s="28"/>
      <c r="F953" s="52"/>
      <c r="G953" s="52"/>
    </row>
    <row r="954" ht="22.5" customHeight="1">
      <c r="A954" s="72"/>
      <c r="B954" s="72"/>
      <c r="C954" s="72"/>
      <c r="D954" s="72"/>
      <c r="E954" s="28"/>
      <c r="F954" s="52"/>
      <c r="G954" s="52"/>
    </row>
    <row r="955" ht="22.5" customHeight="1">
      <c r="A955" s="72"/>
      <c r="B955" s="72"/>
      <c r="C955" s="72"/>
      <c r="D955" s="72"/>
      <c r="E955" s="28"/>
      <c r="F955" s="52"/>
      <c r="G955" s="52"/>
    </row>
    <row r="956" ht="22.5" customHeight="1">
      <c r="A956" s="72"/>
      <c r="B956" s="72"/>
      <c r="C956" s="72"/>
      <c r="D956" s="72"/>
      <c r="E956" s="28"/>
      <c r="F956" s="52"/>
      <c r="G956" s="52"/>
    </row>
    <row r="957" ht="22.5" customHeight="1">
      <c r="A957" s="72"/>
      <c r="B957" s="72"/>
      <c r="C957" s="72"/>
      <c r="D957" s="72"/>
      <c r="E957" s="28"/>
      <c r="F957" s="52"/>
      <c r="G957" s="52"/>
    </row>
    <row r="958" ht="22.5" customHeight="1">
      <c r="A958" s="72"/>
      <c r="B958" s="72"/>
      <c r="C958" s="72"/>
      <c r="D958" s="72"/>
      <c r="E958" s="28"/>
      <c r="F958" s="52"/>
      <c r="G958" s="52"/>
    </row>
    <row r="959" ht="22.5" customHeight="1">
      <c r="A959" s="72"/>
      <c r="B959" s="72"/>
      <c r="C959" s="72"/>
      <c r="D959" s="72"/>
      <c r="E959" s="28"/>
      <c r="F959" s="52"/>
      <c r="G959" s="52"/>
    </row>
    <row r="960" ht="22.5" customHeight="1">
      <c r="A960" s="72"/>
      <c r="B960" s="72"/>
      <c r="C960" s="72"/>
      <c r="D960" s="72"/>
      <c r="E960" s="28"/>
      <c r="F960" s="52"/>
      <c r="G960" s="52"/>
    </row>
    <row r="961" ht="22.5" customHeight="1">
      <c r="A961" s="72"/>
      <c r="B961" s="72"/>
      <c r="C961" s="72"/>
      <c r="D961" s="72"/>
      <c r="E961" s="28"/>
      <c r="F961" s="52"/>
      <c r="G961" s="52"/>
    </row>
    <row r="962" ht="22.5" customHeight="1">
      <c r="A962" s="72"/>
      <c r="B962" s="72"/>
      <c r="C962" s="72"/>
      <c r="D962" s="72"/>
      <c r="E962" s="28"/>
      <c r="F962" s="52"/>
      <c r="G962" s="52"/>
    </row>
    <row r="963" ht="22.5" customHeight="1">
      <c r="A963" s="72"/>
      <c r="B963" s="72"/>
      <c r="C963" s="72"/>
      <c r="D963" s="72"/>
      <c r="E963" s="28"/>
      <c r="F963" s="52"/>
      <c r="G963" s="52"/>
    </row>
    <row r="964" ht="22.5" customHeight="1">
      <c r="A964" s="72"/>
      <c r="B964" s="72"/>
      <c r="C964" s="72"/>
      <c r="D964" s="72"/>
      <c r="E964" s="28"/>
      <c r="F964" s="52"/>
      <c r="G964" s="52"/>
    </row>
    <row r="965" ht="22.5" customHeight="1">
      <c r="A965" s="72"/>
      <c r="B965" s="72"/>
      <c r="C965" s="72"/>
      <c r="D965" s="72"/>
      <c r="E965" s="28"/>
      <c r="F965" s="52"/>
      <c r="G965" s="52"/>
    </row>
    <row r="966" ht="22.5" customHeight="1">
      <c r="A966" s="72"/>
      <c r="B966" s="72"/>
      <c r="C966" s="72"/>
      <c r="D966" s="72"/>
      <c r="E966" s="28"/>
      <c r="F966" s="52"/>
      <c r="G966" s="52"/>
    </row>
    <row r="967" ht="22.5" customHeight="1">
      <c r="A967" s="72"/>
      <c r="B967" s="72"/>
      <c r="C967" s="72"/>
      <c r="D967" s="72"/>
      <c r="E967" s="28"/>
      <c r="F967" s="52"/>
      <c r="G967" s="52"/>
    </row>
    <row r="968" ht="22.5" customHeight="1">
      <c r="A968" s="72"/>
      <c r="B968" s="72"/>
      <c r="C968" s="72"/>
      <c r="D968" s="72"/>
      <c r="E968" s="28"/>
      <c r="F968" s="52"/>
      <c r="G968" s="52"/>
    </row>
    <row r="969" ht="22.5" customHeight="1">
      <c r="A969" s="72"/>
      <c r="B969" s="72"/>
      <c r="C969" s="72"/>
      <c r="D969" s="72"/>
      <c r="E969" s="28"/>
      <c r="F969" s="52"/>
      <c r="G969" s="52"/>
    </row>
    <row r="970" ht="22.5" customHeight="1">
      <c r="A970" s="72"/>
      <c r="B970" s="72"/>
      <c r="C970" s="72"/>
      <c r="D970" s="72"/>
      <c r="E970" s="28"/>
      <c r="F970" s="52"/>
      <c r="G970" s="52"/>
    </row>
    <row r="971" ht="22.5" customHeight="1">
      <c r="A971" s="72"/>
      <c r="B971" s="72"/>
      <c r="C971" s="72"/>
      <c r="D971" s="72"/>
      <c r="E971" s="28"/>
      <c r="F971" s="52"/>
      <c r="G971" s="52"/>
    </row>
    <row r="972" ht="22.5" customHeight="1">
      <c r="A972" s="72"/>
      <c r="B972" s="72"/>
      <c r="C972" s="72"/>
      <c r="D972" s="72"/>
      <c r="E972" s="28"/>
      <c r="F972" s="52"/>
      <c r="G972" s="52"/>
    </row>
    <row r="973" ht="22.5" customHeight="1">
      <c r="A973" s="72"/>
      <c r="B973" s="72"/>
      <c r="C973" s="72"/>
      <c r="D973" s="72"/>
      <c r="E973" s="28"/>
      <c r="F973" s="52"/>
      <c r="G973" s="52"/>
    </row>
    <row r="974" ht="22.5" customHeight="1">
      <c r="A974" s="72"/>
      <c r="B974" s="72"/>
      <c r="C974" s="72"/>
      <c r="D974" s="72"/>
      <c r="E974" s="28"/>
      <c r="F974" s="52"/>
      <c r="G974" s="52"/>
    </row>
    <row r="975" ht="22.5" customHeight="1">
      <c r="A975" s="72"/>
      <c r="B975" s="72"/>
      <c r="C975" s="72"/>
      <c r="D975" s="72"/>
      <c r="E975" s="28"/>
      <c r="F975" s="52"/>
      <c r="G975" s="52"/>
    </row>
    <row r="976" ht="22.5" customHeight="1">
      <c r="A976" s="72"/>
      <c r="B976" s="72"/>
      <c r="C976" s="72"/>
      <c r="D976" s="72"/>
      <c r="E976" s="28"/>
      <c r="F976" s="52"/>
      <c r="G976" s="52"/>
    </row>
    <row r="977" ht="22.5" customHeight="1">
      <c r="A977" s="72"/>
      <c r="B977" s="72"/>
      <c r="C977" s="72"/>
      <c r="D977" s="72"/>
      <c r="E977" s="28"/>
      <c r="F977" s="52"/>
      <c r="G977" s="52"/>
    </row>
    <row r="978" ht="22.5" customHeight="1">
      <c r="A978" s="72"/>
      <c r="B978" s="72"/>
      <c r="C978" s="72"/>
      <c r="D978" s="72"/>
      <c r="E978" s="28"/>
      <c r="F978" s="52"/>
      <c r="G978" s="52"/>
    </row>
    <row r="979" ht="22.5" customHeight="1">
      <c r="A979" s="72"/>
      <c r="B979" s="72"/>
      <c r="C979" s="72"/>
      <c r="D979" s="72"/>
      <c r="E979" s="28"/>
      <c r="F979" s="52"/>
      <c r="G979" s="52"/>
    </row>
    <row r="980" ht="22.5" customHeight="1">
      <c r="A980" s="72"/>
      <c r="B980" s="72"/>
      <c r="C980" s="72"/>
      <c r="D980" s="72"/>
      <c r="E980" s="28"/>
      <c r="F980" s="52"/>
      <c r="G980" s="52"/>
    </row>
    <row r="981" ht="22.5" customHeight="1">
      <c r="A981" s="72"/>
      <c r="B981" s="72"/>
      <c r="C981" s="72"/>
      <c r="D981" s="72"/>
      <c r="E981" s="28"/>
      <c r="F981" s="52"/>
      <c r="G981" s="52"/>
    </row>
    <row r="982" ht="22.5" customHeight="1">
      <c r="A982" s="72"/>
      <c r="B982" s="72"/>
      <c r="C982" s="72"/>
      <c r="D982" s="72"/>
      <c r="E982" s="28"/>
      <c r="F982" s="52"/>
      <c r="G982" s="52"/>
    </row>
    <row r="983" ht="22.5" customHeight="1">
      <c r="A983" s="72"/>
      <c r="B983" s="72"/>
      <c r="C983" s="72"/>
      <c r="D983" s="72"/>
      <c r="E983" s="28"/>
      <c r="F983" s="52"/>
      <c r="G983" s="52"/>
    </row>
    <row r="984" ht="22.5" customHeight="1">
      <c r="A984" s="72"/>
      <c r="B984" s="72"/>
      <c r="C984" s="72"/>
      <c r="D984" s="72"/>
      <c r="E984" s="28"/>
      <c r="F984" s="52"/>
      <c r="G984" s="52"/>
    </row>
    <row r="985" ht="22.5" customHeight="1">
      <c r="A985" s="72"/>
      <c r="B985" s="72"/>
      <c r="C985" s="72"/>
      <c r="D985" s="72"/>
      <c r="E985" s="28"/>
      <c r="F985" s="52"/>
      <c r="G985" s="52"/>
    </row>
    <row r="986" ht="22.5" customHeight="1">
      <c r="A986" s="72"/>
      <c r="B986" s="72"/>
      <c r="C986" s="72"/>
      <c r="D986" s="72"/>
      <c r="E986" s="28"/>
      <c r="F986" s="52"/>
      <c r="G986" s="52"/>
    </row>
    <row r="987" ht="22.5" customHeight="1">
      <c r="A987" s="72"/>
      <c r="B987" s="72"/>
      <c r="C987" s="72"/>
      <c r="D987" s="72"/>
      <c r="E987" s="28"/>
      <c r="F987" s="52"/>
      <c r="G987" s="52"/>
    </row>
    <row r="988" ht="22.5" customHeight="1">
      <c r="A988" s="72"/>
      <c r="B988" s="72"/>
      <c r="C988" s="72"/>
      <c r="D988" s="72"/>
      <c r="E988" s="28"/>
      <c r="F988" s="52"/>
      <c r="G988" s="52"/>
    </row>
    <row r="989" ht="22.5" customHeight="1">
      <c r="A989" s="72"/>
      <c r="B989" s="72"/>
      <c r="C989" s="72"/>
      <c r="D989" s="72"/>
      <c r="E989" s="28"/>
      <c r="F989" s="52"/>
      <c r="G989" s="52"/>
    </row>
    <row r="990" ht="22.5" customHeight="1">
      <c r="A990" s="72"/>
      <c r="B990" s="72"/>
      <c r="C990" s="72"/>
      <c r="D990" s="72"/>
      <c r="E990" s="28"/>
      <c r="F990" s="52"/>
      <c r="G990" s="52"/>
    </row>
    <row r="991" ht="22.5" customHeight="1">
      <c r="A991" s="72"/>
      <c r="B991" s="72"/>
      <c r="C991" s="72"/>
      <c r="D991" s="72"/>
      <c r="E991" s="28"/>
      <c r="F991" s="52"/>
      <c r="G991" s="52"/>
    </row>
    <row r="992" ht="22.5" customHeight="1">
      <c r="A992" s="72"/>
      <c r="B992" s="72"/>
      <c r="C992" s="72"/>
      <c r="D992" s="72"/>
      <c r="E992" s="28"/>
      <c r="F992" s="52"/>
      <c r="G992" s="52"/>
    </row>
    <row r="993" ht="22.5" customHeight="1">
      <c r="A993" s="72"/>
      <c r="B993" s="72"/>
      <c r="C993" s="72"/>
      <c r="D993" s="72"/>
      <c r="E993" s="28"/>
      <c r="F993" s="52"/>
      <c r="G993" s="52"/>
    </row>
    <row r="994" ht="22.5" customHeight="1">
      <c r="A994" s="72"/>
      <c r="B994" s="72"/>
      <c r="C994" s="72"/>
      <c r="D994" s="72"/>
      <c r="E994" s="28"/>
      <c r="F994" s="52"/>
      <c r="G994" s="52"/>
    </row>
    <row r="995" ht="22.5" customHeight="1">
      <c r="A995" s="72"/>
      <c r="B995" s="72"/>
      <c r="C995" s="72"/>
      <c r="D995" s="72"/>
      <c r="E995" s="28"/>
      <c r="F995" s="52"/>
      <c r="G995" s="52"/>
    </row>
    <row r="996" ht="22.5" customHeight="1">
      <c r="A996" s="72"/>
      <c r="B996" s="72"/>
      <c r="C996" s="72"/>
      <c r="D996" s="72"/>
      <c r="E996" s="28"/>
      <c r="F996" s="52"/>
      <c r="G996" s="52"/>
    </row>
    <row r="997" ht="22.5" customHeight="1">
      <c r="A997" s="72"/>
      <c r="B997" s="72"/>
      <c r="C997" s="72"/>
      <c r="D997" s="72"/>
      <c r="E997" s="28"/>
      <c r="F997" s="52"/>
      <c r="G997" s="52"/>
    </row>
    <row r="998" ht="22.5" customHeight="1">
      <c r="A998" s="72"/>
      <c r="B998" s="72"/>
      <c r="C998" s="72"/>
      <c r="D998" s="72"/>
      <c r="E998" s="28"/>
      <c r="F998" s="52"/>
      <c r="G998" s="52"/>
    </row>
    <row r="999" ht="22.5" customHeight="1">
      <c r="A999" s="72"/>
      <c r="B999" s="72"/>
      <c r="C999" s="72"/>
      <c r="D999" s="72"/>
      <c r="E999" s="28"/>
      <c r="F999" s="52"/>
      <c r="G999" s="52"/>
    </row>
    <row r="1000" ht="22.5" customHeight="1">
      <c r="A1000" s="72"/>
      <c r="B1000" s="72"/>
      <c r="C1000" s="72"/>
      <c r="D1000" s="72"/>
      <c r="E1000" s="28"/>
      <c r="F1000" s="52"/>
      <c r="G1000" s="52"/>
    </row>
    <row r="1001" ht="22.5" customHeight="1">
      <c r="A1001" s="72"/>
      <c r="B1001" s="72"/>
      <c r="C1001" s="72"/>
      <c r="D1001" s="72"/>
      <c r="E1001" s="28"/>
      <c r="F1001" s="52"/>
      <c r="G1001" s="52"/>
    </row>
    <row r="1002" ht="22.5" customHeight="1">
      <c r="A1002" s="72"/>
      <c r="B1002" s="72"/>
      <c r="C1002" s="72"/>
      <c r="D1002" s="72"/>
      <c r="E1002" s="28"/>
      <c r="F1002" s="52"/>
      <c r="G1002" s="52"/>
    </row>
    <row r="1003" ht="22.5" customHeight="1">
      <c r="A1003" s="72"/>
      <c r="B1003" s="72"/>
      <c r="C1003" s="72"/>
      <c r="D1003" s="72"/>
      <c r="E1003" s="28"/>
      <c r="F1003" s="52"/>
      <c r="G1003" s="52"/>
    </row>
    <row r="1004" ht="22.5" customHeight="1">
      <c r="A1004" s="72"/>
      <c r="B1004" s="72"/>
      <c r="C1004" s="72"/>
      <c r="D1004" s="72"/>
      <c r="E1004" s="28"/>
      <c r="F1004" s="52"/>
      <c r="G1004" s="52"/>
    </row>
    <row r="1005" ht="22.5" customHeight="1">
      <c r="A1005" s="72"/>
      <c r="B1005" s="72"/>
      <c r="C1005" s="72"/>
      <c r="D1005" s="72"/>
      <c r="E1005" s="28"/>
      <c r="F1005" s="52"/>
      <c r="G1005" s="52"/>
    </row>
    <row r="1006" ht="22.5" customHeight="1">
      <c r="A1006" s="72"/>
      <c r="B1006" s="72"/>
      <c r="C1006" s="72"/>
      <c r="D1006" s="72"/>
      <c r="E1006" s="28"/>
      <c r="F1006" s="52"/>
      <c r="G1006" s="52"/>
    </row>
    <row r="1007" ht="22.5" customHeight="1">
      <c r="A1007" s="72"/>
      <c r="B1007" s="72"/>
      <c r="C1007" s="72"/>
      <c r="D1007" s="72"/>
      <c r="E1007" s="28"/>
      <c r="F1007" s="52"/>
      <c r="G1007" s="52"/>
    </row>
    <row r="1008" ht="22.5" customHeight="1">
      <c r="A1008" s="72"/>
      <c r="B1008" s="72"/>
      <c r="C1008" s="72"/>
      <c r="D1008" s="72"/>
      <c r="E1008" s="28"/>
      <c r="F1008" s="52"/>
      <c r="G1008" s="52"/>
    </row>
    <row r="1009" ht="22.5" customHeight="1">
      <c r="A1009" s="72"/>
      <c r="B1009" s="72"/>
      <c r="C1009" s="72"/>
      <c r="D1009" s="72"/>
      <c r="E1009" s="28"/>
      <c r="F1009" s="52"/>
      <c r="G1009" s="52"/>
    </row>
    <row r="1010" ht="22.5" customHeight="1">
      <c r="A1010" s="72"/>
      <c r="B1010" s="72"/>
      <c r="C1010" s="72"/>
      <c r="D1010" s="72"/>
      <c r="E1010" s="28"/>
      <c r="F1010" s="52"/>
      <c r="G1010" s="52"/>
    </row>
    <row r="1011" ht="22.5" customHeight="1">
      <c r="A1011" s="72"/>
      <c r="B1011" s="72"/>
      <c r="C1011" s="72"/>
      <c r="D1011" s="72"/>
      <c r="E1011" s="28"/>
      <c r="F1011" s="52"/>
      <c r="G1011" s="52"/>
    </row>
    <row r="1012" ht="22.5" customHeight="1">
      <c r="A1012" s="72"/>
      <c r="B1012" s="72"/>
      <c r="C1012" s="72"/>
      <c r="D1012" s="72"/>
      <c r="E1012" s="28"/>
      <c r="F1012" s="52"/>
      <c r="G1012" s="52"/>
    </row>
    <row r="1013" ht="22.5" customHeight="1">
      <c r="A1013" s="72"/>
      <c r="B1013" s="72"/>
      <c r="C1013" s="72"/>
      <c r="D1013" s="72"/>
      <c r="E1013" s="28"/>
      <c r="F1013" s="52"/>
      <c r="G1013" s="52"/>
    </row>
    <row r="1014" ht="22.5" customHeight="1">
      <c r="A1014" s="72"/>
      <c r="B1014" s="72"/>
      <c r="C1014" s="72"/>
      <c r="D1014" s="72"/>
      <c r="E1014" s="28"/>
      <c r="F1014" s="52"/>
      <c r="G1014" s="52"/>
    </row>
    <row r="1015" ht="22.5" customHeight="1">
      <c r="A1015" s="72"/>
      <c r="B1015" s="72"/>
      <c r="C1015" s="72"/>
      <c r="D1015" s="72"/>
      <c r="E1015" s="28"/>
      <c r="F1015" s="52"/>
      <c r="G1015" s="52"/>
    </row>
    <row r="1016" ht="22.5" customHeight="1">
      <c r="A1016" s="72"/>
      <c r="B1016" s="72"/>
      <c r="C1016" s="72"/>
      <c r="D1016" s="72"/>
      <c r="E1016" s="28"/>
      <c r="F1016" s="52"/>
      <c r="G1016" s="52"/>
    </row>
    <row r="1017" ht="22.5" customHeight="1">
      <c r="A1017" s="72"/>
      <c r="B1017" s="72"/>
      <c r="C1017" s="72"/>
      <c r="D1017" s="72"/>
      <c r="E1017" s="28"/>
      <c r="F1017" s="52"/>
      <c r="G1017" s="52"/>
    </row>
    <row r="1018" ht="22.5" customHeight="1">
      <c r="A1018" s="72"/>
      <c r="B1018" s="72"/>
      <c r="C1018" s="72"/>
      <c r="D1018" s="72"/>
      <c r="E1018" s="28"/>
      <c r="F1018" s="52"/>
      <c r="G1018" s="52"/>
    </row>
    <row r="1019" ht="22.5" customHeight="1">
      <c r="A1019" s="72"/>
      <c r="B1019" s="72"/>
      <c r="C1019" s="72"/>
      <c r="D1019" s="72"/>
      <c r="E1019" s="28"/>
      <c r="F1019" s="52"/>
      <c r="G1019" s="52"/>
    </row>
    <row r="1020" ht="22.5" customHeight="1">
      <c r="A1020" s="72"/>
      <c r="B1020" s="72"/>
      <c r="C1020" s="72"/>
      <c r="D1020" s="72"/>
      <c r="E1020" s="28"/>
      <c r="F1020" s="52"/>
      <c r="G1020" s="52"/>
    </row>
    <row r="1021" ht="22.5" customHeight="1">
      <c r="A1021" s="72"/>
      <c r="B1021" s="72"/>
      <c r="C1021" s="72"/>
      <c r="D1021" s="72"/>
      <c r="E1021" s="28"/>
      <c r="F1021" s="52"/>
      <c r="G1021" s="52"/>
    </row>
    <row r="1022" ht="22.5" customHeight="1">
      <c r="A1022" s="72"/>
      <c r="B1022" s="72"/>
      <c r="C1022" s="72"/>
      <c r="D1022" s="72"/>
      <c r="E1022" s="28"/>
      <c r="F1022" s="52"/>
      <c r="G1022" s="52"/>
    </row>
    <row r="1023" ht="22.5" customHeight="1">
      <c r="A1023" s="72"/>
      <c r="B1023" s="72"/>
      <c r="C1023" s="72"/>
      <c r="D1023" s="72"/>
      <c r="E1023" s="28"/>
      <c r="F1023" s="52"/>
      <c r="G1023" s="52"/>
    </row>
    <row r="1024" ht="22.5" customHeight="1">
      <c r="A1024" s="72"/>
      <c r="B1024" s="72"/>
      <c r="C1024" s="72"/>
      <c r="D1024" s="72"/>
      <c r="E1024" s="28"/>
      <c r="F1024" s="52"/>
      <c r="G1024" s="52"/>
    </row>
    <row r="1025" ht="22.5" customHeight="1">
      <c r="A1025" s="72"/>
      <c r="B1025" s="72"/>
      <c r="C1025" s="72"/>
      <c r="D1025" s="72"/>
      <c r="E1025" s="28"/>
      <c r="F1025" s="52"/>
      <c r="G1025" s="52"/>
    </row>
    <row r="1026" ht="22.5" customHeight="1">
      <c r="A1026" s="72"/>
      <c r="B1026" s="72"/>
      <c r="C1026" s="72"/>
      <c r="D1026" s="72"/>
      <c r="E1026" s="28"/>
      <c r="F1026" s="52"/>
      <c r="G1026" s="52"/>
    </row>
    <row r="1027" ht="22.5" customHeight="1">
      <c r="A1027" s="72"/>
      <c r="B1027" s="72"/>
      <c r="C1027" s="72"/>
      <c r="D1027" s="72"/>
      <c r="E1027" s="28"/>
      <c r="F1027" s="52"/>
      <c r="G1027" s="52"/>
    </row>
    <row r="1028" ht="22.5" customHeight="1">
      <c r="A1028" s="72"/>
      <c r="B1028" s="72"/>
      <c r="C1028" s="72"/>
      <c r="D1028" s="72"/>
      <c r="E1028" s="28"/>
      <c r="F1028" s="52"/>
      <c r="G1028" s="52"/>
    </row>
    <row r="1029" ht="22.5" customHeight="1">
      <c r="A1029" s="72"/>
      <c r="B1029" s="72"/>
      <c r="C1029" s="72"/>
      <c r="D1029" s="72"/>
      <c r="E1029" s="28"/>
      <c r="F1029" s="52"/>
      <c r="G1029" s="52"/>
    </row>
    <row r="1030" ht="22.5" customHeight="1">
      <c r="A1030" s="72"/>
      <c r="B1030" s="72"/>
      <c r="C1030" s="72"/>
      <c r="D1030" s="72"/>
      <c r="E1030" s="28"/>
      <c r="F1030" s="52"/>
      <c r="G1030" s="52"/>
    </row>
    <row r="1031" ht="22.5" customHeight="1">
      <c r="A1031" s="72"/>
      <c r="B1031" s="72"/>
      <c r="C1031" s="72"/>
      <c r="D1031" s="72"/>
      <c r="E1031" s="28"/>
      <c r="F1031" s="52"/>
      <c r="G1031" s="52"/>
    </row>
    <row r="1032" ht="22.5" customHeight="1">
      <c r="A1032" s="72"/>
      <c r="B1032" s="72"/>
      <c r="C1032" s="72"/>
      <c r="D1032" s="72"/>
      <c r="E1032" s="28"/>
      <c r="F1032" s="52"/>
      <c r="G1032" s="52"/>
    </row>
    <row r="1033" ht="22.5" customHeight="1">
      <c r="A1033" s="72"/>
      <c r="B1033" s="72"/>
      <c r="C1033" s="72"/>
      <c r="D1033" s="72"/>
      <c r="E1033" s="28"/>
      <c r="F1033" s="52"/>
      <c r="G1033" s="52"/>
    </row>
    <row r="1034" ht="22.5" customHeight="1">
      <c r="A1034" s="72"/>
      <c r="B1034" s="72"/>
      <c r="C1034" s="72"/>
      <c r="D1034" s="72"/>
      <c r="E1034" s="28"/>
      <c r="F1034" s="52"/>
      <c r="G1034" s="52"/>
    </row>
    <row r="1035" ht="22.5" customHeight="1">
      <c r="A1035" s="72"/>
      <c r="B1035" s="72"/>
      <c r="C1035" s="72"/>
      <c r="D1035" s="72"/>
      <c r="E1035" s="28"/>
      <c r="F1035" s="52"/>
      <c r="G1035" s="52"/>
    </row>
    <row r="1036" ht="22.5" customHeight="1">
      <c r="A1036" s="72"/>
      <c r="B1036" s="72"/>
      <c r="C1036" s="72"/>
      <c r="D1036" s="72"/>
      <c r="E1036" s="28"/>
      <c r="F1036" s="52"/>
      <c r="G1036" s="52"/>
    </row>
    <row r="1037" ht="22.5" customHeight="1">
      <c r="A1037" s="72"/>
      <c r="B1037" s="72"/>
      <c r="C1037" s="72"/>
      <c r="D1037" s="72"/>
      <c r="E1037" s="28"/>
      <c r="F1037" s="52"/>
      <c r="G1037" s="52"/>
    </row>
    <row r="1038" ht="22.5" customHeight="1">
      <c r="A1038" s="72"/>
      <c r="B1038" s="72"/>
      <c r="C1038" s="72"/>
      <c r="D1038" s="72"/>
      <c r="E1038" s="28"/>
      <c r="F1038" s="52"/>
      <c r="G1038" s="52"/>
    </row>
    <row r="1039" ht="22.5" customHeight="1">
      <c r="A1039" s="72"/>
      <c r="B1039" s="72"/>
      <c r="C1039" s="72"/>
      <c r="D1039" s="72"/>
      <c r="E1039" s="28"/>
      <c r="F1039" s="52"/>
      <c r="G1039" s="52"/>
    </row>
    <row r="1040" ht="22.5" customHeight="1">
      <c r="A1040" s="72"/>
      <c r="B1040" s="72"/>
      <c r="C1040" s="72"/>
      <c r="D1040" s="72"/>
      <c r="E1040" s="28"/>
      <c r="F1040" s="52"/>
      <c r="G1040" s="52"/>
    </row>
    <row r="1041" ht="22.5" customHeight="1">
      <c r="A1041" s="72"/>
      <c r="B1041" s="72"/>
      <c r="C1041" s="72"/>
      <c r="D1041" s="72"/>
      <c r="E1041" s="28"/>
      <c r="F1041" s="52"/>
      <c r="G1041" s="52"/>
    </row>
    <row r="1042" ht="22.5" customHeight="1">
      <c r="A1042" s="72"/>
      <c r="B1042" s="72"/>
      <c r="C1042" s="72"/>
      <c r="D1042" s="72"/>
      <c r="E1042" s="28"/>
      <c r="F1042" s="52"/>
      <c r="G1042" s="52"/>
    </row>
    <row r="1043" ht="22.5" customHeight="1">
      <c r="A1043" s="72"/>
      <c r="B1043" s="72"/>
      <c r="C1043" s="72"/>
      <c r="D1043" s="72"/>
      <c r="E1043" s="28"/>
      <c r="F1043" s="52"/>
      <c r="G1043" s="52"/>
    </row>
    <row r="1044" ht="22.5" customHeight="1">
      <c r="A1044" s="72"/>
      <c r="B1044" s="72"/>
      <c r="C1044" s="72"/>
      <c r="D1044" s="72"/>
      <c r="E1044" s="28"/>
      <c r="F1044" s="52"/>
      <c r="G1044" s="52"/>
    </row>
    <row r="1045" ht="22.5" customHeight="1">
      <c r="A1045" s="72"/>
      <c r="B1045" s="72"/>
      <c r="C1045" s="72"/>
      <c r="D1045" s="72"/>
      <c r="E1045" s="28"/>
      <c r="F1045" s="52"/>
      <c r="G1045" s="52"/>
    </row>
    <row r="1046" ht="22.5" customHeight="1">
      <c r="A1046" s="72"/>
      <c r="B1046" s="72"/>
      <c r="C1046" s="72"/>
      <c r="D1046" s="72"/>
      <c r="E1046" s="28"/>
      <c r="F1046" s="52"/>
      <c r="G1046" s="52"/>
    </row>
    <row r="1047" ht="22.5" customHeight="1">
      <c r="A1047" s="72"/>
      <c r="B1047" s="72"/>
      <c r="C1047" s="72"/>
      <c r="D1047" s="72"/>
      <c r="E1047" s="28"/>
      <c r="F1047" s="52"/>
      <c r="G1047" s="52"/>
    </row>
    <row r="1048" ht="22.5" customHeight="1">
      <c r="A1048" s="72"/>
      <c r="B1048" s="72"/>
      <c r="C1048" s="72"/>
      <c r="D1048" s="72"/>
      <c r="E1048" s="28"/>
      <c r="F1048" s="52"/>
      <c r="G1048" s="52"/>
    </row>
    <row r="1049" ht="22.5" customHeight="1">
      <c r="A1049" s="72"/>
      <c r="B1049" s="72"/>
      <c r="C1049" s="72"/>
      <c r="D1049" s="72"/>
      <c r="E1049" s="28"/>
      <c r="F1049" s="52"/>
      <c r="G1049" s="52"/>
    </row>
    <row r="1050" ht="22.5" customHeight="1">
      <c r="A1050" s="72"/>
      <c r="B1050" s="72"/>
      <c r="C1050" s="72"/>
      <c r="D1050" s="72"/>
      <c r="E1050" s="28"/>
      <c r="F1050" s="52"/>
      <c r="G1050" s="52"/>
    </row>
    <row r="1051" ht="22.5" customHeight="1">
      <c r="A1051" s="72"/>
      <c r="B1051" s="72"/>
      <c r="C1051" s="72"/>
      <c r="D1051" s="72"/>
      <c r="E1051" s="28"/>
      <c r="F1051" s="52"/>
      <c r="G1051" s="52"/>
    </row>
    <row r="1052" ht="22.5" customHeight="1">
      <c r="A1052" s="72"/>
      <c r="B1052" s="72"/>
      <c r="C1052" s="72"/>
      <c r="D1052" s="72"/>
      <c r="E1052" s="28"/>
      <c r="F1052" s="52"/>
      <c r="G1052" s="52"/>
    </row>
    <row r="1053" ht="22.5" customHeight="1">
      <c r="A1053" s="72"/>
      <c r="B1053" s="72"/>
      <c r="C1053" s="72"/>
      <c r="D1053" s="72"/>
      <c r="E1053" s="28"/>
      <c r="F1053" s="52"/>
      <c r="G1053" s="52"/>
    </row>
    <row r="1054" ht="22.5" customHeight="1">
      <c r="A1054" s="72"/>
      <c r="B1054" s="72"/>
      <c r="C1054" s="72"/>
      <c r="D1054" s="72"/>
      <c r="E1054" s="28"/>
      <c r="F1054" s="52"/>
      <c r="G1054" s="52"/>
    </row>
    <row r="1055" ht="22.5" customHeight="1">
      <c r="A1055" s="72"/>
      <c r="B1055" s="72"/>
      <c r="C1055" s="72"/>
      <c r="D1055" s="72"/>
      <c r="E1055" s="28"/>
      <c r="F1055" s="52"/>
      <c r="G1055" s="52"/>
    </row>
    <row r="1056" ht="22.5" customHeight="1">
      <c r="A1056" s="72"/>
      <c r="B1056" s="72"/>
      <c r="C1056" s="72"/>
      <c r="D1056" s="72"/>
      <c r="E1056" s="28"/>
      <c r="F1056" s="52"/>
      <c r="G1056" s="52"/>
    </row>
    <row r="1057" ht="22.5" customHeight="1">
      <c r="A1057" s="72"/>
      <c r="B1057" s="72"/>
      <c r="C1057" s="72"/>
      <c r="D1057" s="72"/>
      <c r="E1057" s="28"/>
      <c r="F1057" s="52"/>
      <c r="G1057" s="52"/>
    </row>
    <row r="1058" ht="22.5" customHeight="1">
      <c r="A1058" s="72"/>
      <c r="B1058" s="72"/>
      <c r="C1058" s="72"/>
      <c r="D1058" s="72"/>
      <c r="E1058" s="28"/>
      <c r="F1058" s="52"/>
      <c r="G1058" s="52"/>
    </row>
    <row r="1059" ht="22.5" customHeight="1">
      <c r="A1059" s="72"/>
      <c r="B1059" s="72"/>
      <c r="C1059" s="72"/>
      <c r="D1059" s="72"/>
      <c r="E1059" s="28"/>
      <c r="F1059" s="52"/>
      <c r="G1059" s="52"/>
    </row>
    <row r="1060" ht="22.5" customHeight="1">
      <c r="A1060" s="72"/>
      <c r="B1060" s="72"/>
      <c r="C1060" s="72"/>
      <c r="D1060" s="72"/>
      <c r="E1060" s="28"/>
      <c r="F1060" s="52"/>
      <c r="G1060" s="52"/>
    </row>
    <row r="1061" ht="22.5" customHeight="1">
      <c r="A1061" s="72"/>
      <c r="B1061" s="72"/>
      <c r="C1061" s="72"/>
      <c r="D1061" s="72"/>
      <c r="E1061" s="28"/>
      <c r="F1061" s="52"/>
      <c r="G1061" s="52"/>
    </row>
    <row r="1062" ht="22.5" customHeight="1">
      <c r="A1062" s="72"/>
      <c r="B1062" s="72"/>
      <c r="C1062" s="72"/>
      <c r="D1062" s="72"/>
      <c r="E1062" s="28"/>
      <c r="F1062" s="52"/>
      <c r="G1062" s="52"/>
    </row>
    <row r="1063" ht="22.5" customHeight="1">
      <c r="A1063" s="72"/>
      <c r="B1063" s="72"/>
      <c r="C1063" s="72"/>
      <c r="D1063" s="72"/>
      <c r="E1063" s="28"/>
      <c r="F1063" s="52"/>
      <c r="G1063" s="52"/>
    </row>
    <row r="1064" ht="22.5" customHeight="1">
      <c r="A1064" s="72"/>
      <c r="B1064" s="72"/>
      <c r="C1064" s="72"/>
      <c r="D1064" s="72"/>
      <c r="E1064" s="28"/>
      <c r="F1064" s="52"/>
      <c r="G1064" s="52"/>
    </row>
    <row r="1065" ht="22.5" customHeight="1">
      <c r="A1065" s="72"/>
      <c r="B1065" s="72"/>
      <c r="C1065" s="72"/>
      <c r="D1065" s="72"/>
      <c r="E1065" s="28"/>
      <c r="F1065" s="52"/>
      <c r="G1065" s="52"/>
    </row>
    <row r="1066" ht="22.5" customHeight="1">
      <c r="A1066" s="72"/>
      <c r="B1066" s="72"/>
      <c r="C1066" s="72"/>
      <c r="D1066" s="72"/>
      <c r="E1066" s="28"/>
      <c r="F1066" s="52"/>
      <c r="G1066" s="52"/>
    </row>
    <row r="1067" ht="22.5" customHeight="1">
      <c r="A1067" s="72"/>
      <c r="B1067" s="72"/>
      <c r="C1067" s="72"/>
      <c r="D1067" s="72"/>
      <c r="E1067" s="28"/>
      <c r="F1067" s="52"/>
      <c r="G1067" s="52"/>
    </row>
    <row r="1068" ht="22.5" customHeight="1">
      <c r="A1068" s="72"/>
      <c r="B1068" s="72"/>
      <c r="C1068" s="72"/>
      <c r="D1068" s="72"/>
      <c r="E1068" s="28"/>
      <c r="F1068" s="52"/>
      <c r="G1068" s="52"/>
    </row>
    <row r="1069" ht="22.5" customHeight="1">
      <c r="A1069" s="72"/>
      <c r="B1069" s="72"/>
      <c r="C1069" s="72"/>
      <c r="D1069" s="72"/>
      <c r="E1069" s="28"/>
      <c r="F1069" s="52"/>
      <c r="G1069" s="52"/>
    </row>
    <row r="1070" ht="22.5" customHeight="1">
      <c r="A1070" s="72"/>
      <c r="B1070" s="72"/>
      <c r="C1070" s="72"/>
      <c r="D1070" s="72"/>
      <c r="E1070" s="28"/>
      <c r="F1070" s="52"/>
      <c r="G1070" s="52"/>
    </row>
    <row r="1071" ht="22.5" customHeight="1">
      <c r="A1071" s="72"/>
      <c r="B1071" s="72"/>
      <c r="C1071" s="72"/>
      <c r="D1071" s="72"/>
      <c r="E1071" s="28"/>
      <c r="F1071" s="52"/>
      <c r="G1071" s="52"/>
    </row>
    <row r="1072" ht="22.5" customHeight="1">
      <c r="A1072" s="72"/>
      <c r="B1072" s="72"/>
      <c r="C1072" s="72"/>
      <c r="D1072" s="72"/>
      <c r="E1072" s="28"/>
      <c r="F1072" s="52"/>
      <c r="G1072" s="52"/>
    </row>
    <row r="1073" ht="22.5" customHeight="1">
      <c r="A1073" s="72"/>
      <c r="B1073" s="72"/>
      <c r="C1073" s="72"/>
      <c r="D1073" s="72"/>
      <c r="E1073" s="28"/>
      <c r="F1073" s="52"/>
      <c r="G1073" s="52"/>
    </row>
    <row r="1074" ht="22.5" customHeight="1">
      <c r="A1074" s="72"/>
      <c r="B1074" s="72"/>
      <c r="C1074" s="72"/>
      <c r="D1074" s="72"/>
      <c r="E1074" s="28"/>
      <c r="F1074" s="52"/>
      <c r="G1074" s="52"/>
    </row>
    <row r="1075" ht="22.5" customHeight="1">
      <c r="A1075" s="72"/>
      <c r="B1075" s="72"/>
      <c r="C1075" s="72"/>
      <c r="D1075" s="72"/>
      <c r="E1075" s="28"/>
      <c r="F1075" s="52"/>
      <c r="G1075" s="52"/>
    </row>
    <row r="1076" ht="22.5" customHeight="1">
      <c r="A1076" s="72"/>
      <c r="B1076" s="72"/>
      <c r="C1076" s="72"/>
      <c r="D1076" s="72"/>
      <c r="E1076" s="28"/>
      <c r="F1076" s="52"/>
      <c r="G1076" s="52"/>
    </row>
    <row r="1077" ht="22.5" customHeight="1">
      <c r="A1077" s="72"/>
      <c r="B1077" s="72"/>
      <c r="C1077" s="72"/>
      <c r="D1077" s="72"/>
      <c r="E1077" s="28"/>
      <c r="F1077" s="52"/>
      <c r="G1077" s="52"/>
    </row>
    <row r="1078" ht="22.5" customHeight="1">
      <c r="A1078" s="72"/>
      <c r="B1078" s="72"/>
      <c r="C1078" s="72"/>
      <c r="D1078" s="72"/>
      <c r="E1078" s="28"/>
      <c r="F1078" s="52"/>
      <c r="G1078" s="52"/>
    </row>
    <row r="1079" ht="22.5" customHeight="1">
      <c r="A1079" s="72"/>
      <c r="B1079" s="72"/>
      <c r="C1079" s="72"/>
      <c r="D1079" s="72"/>
      <c r="E1079" s="28"/>
      <c r="F1079" s="52"/>
      <c r="G1079" s="52"/>
    </row>
    <row r="1080" ht="22.5" customHeight="1">
      <c r="A1080" s="72"/>
      <c r="B1080" s="72"/>
      <c r="C1080" s="72"/>
      <c r="D1080" s="72"/>
      <c r="E1080" s="28"/>
      <c r="F1080" s="52"/>
      <c r="G1080" s="52"/>
    </row>
    <row r="1081" ht="22.5" customHeight="1">
      <c r="A1081" s="72"/>
      <c r="B1081" s="72"/>
      <c r="C1081" s="72"/>
      <c r="D1081" s="72"/>
      <c r="E1081" s="28"/>
      <c r="F1081" s="52"/>
      <c r="G1081" s="52"/>
    </row>
    <row r="1082" ht="22.5" customHeight="1">
      <c r="A1082" s="72"/>
      <c r="B1082" s="72"/>
      <c r="C1082" s="72"/>
      <c r="D1082" s="72"/>
      <c r="E1082" s="28"/>
      <c r="F1082" s="52"/>
      <c r="G1082" s="52"/>
    </row>
    <row r="1083" ht="22.5" customHeight="1">
      <c r="A1083" s="72"/>
      <c r="B1083" s="72"/>
      <c r="C1083" s="72"/>
      <c r="D1083" s="72"/>
      <c r="E1083" s="28"/>
      <c r="F1083" s="52"/>
      <c r="G1083" s="52"/>
    </row>
    <row r="1084" ht="22.5" customHeight="1">
      <c r="A1084" s="72"/>
      <c r="B1084" s="72"/>
      <c r="C1084" s="72"/>
      <c r="D1084" s="72"/>
      <c r="E1084" s="28"/>
      <c r="F1084" s="52"/>
      <c r="G1084" s="52"/>
    </row>
    <row r="1085" ht="22.5" customHeight="1">
      <c r="A1085" s="72"/>
      <c r="B1085" s="72"/>
      <c r="C1085" s="72"/>
      <c r="D1085" s="72"/>
      <c r="E1085" s="28"/>
      <c r="F1085" s="52"/>
      <c r="G1085" s="52"/>
    </row>
    <row r="1086" ht="22.5" customHeight="1">
      <c r="A1086" s="72"/>
      <c r="B1086" s="72"/>
      <c r="C1086" s="72"/>
      <c r="D1086" s="72"/>
      <c r="E1086" s="28"/>
      <c r="F1086" s="52"/>
      <c r="G1086" s="52"/>
    </row>
    <row r="1087" ht="22.5" customHeight="1">
      <c r="A1087" s="72"/>
      <c r="B1087" s="72"/>
      <c r="C1087" s="72"/>
      <c r="D1087" s="72"/>
      <c r="E1087" s="28"/>
      <c r="F1087" s="52"/>
      <c r="G1087" s="52"/>
    </row>
    <row r="1088" ht="22.5" customHeight="1">
      <c r="A1088" s="72"/>
      <c r="B1088" s="72"/>
      <c r="C1088" s="72"/>
      <c r="D1088" s="72"/>
      <c r="E1088" s="28"/>
      <c r="F1088" s="52"/>
      <c r="G1088" s="52"/>
    </row>
    <row r="1089" ht="22.5" customHeight="1">
      <c r="A1089" s="72"/>
      <c r="B1089" s="72"/>
      <c r="C1089" s="72"/>
      <c r="D1089" s="72"/>
      <c r="E1089" s="28"/>
      <c r="F1089" s="52"/>
      <c r="G1089" s="52"/>
    </row>
    <row r="1090" ht="22.5" customHeight="1">
      <c r="A1090" s="72"/>
      <c r="B1090" s="72"/>
      <c r="C1090" s="72"/>
      <c r="D1090" s="72"/>
      <c r="E1090" s="28"/>
      <c r="F1090" s="52"/>
      <c r="G1090" s="52"/>
    </row>
    <row r="1091" ht="22.5" customHeight="1">
      <c r="A1091" s="72"/>
      <c r="B1091" s="72"/>
      <c r="C1091" s="72"/>
      <c r="D1091" s="72"/>
      <c r="E1091" s="28"/>
      <c r="F1091" s="52"/>
      <c r="G1091" s="52"/>
    </row>
    <row r="1092" ht="22.5" customHeight="1">
      <c r="A1092" s="72"/>
      <c r="B1092" s="72"/>
      <c r="C1092" s="72"/>
      <c r="D1092" s="72"/>
      <c r="E1092" s="28"/>
      <c r="F1092" s="52"/>
      <c r="G1092" s="52"/>
    </row>
    <row r="1093" ht="22.5" customHeight="1">
      <c r="A1093" s="72"/>
      <c r="B1093" s="72"/>
      <c r="C1093" s="72"/>
      <c r="D1093" s="72"/>
      <c r="E1093" s="28"/>
      <c r="F1093" s="52"/>
      <c r="G1093" s="52"/>
    </row>
    <row r="1094" ht="22.5" customHeight="1">
      <c r="A1094" s="72"/>
      <c r="B1094" s="72"/>
      <c r="C1094" s="72"/>
      <c r="D1094" s="72"/>
      <c r="E1094" s="28"/>
      <c r="F1094" s="52"/>
      <c r="G1094" s="52"/>
    </row>
    <row r="1095" ht="22.5" customHeight="1">
      <c r="A1095" s="72"/>
      <c r="B1095" s="72"/>
      <c r="C1095" s="72"/>
      <c r="D1095" s="72"/>
      <c r="E1095" s="28"/>
      <c r="F1095" s="52"/>
      <c r="G1095" s="52"/>
    </row>
    <row r="1096" ht="22.5" customHeight="1">
      <c r="A1096" s="72"/>
      <c r="B1096" s="72"/>
      <c r="C1096" s="72"/>
      <c r="D1096" s="72"/>
      <c r="E1096" s="28"/>
      <c r="F1096" s="52"/>
      <c r="G1096" s="52"/>
    </row>
    <row r="1097" ht="22.5" customHeight="1">
      <c r="A1097" s="72"/>
      <c r="B1097" s="72"/>
      <c r="C1097" s="72"/>
      <c r="D1097" s="72"/>
      <c r="E1097" s="28"/>
      <c r="F1097" s="52"/>
      <c r="G1097" s="52"/>
    </row>
    <row r="1098" ht="22.5" customHeight="1">
      <c r="A1098" s="72"/>
      <c r="B1098" s="72"/>
      <c r="C1098" s="72"/>
      <c r="D1098" s="72"/>
      <c r="E1098" s="28"/>
      <c r="F1098" s="52"/>
      <c r="G1098" s="52"/>
    </row>
    <row r="1099" ht="22.5" customHeight="1">
      <c r="A1099" s="72"/>
      <c r="B1099" s="72"/>
      <c r="C1099" s="72"/>
      <c r="D1099" s="72"/>
      <c r="E1099" s="28"/>
      <c r="F1099" s="52"/>
      <c r="G1099" s="52"/>
    </row>
    <row r="1100" ht="22.5" customHeight="1">
      <c r="A1100" s="72"/>
      <c r="B1100" s="72"/>
      <c r="C1100" s="72"/>
      <c r="D1100" s="72"/>
      <c r="E1100" s="28"/>
      <c r="F1100" s="52"/>
      <c r="G1100" s="52"/>
    </row>
    <row r="1101" ht="22.5" customHeight="1">
      <c r="A1101" s="72"/>
      <c r="B1101" s="72"/>
      <c r="C1101" s="72"/>
      <c r="D1101" s="72"/>
      <c r="E1101" s="28"/>
      <c r="F1101" s="52"/>
      <c r="G1101" s="52"/>
    </row>
    <row r="1102" ht="22.5" customHeight="1">
      <c r="A1102" s="72"/>
      <c r="B1102" s="72"/>
      <c r="C1102" s="72"/>
      <c r="D1102" s="72"/>
      <c r="E1102" s="28"/>
      <c r="F1102" s="52"/>
      <c r="G1102" s="52"/>
    </row>
    <row r="1103" ht="22.5" customHeight="1">
      <c r="A1103" s="72"/>
      <c r="B1103" s="72"/>
      <c r="C1103" s="72"/>
      <c r="D1103" s="72"/>
      <c r="E1103" s="28"/>
      <c r="F1103" s="52"/>
      <c r="G1103" s="52"/>
    </row>
    <row r="1104" ht="22.5" customHeight="1">
      <c r="A1104" s="72"/>
      <c r="B1104" s="72"/>
      <c r="C1104" s="72"/>
      <c r="D1104" s="72"/>
      <c r="E1104" s="28"/>
      <c r="F1104" s="52"/>
      <c r="G1104" s="52"/>
    </row>
    <row r="1105" ht="22.5" customHeight="1">
      <c r="A1105" s="72"/>
      <c r="B1105" s="72"/>
      <c r="C1105" s="72"/>
      <c r="D1105" s="72"/>
      <c r="E1105" s="28"/>
      <c r="F1105" s="52"/>
      <c r="G1105" s="52"/>
    </row>
    <row r="1106" ht="22.5" customHeight="1">
      <c r="A1106" s="72"/>
      <c r="B1106" s="72"/>
      <c r="C1106" s="72"/>
      <c r="D1106" s="72"/>
      <c r="E1106" s="28"/>
      <c r="F1106" s="52"/>
      <c r="G1106" s="52"/>
    </row>
    <row r="1107" ht="22.5" customHeight="1">
      <c r="A1107" s="72"/>
      <c r="B1107" s="72"/>
      <c r="C1107" s="72"/>
      <c r="D1107" s="72"/>
      <c r="E1107" s="28"/>
      <c r="F1107" s="52"/>
      <c r="G1107" s="52"/>
    </row>
    <row r="1108" ht="22.5" customHeight="1">
      <c r="A1108" s="72"/>
      <c r="B1108" s="72"/>
      <c r="C1108" s="72"/>
      <c r="D1108" s="72"/>
      <c r="E1108" s="28"/>
      <c r="F1108" s="52"/>
      <c r="G1108" s="52"/>
    </row>
    <row r="1109" ht="22.5" customHeight="1">
      <c r="A1109" s="72"/>
      <c r="B1109" s="72"/>
      <c r="C1109" s="72"/>
      <c r="D1109" s="72"/>
      <c r="E1109" s="28"/>
      <c r="F1109" s="52"/>
      <c r="G1109" s="52"/>
    </row>
    <row r="1110" ht="22.5" customHeight="1">
      <c r="A1110" s="72"/>
      <c r="B1110" s="72"/>
      <c r="C1110" s="72"/>
      <c r="D1110" s="72"/>
      <c r="E1110" s="28"/>
      <c r="F1110" s="52"/>
      <c r="G1110" s="52"/>
    </row>
    <row r="1111" ht="22.5" customHeight="1">
      <c r="A1111" s="72"/>
      <c r="B1111" s="72"/>
      <c r="C1111" s="72"/>
      <c r="D1111" s="72"/>
      <c r="E1111" s="28"/>
      <c r="F1111" s="52"/>
      <c r="G1111" s="52"/>
    </row>
    <row r="1112" ht="22.5" customHeight="1">
      <c r="A1112" s="72"/>
      <c r="B1112" s="72"/>
      <c r="C1112" s="72"/>
      <c r="D1112" s="72"/>
      <c r="E1112" s="28"/>
      <c r="F1112" s="52"/>
      <c r="G1112" s="52"/>
    </row>
    <row r="1113" ht="22.5" customHeight="1">
      <c r="A1113" s="72"/>
      <c r="B1113" s="72"/>
      <c r="C1113" s="72"/>
      <c r="D1113" s="72"/>
      <c r="E1113" s="28"/>
      <c r="F1113" s="52"/>
      <c r="G1113" s="52"/>
    </row>
    <row r="1114" ht="22.5" customHeight="1">
      <c r="A1114" s="72"/>
      <c r="B1114" s="72"/>
      <c r="C1114" s="72"/>
      <c r="D1114" s="72"/>
      <c r="E1114" s="28"/>
      <c r="F1114" s="52"/>
      <c r="G1114" s="52"/>
    </row>
    <row r="1115" ht="22.5" customHeight="1">
      <c r="A1115" s="72"/>
      <c r="B1115" s="72"/>
      <c r="C1115" s="72"/>
      <c r="D1115" s="72"/>
      <c r="E1115" s="28"/>
      <c r="F1115" s="52"/>
      <c r="G1115" s="52"/>
    </row>
    <row r="1116" ht="22.5" customHeight="1">
      <c r="A1116" s="72"/>
      <c r="B1116" s="72"/>
      <c r="C1116" s="72"/>
      <c r="D1116" s="72"/>
      <c r="E1116" s="28"/>
      <c r="F1116" s="52"/>
      <c r="G1116" s="52"/>
    </row>
    <row r="1117" ht="22.5" customHeight="1">
      <c r="A1117" s="72"/>
      <c r="B1117" s="72"/>
      <c r="C1117" s="72"/>
      <c r="D1117" s="72"/>
      <c r="E1117" s="28"/>
      <c r="F1117" s="52"/>
      <c r="G1117" s="52"/>
    </row>
    <row r="1118" ht="22.5" customHeight="1">
      <c r="A1118" s="72"/>
      <c r="B1118" s="72"/>
      <c r="C1118" s="72"/>
      <c r="D1118" s="72"/>
      <c r="E1118" s="28"/>
      <c r="F1118" s="52"/>
      <c r="G1118" s="52"/>
    </row>
    <row r="1119" ht="22.5" customHeight="1">
      <c r="A1119" s="72"/>
      <c r="B1119" s="72"/>
      <c r="C1119" s="72"/>
      <c r="D1119" s="72"/>
      <c r="E1119" s="28"/>
      <c r="F1119" s="52"/>
      <c r="G1119" s="52"/>
    </row>
    <row r="1120" ht="22.5" customHeight="1">
      <c r="A1120" s="72"/>
      <c r="B1120" s="72"/>
      <c r="C1120" s="72"/>
      <c r="D1120" s="72"/>
      <c r="E1120" s="28"/>
      <c r="F1120" s="52"/>
      <c r="G1120" s="52"/>
    </row>
    <row r="1121" ht="22.5" customHeight="1">
      <c r="A1121" s="72"/>
      <c r="B1121" s="72"/>
      <c r="C1121" s="72"/>
      <c r="D1121" s="72"/>
      <c r="E1121" s="28"/>
      <c r="F1121" s="52"/>
      <c r="G1121" s="52"/>
    </row>
    <row r="1122" ht="22.5" customHeight="1">
      <c r="A1122" s="72"/>
      <c r="B1122" s="72"/>
      <c r="C1122" s="72"/>
      <c r="D1122" s="72"/>
      <c r="E1122" s="28"/>
      <c r="F1122" s="52"/>
      <c r="G1122" s="52"/>
    </row>
    <row r="1123" ht="22.5" customHeight="1">
      <c r="A1123" s="72"/>
      <c r="B1123" s="72"/>
      <c r="C1123" s="72"/>
      <c r="D1123" s="72"/>
      <c r="E1123" s="28"/>
      <c r="F1123" s="52"/>
      <c r="G1123" s="52"/>
    </row>
    <row r="1124" ht="22.5" customHeight="1">
      <c r="A1124" s="72"/>
      <c r="B1124" s="72"/>
      <c r="C1124" s="72"/>
      <c r="D1124" s="72"/>
      <c r="E1124" s="28"/>
      <c r="F1124" s="52"/>
      <c r="G1124" s="52"/>
    </row>
    <row r="1125" ht="22.5" customHeight="1">
      <c r="A1125" s="28"/>
      <c r="B1125" s="28"/>
      <c r="C1125" s="55"/>
      <c r="D1125" s="28"/>
      <c r="E1125" s="28"/>
      <c r="F1125" s="52"/>
      <c r="G1125" s="52"/>
    </row>
    <row r="1126" ht="22.5" customHeight="1">
      <c r="A1126" s="28"/>
      <c r="B1126" s="28"/>
      <c r="C1126" s="55"/>
      <c r="D1126" s="28"/>
      <c r="E1126" s="28"/>
      <c r="F1126" s="52"/>
      <c r="G1126" s="52"/>
    </row>
    <row r="1127" ht="22.5" customHeight="1">
      <c r="A1127" s="28"/>
      <c r="B1127" s="28"/>
      <c r="C1127" s="55"/>
      <c r="D1127" s="28"/>
      <c r="E1127" s="28"/>
      <c r="F1127" s="52"/>
      <c r="G1127" s="52"/>
    </row>
    <row r="1128" ht="22.5" customHeight="1">
      <c r="A1128" s="28"/>
      <c r="B1128" s="28"/>
      <c r="C1128" s="55"/>
      <c r="D1128" s="28"/>
      <c r="E1128" s="28"/>
      <c r="F1128" s="52"/>
      <c r="G1128" s="52"/>
    </row>
    <row r="1129" ht="22.5" customHeight="1">
      <c r="A1129" s="28"/>
      <c r="B1129" s="28"/>
      <c r="C1129" s="55"/>
      <c r="D1129" s="28"/>
      <c r="E1129" s="28"/>
      <c r="F1129" s="52"/>
      <c r="G1129" s="52"/>
    </row>
    <row r="1130" ht="22.5" customHeight="1">
      <c r="A1130" s="28"/>
      <c r="B1130" s="28"/>
      <c r="C1130" s="55"/>
      <c r="D1130" s="28"/>
      <c r="E1130" s="28"/>
      <c r="F1130" s="52"/>
      <c r="G1130" s="52"/>
    </row>
    <row r="1131" ht="22.5" customHeight="1">
      <c r="A1131" s="28"/>
      <c r="B1131" s="28"/>
      <c r="C1131" s="55"/>
      <c r="D1131" s="28"/>
      <c r="E1131" s="28"/>
      <c r="F1131" s="52"/>
      <c r="G1131" s="52"/>
    </row>
    <row r="1132" ht="22.5" customHeight="1">
      <c r="A1132" s="28"/>
      <c r="B1132" s="28"/>
      <c r="C1132" s="55"/>
      <c r="D1132" s="28"/>
      <c r="E1132" s="28"/>
      <c r="F1132" s="52"/>
      <c r="G1132" s="52"/>
    </row>
    <row r="1133" ht="22.5" customHeight="1">
      <c r="A1133" s="28"/>
      <c r="B1133" s="28"/>
      <c r="C1133" s="55"/>
      <c r="D1133" s="28"/>
      <c r="E1133" s="28"/>
      <c r="F1133" s="52"/>
      <c r="G1133" s="52"/>
    </row>
    <row r="1134" ht="22.5" customHeight="1">
      <c r="A1134" s="28"/>
      <c r="B1134" s="28"/>
      <c r="C1134" s="55"/>
      <c r="D1134" s="28"/>
      <c r="E1134" s="28"/>
      <c r="F1134" s="52"/>
      <c r="G1134" s="52"/>
    </row>
    <row r="1135" ht="22.5" customHeight="1">
      <c r="A1135" s="28"/>
      <c r="B1135" s="28"/>
      <c r="C1135" s="55"/>
      <c r="D1135" s="28"/>
      <c r="E1135" s="28"/>
      <c r="F1135" s="52"/>
      <c r="G1135" s="52"/>
    </row>
    <row r="1136" ht="22.5" customHeight="1">
      <c r="A1136" s="28"/>
      <c r="B1136" s="28"/>
      <c r="C1136" s="55"/>
      <c r="D1136" s="28"/>
      <c r="E1136" s="28"/>
      <c r="F1136" s="52"/>
      <c r="G1136" s="52"/>
    </row>
    <row r="1137" ht="22.5" customHeight="1">
      <c r="A1137" s="28"/>
      <c r="B1137" s="28"/>
      <c r="C1137" s="55"/>
      <c r="D1137" s="28"/>
      <c r="E1137" s="28"/>
      <c r="F1137" s="52"/>
      <c r="G1137" s="52"/>
    </row>
    <row r="1138" ht="22.5" customHeight="1">
      <c r="A1138" s="28"/>
      <c r="B1138" s="28"/>
      <c r="C1138" s="55"/>
      <c r="D1138" s="28"/>
      <c r="E1138" s="28"/>
      <c r="F1138" s="52"/>
      <c r="G1138" s="52"/>
    </row>
    <row r="1139" ht="22.5" customHeight="1">
      <c r="A1139" s="28"/>
      <c r="B1139" s="28"/>
      <c r="C1139" s="55"/>
      <c r="D1139" s="28"/>
      <c r="E1139" s="28"/>
      <c r="F1139" s="52"/>
      <c r="G1139" s="52"/>
    </row>
    <row r="1140" ht="22.5" customHeight="1">
      <c r="A1140" s="28"/>
      <c r="B1140" s="28"/>
      <c r="C1140" s="55"/>
      <c r="D1140" s="28"/>
      <c r="E1140" s="28"/>
      <c r="F1140" s="52"/>
      <c r="G1140" s="52"/>
    </row>
    <row r="1141" ht="22.5" customHeight="1">
      <c r="A1141" s="28"/>
      <c r="B1141" s="28"/>
      <c r="C1141" s="55"/>
      <c r="D1141" s="28"/>
      <c r="E1141" s="28"/>
      <c r="F1141" s="52"/>
      <c r="G1141" s="52"/>
    </row>
    <row r="1142" ht="22.5" customHeight="1">
      <c r="A1142" s="28"/>
      <c r="B1142" s="28"/>
      <c r="C1142" s="55"/>
      <c r="D1142" s="28"/>
      <c r="E1142" s="28"/>
      <c r="F1142" s="52"/>
      <c r="G1142" s="52"/>
    </row>
    <row r="1143" ht="22.5" customHeight="1">
      <c r="A1143" s="28"/>
      <c r="B1143" s="28"/>
      <c r="C1143" s="55"/>
      <c r="D1143" s="28"/>
      <c r="E1143" s="28"/>
      <c r="F1143" s="52"/>
      <c r="G1143" s="52"/>
    </row>
    <row r="1144" ht="22.5" customHeight="1">
      <c r="A1144" s="28"/>
      <c r="B1144" s="28"/>
      <c r="C1144" s="55"/>
      <c r="D1144" s="28"/>
      <c r="E1144" s="28"/>
      <c r="F1144" s="52"/>
      <c r="G1144" s="52"/>
    </row>
    <row r="1145" ht="22.5" customHeight="1">
      <c r="A1145" s="28"/>
      <c r="B1145" s="28"/>
      <c r="C1145" s="55"/>
      <c r="D1145" s="28"/>
      <c r="E1145" s="28"/>
      <c r="F1145" s="52"/>
      <c r="G1145" s="52"/>
    </row>
    <row r="1146" ht="22.5" customHeight="1">
      <c r="A1146" s="28"/>
      <c r="B1146" s="28"/>
      <c r="C1146" s="55"/>
      <c r="D1146" s="28"/>
      <c r="E1146" s="28"/>
      <c r="F1146" s="52"/>
      <c r="G1146" s="52"/>
    </row>
    <row r="1147" ht="22.5" customHeight="1">
      <c r="A1147" s="28"/>
      <c r="B1147" s="28"/>
      <c r="C1147" s="55"/>
      <c r="D1147" s="28"/>
      <c r="E1147" s="28"/>
      <c r="F1147" s="52"/>
      <c r="G1147" s="52"/>
    </row>
    <row r="1148" ht="22.5" customHeight="1">
      <c r="A1148" s="28"/>
      <c r="B1148" s="28"/>
      <c r="C1148" s="55"/>
      <c r="D1148" s="28"/>
      <c r="E1148" s="28"/>
      <c r="F1148" s="52"/>
      <c r="G1148" s="52"/>
    </row>
    <row r="1149" ht="22.5" customHeight="1">
      <c r="A1149" s="28"/>
      <c r="B1149" s="28"/>
      <c r="C1149" s="55"/>
      <c r="D1149" s="28"/>
      <c r="E1149" s="28"/>
      <c r="F1149" s="52"/>
      <c r="G1149" s="52"/>
    </row>
    <row r="1150" ht="22.5" customHeight="1">
      <c r="A1150" s="28"/>
      <c r="B1150" s="28"/>
      <c r="C1150" s="55"/>
      <c r="D1150" s="28"/>
      <c r="E1150" s="28"/>
      <c r="F1150" s="52"/>
      <c r="G1150" s="52"/>
    </row>
    <row r="1151" ht="22.5" customHeight="1">
      <c r="A1151" s="28"/>
      <c r="B1151" s="28"/>
      <c r="C1151" s="55"/>
      <c r="D1151" s="28"/>
      <c r="E1151" s="28"/>
      <c r="F1151" s="52"/>
      <c r="G1151" s="52"/>
    </row>
    <row r="1152" ht="22.5" customHeight="1">
      <c r="A1152" s="28"/>
      <c r="B1152" s="28"/>
      <c r="C1152" s="55"/>
      <c r="D1152" s="28"/>
      <c r="E1152" s="28"/>
      <c r="F1152" s="52"/>
      <c r="G1152" s="52"/>
    </row>
    <row r="1153" ht="22.5" customHeight="1">
      <c r="A1153" s="28"/>
      <c r="B1153" s="28"/>
      <c r="C1153" s="55"/>
      <c r="D1153" s="28"/>
      <c r="E1153" s="28"/>
      <c r="F1153" s="52"/>
      <c r="G1153" s="52"/>
    </row>
    <row r="1154" ht="22.5" customHeight="1">
      <c r="A1154" s="28"/>
      <c r="B1154" s="28"/>
      <c r="C1154" s="55"/>
      <c r="D1154" s="28"/>
      <c r="E1154" s="28"/>
      <c r="F1154" s="52"/>
      <c r="G1154" s="52"/>
    </row>
    <row r="1155" ht="22.5" customHeight="1">
      <c r="A1155" s="28"/>
      <c r="B1155" s="28"/>
      <c r="C1155" s="55"/>
      <c r="D1155" s="28"/>
      <c r="E1155" s="28"/>
      <c r="F1155" s="52"/>
      <c r="G1155" s="52"/>
    </row>
    <row r="1156" ht="22.5" customHeight="1">
      <c r="A1156" s="28"/>
      <c r="B1156" s="28"/>
      <c r="C1156" s="55"/>
      <c r="D1156" s="28"/>
      <c r="E1156" s="28"/>
      <c r="F1156" s="52"/>
      <c r="G1156" s="52"/>
    </row>
    <row r="1157" ht="22.5" customHeight="1">
      <c r="A1157" s="28"/>
      <c r="B1157" s="28"/>
      <c r="C1157" s="55"/>
      <c r="D1157" s="28"/>
      <c r="E1157" s="28"/>
      <c r="F1157" s="52"/>
      <c r="G1157" s="52"/>
    </row>
    <row r="1158" ht="22.5" customHeight="1">
      <c r="A1158" s="28"/>
      <c r="B1158" s="28"/>
      <c r="C1158" s="55"/>
      <c r="D1158" s="28"/>
      <c r="E1158" s="28"/>
      <c r="F1158" s="52"/>
      <c r="G1158" s="52"/>
    </row>
    <row r="1159" ht="22.5" customHeight="1">
      <c r="A1159" s="28"/>
      <c r="B1159" s="28"/>
      <c r="C1159" s="55"/>
      <c r="D1159" s="28"/>
      <c r="E1159" s="28"/>
      <c r="F1159" s="52"/>
      <c r="G1159" s="52"/>
    </row>
    <row r="1160" ht="22.5" customHeight="1">
      <c r="A1160" s="28"/>
      <c r="B1160" s="28"/>
      <c r="C1160" s="55"/>
      <c r="D1160" s="28"/>
      <c r="E1160" s="28"/>
      <c r="F1160" s="52"/>
      <c r="G1160" s="52"/>
    </row>
    <row r="1161" ht="22.5" customHeight="1">
      <c r="A1161" s="28"/>
      <c r="B1161" s="28"/>
      <c r="C1161" s="55"/>
      <c r="D1161" s="28"/>
      <c r="E1161" s="28"/>
      <c r="F1161" s="52"/>
      <c r="G1161" s="52"/>
    </row>
    <row r="1162" ht="22.5" customHeight="1">
      <c r="A1162" s="28"/>
      <c r="B1162" s="28"/>
      <c r="C1162" s="55"/>
      <c r="D1162" s="28"/>
      <c r="E1162" s="28"/>
      <c r="F1162" s="52"/>
      <c r="G1162" s="52"/>
    </row>
    <row r="1163" ht="22.5" customHeight="1">
      <c r="A1163" s="28"/>
      <c r="B1163" s="28"/>
      <c r="C1163" s="55"/>
      <c r="D1163" s="28"/>
      <c r="E1163" s="28"/>
      <c r="F1163" s="52"/>
      <c r="G1163" s="52"/>
    </row>
    <row r="1164" ht="22.5" customHeight="1">
      <c r="A1164" s="28"/>
      <c r="B1164" s="28"/>
      <c r="C1164" s="55"/>
      <c r="D1164" s="28"/>
      <c r="E1164" s="28"/>
      <c r="F1164" s="52"/>
      <c r="G1164" s="52"/>
    </row>
    <row r="1165" ht="22.5" customHeight="1">
      <c r="A1165" s="28"/>
      <c r="B1165" s="28"/>
      <c r="C1165" s="55"/>
      <c r="D1165" s="28"/>
      <c r="E1165" s="28"/>
      <c r="F1165" s="52"/>
      <c r="G1165" s="52"/>
    </row>
    <row r="1166" ht="22.5" customHeight="1">
      <c r="A1166" s="28"/>
      <c r="B1166" s="28"/>
      <c r="C1166" s="55"/>
      <c r="D1166" s="28"/>
      <c r="E1166" s="28"/>
      <c r="F1166" s="52"/>
      <c r="G1166" s="52"/>
    </row>
    <row r="1167" ht="22.5" customHeight="1">
      <c r="A1167" s="28"/>
      <c r="B1167" s="28"/>
      <c r="C1167" s="55"/>
      <c r="D1167" s="28"/>
      <c r="E1167" s="28"/>
      <c r="F1167" s="52"/>
      <c r="G1167" s="52"/>
    </row>
    <row r="1168" ht="22.5" customHeight="1">
      <c r="A1168" s="28"/>
      <c r="B1168" s="28"/>
      <c r="C1168" s="55"/>
      <c r="D1168" s="28"/>
      <c r="E1168" s="28"/>
      <c r="F1168" s="52"/>
      <c r="G1168" s="52"/>
    </row>
    <row r="1169" ht="22.5" customHeight="1">
      <c r="A1169" s="28"/>
      <c r="B1169" s="28"/>
      <c r="C1169" s="55"/>
      <c r="D1169" s="28"/>
      <c r="E1169" s="28"/>
      <c r="F1169" s="52"/>
      <c r="G1169" s="52"/>
    </row>
    <row r="1170" ht="22.5" customHeight="1">
      <c r="A1170" s="28"/>
      <c r="B1170" s="28"/>
      <c r="C1170" s="55"/>
      <c r="D1170" s="28"/>
      <c r="E1170" s="28"/>
      <c r="F1170" s="52"/>
      <c r="G1170" s="52"/>
    </row>
    <row r="1171" ht="22.5" customHeight="1">
      <c r="A1171" s="28"/>
      <c r="B1171" s="28"/>
      <c r="C1171" s="55"/>
      <c r="D1171" s="28"/>
      <c r="E1171" s="28"/>
      <c r="F1171" s="52"/>
      <c r="G1171" s="52"/>
    </row>
    <row r="1172" ht="22.5" customHeight="1">
      <c r="A1172" s="28"/>
      <c r="B1172" s="28"/>
      <c r="C1172" s="55"/>
      <c r="D1172" s="28"/>
      <c r="E1172" s="28"/>
      <c r="F1172" s="52"/>
      <c r="G1172" s="52"/>
    </row>
    <row r="1173" ht="22.5" customHeight="1">
      <c r="A1173" s="28"/>
      <c r="B1173" s="28"/>
      <c r="C1173" s="55"/>
      <c r="D1173" s="28"/>
      <c r="E1173" s="28"/>
      <c r="F1173" s="52"/>
      <c r="G1173" s="52"/>
    </row>
    <row r="1174" ht="22.5" customHeight="1">
      <c r="A1174" s="28"/>
      <c r="B1174" s="28"/>
      <c r="C1174" s="55"/>
      <c r="D1174" s="28"/>
      <c r="E1174" s="28"/>
      <c r="F1174" s="52"/>
      <c r="G1174" s="52"/>
    </row>
    <row r="1175" ht="22.5" customHeight="1">
      <c r="A1175" s="28"/>
      <c r="B1175" s="28"/>
      <c r="C1175" s="55"/>
      <c r="D1175" s="28"/>
      <c r="E1175" s="28"/>
      <c r="F1175" s="52"/>
      <c r="G1175" s="52"/>
    </row>
    <row r="1176" ht="22.5" customHeight="1">
      <c r="A1176" s="28"/>
      <c r="B1176" s="28"/>
      <c r="C1176" s="55"/>
      <c r="D1176" s="28"/>
      <c r="E1176" s="28"/>
      <c r="F1176" s="52"/>
      <c r="G1176" s="52"/>
    </row>
    <row r="1177" ht="22.5" customHeight="1">
      <c r="A1177" s="28"/>
      <c r="B1177" s="28"/>
      <c r="C1177" s="55"/>
      <c r="D1177" s="28"/>
      <c r="E1177" s="28"/>
      <c r="F1177" s="52"/>
      <c r="G1177" s="52"/>
    </row>
    <row r="1178" ht="22.5" customHeight="1">
      <c r="A1178" s="28"/>
      <c r="B1178" s="28"/>
      <c r="C1178" s="55"/>
      <c r="D1178" s="28"/>
      <c r="E1178" s="28"/>
      <c r="F1178" s="52"/>
      <c r="G1178" s="52"/>
    </row>
    <row r="1179" ht="22.5" customHeight="1">
      <c r="A1179" s="28"/>
      <c r="B1179" s="28"/>
      <c r="C1179" s="55"/>
      <c r="D1179" s="28"/>
      <c r="E1179" s="28"/>
      <c r="F1179" s="52"/>
      <c r="G1179" s="52"/>
    </row>
    <row r="1180" ht="22.5" customHeight="1">
      <c r="A1180" s="28"/>
      <c r="B1180" s="28"/>
      <c r="C1180" s="55"/>
      <c r="D1180" s="28"/>
      <c r="E1180" s="28"/>
      <c r="F1180" s="52"/>
      <c r="G1180" s="52"/>
    </row>
    <row r="1181" ht="22.5" customHeight="1">
      <c r="A1181" s="28"/>
      <c r="B1181" s="28"/>
      <c r="C1181" s="55"/>
      <c r="D1181" s="28"/>
      <c r="E1181" s="28"/>
      <c r="F1181" s="52"/>
      <c r="G1181" s="52"/>
    </row>
    <row r="1182" ht="22.5" customHeight="1">
      <c r="A1182" s="28"/>
      <c r="B1182" s="28"/>
      <c r="C1182" s="55"/>
      <c r="D1182" s="28"/>
      <c r="E1182" s="28"/>
      <c r="F1182" s="52"/>
      <c r="G1182" s="52"/>
    </row>
    <row r="1183" ht="22.5" customHeight="1">
      <c r="A1183" s="28"/>
      <c r="B1183" s="28"/>
      <c r="C1183" s="55"/>
      <c r="D1183" s="28"/>
      <c r="E1183" s="28"/>
      <c r="F1183" s="52"/>
      <c r="G1183" s="52"/>
    </row>
    <row r="1184" ht="22.5" customHeight="1">
      <c r="A1184" s="28"/>
      <c r="B1184" s="28"/>
      <c r="C1184" s="55"/>
      <c r="D1184" s="28"/>
      <c r="E1184" s="28"/>
      <c r="F1184" s="52"/>
      <c r="G1184" s="52"/>
    </row>
    <row r="1185" ht="22.5" customHeight="1">
      <c r="A1185" s="28"/>
      <c r="B1185" s="28"/>
      <c r="C1185" s="55"/>
      <c r="D1185" s="28"/>
      <c r="E1185" s="28"/>
      <c r="F1185" s="52"/>
      <c r="G1185" s="52"/>
    </row>
    <row r="1186" ht="22.5" customHeight="1">
      <c r="A1186" s="28"/>
      <c r="B1186" s="28"/>
      <c r="C1186" s="55"/>
      <c r="D1186" s="28"/>
      <c r="E1186" s="28"/>
      <c r="F1186" s="52"/>
      <c r="G1186" s="52"/>
    </row>
    <row r="1187" ht="22.5" customHeight="1">
      <c r="A1187" s="28"/>
      <c r="B1187" s="28"/>
      <c r="C1187" s="55"/>
      <c r="D1187" s="28"/>
      <c r="E1187" s="28"/>
      <c r="F1187" s="52"/>
      <c r="G1187" s="52"/>
    </row>
    <row r="1188" ht="22.5" customHeight="1">
      <c r="A1188" s="28"/>
      <c r="B1188" s="28"/>
      <c r="C1188" s="55"/>
      <c r="D1188" s="28"/>
      <c r="E1188" s="28"/>
      <c r="F1188" s="52"/>
      <c r="G1188" s="52"/>
    </row>
    <row r="1189" ht="22.5" customHeight="1">
      <c r="A1189" s="28"/>
      <c r="B1189" s="28"/>
      <c r="C1189" s="55"/>
      <c r="D1189" s="28"/>
      <c r="E1189" s="28"/>
      <c r="F1189" s="52"/>
      <c r="G1189" s="52"/>
    </row>
    <row r="1190" ht="22.5" customHeight="1">
      <c r="A1190" s="28"/>
      <c r="B1190" s="28"/>
      <c r="C1190" s="55"/>
      <c r="D1190" s="28"/>
      <c r="E1190" s="28"/>
      <c r="F1190" s="52"/>
      <c r="G1190" s="52"/>
    </row>
    <row r="1191" ht="22.5" customHeight="1">
      <c r="A1191" s="28"/>
      <c r="B1191" s="28"/>
      <c r="C1191" s="55"/>
      <c r="D1191" s="28"/>
      <c r="E1191" s="28"/>
      <c r="F1191" s="52"/>
      <c r="G1191" s="52"/>
    </row>
    <row r="1192" ht="22.5" customHeight="1">
      <c r="A1192" s="28"/>
      <c r="B1192" s="28"/>
      <c r="C1192" s="55"/>
      <c r="D1192" s="28"/>
      <c r="E1192" s="28"/>
      <c r="F1192" s="52"/>
      <c r="G1192" s="52"/>
    </row>
    <row r="1193" ht="22.5" customHeight="1">
      <c r="A1193" s="28"/>
      <c r="B1193" s="28"/>
      <c r="C1193" s="55"/>
      <c r="D1193" s="28"/>
      <c r="E1193" s="28"/>
      <c r="F1193" s="52"/>
      <c r="G1193" s="52"/>
    </row>
    <row r="1194" ht="22.5" customHeight="1">
      <c r="A1194" s="28"/>
      <c r="B1194" s="28"/>
      <c r="C1194" s="55"/>
      <c r="D1194" s="28"/>
      <c r="E1194" s="28"/>
      <c r="F1194" s="52"/>
      <c r="G1194" s="52"/>
    </row>
    <row r="1195" ht="22.5" customHeight="1">
      <c r="A1195" s="28"/>
      <c r="B1195" s="28"/>
      <c r="C1195" s="55"/>
      <c r="D1195" s="28"/>
      <c r="E1195" s="28"/>
      <c r="F1195" s="52"/>
      <c r="G1195" s="52"/>
    </row>
    <row r="1196" ht="22.5" customHeight="1">
      <c r="A1196" s="28"/>
      <c r="B1196" s="28"/>
      <c r="C1196" s="55"/>
      <c r="D1196" s="28"/>
      <c r="E1196" s="28"/>
      <c r="F1196" s="52"/>
      <c r="G1196" s="52"/>
    </row>
    <row r="1197" ht="22.5" customHeight="1">
      <c r="A1197" s="28"/>
      <c r="B1197" s="28"/>
      <c r="C1197" s="55"/>
      <c r="D1197" s="28"/>
      <c r="E1197" s="28"/>
      <c r="F1197" s="52"/>
      <c r="G1197" s="52"/>
    </row>
    <row r="1198" ht="22.5" customHeight="1">
      <c r="A1198" s="28"/>
      <c r="B1198" s="28"/>
      <c r="C1198" s="55"/>
      <c r="D1198" s="28"/>
      <c r="E1198" s="28"/>
      <c r="F1198" s="52"/>
      <c r="G1198" s="52"/>
    </row>
    <row r="1199" ht="22.5" customHeight="1">
      <c r="A1199" s="28"/>
      <c r="B1199" s="28"/>
      <c r="C1199" s="55"/>
      <c r="D1199" s="28"/>
      <c r="E1199" s="28"/>
      <c r="F1199" s="52"/>
      <c r="G1199" s="52"/>
    </row>
    <row r="1200" ht="22.5" customHeight="1">
      <c r="A1200" s="28"/>
      <c r="B1200" s="28"/>
      <c r="C1200" s="55"/>
      <c r="D1200" s="28"/>
      <c r="E1200" s="28"/>
      <c r="F1200" s="52"/>
      <c r="G1200" s="52"/>
    </row>
    <row r="1201" ht="22.5" customHeight="1">
      <c r="A1201" s="28"/>
      <c r="B1201" s="28"/>
      <c r="C1201" s="55"/>
      <c r="D1201" s="28"/>
      <c r="E1201" s="28"/>
      <c r="F1201" s="52"/>
      <c r="G1201" s="52"/>
    </row>
    <row r="1202" ht="22.5" customHeight="1">
      <c r="A1202" s="28"/>
      <c r="B1202" s="28"/>
      <c r="C1202" s="55"/>
      <c r="D1202" s="28"/>
      <c r="E1202" s="28"/>
      <c r="F1202" s="52"/>
      <c r="G1202" s="52"/>
    </row>
    <row r="1203" ht="22.5" customHeight="1">
      <c r="A1203" s="28"/>
      <c r="B1203" s="28"/>
      <c r="C1203" s="55"/>
      <c r="D1203" s="28"/>
      <c r="E1203" s="28"/>
      <c r="F1203" s="52"/>
      <c r="G1203" s="52"/>
    </row>
    <row r="1204" ht="22.5" customHeight="1">
      <c r="A1204" s="28"/>
      <c r="B1204" s="28"/>
      <c r="C1204" s="55"/>
      <c r="D1204" s="28"/>
      <c r="E1204" s="28"/>
      <c r="F1204" s="52"/>
      <c r="G1204" s="52"/>
    </row>
    <row r="1205" ht="22.5" customHeight="1">
      <c r="A1205" s="28"/>
      <c r="B1205" s="28"/>
      <c r="C1205" s="55"/>
      <c r="D1205" s="28"/>
      <c r="E1205" s="28"/>
      <c r="F1205" s="52"/>
      <c r="G1205" s="52"/>
    </row>
    <row r="1206" ht="22.5" customHeight="1">
      <c r="A1206" s="28"/>
      <c r="B1206" s="28"/>
      <c r="C1206" s="55"/>
      <c r="D1206" s="28"/>
      <c r="E1206" s="28"/>
      <c r="F1206" s="52"/>
      <c r="G1206" s="52"/>
    </row>
    <row r="1207" ht="22.5" customHeight="1">
      <c r="A1207" s="28"/>
      <c r="B1207" s="28"/>
      <c r="C1207" s="55"/>
      <c r="D1207" s="28"/>
      <c r="E1207" s="28"/>
      <c r="F1207" s="52"/>
      <c r="G1207" s="52"/>
    </row>
    <row r="1208" ht="22.5" customHeight="1">
      <c r="A1208" s="28"/>
      <c r="B1208" s="28"/>
      <c r="C1208" s="55"/>
      <c r="D1208" s="28"/>
      <c r="E1208" s="28"/>
      <c r="F1208" s="52"/>
      <c r="G1208" s="52"/>
    </row>
    <row r="1209" ht="22.5" customHeight="1">
      <c r="A1209" s="28"/>
      <c r="B1209" s="28"/>
      <c r="C1209" s="55"/>
      <c r="D1209" s="28"/>
      <c r="E1209" s="28"/>
      <c r="F1209" s="52"/>
      <c r="G1209" s="52"/>
    </row>
    <row r="1210" ht="22.5" customHeight="1">
      <c r="A1210" s="28"/>
      <c r="B1210" s="28"/>
      <c r="C1210" s="55"/>
      <c r="D1210" s="28"/>
      <c r="E1210" s="28"/>
      <c r="F1210" s="52"/>
      <c r="G1210" s="52"/>
    </row>
    <row r="1211" ht="22.5" customHeight="1">
      <c r="A1211" s="28"/>
      <c r="B1211" s="28"/>
      <c r="C1211" s="55"/>
      <c r="D1211" s="28"/>
      <c r="E1211" s="28"/>
      <c r="F1211" s="52"/>
      <c r="G1211" s="52"/>
    </row>
    <row r="1212" ht="22.5" customHeight="1">
      <c r="A1212" s="28"/>
      <c r="B1212" s="28"/>
      <c r="C1212" s="55"/>
      <c r="D1212" s="28"/>
      <c r="E1212" s="28"/>
      <c r="F1212" s="52"/>
      <c r="G1212" s="52"/>
    </row>
    <row r="1213" ht="22.5" customHeight="1">
      <c r="A1213" s="28"/>
      <c r="B1213" s="28"/>
      <c r="C1213" s="55"/>
      <c r="D1213" s="28"/>
      <c r="E1213" s="28"/>
      <c r="F1213" s="52"/>
      <c r="G1213" s="52"/>
    </row>
    <row r="1214" ht="22.5" customHeight="1">
      <c r="A1214" s="28"/>
      <c r="B1214" s="28"/>
      <c r="C1214" s="55"/>
      <c r="D1214" s="28"/>
      <c r="E1214" s="28"/>
      <c r="F1214" s="52"/>
      <c r="G1214" s="52"/>
    </row>
    <row r="1215" ht="22.5" customHeight="1">
      <c r="A1215" s="28"/>
      <c r="B1215" s="28"/>
      <c r="C1215" s="55"/>
      <c r="D1215" s="28"/>
      <c r="E1215" s="28"/>
      <c r="F1215" s="52"/>
      <c r="G1215" s="52"/>
    </row>
    <row r="1216" ht="22.5" customHeight="1">
      <c r="A1216" s="28"/>
      <c r="B1216" s="28"/>
      <c r="C1216" s="55"/>
      <c r="D1216" s="28"/>
      <c r="E1216" s="28"/>
      <c r="F1216" s="52"/>
      <c r="G1216" s="52"/>
    </row>
    <row r="1217" ht="22.5" customHeight="1">
      <c r="A1217" s="28"/>
      <c r="B1217" s="28"/>
      <c r="C1217" s="55"/>
      <c r="D1217" s="28"/>
      <c r="E1217" s="28"/>
      <c r="F1217" s="52"/>
      <c r="G1217" s="52"/>
    </row>
    <row r="1218" ht="22.5" customHeight="1">
      <c r="A1218" s="28"/>
      <c r="B1218" s="28"/>
      <c r="C1218" s="55"/>
      <c r="D1218" s="28"/>
      <c r="E1218" s="28"/>
      <c r="F1218" s="52"/>
      <c r="G1218" s="52"/>
    </row>
    <row r="1219" ht="22.5" customHeight="1">
      <c r="A1219" s="28"/>
      <c r="B1219" s="28"/>
      <c r="C1219" s="55"/>
      <c r="D1219" s="28"/>
      <c r="E1219" s="28"/>
      <c r="F1219" s="52"/>
      <c r="G1219" s="52"/>
    </row>
    <row r="1220" ht="22.5" customHeight="1">
      <c r="A1220" s="28"/>
      <c r="B1220" s="28"/>
      <c r="C1220" s="55"/>
      <c r="D1220" s="28"/>
      <c r="E1220" s="28"/>
      <c r="F1220" s="52"/>
      <c r="G1220" s="52"/>
    </row>
    <row r="1221" ht="22.5" customHeight="1">
      <c r="A1221" s="28"/>
      <c r="B1221" s="28"/>
      <c r="C1221" s="55"/>
      <c r="D1221" s="28"/>
      <c r="E1221" s="28"/>
      <c r="F1221" s="52"/>
      <c r="G1221" s="52"/>
    </row>
    <row r="1222" ht="22.5" customHeight="1">
      <c r="A1222" s="28"/>
      <c r="B1222" s="28"/>
      <c r="C1222" s="55"/>
      <c r="D1222" s="28"/>
      <c r="E1222" s="28"/>
      <c r="F1222" s="52"/>
      <c r="G1222" s="52"/>
    </row>
    <row r="1223" ht="22.5" customHeight="1">
      <c r="A1223" s="28"/>
      <c r="B1223" s="28"/>
      <c r="C1223" s="55"/>
      <c r="D1223" s="28"/>
      <c r="E1223" s="28"/>
      <c r="F1223" s="52"/>
      <c r="G1223" s="52"/>
    </row>
    <row r="1224" ht="22.5" customHeight="1">
      <c r="A1224" s="28"/>
      <c r="B1224" s="28"/>
      <c r="C1224" s="55"/>
      <c r="D1224" s="28"/>
      <c r="E1224" s="28"/>
      <c r="F1224" s="52"/>
      <c r="G1224" s="52"/>
    </row>
    <row r="1225" ht="22.5" customHeight="1">
      <c r="A1225" s="28"/>
      <c r="B1225" s="28"/>
      <c r="C1225" s="55"/>
      <c r="D1225" s="28"/>
      <c r="E1225" s="28"/>
      <c r="F1225" s="52"/>
      <c r="G1225" s="52"/>
    </row>
    <row r="1226" ht="22.5" customHeight="1">
      <c r="A1226" s="28"/>
      <c r="B1226" s="28"/>
      <c r="C1226" s="55"/>
      <c r="D1226" s="28"/>
      <c r="E1226" s="28"/>
      <c r="F1226" s="52"/>
      <c r="G1226" s="52"/>
    </row>
    <row r="1227" ht="22.5" customHeight="1">
      <c r="A1227" s="28"/>
      <c r="B1227" s="28"/>
      <c r="C1227" s="55"/>
      <c r="D1227" s="28"/>
      <c r="E1227" s="28"/>
      <c r="F1227" s="52"/>
      <c r="G1227" s="52"/>
    </row>
    <row r="1228" ht="22.5" customHeight="1">
      <c r="A1228" s="28"/>
      <c r="B1228" s="28"/>
      <c r="C1228" s="55"/>
      <c r="D1228" s="28"/>
      <c r="E1228" s="28"/>
      <c r="F1228" s="52"/>
      <c r="G1228" s="52"/>
    </row>
    <row r="1229" ht="22.5" customHeight="1">
      <c r="A1229" s="28"/>
      <c r="B1229" s="28"/>
      <c r="C1229" s="55"/>
      <c r="D1229" s="28"/>
      <c r="E1229" s="28"/>
      <c r="F1229" s="52"/>
      <c r="G1229" s="52"/>
    </row>
    <row r="1230" ht="22.5" customHeight="1">
      <c r="A1230" s="28"/>
      <c r="B1230" s="28"/>
      <c r="C1230" s="55"/>
      <c r="D1230" s="28"/>
      <c r="E1230" s="28"/>
      <c r="F1230" s="52"/>
      <c r="G1230" s="52"/>
    </row>
    <row r="1231" ht="22.5" customHeight="1">
      <c r="A1231" s="28"/>
      <c r="B1231" s="28"/>
      <c r="C1231" s="55"/>
      <c r="D1231" s="28"/>
      <c r="E1231" s="28"/>
      <c r="F1231" s="52"/>
      <c r="G1231" s="52"/>
    </row>
    <row r="1232" ht="22.5" customHeight="1">
      <c r="A1232" s="28"/>
      <c r="B1232" s="28"/>
      <c r="C1232" s="55"/>
      <c r="D1232" s="28"/>
      <c r="E1232" s="28"/>
      <c r="F1232" s="52"/>
      <c r="G1232" s="52"/>
    </row>
    <row r="1233" ht="22.5" customHeight="1">
      <c r="A1233" s="28"/>
      <c r="B1233" s="28"/>
      <c r="C1233" s="55"/>
      <c r="D1233" s="28"/>
      <c r="E1233" s="28"/>
      <c r="F1233" s="52"/>
      <c r="G1233" s="52"/>
    </row>
    <row r="1234" ht="22.5" customHeight="1">
      <c r="A1234" s="28"/>
      <c r="B1234" s="28"/>
      <c r="C1234" s="55"/>
      <c r="D1234" s="28"/>
      <c r="E1234" s="28"/>
      <c r="F1234" s="52"/>
      <c r="G1234" s="52"/>
    </row>
    <row r="1235" ht="22.5" customHeight="1">
      <c r="A1235" s="28"/>
      <c r="B1235" s="28"/>
      <c r="C1235" s="55"/>
      <c r="D1235" s="28"/>
      <c r="E1235" s="28"/>
      <c r="F1235" s="52"/>
      <c r="G1235" s="52"/>
    </row>
    <row r="1236" ht="22.5" customHeight="1">
      <c r="A1236" s="28"/>
      <c r="B1236" s="28"/>
      <c r="C1236" s="55"/>
      <c r="D1236" s="28"/>
      <c r="E1236" s="28"/>
      <c r="F1236" s="52"/>
      <c r="G1236" s="52"/>
    </row>
    <row r="1237" ht="22.5" customHeight="1">
      <c r="A1237" s="28"/>
      <c r="B1237" s="28"/>
      <c r="C1237" s="55"/>
      <c r="D1237" s="28"/>
      <c r="E1237" s="28"/>
      <c r="F1237" s="52"/>
      <c r="G1237" s="52"/>
    </row>
    <row r="1238" ht="22.5" customHeight="1">
      <c r="A1238" s="28"/>
      <c r="B1238" s="28"/>
      <c r="C1238" s="55"/>
      <c r="D1238" s="28"/>
      <c r="E1238" s="28"/>
      <c r="F1238" s="52"/>
      <c r="G1238" s="52"/>
    </row>
    <row r="1239" ht="22.5" customHeight="1">
      <c r="A1239" s="28"/>
      <c r="B1239" s="28"/>
      <c r="C1239" s="55"/>
      <c r="D1239" s="28"/>
      <c r="E1239" s="28"/>
      <c r="F1239" s="52"/>
      <c r="G1239" s="52"/>
    </row>
    <row r="1240" ht="22.5" customHeight="1">
      <c r="A1240" s="28"/>
      <c r="B1240" s="28"/>
      <c r="C1240" s="55"/>
      <c r="D1240" s="28"/>
      <c r="E1240" s="28"/>
      <c r="F1240" s="52"/>
      <c r="G1240" s="52"/>
    </row>
    <row r="1241" ht="22.5" customHeight="1">
      <c r="A1241" s="28"/>
      <c r="B1241" s="28"/>
      <c r="C1241" s="55"/>
      <c r="D1241" s="28"/>
      <c r="E1241" s="28"/>
      <c r="F1241" s="52"/>
      <c r="G1241" s="52"/>
    </row>
    <row r="1242" ht="22.5" customHeight="1">
      <c r="A1242" s="28"/>
      <c r="B1242" s="28"/>
      <c r="C1242" s="55"/>
      <c r="D1242" s="28"/>
      <c r="E1242" s="28"/>
      <c r="F1242" s="52"/>
      <c r="G1242" s="52"/>
    </row>
    <row r="1243" ht="22.5" customHeight="1">
      <c r="A1243" s="28"/>
      <c r="B1243" s="28"/>
      <c r="C1243" s="55"/>
      <c r="D1243" s="28"/>
      <c r="E1243" s="28"/>
      <c r="F1243" s="52"/>
      <c r="G1243" s="52"/>
    </row>
    <row r="1244" ht="22.5" customHeight="1">
      <c r="A1244" s="28"/>
      <c r="B1244" s="28"/>
      <c r="C1244" s="55"/>
      <c r="D1244" s="28"/>
      <c r="E1244" s="28"/>
      <c r="F1244" s="52"/>
      <c r="G1244" s="52"/>
    </row>
    <row r="1245" ht="22.5" customHeight="1">
      <c r="A1245" s="28"/>
      <c r="B1245" s="28"/>
      <c r="C1245" s="55"/>
      <c r="D1245" s="28"/>
      <c r="E1245" s="28"/>
      <c r="F1245" s="52"/>
      <c r="G1245" s="52"/>
    </row>
    <row r="1246" ht="22.5" customHeight="1">
      <c r="A1246" s="28"/>
      <c r="B1246" s="28"/>
      <c r="C1246" s="55"/>
      <c r="D1246" s="28"/>
      <c r="E1246" s="28"/>
      <c r="F1246" s="52"/>
      <c r="G1246" s="52"/>
    </row>
    <row r="1247" ht="22.5" customHeight="1">
      <c r="A1247" s="28"/>
      <c r="B1247" s="28"/>
      <c r="C1247" s="55"/>
      <c r="D1247" s="28"/>
      <c r="E1247" s="28"/>
      <c r="F1247" s="52"/>
      <c r="G1247" s="52"/>
    </row>
    <row r="1248" ht="22.5" customHeight="1">
      <c r="A1248" s="28"/>
      <c r="B1248" s="28"/>
      <c r="C1248" s="55"/>
      <c r="D1248" s="28"/>
      <c r="E1248" s="28"/>
      <c r="F1248" s="52"/>
      <c r="G1248" s="52"/>
    </row>
    <row r="1249" ht="22.5" customHeight="1">
      <c r="A1249" s="28"/>
      <c r="B1249" s="28"/>
      <c r="C1249" s="55"/>
      <c r="D1249" s="28"/>
      <c r="E1249" s="28"/>
      <c r="F1249" s="52"/>
      <c r="G1249" s="52"/>
    </row>
    <row r="1250" ht="22.5" customHeight="1">
      <c r="A1250" s="28"/>
      <c r="B1250" s="28"/>
      <c r="C1250" s="55"/>
      <c r="D1250" s="28"/>
      <c r="E1250" s="28"/>
      <c r="F1250" s="52"/>
      <c r="G1250" s="52"/>
    </row>
    <row r="1251" ht="22.5" customHeight="1">
      <c r="A1251" s="28"/>
      <c r="B1251" s="28"/>
      <c r="C1251" s="55"/>
      <c r="D1251" s="28"/>
      <c r="E1251" s="28"/>
      <c r="F1251" s="52"/>
      <c r="G1251" s="52"/>
    </row>
    <row r="1252" ht="22.5" customHeight="1">
      <c r="A1252" s="28"/>
      <c r="B1252" s="28"/>
      <c r="C1252" s="55"/>
      <c r="D1252" s="28"/>
      <c r="E1252" s="28"/>
      <c r="F1252" s="52"/>
      <c r="G1252" s="52"/>
    </row>
    <row r="1253" ht="22.5" customHeight="1">
      <c r="A1253" s="28"/>
      <c r="B1253" s="28"/>
      <c r="C1253" s="55"/>
      <c r="D1253" s="28"/>
      <c r="E1253" s="28"/>
      <c r="F1253" s="52"/>
      <c r="G1253" s="52"/>
    </row>
    <row r="1254" ht="22.5" customHeight="1">
      <c r="A1254" s="28"/>
      <c r="B1254" s="28"/>
      <c r="C1254" s="55"/>
      <c r="D1254" s="28"/>
      <c r="E1254" s="28"/>
      <c r="F1254" s="52"/>
      <c r="G1254" s="52"/>
    </row>
    <row r="1255" ht="22.5" customHeight="1">
      <c r="A1255" s="28"/>
      <c r="B1255" s="28"/>
      <c r="C1255" s="55"/>
      <c r="D1255" s="28"/>
      <c r="E1255" s="28"/>
      <c r="F1255" s="52"/>
      <c r="G1255" s="52"/>
    </row>
    <row r="1256" ht="22.5" customHeight="1">
      <c r="A1256" s="28"/>
      <c r="B1256" s="28"/>
      <c r="C1256" s="55"/>
      <c r="D1256" s="28"/>
      <c r="E1256" s="28"/>
      <c r="F1256" s="52"/>
      <c r="G1256" s="52"/>
    </row>
    <row r="1257" ht="22.5" customHeight="1">
      <c r="A1257" s="28"/>
      <c r="B1257" s="28"/>
      <c r="C1257" s="55"/>
      <c r="D1257" s="28"/>
      <c r="E1257" s="28"/>
      <c r="F1257" s="52"/>
      <c r="G1257" s="52"/>
    </row>
    <row r="1258" ht="22.5" customHeight="1">
      <c r="A1258" s="28"/>
      <c r="B1258" s="28"/>
      <c r="C1258" s="55"/>
      <c r="D1258" s="28"/>
      <c r="E1258" s="28"/>
      <c r="F1258" s="52"/>
      <c r="G1258" s="52"/>
    </row>
    <row r="1259" ht="22.5" customHeight="1">
      <c r="A1259" s="28"/>
      <c r="B1259" s="28"/>
      <c r="C1259" s="55"/>
      <c r="D1259" s="28"/>
      <c r="E1259" s="28"/>
      <c r="F1259" s="52"/>
      <c r="G1259" s="52"/>
    </row>
    <row r="1260" ht="22.5" customHeight="1">
      <c r="A1260" s="28"/>
      <c r="B1260" s="28"/>
      <c r="C1260" s="55"/>
      <c r="D1260" s="28"/>
      <c r="E1260" s="28"/>
      <c r="F1260" s="52"/>
      <c r="G1260" s="52"/>
    </row>
    <row r="1261" ht="22.5" customHeight="1">
      <c r="A1261" s="28"/>
      <c r="B1261" s="28"/>
      <c r="C1261" s="55"/>
      <c r="D1261" s="28"/>
      <c r="E1261" s="28"/>
      <c r="F1261" s="52"/>
      <c r="G1261" s="52"/>
    </row>
    <row r="1262" ht="22.5" customHeight="1">
      <c r="A1262" s="28"/>
      <c r="B1262" s="28"/>
      <c r="C1262" s="55"/>
      <c r="D1262" s="28"/>
      <c r="E1262" s="28"/>
      <c r="F1262" s="52"/>
      <c r="G1262" s="52"/>
    </row>
    <row r="1263" ht="22.5" customHeight="1">
      <c r="A1263" s="28"/>
      <c r="B1263" s="28"/>
      <c r="C1263" s="55"/>
      <c r="D1263" s="28"/>
      <c r="E1263" s="28"/>
      <c r="F1263" s="52"/>
      <c r="G1263" s="52"/>
    </row>
    <row r="1264" ht="22.5" customHeight="1">
      <c r="A1264" s="28"/>
      <c r="B1264" s="28"/>
      <c r="C1264" s="55"/>
      <c r="D1264" s="28"/>
      <c r="E1264" s="28"/>
      <c r="F1264" s="52"/>
      <c r="G1264" s="52"/>
    </row>
    <row r="1265" ht="22.5" customHeight="1">
      <c r="A1265" s="28"/>
      <c r="B1265" s="28"/>
      <c r="C1265" s="55"/>
      <c r="D1265" s="28"/>
      <c r="E1265" s="28"/>
      <c r="F1265" s="52"/>
      <c r="G1265" s="52"/>
    </row>
    <row r="1266" ht="22.5" customHeight="1">
      <c r="A1266" s="28"/>
      <c r="B1266" s="28"/>
      <c r="C1266" s="55"/>
      <c r="D1266" s="28"/>
      <c r="E1266" s="28"/>
      <c r="F1266" s="52"/>
      <c r="G1266" s="52"/>
    </row>
    <row r="1267" ht="22.5" customHeight="1">
      <c r="A1267" s="28"/>
      <c r="B1267" s="28"/>
      <c r="C1267" s="55"/>
      <c r="D1267" s="28"/>
      <c r="E1267" s="28"/>
      <c r="F1267" s="52"/>
      <c r="G1267" s="52"/>
    </row>
    <row r="1268" ht="22.5" customHeight="1">
      <c r="A1268" s="28"/>
      <c r="B1268" s="28"/>
      <c r="C1268" s="55"/>
      <c r="D1268" s="28"/>
      <c r="E1268" s="28"/>
      <c r="F1268" s="52"/>
      <c r="G1268" s="52"/>
    </row>
    <row r="1269" ht="22.5" customHeight="1">
      <c r="A1269" s="28"/>
      <c r="B1269" s="28"/>
      <c r="C1269" s="55"/>
      <c r="D1269" s="28"/>
      <c r="E1269" s="28"/>
      <c r="F1269" s="52"/>
      <c r="G1269" s="52"/>
    </row>
    <row r="1270" ht="22.5" customHeight="1">
      <c r="A1270" s="28"/>
      <c r="B1270" s="28"/>
      <c r="C1270" s="55"/>
      <c r="D1270" s="28"/>
      <c r="E1270" s="28"/>
      <c r="F1270" s="52"/>
      <c r="G1270" s="52"/>
    </row>
    <row r="1271" ht="22.5" customHeight="1">
      <c r="A1271" s="28"/>
      <c r="B1271" s="28"/>
      <c r="C1271" s="55"/>
      <c r="D1271" s="28"/>
      <c r="E1271" s="28"/>
      <c r="F1271" s="52"/>
      <c r="G1271" s="52"/>
    </row>
    <row r="1272" ht="22.5" customHeight="1">
      <c r="A1272" s="28"/>
      <c r="B1272" s="28"/>
      <c r="C1272" s="55"/>
      <c r="D1272" s="28"/>
      <c r="E1272" s="28"/>
      <c r="F1272" s="52"/>
      <c r="G1272" s="52"/>
    </row>
    <row r="1273" ht="22.5" customHeight="1">
      <c r="A1273" s="28"/>
      <c r="B1273" s="28"/>
      <c r="C1273" s="55"/>
      <c r="D1273" s="28"/>
      <c r="E1273" s="28"/>
      <c r="F1273" s="52"/>
      <c r="G1273" s="52"/>
    </row>
    <row r="1274" ht="22.5" customHeight="1">
      <c r="A1274" s="28"/>
      <c r="B1274" s="28"/>
      <c r="C1274" s="55"/>
      <c r="D1274" s="28"/>
      <c r="E1274" s="28"/>
      <c r="F1274" s="52"/>
      <c r="G1274" s="52"/>
    </row>
    <row r="1275" ht="22.5" customHeight="1">
      <c r="A1275" s="28"/>
      <c r="B1275" s="28"/>
      <c r="C1275" s="55"/>
      <c r="D1275" s="28"/>
      <c r="E1275" s="28"/>
      <c r="F1275" s="52"/>
      <c r="G1275" s="52"/>
    </row>
    <row r="1276" ht="22.5" customHeight="1">
      <c r="A1276" s="28"/>
      <c r="B1276" s="28"/>
      <c r="C1276" s="55"/>
      <c r="D1276" s="28"/>
      <c r="E1276" s="28"/>
      <c r="F1276" s="52"/>
      <c r="G1276" s="52"/>
    </row>
    <row r="1277" ht="22.5" customHeight="1">
      <c r="A1277" s="28"/>
      <c r="B1277" s="28"/>
      <c r="C1277" s="55"/>
      <c r="D1277" s="28"/>
      <c r="E1277" s="28"/>
      <c r="F1277" s="52"/>
      <c r="G1277" s="52"/>
    </row>
    <row r="1278" ht="22.5" customHeight="1">
      <c r="A1278" s="28"/>
      <c r="B1278" s="28"/>
      <c r="C1278" s="55"/>
      <c r="D1278" s="28"/>
      <c r="E1278" s="28"/>
      <c r="F1278" s="52"/>
      <c r="G1278" s="52"/>
    </row>
    <row r="1279" ht="22.5" customHeight="1">
      <c r="A1279" s="28"/>
      <c r="B1279" s="28"/>
      <c r="C1279" s="55"/>
      <c r="D1279" s="28"/>
      <c r="E1279" s="28"/>
      <c r="F1279" s="52"/>
      <c r="G1279" s="52"/>
    </row>
    <row r="1280" ht="22.5" customHeight="1">
      <c r="A1280" s="28"/>
      <c r="B1280" s="28"/>
      <c r="C1280" s="55"/>
      <c r="D1280" s="28"/>
      <c r="E1280" s="28"/>
      <c r="F1280" s="52"/>
      <c r="G1280" s="52"/>
    </row>
    <row r="1281" ht="22.5" customHeight="1">
      <c r="A1281" s="28"/>
      <c r="B1281" s="28"/>
      <c r="C1281" s="55"/>
      <c r="D1281" s="28"/>
      <c r="E1281" s="28"/>
      <c r="F1281" s="52"/>
      <c r="G1281" s="52"/>
    </row>
    <row r="1282" ht="22.5" customHeight="1">
      <c r="A1282" s="28"/>
      <c r="B1282" s="28"/>
      <c r="C1282" s="55"/>
      <c r="D1282" s="28"/>
      <c r="E1282" s="28"/>
      <c r="F1282" s="52"/>
      <c r="G1282" s="52"/>
    </row>
    <row r="1283" ht="22.5" customHeight="1">
      <c r="A1283" s="28"/>
      <c r="B1283" s="28"/>
      <c r="C1283" s="55"/>
      <c r="D1283" s="28"/>
      <c r="E1283" s="28"/>
      <c r="F1283" s="52"/>
      <c r="G1283" s="52"/>
    </row>
    <row r="1284" ht="22.5" customHeight="1">
      <c r="A1284" s="28"/>
      <c r="B1284" s="28"/>
      <c r="C1284" s="55"/>
      <c r="D1284" s="28"/>
      <c r="E1284" s="28"/>
      <c r="F1284" s="52"/>
      <c r="G1284" s="52"/>
    </row>
    <row r="1285" ht="22.5" customHeight="1">
      <c r="A1285" s="28"/>
      <c r="B1285" s="28"/>
      <c r="C1285" s="55"/>
      <c r="D1285" s="28"/>
      <c r="E1285" s="28"/>
      <c r="F1285" s="52"/>
      <c r="G1285" s="52"/>
    </row>
    <row r="1286" ht="22.5" customHeight="1">
      <c r="A1286" s="28"/>
      <c r="B1286" s="28"/>
      <c r="C1286" s="55"/>
      <c r="D1286" s="28"/>
      <c r="E1286" s="28"/>
      <c r="F1286" s="52"/>
      <c r="G1286" s="52"/>
    </row>
    <row r="1287" ht="22.5" customHeight="1">
      <c r="A1287" s="28"/>
      <c r="B1287" s="28"/>
      <c r="C1287" s="55"/>
      <c r="D1287" s="28"/>
      <c r="E1287" s="28"/>
      <c r="F1287" s="52"/>
      <c r="G1287" s="52"/>
    </row>
    <row r="1288" ht="22.5" customHeight="1">
      <c r="A1288" s="28"/>
      <c r="B1288" s="28"/>
      <c r="C1288" s="55"/>
      <c r="D1288" s="28"/>
      <c r="E1288" s="28"/>
      <c r="F1288" s="52"/>
      <c r="G1288" s="52"/>
    </row>
    <row r="1289" ht="22.5" customHeight="1">
      <c r="A1289" s="28"/>
      <c r="B1289" s="28"/>
      <c r="C1289" s="55"/>
      <c r="D1289" s="28"/>
      <c r="E1289" s="28"/>
      <c r="F1289" s="52"/>
      <c r="G1289" s="52"/>
    </row>
    <row r="1290" ht="22.5" customHeight="1">
      <c r="A1290" s="28"/>
      <c r="B1290" s="28"/>
      <c r="C1290" s="55"/>
      <c r="D1290" s="28"/>
      <c r="E1290" s="28"/>
      <c r="F1290" s="52"/>
      <c r="G1290" s="52"/>
    </row>
    <row r="1291" ht="22.5" customHeight="1">
      <c r="A1291" s="28"/>
      <c r="B1291" s="28"/>
      <c r="C1291" s="55"/>
      <c r="D1291" s="28"/>
      <c r="E1291" s="28"/>
      <c r="F1291" s="52"/>
      <c r="G1291" s="52"/>
    </row>
    <row r="1292" ht="22.5" customHeight="1">
      <c r="A1292" s="28"/>
      <c r="B1292" s="28"/>
      <c r="C1292" s="55"/>
      <c r="D1292" s="28"/>
      <c r="E1292" s="28"/>
      <c r="F1292" s="52"/>
      <c r="G1292" s="52"/>
    </row>
    <row r="1293" ht="22.5" customHeight="1">
      <c r="A1293" s="28"/>
      <c r="B1293" s="28"/>
      <c r="C1293" s="55"/>
      <c r="D1293" s="28"/>
      <c r="E1293" s="28"/>
      <c r="F1293" s="52"/>
      <c r="G1293" s="52"/>
    </row>
    <row r="1294" ht="22.5" customHeight="1">
      <c r="A1294" s="28"/>
      <c r="B1294" s="28"/>
      <c r="C1294" s="55"/>
      <c r="D1294" s="28"/>
      <c r="E1294" s="28"/>
      <c r="F1294" s="52"/>
      <c r="G1294" s="52"/>
    </row>
    <row r="1295" ht="22.5" customHeight="1">
      <c r="A1295" s="28"/>
      <c r="B1295" s="28"/>
      <c r="C1295" s="55"/>
      <c r="D1295" s="28"/>
      <c r="E1295" s="28"/>
      <c r="F1295" s="52"/>
      <c r="G1295" s="52"/>
    </row>
    <row r="1296" ht="22.5" customHeight="1">
      <c r="A1296" s="28"/>
      <c r="B1296" s="28"/>
      <c r="C1296" s="55"/>
      <c r="D1296" s="28"/>
      <c r="E1296" s="28"/>
      <c r="F1296" s="52"/>
      <c r="G1296" s="52"/>
    </row>
  </sheetData>
  <conditionalFormatting sqref="A2:G1296">
    <cfRule type="expression" dxfId="5" priority="1">
      <formula>$E2&lt;0</formula>
    </cfRule>
  </conditionalFormatting>
  <conditionalFormatting sqref="A2:G1296">
    <cfRule type="expression" dxfId="6" priority="2">
      <formula>AND($A2&lt;&gt;"", $E2=0)</formula>
    </cfRule>
  </conditionalFormatting>
  <conditionalFormatting sqref="E2:G1296">
    <cfRule type="notContainsBlanks" dxfId="7" priority="3">
      <formula>LEN(TRIM(E2))&gt;0</formula>
    </cfRule>
  </conditionalFormatting>
  <conditionalFormatting sqref="E2:G1296">
    <cfRule type="notContainsBlanks" dxfId="7" priority="4">
      <formula>LEN(TRIM(E2))&gt;0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43.38"/>
    <col customWidth="1" min="5" max="5" width="15.75"/>
  </cols>
  <sheetData>
    <row r="1">
      <c r="A1" s="76"/>
      <c r="D1" s="76"/>
    </row>
    <row r="2">
      <c r="A2" s="77" t="s">
        <v>1378</v>
      </c>
    </row>
    <row r="5">
      <c r="A5" s="78" t="s">
        <v>1379</v>
      </c>
    </row>
    <row r="6">
      <c r="A6" s="76"/>
      <c r="D6" s="76"/>
      <c r="G6" s="76"/>
    </row>
    <row r="7" ht="22.5" customHeight="1">
      <c r="A7" s="79" t="s">
        <v>1380</v>
      </c>
    </row>
    <row r="8">
      <c r="A8" s="76"/>
      <c r="D8" s="76"/>
    </row>
    <row r="9">
      <c r="A9" s="80" t="s">
        <v>1381</v>
      </c>
      <c r="B9" s="81"/>
    </row>
    <row r="10">
      <c r="A10" s="80" t="s">
        <v>1382</v>
      </c>
      <c r="B10" s="81"/>
    </row>
    <row r="11">
      <c r="A11" s="80" t="s">
        <v>1383</v>
      </c>
      <c r="B11" s="82"/>
    </row>
    <row r="12">
      <c r="A12" s="80" t="s">
        <v>1384</v>
      </c>
      <c r="B12" s="83"/>
    </row>
    <row r="13">
      <c r="A13" s="76"/>
      <c r="D13" s="76"/>
    </row>
    <row r="14">
      <c r="A14" s="84" t="s">
        <v>11</v>
      </c>
      <c r="B14" s="84" t="s">
        <v>22</v>
      </c>
      <c r="C14" s="84" t="s">
        <v>14</v>
      </c>
      <c r="D14" s="84" t="s">
        <v>24</v>
      </c>
      <c r="E14" s="84" t="s">
        <v>25</v>
      </c>
    </row>
    <row r="15">
      <c r="A15" s="85"/>
      <c r="B15" s="86"/>
      <c r="C15" s="86"/>
      <c r="D15" s="87" t="str">
        <f>IF(A15="", "", VLOOKUP(A15,'MASTER ITEM LIST'!B:C,2,FALSE))</f>
        <v/>
      </c>
      <c r="E15" s="86"/>
    </row>
    <row r="16">
      <c r="A16" s="85"/>
      <c r="B16" s="86"/>
      <c r="C16" s="86"/>
      <c r="D16" s="87" t="str">
        <f>IF(A16="", "", VLOOKUP(A16,'MASTER ITEM LIST'!B:C,2,FALSE))</f>
        <v/>
      </c>
      <c r="E16" s="86"/>
    </row>
    <row r="17">
      <c r="A17" s="85"/>
      <c r="B17" s="86"/>
      <c r="C17" s="86"/>
      <c r="D17" s="87" t="str">
        <f>IF(A17="", "", VLOOKUP(A17,'MASTER ITEM LIST'!B:C,2,FALSE))</f>
        <v/>
      </c>
      <c r="E17" s="86"/>
    </row>
    <row r="18">
      <c r="A18" s="85"/>
      <c r="B18" s="86"/>
      <c r="C18" s="86"/>
      <c r="D18" s="87" t="str">
        <f>IF(A18="", "", VLOOKUP(A18,'MASTER ITEM LIST'!B:C,2,FALSE))</f>
        <v/>
      </c>
      <c r="E18" s="86"/>
    </row>
    <row r="19">
      <c r="A19" s="85"/>
      <c r="B19" s="86"/>
      <c r="C19" s="86"/>
      <c r="D19" s="87" t="str">
        <f>IF(A19="", "", VLOOKUP(A19,'MASTER ITEM LIST'!B:C,2,FALSE))</f>
        <v/>
      </c>
      <c r="E19" s="86"/>
    </row>
    <row r="20">
      <c r="A20" s="85"/>
      <c r="B20" s="86"/>
      <c r="C20" s="86"/>
      <c r="D20" s="87" t="str">
        <f>IF(A20="", "", VLOOKUP(A20,'MASTER ITEM LIST'!B:C,2,FALSE))</f>
        <v/>
      </c>
      <c r="E20" s="86"/>
    </row>
    <row r="21">
      <c r="A21" s="85"/>
      <c r="B21" s="86"/>
      <c r="C21" s="86"/>
      <c r="D21" s="87" t="str">
        <f>IF(A21="", "", VLOOKUP(A21,'MASTER ITEM LIST'!B:C,2,FALSE))</f>
        <v/>
      </c>
      <c r="E21" s="86"/>
    </row>
    <row r="22">
      <c r="A22" s="85"/>
      <c r="B22" s="86"/>
      <c r="C22" s="86"/>
      <c r="D22" s="87" t="str">
        <f>IF(A22="", "", VLOOKUP(A22,'MASTER ITEM LIST'!B:C,2,FALSE))</f>
        <v/>
      </c>
      <c r="E22" s="86"/>
    </row>
    <row r="23">
      <c r="A23" s="85"/>
      <c r="B23" s="86"/>
      <c r="C23" s="86"/>
      <c r="D23" s="87" t="str">
        <f>IF(A23="", "", VLOOKUP(A23,'MASTER ITEM LIST'!B:C,2,FALSE))</f>
        <v/>
      </c>
      <c r="E23" s="86"/>
    </row>
    <row r="24">
      <c r="A24" s="85"/>
      <c r="B24" s="86"/>
      <c r="C24" s="86"/>
      <c r="D24" s="87" t="str">
        <f>IF(A24="", "", VLOOKUP(A24,'MASTER ITEM LIST'!B:C,2,FALSE))</f>
        <v/>
      </c>
      <c r="E24" s="86"/>
    </row>
    <row r="25">
      <c r="A25" s="85"/>
      <c r="B25" s="86"/>
      <c r="C25" s="86"/>
      <c r="D25" s="87" t="str">
        <f>IF(A25="", "", VLOOKUP(A25,'MASTER ITEM LIST'!B:C,2,FALSE))</f>
        <v/>
      </c>
      <c r="E25" s="86"/>
    </row>
    <row r="26">
      <c r="A26" s="85"/>
      <c r="B26" s="86"/>
      <c r="C26" s="86"/>
      <c r="D26" s="87" t="str">
        <f>IF(A26="", "", VLOOKUP(A26,'MASTER ITEM LIST'!B:C,2,FALSE))</f>
        <v/>
      </c>
      <c r="E26" s="86"/>
    </row>
    <row r="27">
      <c r="A27" s="85"/>
      <c r="B27" s="86"/>
      <c r="C27" s="86"/>
      <c r="D27" s="87" t="str">
        <f>IF(A27="", "", VLOOKUP(A27,'MASTER ITEM LIST'!B:C,2,FALSE))</f>
        <v/>
      </c>
      <c r="E27" s="86"/>
    </row>
    <row r="28">
      <c r="A28" s="85"/>
      <c r="B28" s="86"/>
      <c r="C28" s="86"/>
      <c r="D28" s="87" t="str">
        <f>IF(A28="", "", VLOOKUP(A28,'MASTER ITEM LIST'!B:C,2,FALSE))</f>
        <v/>
      </c>
      <c r="E28" s="86"/>
    </row>
    <row r="29">
      <c r="A29" s="85"/>
      <c r="B29" s="86"/>
      <c r="C29" s="86"/>
      <c r="D29" s="87" t="str">
        <f>IF(A29="", "", VLOOKUP(A29,'MASTER ITEM LIST'!B:C,2,FALSE))</f>
        <v/>
      </c>
      <c r="E29" s="86"/>
    </row>
    <row r="30">
      <c r="A30" s="85"/>
      <c r="B30" s="86"/>
      <c r="C30" s="86"/>
      <c r="D30" s="87" t="str">
        <f>IF(A30="", "", VLOOKUP(A30,'MASTER ITEM LIST'!B:C,2,FALSE))</f>
        <v/>
      </c>
      <c r="E30" s="86"/>
    </row>
    <row r="31">
      <c r="A31" s="85"/>
      <c r="B31" s="86"/>
      <c r="C31" s="86"/>
      <c r="D31" s="87" t="str">
        <f>IF(A31="", "", VLOOKUP(A31,'MASTER ITEM LIST'!B:C,2,FALSE))</f>
        <v/>
      </c>
      <c r="E31" s="86"/>
    </row>
    <row r="32">
      <c r="A32" s="85"/>
      <c r="B32" s="86"/>
      <c r="C32" s="86"/>
      <c r="D32" s="87" t="str">
        <f>IF(A32="", "", VLOOKUP(A32,'MASTER ITEM LIST'!B:C,2,FALSE))</f>
        <v/>
      </c>
      <c r="E32" s="86"/>
    </row>
    <row r="33">
      <c r="A33" s="85"/>
      <c r="B33" s="86"/>
      <c r="C33" s="86"/>
      <c r="D33" s="87" t="str">
        <f>IF(A33="", "", VLOOKUP(A33,'MASTER ITEM LIST'!B:C,2,FALSE))</f>
        <v/>
      </c>
      <c r="E33" s="86"/>
    </row>
    <row r="34">
      <c r="A34" s="85"/>
      <c r="B34" s="86"/>
      <c r="C34" s="86"/>
      <c r="D34" s="87" t="str">
        <f>IF(A34="", "", VLOOKUP(A34,'MASTER ITEM LIST'!B:C,2,FALSE))</f>
        <v/>
      </c>
      <c r="E34" s="86"/>
    </row>
    <row r="35">
      <c r="A35" s="85"/>
      <c r="B35" s="86"/>
      <c r="C35" s="86"/>
      <c r="D35" s="87" t="str">
        <f>IF(A35="", "", VLOOKUP(A35,'MASTER ITEM LIST'!B:C,2,FALSE))</f>
        <v/>
      </c>
      <c r="E35" s="86"/>
    </row>
    <row r="36">
      <c r="A36" s="85"/>
      <c r="B36" s="86"/>
      <c r="C36" s="86"/>
      <c r="D36" s="87" t="str">
        <f>IF(A36="", "", VLOOKUP(A36,'MASTER ITEM LIST'!B:C,2,FALSE))</f>
        <v/>
      </c>
      <c r="E36" s="86"/>
    </row>
    <row r="37">
      <c r="A37" s="85"/>
      <c r="B37" s="86"/>
      <c r="C37" s="86"/>
      <c r="D37" s="87" t="str">
        <f>IF(A37="", "", VLOOKUP(A37,'MASTER ITEM LIST'!B:C,2,FALSE))</f>
        <v/>
      </c>
      <c r="E37" s="86"/>
    </row>
    <row r="38">
      <c r="A38" s="85"/>
      <c r="B38" s="86"/>
      <c r="C38" s="86"/>
      <c r="D38" s="87" t="str">
        <f>IF(A38="", "", VLOOKUP(A38,'MASTER ITEM LIST'!B:C,2,FALSE))</f>
        <v/>
      </c>
      <c r="E38" s="86"/>
    </row>
    <row r="39">
      <c r="A39" s="85"/>
      <c r="B39" s="86"/>
      <c r="C39" s="86"/>
      <c r="D39" s="87" t="str">
        <f>IF(A39="", "", VLOOKUP(A39,'MASTER ITEM LIST'!B:C,2,FALSE))</f>
        <v/>
      </c>
      <c r="E39" s="86"/>
    </row>
    <row r="40">
      <c r="A40" s="85"/>
      <c r="B40" s="86"/>
      <c r="C40" s="86"/>
      <c r="D40" s="87" t="str">
        <f>IF(A40="", "", VLOOKUP(A40,'MASTER ITEM LIST'!B:C,2,FALSE))</f>
        <v/>
      </c>
      <c r="E40" s="86"/>
    </row>
    <row r="41">
      <c r="A41" s="85"/>
      <c r="B41" s="86"/>
      <c r="C41" s="86"/>
      <c r="D41" s="87" t="str">
        <f>IF(A41="", "", VLOOKUP(A41,'MASTER ITEM LIST'!B:C,2,FALSE))</f>
        <v/>
      </c>
      <c r="E41" s="86"/>
    </row>
    <row r="42">
      <c r="A42" s="85"/>
      <c r="B42" s="86"/>
      <c r="C42" s="86"/>
      <c r="D42" s="87" t="str">
        <f>IF(A42="", "", VLOOKUP(A42,'MASTER ITEM LIST'!B:C,2,FALSE))</f>
        <v/>
      </c>
      <c r="E42" s="86"/>
    </row>
    <row r="43">
      <c r="A43" s="85"/>
      <c r="B43" s="86"/>
      <c r="C43" s="86"/>
      <c r="D43" s="87" t="str">
        <f>IF(A43="", "", VLOOKUP(A43,'MASTER ITEM LIST'!B:C,2,FALSE))</f>
        <v/>
      </c>
      <c r="E43" s="86"/>
    </row>
    <row r="44">
      <c r="A44" s="85"/>
      <c r="B44" s="86"/>
      <c r="C44" s="86"/>
      <c r="D44" s="87" t="str">
        <f>IF(A44="", "", VLOOKUP(A44,'MASTER ITEM LIST'!B:C,2,FALSE))</f>
        <v/>
      </c>
      <c r="E44" s="86"/>
    </row>
    <row r="45">
      <c r="A45" s="85"/>
      <c r="B45" s="86"/>
      <c r="C45" s="86"/>
      <c r="D45" s="87" t="str">
        <f>IF(A45="", "", VLOOKUP(A45,'MASTER ITEM LIST'!B:C,2,FALSE))</f>
        <v/>
      </c>
      <c r="E45" s="86"/>
    </row>
    <row r="46">
      <c r="A46" s="85"/>
      <c r="B46" s="86"/>
      <c r="C46" s="86"/>
      <c r="D46" s="87" t="str">
        <f>IF(A46="", "", VLOOKUP(A46,'MASTER ITEM LIST'!B:C,2,FALSE))</f>
        <v/>
      </c>
      <c r="E46" s="86"/>
    </row>
    <row r="47">
      <c r="A47" s="85"/>
      <c r="B47" s="86"/>
      <c r="C47" s="86"/>
      <c r="D47" s="87" t="str">
        <f>IF(A47="", "", VLOOKUP(A47,'MASTER ITEM LIST'!B:C,2,FALSE))</f>
        <v/>
      </c>
      <c r="E47" s="86"/>
    </row>
    <row r="48">
      <c r="A48" s="85"/>
      <c r="B48" s="86"/>
      <c r="C48" s="86"/>
      <c r="D48" s="87" t="str">
        <f>IF(A48="", "", VLOOKUP(A48,'MASTER ITEM LIST'!B:C,2,FALSE))</f>
        <v/>
      </c>
      <c r="E48" s="86"/>
    </row>
    <row r="49">
      <c r="A49" s="85"/>
      <c r="B49" s="86"/>
      <c r="C49" s="86"/>
      <c r="D49" s="87" t="str">
        <f>IF(A49="", "", VLOOKUP(A49,'MASTER ITEM LIST'!B:C,2,FALSE))</f>
        <v/>
      </c>
      <c r="E49" s="86"/>
    </row>
    <row r="50">
      <c r="A50" s="89"/>
      <c r="B50" s="86"/>
      <c r="C50" s="90" t="s">
        <v>1385</v>
      </c>
      <c r="D50" s="91"/>
      <c r="E50" s="92"/>
    </row>
    <row r="51">
      <c r="A51" s="76"/>
      <c r="D51" s="76"/>
    </row>
    <row r="52">
      <c r="A52" s="93" t="s">
        <v>1386</v>
      </c>
      <c r="D52" s="76"/>
    </row>
    <row r="53">
      <c r="A53" s="76"/>
      <c r="D53" s="76"/>
    </row>
    <row r="54">
      <c r="A54" s="76"/>
      <c r="D54" s="76"/>
    </row>
    <row r="55">
      <c r="A55" s="93" t="s">
        <v>1387</v>
      </c>
      <c r="D55" s="76"/>
    </row>
    <row r="56">
      <c r="A56" s="76"/>
      <c r="D56" s="76"/>
    </row>
    <row r="57">
      <c r="A57" s="76"/>
      <c r="D57" s="76"/>
    </row>
    <row r="58">
      <c r="A58" s="76"/>
      <c r="D58" s="76"/>
    </row>
    <row r="59">
      <c r="A59" s="76"/>
      <c r="D59" s="76"/>
    </row>
    <row r="60">
      <c r="A60" s="76"/>
      <c r="D60" s="76"/>
    </row>
    <row r="61">
      <c r="A61" s="76"/>
      <c r="D61" s="76"/>
    </row>
    <row r="62">
      <c r="A62" s="76"/>
      <c r="D62" s="76"/>
    </row>
    <row r="63">
      <c r="A63" s="76"/>
      <c r="D63" s="76"/>
    </row>
    <row r="64">
      <c r="A64" s="76"/>
      <c r="D64" s="76"/>
    </row>
    <row r="65">
      <c r="A65" s="76"/>
      <c r="D65" s="76"/>
    </row>
    <row r="66">
      <c r="A66" s="76"/>
      <c r="D66" s="76"/>
    </row>
    <row r="67">
      <c r="A67" s="76"/>
      <c r="D67" s="76"/>
    </row>
    <row r="68">
      <c r="A68" s="76"/>
      <c r="D68" s="76"/>
    </row>
    <row r="69">
      <c r="A69" s="76"/>
      <c r="D69" s="76"/>
    </row>
    <row r="70">
      <c r="A70" s="76"/>
      <c r="D70" s="76"/>
    </row>
    <row r="71">
      <c r="A71" s="76"/>
      <c r="D71" s="76"/>
    </row>
    <row r="72">
      <c r="A72" s="76"/>
      <c r="D72" s="76"/>
    </row>
    <row r="73">
      <c r="A73" s="76"/>
      <c r="D73" s="76"/>
    </row>
    <row r="74">
      <c r="A74" s="76"/>
      <c r="D74" s="76"/>
    </row>
    <row r="75">
      <c r="A75" s="76"/>
      <c r="D75" s="76"/>
    </row>
    <row r="76">
      <c r="A76" s="76"/>
      <c r="D76" s="76"/>
    </row>
    <row r="77">
      <c r="A77" s="76"/>
      <c r="D77" s="76"/>
    </row>
    <row r="78">
      <c r="A78" s="76"/>
      <c r="D78" s="76"/>
    </row>
    <row r="79">
      <c r="A79" s="76"/>
      <c r="D79" s="76"/>
    </row>
    <row r="80">
      <c r="A80" s="76"/>
      <c r="D80" s="76"/>
    </row>
    <row r="81">
      <c r="A81" s="76"/>
      <c r="D81" s="76"/>
    </row>
    <row r="82">
      <c r="A82" s="76"/>
      <c r="D82" s="76"/>
    </row>
    <row r="83">
      <c r="A83" s="76"/>
      <c r="D83" s="76"/>
    </row>
    <row r="84">
      <c r="A84" s="76"/>
      <c r="D84" s="76"/>
    </row>
    <row r="85">
      <c r="A85" s="76"/>
      <c r="D85" s="76"/>
    </row>
    <row r="86">
      <c r="A86" s="76"/>
      <c r="D86" s="76"/>
    </row>
    <row r="87">
      <c r="A87" s="76"/>
      <c r="D87" s="76"/>
    </row>
    <row r="88">
      <c r="A88" s="76"/>
      <c r="D88" s="76"/>
    </row>
    <row r="89">
      <c r="A89" s="76"/>
      <c r="D89" s="76"/>
    </row>
    <row r="90">
      <c r="A90" s="76"/>
      <c r="D90" s="76"/>
    </row>
    <row r="91">
      <c r="A91" s="76"/>
      <c r="D91" s="76"/>
    </row>
    <row r="92">
      <c r="A92" s="76"/>
      <c r="D92" s="76"/>
    </row>
    <row r="93">
      <c r="A93" s="76"/>
      <c r="D93" s="76"/>
    </row>
    <row r="94">
      <c r="A94" s="76"/>
      <c r="D94" s="76"/>
    </row>
    <row r="95">
      <c r="A95" s="76"/>
      <c r="D95" s="76"/>
    </row>
    <row r="96">
      <c r="A96" s="76"/>
      <c r="D96" s="76"/>
    </row>
    <row r="97">
      <c r="A97" s="76"/>
      <c r="D97" s="76"/>
    </row>
    <row r="98">
      <c r="A98" s="76"/>
      <c r="D98" s="76"/>
    </row>
    <row r="99">
      <c r="A99" s="76"/>
      <c r="D99" s="76"/>
    </row>
    <row r="100">
      <c r="A100" s="76"/>
      <c r="D100" s="76"/>
    </row>
    <row r="101">
      <c r="A101" s="76"/>
      <c r="D101" s="76"/>
    </row>
    <row r="102">
      <c r="A102" s="76"/>
      <c r="D102" s="76"/>
    </row>
    <row r="103">
      <c r="A103" s="76"/>
      <c r="D103" s="76"/>
    </row>
    <row r="104">
      <c r="A104" s="76"/>
      <c r="D104" s="76"/>
    </row>
    <row r="105">
      <c r="A105" s="76"/>
      <c r="D105" s="76"/>
    </row>
    <row r="106">
      <c r="A106" s="76"/>
      <c r="D106" s="76"/>
    </row>
    <row r="107">
      <c r="A107" s="76"/>
      <c r="D107" s="76"/>
    </row>
    <row r="108">
      <c r="A108" s="76"/>
      <c r="D108" s="76"/>
    </row>
    <row r="109">
      <c r="A109" s="76"/>
      <c r="D109" s="76"/>
    </row>
    <row r="110">
      <c r="A110" s="76"/>
      <c r="D110" s="76"/>
    </row>
    <row r="111">
      <c r="A111" s="76"/>
      <c r="D111" s="76"/>
    </row>
    <row r="112">
      <c r="A112" s="76"/>
      <c r="D112" s="76"/>
    </row>
    <row r="113">
      <c r="A113" s="76"/>
      <c r="D113" s="76"/>
    </row>
    <row r="114">
      <c r="A114" s="76"/>
      <c r="D114" s="76"/>
    </row>
    <row r="115">
      <c r="A115" s="76"/>
      <c r="D115" s="76"/>
    </row>
    <row r="116">
      <c r="A116" s="76"/>
      <c r="D116" s="76"/>
    </row>
    <row r="117">
      <c r="A117" s="76"/>
      <c r="D117" s="76"/>
    </row>
    <row r="118">
      <c r="A118" s="76"/>
      <c r="D118" s="76"/>
    </row>
    <row r="119">
      <c r="A119" s="76"/>
      <c r="D119" s="76"/>
    </row>
    <row r="120">
      <c r="A120" s="76"/>
      <c r="D120" s="76"/>
    </row>
    <row r="121">
      <c r="A121" s="76"/>
      <c r="D121" s="76"/>
    </row>
    <row r="122">
      <c r="A122" s="76"/>
      <c r="D122" s="76"/>
    </row>
    <row r="123">
      <c r="A123" s="76"/>
      <c r="D123" s="76"/>
    </row>
    <row r="124">
      <c r="A124" s="76"/>
      <c r="D124" s="76"/>
    </row>
    <row r="125">
      <c r="A125" s="76"/>
      <c r="D125" s="76"/>
    </row>
    <row r="126">
      <c r="A126" s="76"/>
      <c r="D126" s="76"/>
    </row>
    <row r="127">
      <c r="A127" s="76"/>
      <c r="D127" s="76"/>
    </row>
    <row r="128">
      <c r="A128" s="76"/>
      <c r="D128" s="76"/>
    </row>
    <row r="129">
      <c r="A129" s="76"/>
      <c r="D129" s="76"/>
    </row>
    <row r="130">
      <c r="A130" s="76"/>
      <c r="D130" s="76"/>
    </row>
    <row r="131">
      <c r="A131" s="76"/>
      <c r="D131" s="76"/>
    </row>
    <row r="132">
      <c r="A132" s="76"/>
      <c r="D132" s="76"/>
    </row>
    <row r="133">
      <c r="A133" s="76"/>
      <c r="D133" s="76"/>
    </row>
    <row r="134">
      <c r="A134" s="76"/>
      <c r="D134" s="76"/>
    </row>
    <row r="135">
      <c r="A135" s="76"/>
      <c r="D135" s="76"/>
    </row>
    <row r="136">
      <c r="A136" s="76"/>
      <c r="D136" s="76"/>
    </row>
    <row r="137">
      <c r="A137" s="76"/>
      <c r="D137" s="76"/>
    </row>
    <row r="138">
      <c r="A138" s="76"/>
      <c r="D138" s="76"/>
    </row>
    <row r="139">
      <c r="A139" s="76"/>
      <c r="D139" s="76"/>
    </row>
    <row r="140">
      <c r="A140" s="76"/>
      <c r="D140" s="76"/>
    </row>
    <row r="141">
      <c r="A141" s="76"/>
      <c r="D141" s="76"/>
    </row>
    <row r="142">
      <c r="A142" s="76"/>
      <c r="D142" s="76"/>
    </row>
    <row r="143">
      <c r="A143" s="76"/>
      <c r="D143" s="76"/>
    </row>
    <row r="144">
      <c r="A144" s="76"/>
      <c r="D144" s="76"/>
    </row>
    <row r="145">
      <c r="A145" s="76"/>
      <c r="D145" s="76"/>
    </row>
    <row r="146">
      <c r="A146" s="76"/>
      <c r="D146" s="76"/>
    </row>
    <row r="147">
      <c r="A147" s="76"/>
      <c r="D147" s="76"/>
    </row>
    <row r="148">
      <c r="A148" s="76"/>
      <c r="D148" s="76"/>
    </row>
    <row r="149">
      <c r="A149" s="76"/>
      <c r="D149" s="76"/>
    </row>
    <row r="150">
      <c r="A150" s="76"/>
      <c r="D150" s="76"/>
    </row>
    <row r="151">
      <c r="A151" s="76"/>
      <c r="D151" s="76"/>
    </row>
    <row r="152">
      <c r="A152" s="76"/>
      <c r="D152" s="76"/>
    </row>
    <row r="153">
      <c r="A153" s="76"/>
      <c r="D153" s="76"/>
    </row>
    <row r="154">
      <c r="A154" s="76"/>
      <c r="D154" s="76"/>
    </row>
    <row r="155">
      <c r="A155" s="76"/>
      <c r="D155" s="76"/>
    </row>
    <row r="156">
      <c r="A156" s="76"/>
      <c r="D156" s="76"/>
    </row>
    <row r="157">
      <c r="A157" s="76"/>
      <c r="D157" s="76"/>
    </row>
    <row r="158">
      <c r="A158" s="76"/>
      <c r="D158" s="76"/>
    </row>
    <row r="159">
      <c r="A159" s="76"/>
      <c r="D159" s="76"/>
    </row>
    <row r="160">
      <c r="A160" s="76"/>
      <c r="D160" s="76"/>
    </row>
    <row r="161">
      <c r="A161" s="76"/>
      <c r="D161" s="76"/>
    </row>
    <row r="162">
      <c r="A162" s="76"/>
      <c r="D162" s="76"/>
    </row>
    <row r="163">
      <c r="A163" s="76"/>
      <c r="D163" s="76"/>
    </row>
    <row r="164">
      <c r="A164" s="76"/>
      <c r="D164" s="76"/>
    </row>
    <row r="165">
      <c r="A165" s="76"/>
      <c r="D165" s="76"/>
    </row>
    <row r="166">
      <c r="A166" s="76"/>
      <c r="D166" s="76"/>
    </row>
    <row r="167">
      <c r="A167" s="76"/>
      <c r="D167" s="76"/>
    </row>
    <row r="168">
      <c r="A168" s="76"/>
      <c r="D168" s="76"/>
    </row>
    <row r="169">
      <c r="A169" s="76"/>
      <c r="D169" s="76"/>
    </row>
    <row r="170">
      <c r="A170" s="76"/>
      <c r="D170" s="76"/>
    </row>
    <row r="171">
      <c r="A171" s="76"/>
      <c r="D171" s="76"/>
    </row>
    <row r="172">
      <c r="A172" s="76"/>
      <c r="D172" s="76"/>
    </row>
    <row r="173">
      <c r="A173" s="76"/>
      <c r="D173" s="76"/>
    </row>
    <row r="174">
      <c r="A174" s="76"/>
      <c r="D174" s="76"/>
    </row>
    <row r="175">
      <c r="A175" s="76"/>
      <c r="D175" s="76"/>
    </row>
    <row r="176">
      <c r="A176" s="76"/>
      <c r="D176" s="76"/>
    </row>
    <row r="177">
      <c r="A177" s="76"/>
      <c r="D177" s="76"/>
    </row>
    <row r="178">
      <c r="A178" s="76"/>
      <c r="D178" s="76"/>
    </row>
    <row r="179">
      <c r="A179" s="76"/>
      <c r="D179" s="76"/>
    </row>
    <row r="180">
      <c r="A180" s="76"/>
      <c r="D180" s="76"/>
    </row>
    <row r="181">
      <c r="A181" s="76"/>
      <c r="D181" s="76"/>
    </row>
    <row r="182">
      <c r="A182" s="76"/>
      <c r="D182" s="76"/>
    </row>
    <row r="183">
      <c r="A183" s="76"/>
      <c r="D183" s="76"/>
    </row>
    <row r="184">
      <c r="A184" s="76"/>
      <c r="D184" s="76"/>
    </row>
    <row r="185">
      <c r="A185" s="76"/>
      <c r="D185" s="76"/>
    </row>
    <row r="186">
      <c r="A186" s="76"/>
      <c r="D186" s="76"/>
    </row>
    <row r="187">
      <c r="A187" s="76"/>
      <c r="D187" s="76"/>
    </row>
    <row r="188">
      <c r="A188" s="76"/>
      <c r="D188" s="76"/>
    </row>
    <row r="189">
      <c r="A189" s="76"/>
      <c r="D189" s="76"/>
    </row>
    <row r="190">
      <c r="A190" s="76"/>
      <c r="D190" s="76"/>
    </row>
    <row r="191">
      <c r="A191" s="76"/>
      <c r="D191" s="76"/>
    </row>
    <row r="192">
      <c r="A192" s="76"/>
      <c r="D192" s="76"/>
    </row>
    <row r="193">
      <c r="A193" s="76"/>
      <c r="D193" s="76"/>
    </row>
    <row r="194">
      <c r="A194" s="76"/>
      <c r="D194" s="76"/>
    </row>
    <row r="195">
      <c r="A195" s="76"/>
      <c r="D195" s="76"/>
    </row>
    <row r="196">
      <c r="A196" s="76"/>
      <c r="D196" s="76"/>
    </row>
    <row r="197">
      <c r="A197" s="76"/>
      <c r="D197" s="76"/>
    </row>
    <row r="198">
      <c r="A198" s="76"/>
      <c r="D198" s="76"/>
    </row>
    <row r="199">
      <c r="A199" s="76"/>
      <c r="D199" s="76"/>
    </row>
    <row r="200">
      <c r="A200" s="76"/>
      <c r="D200" s="76"/>
    </row>
    <row r="201">
      <c r="A201" s="76"/>
      <c r="D201" s="76"/>
    </row>
    <row r="202">
      <c r="A202" s="76"/>
      <c r="D202" s="76"/>
    </row>
    <row r="203">
      <c r="A203" s="76"/>
      <c r="D203" s="76"/>
    </row>
    <row r="204">
      <c r="A204" s="76"/>
      <c r="D204" s="76"/>
    </row>
    <row r="205">
      <c r="A205" s="76"/>
      <c r="D205" s="76"/>
    </row>
    <row r="206">
      <c r="A206" s="76"/>
      <c r="D206" s="76"/>
    </row>
    <row r="207">
      <c r="A207" s="76"/>
      <c r="D207" s="76"/>
    </row>
    <row r="208">
      <c r="A208" s="76"/>
      <c r="D208" s="76"/>
    </row>
    <row r="209">
      <c r="A209" s="76"/>
      <c r="D209" s="76"/>
    </row>
    <row r="210">
      <c r="A210" s="76"/>
      <c r="D210" s="76"/>
    </row>
    <row r="211">
      <c r="A211" s="76"/>
      <c r="D211" s="76"/>
    </row>
    <row r="212">
      <c r="A212" s="76"/>
      <c r="D212" s="76"/>
    </row>
    <row r="213">
      <c r="A213" s="76"/>
      <c r="D213" s="76"/>
    </row>
    <row r="214">
      <c r="A214" s="76"/>
      <c r="D214" s="76"/>
    </row>
    <row r="215">
      <c r="A215" s="76"/>
      <c r="D215" s="76"/>
    </row>
    <row r="216">
      <c r="A216" s="76"/>
      <c r="D216" s="76"/>
    </row>
    <row r="217">
      <c r="A217" s="76"/>
      <c r="D217" s="76"/>
    </row>
    <row r="218">
      <c r="A218" s="76"/>
      <c r="D218" s="76"/>
    </row>
    <row r="219">
      <c r="A219" s="76"/>
      <c r="D219" s="76"/>
    </row>
    <row r="220">
      <c r="A220" s="76"/>
      <c r="D220" s="76"/>
    </row>
    <row r="221">
      <c r="A221" s="76"/>
      <c r="D221" s="76"/>
    </row>
    <row r="222">
      <c r="A222" s="76"/>
      <c r="D222" s="76"/>
    </row>
    <row r="223">
      <c r="A223" s="76"/>
      <c r="D223" s="76"/>
    </row>
    <row r="224">
      <c r="A224" s="76"/>
      <c r="D224" s="76"/>
    </row>
    <row r="225">
      <c r="A225" s="76"/>
      <c r="D225" s="76"/>
    </row>
    <row r="226">
      <c r="A226" s="76"/>
      <c r="D226" s="76"/>
    </row>
    <row r="227">
      <c r="A227" s="76"/>
      <c r="D227" s="76"/>
    </row>
    <row r="228">
      <c r="A228" s="76"/>
      <c r="D228" s="76"/>
    </row>
    <row r="229">
      <c r="A229" s="76"/>
      <c r="D229" s="76"/>
    </row>
    <row r="230">
      <c r="A230" s="76"/>
      <c r="D230" s="76"/>
    </row>
    <row r="231">
      <c r="A231" s="76"/>
      <c r="D231" s="76"/>
    </row>
    <row r="232">
      <c r="A232" s="76"/>
      <c r="D232" s="76"/>
    </row>
    <row r="233">
      <c r="A233" s="76"/>
      <c r="D233" s="76"/>
    </row>
    <row r="234">
      <c r="A234" s="76"/>
      <c r="D234" s="76"/>
    </row>
    <row r="235">
      <c r="A235" s="76"/>
      <c r="D235" s="76"/>
    </row>
    <row r="236">
      <c r="A236" s="76"/>
      <c r="D236" s="76"/>
    </row>
    <row r="237">
      <c r="A237" s="76"/>
      <c r="D237" s="76"/>
    </row>
    <row r="238">
      <c r="A238" s="76"/>
      <c r="D238" s="76"/>
    </row>
    <row r="239">
      <c r="A239" s="76"/>
      <c r="D239" s="76"/>
    </row>
    <row r="240">
      <c r="A240" s="76"/>
      <c r="D240" s="76"/>
    </row>
    <row r="241">
      <c r="A241" s="76"/>
      <c r="D241" s="76"/>
    </row>
    <row r="242">
      <c r="A242" s="76"/>
      <c r="D242" s="76"/>
    </row>
    <row r="243">
      <c r="A243" s="76"/>
      <c r="D243" s="76"/>
    </row>
    <row r="244">
      <c r="A244" s="76"/>
      <c r="D244" s="76"/>
    </row>
    <row r="245">
      <c r="A245" s="76"/>
      <c r="D245" s="76"/>
    </row>
    <row r="246">
      <c r="A246" s="76"/>
      <c r="D246" s="76"/>
    </row>
    <row r="247">
      <c r="A247" s="76"/>
      <c r="D247" s="76"/>
    </row>
    <row r="248">
      <c r="A248" s="76"/>
      <c r="D248" s="76"/>
    </row>
    <row r="249">
      <c r="A249" s="76"/>
      <c r="D249" s="76"/>
    </row>
    <row r="250">
      <c r="A250" s="76"/>
      <c r="D250" s="76"/>
    </row>
    <row r="251">
      <c r="A251" s="76"/>
      <c r="D251" s="76"/>
    </row>
    <row r="252">
      <c r="A252" s="76"/>
      <c r="D252" s="76"/>
    </row>
    <row r="253">
      <c r="A253" s="76"/>
      <c r="D253" s="76"/>
    </row>
    <row r="254">
      <c r="A254" s="76"/>
      <c r="D254" s="76"/>
    </row>
    <row r="255">
      <c r="A255" s="76"/>
      <c r="D255" s="76"/>
    </row>
    <row r="256">
      <c r="A256" s="76"/>
      <c r="D256" s="76"/>
    </row>
    <row r="257">
      <c r="A257" s="76"/>
      <c r="D257" s="76"/>
    </row>
    <row r="258">
      <c r="A258" s="76"/>
      <c r="D258" s="76"/>
    </row>
    <row r="259">
      <c r="A259" s="76"/>
      <c r="D259" s="76"/>
    </row>
    <row r="260">
      <c r="A260" s="76"/>
      <c r="D260" s="76"/>
    </row>
    <row r="261">
      <c r="A261" s="76"/>
      <c r="D261" s="76"/>
    </row>
    <row r="262">
      <c r="A262" s="76"/>
      <c r="D262" s="76"/>
    </row>
    <row r="263">
      <c r="A263" s="76"/>
      <c r="D263" s="76"/>
    </row>
    <row r="264">
      <c r="A264" s="76"/>
      <c r="D264" s="76"/>
    </row>
    <row r="265">
      <c r="A265" s="76"/>
      <c r="D265" s="76"/>
    </row>
    <row r="266">
      <c r="A266" s="76"/>
      <c r="D266" s="76"/>
    </row>
    <row r="267">
      <c r="A267" s="76"/>
      <c r="D267" s="76"/>
    </row>
    <row r="268">
      <c r="A268" s="76"/>
      <c r="D268" s="76"/>
    </row>
    <row r="269">
      <c r="A269" s="76"/>
      <c r="D269" s="76"/>
    </row>
    <row r="270">
      <c r="A270" s="76"/>
      <c r="D270" s="76"/>
    </row>
    <row r="271">
      <c r="A271" s="76"/>
      <c r="D271" s="76"/>
    </row>
    <row r="272">
      <c r="A272" s="76"/>
      <c r="D272" s="76"/>
    </row>
    <row r="273">
      <c r="A273" s="76"/>
      <c r="D273" s="76"/>
    </row>
    <row r="274">
      <c r="A274" s="76"/>
      <c r="D274" s="76"/>
    </row>
    <row r="275">
      <c r="A275" s="76"/>
      <c r="D275" s="76"/>
    </row>
    <row r="276">
      <c r="A276" s="76"/>
      <c r="D276" s="76"/>
    </row>
    <row r="277">
      <c r="A277" s="76"/>
      <c r="D277" s="76"/>
    </row>
    <row r="278">
      <c r="A278" s="76"/>
      <c r="D278" s="76"/>
    </row>
    <row r="279">
      <c r="A279" s="76"/>
      <c r="D279" s="76"/>
    </row>
    <row r="280">
      <c r="A280" s="76"/>
      <c r="D280" s="76"/>
    </row>
    <row r="281">
      <c r="A281" s="76"/>
      <c r="D281" s="76"/>
    </row>
    <row r="282">
      <c r="A282" s="76"/>
      <c r="D282" s="76"/>
    </row>
    <row r="283">
      <c r="A283" s="76"/>
      <c r="D283" s="76"/>
    </row>
    <row r="284">
      <c r="A284" s="76"/>
      <c r="D284" s="76"/>
    </row>
    <row r="285">
      <c r="A285" s="76"/>
      <c r="D285" s="76"/>
    </row>
    <row r="286">
      <c r="A286" s="76"/>
      <c r="D286" s="76"/>
    </row>
    <row r="287">
      <c r="A287" s="76"/>
      <c r="D287" s="76"/>
    </row>
    <row r="288">
      <c r="A288" s="76"/>
      <c r="D288" s="76"/>
    </row>
    <row r="289">
      <c r="A289" s="76"/>
      <c r="D289" s="76"/>
    </row>
    <row r="290">
      <c r="A290" s="76"/>
      <c r="D290" s="76"/>
    </row>
    <row r="291">
      <c r="A291" s="76"/>
      <c r="D291" s="76"/>
    </row>
    <row r="292">
      <c r="A292" s="76"/>
      <c r="D292" s="76"/>
    </row>
    <row r="293">
      <c r="A293" s="76"/>
      <c r="D293" s="76"/>
    </row>
    <row r="294">
      <c r="A294" s="76"/>
      <c r="D294" s="76"/>
    </row>
    <row r="295">
      <c r="A295" s="76"/>
      <c r="D295" s="76"/>
    </row>
    <row r="296">
      <c r="A296" s="76"/>
      <c r="D296" s="76"/>
    </row>
    <row r="297">
      <c r="A297" s="76"/>
      <c r="D297" s="76"/>
    </row>
    <row r="298">
      <c r="A298" s="76"/>
      <c r="D298" s="76"/>
    </row>
    <row r="299">
      <c r="A299" s="76"/>
      <c r="D299" s="76"/>
    </row>
    <row r="300">
      <c r="A300" s="76"/>
      <c r="D300" s="76"/>
    </row>
    <row r="301">
      <c r="A301" s="76"/>
      <c r="D301" s="76"/>
    </row>
    <row r="302">
      <c r="A302" s="76"/>
      <c r="D302" s="76"/>
    </row>
    <row r="303">
      <c r="A303" s="76"/>
      <c r="D303" s="76"/>
    </row>
    <row r="304">
      <c r="A304" s="76"/>
      <c r="D304" s="76"/>
    </row>
    <row r="305">
      <c r="A305" s="76"/>
      <c r="D305" s="76"/>
    </row>
    <row r="306">
      <c r="A306" s="76"/>
      <c r="D306" s="76"/>
    </row>
    <row r="307">
      <c r="A307" s="76"/>
      <c r="D307" s="76"/>
    </row>
    <row r="308">
      <c r="A308" s="76"/>
      <c r="D308" s="76"/>
    </row>
    <row r="309">
      <c r="A309" s="76"/>
      <c r="D309" s="76"/>
    </row>
    <row r="310">
      <c r="A310" s="76"/>
      <c r="D310" s="76"/>
    </row>
    <row r="311">
      <c r="A311" s="76"/>
      <c r="D311" s="76"/>
    </row>
    <row r="312">
      <c r="A312" s="76"/>
      <c r="D312" s="76"/>
    </row>
    <row r="313">
      <c r="A313" s="76"/>
      <c r="D313" s="76"/>
    </row>
    <row r="314">
      <c r="A314" s="76"/>
      <c r="D314" s="76"/>
    </row>
    <row r="315">
      <c r="A315" s="76"/>
      <c r="D315" s="76"/>
    </row>
    <row r="316">
      <c r="A316" s="76"/>
      <c r="D316" s="76"/>
    </row>
    <row r="317">
      <c r="A317" s="76"/>
      <c r="D317" s="76"/>
    </row>
    <row r="318">
      <c r="A318" s="76"/>
      <c r="D318" s="76"/>
    </row>
    <row r="319">
      <c r="A319" s="76"/>
      <c r="D319" s="76"/>
    </row>
    <row r="320">
      <c r="A320" s="76"/>
      <c r="D320" s="76"/>
    </row>
    <row r="321">
      <c r="A321" s="76"/>
      <c r="D321" s="76"/>
    </row>
    <row r="322">
      <c r="A322" s="76"/>
      <c r="D322" s="76"/>
    </row>
    <row r="323">
      <c r="A323" s="76"/>
      <c r="D323" s="76"/>
    </row>
    <row r="324">
      <c r="A324" s="76"/>
      <c r="D324" s="76"/>
    </row>
    <row r="325">
      <c r="A325" s="76"/>
      <c r="D325" s="76"/>
    </row>
    <row r="326">
      <c r="A326" s="76"/>
      <c r="D326" s="76"/>
    </row>
    <row r="327">
      <c r="A327" s="76"/>
      <c r="D327" s="76"/>
    </row>
    <row r="328">
      <c r="A328" s="76"/>
      <c r="D328" s="76"/>
    </row>
    <row r="329">
      <c r="A329" s="76"/>
      <c r="D329" s="76"/>
    </row>
    <row r="330">
      <c r="A330" s="76"/>
      <c r="D330" s="76"/>
    </row>
    <row r="331">
      <c r="A331" s="76"/>
      <c r="D331" s="76"/>
    </row>
    <row r="332">
      <c r="A332" s="76"/>
      <c r="D332" s="76"/>
    </row>
    <row r="333">
      <c r="A333" s="76"/>
      <c r="D333" s="76"/>
    </row>
    <row r="334">
      <c r="A334" s="76"/>
      <c r="D334" s="76"/>
    </row>
    <row r="335">
      <c r="A335" s="76"/>
      <c r="D335" s="76"/>
    </row>
    <row r="336">
      <c r="A336" s="76"/>
      <c r="D336" s="76"/>
    </row>
    <row r="337">
      <c r="A337" s="76"/>
      <c r="D337" s="76"/>
    </row>
    <row r="338">
      <c r="A338" s="76"/>
      <c r="D338" s="76"/>
    </row>
    <row r="339">
      <c r="A339" s="76"/>
      <c r="D339" s="76"/>
    </row>
    <row r="340">
      <c r="A340" s="76"/>
      <c r="D340" s="76"/>
    </row>
    <row r="341">
      <c r="A341" s="76"/>
      <c r="D341" s="76"/>
    </row>
    <row r="342">
      <c r="A342" s="76"/>
      <c r="D342" s="76"/>
    </row>
    <row r="343">
      <c r="A343" s="76"/>
      <c r="D343" s="76"/>
    </row>
    <row r="344">
      <c r="A344" s="76"/>
      <c r="D344" s="76"/>
    </row>
    <row r="345">
      <c r="A345" s="76"/>
      <c r="D345" s="76"/>
    </row>
    <row r="346">
      <c r="A346" s="76"/>
      <c r="D346" s="76"/>
    </row>
    <row r="347">
      <c r="A347" s="76"/>
      <c r="D347" s="76"/>
    </row>
    <row r="348">
      <c r="A348" s="76"/>
      <c r="D348" s="76"/>
    </row>
    <row r="349">
      <c r="A349" s="76"/>
      <c r="D349" s="76"/>
    </row>
    <row r="350">
      <c r="A350" s="76"/>
      <c r="D350" s="76"/>
    </row>
    <row r="351">
      <c r="A351" s="76"/>
      <c r="D351" s="76"/>
    </row>
    <row r="352">
      <c r="A352" s="76"/>
      <c r="D352" s="76"/>
    </row>
    <row r="353">
      <c r="A353" s="76"/>
      <c r="D353" s="76"/>
    </row>
    <row r="354">
      <c r="A354" s="76"/>
      <c r="D354" s="76"/>
    </row>
    <row r="355">
      <c r="A355" s="76"/>
      <c r="D355" s="76"/>
    </row>
    <row r="356">
      <c r="A356" s="76"/>
      <c r="D356" s="76"/>
    </row>
    <row r="357">
      <c r="A357" s="76"/>
      <c r="D357" s="76"/>
    </row>
    <row r="358">
      <c r="A358" s="76"/>
      <c r="D358" s="76"/>
    </row>
    <row r="359">
      <c r="A359" s="76"/>
      <c r="D359" s="76"/>
    </row>
    <row r="360">
      <c r="A360" s="76"/>
      <c r="D360" s="76"/>
    </row>
    <row r="361">
      <c r="A361" s="76"/>
      <c r="D361" s="76"/>
    </row>
    <row r="362">
      <c r="A362" s="76"/>
      <c r="D362" s="76"/>
    </row>
    <row r="363">
      <c r="A363" s="76"/>
      <c r="D363" s="76"/>
    </row>
    <row r="364">
      <c r="A364" s="76"/>
      <c r="D364" s="76"/>
    </row>
    <row r="365">
      <c r="A365" s="76"/>
      <c r="D365" s="76"/>
    </row>
    <row r="366">
      <c r="A366" s="76"/>
      <c r="D366" s="76"/>
    </row>
    <row r="367">
      <c r="A367" s="76"/>
      <c r="D367" s="76"/>
    </row>
    <row r="368">
      <c r="A368" s="76"/>
      <c r="D368" s="76"/>
    </row>
    <row r="369">
      <c r="A369" s="76"/>
      <c r="D369" s="76"/>
    </row>
    <row r="370">
      <c r="A370" s="76"/>
      <c r="D370" s="76"/>
    </row>
    <row r="371">
      <c r="A371" s="76"/>
      <c r="D371" s="76"/>
    </row>
    <row r="372">
      <c r="A372" s="76"/>
      <c r="D372" s="76"/>
    </row>
    <row r="373">
      <c r="A373" s="76"/>
      <c r="D373" s="76"/>
    </row>
    <row r="374">
      <c r="A374" s="76"/>
      <c r="D374" s="76"/>
    </row>
    <row r="375">
      <c r="A375" s="76"/>
      <c r="D375" s="76"/>
    </row>
    <row r="376">
      <c r="A376" s="76"/>
      <c r="D376" s="76"/>
    </row>
    <row r="377">
      <c r="A377" s="76"/>
      <c r="D377" s="76"/>
    </row>
    <row r="378">
      <c r="A378" s="76"/>
      <c r="D378" s="76"/>
    </row>
    <row r="379">
      <c r="A379" s="76"/>
      <c r="D379" s="76"/>
    </row>
    <row r="380">
      <c r="A380" s="76"/>
      <c r="D380" s="76"/>
    </row>
    <row r="381">
      <c r="A381" s="76"/>
      <c r="D381" s="76"/>
    </row>
    <row r="382">
      <c r="A382" s="76"/>
      <c r="D382" s="76"/>
    </row>
    <row r="383">
      <c r="A383" s="76"/>
      <c r="D383" s="76"/>
    </row>
    <row r="384">
      <c r="A384" s="76"/>
      <c r="D384" s="76"/>
    </row>
    <row r="385">
      <c r="A385" s="76"/>
      <c r="D385" s="76"/>
    </row>
    <row r="386">
      <c r="A386" s="76"/>
      <c r="D386" s="76"/>
    </row>
    <row r="387">
      <c r="A387" s="76"/>
      <c r="D387" s="76"/>
    </row>
    <row r="388">
      <c r="A388" s="76"/>
      <c r="D388" s="76"/>
    </row>
    <row r="389">
      <c r="A389" s="76"/>
      <c r="D389" s="76"/>
    </row>
    <row r="390">
      <c r="A390" s="76"/>
      <c r="D390" s="76"/>
    </row>
    <row r="391">
      <c r="A391" s="76"/>
      <c r="D391" s="76"/>
    </row>
    <row r="392">
      <c r="A392" s="76"/>
      <c r="D392" s="76"/>
    </row>
    <row r="393">
      <c r="A393" s="76"/>
      <c r="D393" s="76"/>
    </row>
    <row r="394">
      <c r="A394" s="76"/>
      <c r="D394" s="76"/>
    </row>
    <row r="395">
      <c r="A395" s="76"/>
      <c r="D395" s="76"/>
    </row>
    <row r="396">
      <c r="A396" s="76"/>
      <c r="D396" s="76"/>
    </row>
    <row r="397">
      <c r="A397" s="76"/>
      <c r="D397" s="76"/>
    </row>
    <row r="398">
      <c r="A398" s="76"/>
      <c r="D398" s="76"/>
    </row>
    <row r="399">
      <c r="A399" s="76"/>
      <c r="D399" s="76"/>
    </row>
    <row r="400">
      <c r="A400" s="76"/>
      <c r="D400" s="76"/>
    </row>
    <row r="401">
      <c r="A401" s="76"/>
      <c r="D401" s="76"/>
    </row>
    <row r="402">
      <c r="A402" s="76"/>
      <c r="D402" s="76"/>
    </row>
    <row r="403">
      <c r="A403" s="76"/>
      <c r="D403" s="76"/>
    </row>
    <row r="404">
      <c r="A404" s="76"/>
      <c r="D404" s="76"/>
    </row>
    <row r="405">
      <c r="A405" s="76"/>
      <c r="D405" s="76"/>
    </row>
    <row r="406">
      <c r="A406" s="76"/>
      <c r="D406" s="76"/>
    </row>
    <row r="407">
      <c r="A407" s="76"/>
      <c r="D407" s="76"/>
    </row>
    <row r="408">
      <c r="A408" s="76"/>
      <c r="D408" s="76"/>
    </row>
    <row r="409">
      <c r="A409" s="76"/>
      <c r="D409" s="76"/>
    </row>
    <row r="410">
      <c r="A410" s="76"/>
      <c r="D410" s="76"/>
    </row>
    <row r="411">
      <c r="A411" s="76"/>
      <c r="D411" s="76"/>
    </row>
    <row r="412">
      <c r="A412" s="76"/>
      <c r="D412" s="76"/>
    </row>
    <row r="413">
      <c r="A413" s="76"/>
      <c r="D413" s="76"/>
    </row>
    <row r="414">
      <c r="A414" s="76"/>
      <c r="D414" s="76"/>
    </row>
    <row r="415">
      <c r="A415" s="76"/>
      <c r="D415" s="76"/>
    </row>
    <row r="416">
      <c r="A416" s="76"/>
      <c r="D416" s="76"/>
    </row>
    <row r="417">
      <c r="A417" s="76"/>
      <c r="D417" s="76"/>
    </row>
    <row r="418">
      <c r="A418" s="76"/>
      <c r="D418" s="76"/>
    </row>
    <row r="419">
      <c r="A419" s="76"/>
      <c r="D419" s="76"/>
    </row>
    <row r="420">
      <c r="A420" s="76"/>
      <c r="D420" s="76"/>
    </row>
    <row r="421">
      <c r="A421" s="76"/>
      <c r="D421" s="76"/>
    </row>
    <row r="422">
      <c r="A422" s="76"/>
      <c r="D422" s="76"/>
    </row>
    <row r="423">
      <c r="A423" s="76"/>
      <c r="D423" s="76"/>
    </row>
    <row r="424">
      <c r="A424" s="76"/>
      <c r="D424" s="76"/>
    </row>
    <row r="425">
      <c r="A425" s="76"/>
      <c r="D425" s="76"/>
    </row>
    <row r="426">
      <c r="A426" s="76"/>
      <c r="D426" s="76"/>
    </row>
    <row r="427">
      <c r="A427" s="76"/>
      <c r="D427" s="76"/>
    </row>
    <row r="428">
      <c r="A428" s="76"/>
      <c r="D428" s="76"/>
    </row>
    <row r="429">
      <c r="A429" s="76"/>
      <c r="D429" s="76"/>
    </row>
    <row r="430">
      <c r="A430" s="76"/>
      <c r="D430" s="76"/>
    </row>
    <row r="431">
      <c r="A431" s="76"/>
      <c r="D431" s="76"/>
    </row>
    <row r="432">
      <c r="A432" s="76"/>
      <c r="D432" s="76"/>
    </row>
    <row r="433">
      <c r="A433" s="76"/>
      <c r="D433" s="76"/>
    </row>
    <row r="434">
      <c r="A434" s="76"/>
      <c r="D434" s="76"/>
    </row>
    <row r="435">
      <c r="A435" s="76"/>
      <c r="D435" s="76"/>
    </row>
    <row r="436">
      <c r="A436" s="76"/>
      <c r="D436" s="76"/>
    </row>
    <row r="437">
      <c r="A437" s="76"/>
      <c r="D437" s="76"/>
    </row>
    <row r="438">
      <c r="A438" s="76"/>
      <c r="D438" s="76"/>
    </row>
    <row r="439">
      <c r="A439" s="76"/>
      <c r="D439" s="76"/>
    </row>
    <row r="440">
      <c r="A440" s="76"/>
      <c r="D440" s="76"/>
    </row>
    <row r="441">
      <c r="A441" s="76"/>
      <c r="D441" s="76"/>
    </row>
    <row r="442">
      <c r="A442" s="76"/>
      <c r="D442" s="76"/>
    </row>
    <row r="443">
      <c r="A443" s="76"/>
      <c r="D443" s="76"/>
    </row>
    <row r="444">
      <c r="A444" s="76"/>
      <c r="D444" s="76"/>
    </row>
    <row r="445">
      <c r="A445" s="76"/>
      <c r="D445" s="76"/>
    </row>
    <row r="446">
      <c r="A446" s="76"/>
      <c r="D446" s="76"/>
    </row>
    <row r="447">
      <c r="A447" s="76"/>
      <c r="D447" s="76"/>
    </row>
    <row r="448">
      <c r="A448" s="76"/>
      <c r="D448" s="76"/>
    </row>
    <row r="449">
      <c r="A449" s="76"/>
      <c r="D449" s="76"/>
    </row>
    <row r="450">
      <c r="A450" s="76"/>
      <c r="D450" s="76"/>
    </row>
    <row r="451">
      <c r="A451" s="76"/>
      <c r="D451" s="76"/>
    </row>
    <row r="452">
      <c r="A452" s="76"/>
      <c r="D452" s="76"/>
    </row>
    <row r="453">
      <c r="A453" s="76"/>
      <c r="D453" s="76"/>
    </row>
    <row r="454">
      <c r="A454" s="76"/>
      <c r="D454" s="76"/>
    </row>
    <row r="455">
      <c r="A455" s="76"/>
      <c r="D455" s="76"/>
    </row>
    <row r="456">
      <c r="A456" s="76"/>
      <c r="D456" s="76"/>
    </row>
    <row r="457">
      <c r="A457" s="76"/>
      <c r="D457" s="76"/>
    </row>
    <row r="458">
      <c r="A458" s="76"/>
      <c r="D458" s="76"/>
    </row>
    <row r="459">
      <c r="A459" s="76"/>
      <c r="D459" s="76"/>
    </row>
    <row r="460">
      <c r="A460" s="76"/>
      <c r="D460" s="76"/>
    </row>
    <row r="461">
      <c r="A461" s="76"/>
      <c r="D461" s="76"/>
    </row>
    <row r="462">
      <c r="A462" s="76"/>
      <c r="D462" s="76"/>
    </row>
    <row r="463">
      <c r="A463" s="76"/>
      <c r="D463" s="76"/>
    </row>
    <row r="464">
      <c r="A464" s="76"/>
      <c r="D464" s="76"/>
    </row>
    <row r="465">
      <c r="A465" s="76"/>
      <c r="D465" s="76"/>
    </row>
    <row r="466">
      <c r="A466" s="76"/>
      <c r="D466" s="76"/>
    </row>
    <row r="467">
      <c r="A467" s="76"/>
      <c r="D467" s="76"/>
    </row>
    <row r="468">
      <c r="A468" s="76"/>
      <c r="D468" s="76"/>
    </row>
    <row r="469">
      <c r="A469" s="76"/>
      <c r="D469" s="76"/>
    </row>
    <row r="470">
      <c r="A470" s="76"/>
      <c r="D470" s="76"/>
    </row>
    <row r="471">
      <c r="A471" s="76"/>
      <c r="D471" s="76"/>
    </row>
    <row r="472">
      <c r="A472" s="76"/>
      <c r="D472" s="76"/>
    </row>
    <row r="473">
      <c r="A473" s="76"/>
      <c r="D473" s="76"/>
    </row>
    <row r="474">
      <c r="A474" s="76"/>
      <c r="D474" s="76"/>
    </row>
    <row r="475">
      <c r="A475" s="76"/>
      <c r="D475" s="76"/>
    </row>
    <row r="476">
      <c r="A476" s="76"/>
      <c r="D476" s="76"/>
    </row>
    <row r="477">
      <c r="A477" s="76"/>
      <c r="D477" s="76"/>
    </row>
    <row r="478">
      <c r="A478" s="76"/>
      <c r="D478" s="76"/>
    </row>
    <row r="479">
      <c r="A479" s="76"/>
      <c r="D479" s="76"/>
    </row>
    <row r="480">
      <c r="A480" s="76"/>
      <c r="D480" s="76"/>
    </row>
    <row r="481">
      <c r="A481" s="76"/>
      <c r="D481" s="76"/>
    </row>
    <row r="482">
      <c r="A482" s="76"/>
      <c r="D482" s="76"/>
    </row>
    <row r="483">
      <c r="A483" s="76"/>
      <c r="D483" s="76"/>
    </row>
    <row r="484">
      <c r="A484" s="76"/>
      <c r="D484" s="76"/>
    </row>
    <row r="485">
      <c r="A485" s="76"/>
      <c r="D485" s="76"/>
    </row>
    <row r="486">
      <c r="A486" s="76"/>
      <c r="D486" s="76"/>
    </row>
    <row r="487">
      <c r="A487" s="76"/>
      <c r="D487" s="76"/>
    </row>
    <row r="488">
      <c r="A488" s="76"/>
      <c r="D488" s="76"/>
    </row>
    <row r="489">
      <c r="A489" s="76"/>
      <c r="D489" s="76"/>
    </row>
    <row r="490">
      <c r="A490" s="76"/>
      <c r="D490" s="76"/>
    </row>
    <row r="491">
      <c r="A491" s="76"/>
      <c r="D491" s="76"/>
    </row>
    <row r="492">
      <c r="A492" s="76"/>
      <c r="D492" s="76"/>
    </row>
    <row r="493">
      <c r="A493" s="76"/>
      <c r="D493" s="76"/>
    </row>
    <row r="494">
      <c r="A494" s="76"/>
      <c r="D494" s="76"/>
    </row>
    <row r="495">
      <c r="A495" s="76"/>
      <c r="D495" s="76"/>
    </row>
    <row r="496">
      <c r="A496" s="76"/>
      <c r="D496" s="76"/>
    </row>
    <row r="497">
      <c r="A497" s="76"/>
      <c r="D497" s="76"/>
    </row>
    <row r="498">
      <c r="A498" s="76"/>
      <c r="D498" s="76"/>
    </row>
    <row r="499">
      <c r="A499" s="76"/>
      <c r="D499" s="76"/>
    </row>
    <row r="500">
      <c r="A500" s="76"/>
      <c r="D500" s="76"/>
    </row>
    <row r="501">
      <c r="A501" s="76"/>
      <c r="D501" s="76"/>
    </row>
    <row r="502">
      <c r="A502" s="76"/>
      <c r="D502" s="76"/>
    </row>
    <row r="503">
      <c r="A503" s="76"/>
      <c r="D503" s="76"/>
    </row>
    <row r="504">
      <c r="A504" s="76"/>
      <c r="D504" s="76"/>
    </row>
    <row r="505">
      <c r="A505" s="76"/>
      <c r="D505" s="76"/>
    </row>
    <row r="506">
      <c r="A506" s="76"/>
      <c r="D506" s="76"/>
    </row>
    <row r="507">
      <c r="A507" s="76"/>
      <c r="D507" s="76"/>
    </row>
    <row r="508">
      <c r="A508" s="76"/>
      <c r="D508" s="76"/>
    </row>
    <row r="509">
      <c r="A509" s="76"/>
      <c r="D509" s="76"/>
    </row>
    <row r="510">
      <c r="A510" s="76"/>
      <c r="D510" s="76"/>
    </row>
    <row r="511">
      <c r="A511" s="76"/>
      <c r="D511" s="76"/>
    </row>
    <row r="512">
      <c r="A512" s="76"/>
      <c r="D512" s="76"/>
    </row>
    <row r="513">
      <c r="A513" s="76"/>
      <c r="D513" s="76"/>
    </row>
    <row r="514">
      <c r="A514" s="76"/>
      <c r="D514" s="76"/>
    </row>
    <row r="515">
      <c r="A515" s="76"/>
      <c r="D515" s="76"/>
    </row>
    <row r="516">
      <c r="A516" s="76"/>
      <c r="D516" s="76"/>
    </row>
    <row r="517">
      <c r="A517" s="76"/>
      <c r="D517" s="76"/>
    </row>
    <row r="518">
      <c r="A518" s="76"/>
      <c r="D518" s="76"/>
    </row>
    <row r="519">
      <c r="A519" s="76"/>
      <c r="D519" s="76"/>
    </row>
    <row r="520">
      <c r="A520" s="76"/>
      <c r="D520" s="76"/>
    </row>
    <row r="521">
      <c r="A521" s="76"/>
      <c r="D521" s="76"/>
    </row>
    <row r="522">
      <c r="A522" s="76"/>
      <c r="D522" s="76"/>
    </row>
    <row r="523">
      <c r="A523" s="76"/>
      <c r="D523" s="76"/>
    </row>
    <row r="524">
      <c r="A524" s="76"/>
      <c r="D524" s="76"/>
    </row>
    <row r="525">
      <c r="A525" s="76"/>
      <c r="D525" s="76"/>
    </row>
    <row r="526">
      <c r="A526" s="76"/>
      <c r="D526" s="76"/>
    </row>
    <row r="527">
      <c r="A527" s="76"/>
      <c r="D527" s="76"/>
    </row>
    <row r="528">
      <c r="A528" s="76"/>
      <c r="D528" s="76"/>
    </row>
    <row r="529">
      <c r="A529" s="76"/>
      <c r="D529" s="76"/>
    </row>
    <row r="530">
      <c r="A530" s="76"/>
      <c r="D530" s="76"/>
    </row>
    <row r="531">
      <c r="A531" s="76"/>
      <c r="D531" s="76"/>
    </row>
    <row r="532">
      <c r="A532" s="76"/>
      <c r="D532" s="76"/>
    </row>
    <row r="533">
      <c r="A533" s="76"/>
      <c r="D533" s="76"/>
    </row>
    <row r="534">
      <c r="A534" s="76"/>
      <c r="D534" s="76"/>
    </row>
    <row r="535">
      <c r="A535" s="76"/>
      <c r="D535" s="76"/>
    </row>
    <row r="536">
      <c r="A536" s="76"/>
      <c r="D536" s="76"/>
    </row>
    <row r="537">
      <c r="A537" s="76"/>
      <c r="D537" s="76"/>
    </row>
    <row r="538">
      <c r="A538" s="76"/>
      <c r="D538" s="76"/>
    </row>
    <row r="539">
      <c r="A539" s="76"/>
      <c r="D539" s="76"/>
    </row>
    <row r="540">
      <c r="A540" s="76"/>
      <c r="D540" s="76"/>
    </row>
    <row r="541">
      <c r="A541" s="76"/>
      <c r="D541" s="76"/>
    </row>
    <row r="542">
      <c r="A542" s="76"/>
      <c r="D542" s="76"/>
    </row>
    <row r="543">
      <c r="A543" s="76"/>
      <c r="D543" s="76"/>
    </row>
    <row r="544">
      <c r="A544" s="76"/>
      <c r="D544" s="76"/>
    </row>
    <row r="545">
      <c r="A545" s="76"/>
      <c r="D545" s="76"/>
    </row>
    <row r="546">
      <c r="A546" s="76"/>
      <c r="D546" s="76"/>
    </row>
    <row r="547">
      <c r="A547" s="76"/>
      <c r="D547" s="76"/>
    </row>
    <row r="548">
      <c r="A548" s="76"/>
      <c r="D548" s="76"/>
    </row>
    <row r="549">
      <c r="A549" s="76"/>
      <c r="D549" s="76"/>
    </row>
    <row r="550">
      <c r="A550" s="76"/>
      <c r="D550" s="76"/>
    </row>
    <row r="551">
      <c r="A551" s="76"/>
      <c r="D551" s="76"/>
    </row>
    <row r="552">
      <c r="A552" s="76"/>
      <c r="D552" s="76"/>
    </row>
    <row r="553">
      <c r="A553" s="76"/>
      <c r="D553" s="76"/>
    </row>
    <row r="554">
      <c r="A554" s="76"/>
      <c r="D554" s="76"/>
    </row>
    <row r="555">
      <c r="A555" s="76"/>
      <c r="D555" s="76"/>
    </row>
    <row r="556">
      <c r="A556" s="76"/>
      <c r="D556" s="76"/>
    </row>
    <row r="557">
      <c r="A557" s="76"/>
      <c r="D557" s="76"/>
    </row>
    <row r="558">
      <c r="A558" s="76"/>
      <c r="D558" s="76"/>
    </row>
    <row r="559">
      <c r="A559" s="76"/>
      <c r="D559" s="76"/>
    </row>
    <row r="560">
      <c r="A560" s="76"/>
      <c r="D560" s="76"/>
    </row>
    <row r="561">
      <c r="A561" s="76"/>
      <c r="D561" s="76"/>
    </row>
    <row r="562">
      <c r="A562" s="76"/>
      <c r="D562" s="76"/>
    </row>
    <row r="563">
      <c r="A563" s="76"/>
      <c r="D563" s="76"/>
    </row>
    <row r="564">
      <c r="A564" s="76"/>
      <c r="D564" s="76"/>
    </row>
    <row r="565">
      <c r="A565" s="76"/>
      <c r="D565" s="76"/>
    </row>
    <row r="566">
      <c r="A566" s="76"/>
      <c r="D566" s="76"/>
    </row>
    <row r="567">
      <c r="A567" s="76"/>
      <c r="D567" s="76"/>
    </row>
    <row r="568">
      <c r="A568" s="76"/>
      <c r="D568" s="76"/>
    </row>
    <row r="569">
      <c r="A569" s="76"/>
      <c r="D569" s="76"/>
    </row>
    <row r="570">
      <c r="A570" s="76"/>
      <c r="D570" s="76"/>
    </row>
    <row r="571">
      <c r="A571" s="76"/>
      <c r="D571" s="76"/>
    </row>
    <row r="572">
      <c r="A572" s="76"/>
      <c r="D572" s="76"/>
    </row>
    <row r="573">
      <c r="A573" s="76"/>
      <c r="D573" s="76"/>
    </row>
    <row r="574">
      <c r="A574" s="76"/>
      <c r="D574" s="76"/>
    </row>
    <row r="575">
      <c r="A575" s="76"/>
      <c r="D575" s="76"/>
    </row>
    <row r="576">
      <c r="A576" s="76"/>
      <c r="D576" s="76"/>
    </row>
    <row r="577">
      <c r="A577" s="76"/>
      <c r="D577" s="76"/>
    </row>
    <row r="578">
      <c r="A578" s="76"/>
      <c r="D578" s="76"/>
    </row>
    <row r="579">
      <c r="A579" s="76"/>
      <c r="D579" s="76"/>
    </row>
    <row r="580">
      <c r="A580" s="76"/>
      <c r="D580" s="76"/>
    </row>
    <row r="581">
      <c r="A581" s="76"/>
      <c r="D581" s="76"/>
    </row>
    <row r="582">
      <c r="A582" s="76"/>
      <c r="D582" s="76"/>
    </row>
    <row r="583">
      <c r="A583" s="76"/>
      <c r="D583" s="76"/>
    </row>
    <row r="584">
      <c r="A584" s="76"/>
      <c r="D584" s="76"/>
    </row>
    <row r="585">
      <c r="A585" s="76"/>
      <c r="D585" s="76"/>
    </row>
    <row r="586">
      <c r="A586" s="76"/>
      <c r="D586" s="76"/>
    </row>
    <row r="587">
      <c r="A587" s="76"/>
      <c r="D587" s="76"/>
    </row>
    <row r="588">
      <c r="A588" s="76"/>
      <c r="D588" s="76"/>
    </row>
    <row r="589">
      <c r="A589" s="76"/>
      <c r="D589" s="76"/>
    </row>
    <row r="590">
      <c r="A590" s="76"/>
      <c r="D590" s="76"/>
    </row>
    <row r="591">
      <c r="A591" s="76"/>
      <c r="D591" s="76"/>
    </row>
    <row r="592">
      <c r="A592" s="76"/>
      <c r="D592" s="76"/>
    </row>
    <row r="593">
      <c r="A593" s="76"/>
      <c r="D593" s="76"/>
    </row>
    <row r="594">
      <c r="A594" s="76"/>
      <c r="D594" s="76"/>
    </row>
    <row r="595">
      <c r="A595" s="76"/>
      <c r="D595" s="76"/>
    </row>
    <row r="596">
      <c r="A596" s="76"/>
      <c r="D596" s="76"/>
    </row>
    <row r="597">
      <c r="A597" s="76"/>
      <c r="D597" s="76"/>
    </row>
    <row r="598">
      <c r="A598" s="76"/>
      <c r="D598" s="76"/>
    </row>
    <row r="599">
      <c r="A599" s="76"/>
      <c r="D599" s="76"/>
    </row>
    <row r="600">
      <c r="A600" s="76"/>
      <c r="D600" s="76"/>
    </row>
    <row r="601">
      <c r="A601" s="76"/>
      <c r="D601" s="76"/>
    </row>
    <row r="602">
      <c r="A602" s="76"/>
      <c r="D602" s="76"/>
    </row>
    <row r="603">
      <c r="A603" s="76"/>
      <c r="D603" s="76"/>
    </row>
    <row r="604">
      <c r="A604" s="76"/>
      <c r="D604" s="76"/>
    </row>
    <row r="605">
      <c r="A605" s="76"/>
      <c r="D605" s="76"/>
    </row>
    <row r="606">
      <c r="A606" s="76"/>
      <c r="D606" s="76"/>
    </row>
    <row r="607">
      <c r="A607" s="76"/>
      <c r="D607" s="76"/>
    </row>
    <row r="608">
      <c r="A608" s="76"/>
      <c r="D608" s="76"/>
    </row>
    <row r="609">
      <c r="A609" s="76"/>
      <c r="D609" s="76"/>
    </row>
    <row r="610">
      <c r="A610" s="76"/>
      <c r="D610" s="76"/>
    </row>
    <row r="611">
      <c r="A611" s="76"/>
      <c r="D611" s="76"/>
    </row>
    <row r="612">
      <c r="A612" s="76"/>
      <c r="D612" s="76"/>
    </row>
    <row r="613">
      <c r="A613" s="76"/>
      <c r="D613" s="76"/>
    </row>
    <row r="614">
      <c r="A614" s="76"/>
      <c r="D614" s="76"/>
    </row>
    <row r="615">
      <c r="A615" s="76"/>
      <c r="D615" s="76"/>
    </row>
    <row r="616">
      <c r="A616" s="76"/>
      <c r="D616" s="76"/>
    </row>
    <row r="617">
      <c r="A617" s="76"/>
      <c r="D617" s="76"/>
    </row>
    <row r="618">
      <c r="A618" s="76"/>
      <c r="D618" s="76"/>
    </row>
    <row r="619">
      <c r="A619" s="76"/>
      <c r="D619" s="76"/>
    </row>
    <row r="620">
      <c r="A620" s="76"/>
      <c r="D620" s="76"/>
    </row>
    <row r="621">
      <c r="A621" s="76"/>
      <c r="D621" s="76"/>
    </row>
    <row r="622">
      <c r="A622" s="76"/>
      <c r="D622" s="76"/>
    </row>
    <row r="623">
      <c r="A623" s="76"/>
      <c r="D623" s="76"/>
    </row>
    <row r="624">
      <c r="A624" s="76"/>
      <c r="D624" s="76"/>
    </row>
    <row r="625">
      <c r="A625" s="76"/>
      <c r="D625" s="76"/>
    </row>
    <row r="626">
      <c r="A626" s="76"/>
      <c r="D626" s="76"/>
    </row>
    <row r="627">
      <c r="A627" s="76"/>
      <c r="D627" s="76"/>
    </row>
    <row r="628">
      <c r="A628" s="76"/>
      <c r="D628" s="76"/>
    </row>
    <row r="629">
      <c r="A629" s="76"/>
      <c r="D629" s="76"/>
    </row>
    <row r="630">
      <c r="A630" s="76"/>
      <c r="D630" s="76"/>
    </row>
    <row r="631">
      <c r="A631" s="76"/>
      <c r="D631" s="76"/>
    </row>
    <row r="632">
      <c r="A632" s="76"/>
      <c r="D632" s="76"/>
    </row>
    <row r="633">
      <c r="A633" s="76"/>
      <c r="D633" s="76"/>
    </row>
    <row r="634">
      <c r="A634" s="76"/>
      <c r="D634" s="76"/>
    </row>
    <row r="635">
      <c r="A635" s="76"/>
      <c r="D635" s="76"/>
    </row>
    <row r="636">
      <c r="A636" s="76"/>
      <c r="D636" s="76"/>
    </row>
    <row r="637">
      <c r="A637" s="76"/>
      <c r="D637" s="76"/>
    </row>
    <row r="638">
      <c r="A638" s="76"/>
      <c r="D638" s="76"/>
    </row>
    <row r="639">
      <c r="A639" s="76"/>
      <c r="D639" s="76"/>
    </row>
    <row r="640">
      <c r="A640" s="76"/>
      <c r="D640" s="76"/>
    </row>
    <row r="641">
      <c r="A641" s="76"/>
      <c r="D641" s="76"/>
    </row>
    <row r="642">
      <c r="A642" s="76"/>
      <c r="D642" s="76"/>
    </row>
    <row r="643">
      <c r="A643" s="76"/>
      <c r="D643" s="76"/>
    </row>
    <row r="644">
      <c r="A644" s="76"/>
      <c r="D644" s="76"/>
    </row>
    <row r="645">
      <c r="A645" s="76"/>
      <c r="D645" s="76"/>
    </row>
    <row r="646">
      <c r="A646" s="76"/>
      <c r="D646" s="76"/>
    </row>
    <row r="647">
      <c r="A647" s="76"/>
      <c r="D647" s="76"/>
    </row>
    <row r="648">
      <c r="A648" s="76"/>
      <c r="D648" s="76"/>
    </row>
    <row r="649">
      <c r="A649" s="76"/>
      <c r="D649" s="76"/>
    </row>
    <row r="650">
      <c r="A650" s="76"/>
      <c r="D650" s="76"/>
    </row>
    <row r="651">
      <c r="A651" s="76"/>
      <c r="D651" s="76"/>
    </row>
    <row r="652">
      <c r="A652" s="76"/>
      <c r="D652" s="76"/>
    </row>
    <row r="653">
      <c r="A653" s="76"/>
      <c r="D653" s="76"/>
    </row>
    <row r="654">
      <c r="A654" s="76"/>
      <c r="D654" s="76"/>
    </row>
    <row r="655">
      <c r="A655" s="76"/>
      <c r="D655" s="76"/>
    </row>
    <row r="656">
      <c r="A656" s="76"/>
      <c r="D656" s="76"/>
    </row>
    <row r="657">
      <c r="A657" s="76"/>
      <c r="D657" s="76"/>
    </row>
    <row r="658">
      <c r="A658" s="76"/>
      <c r="D658" s="76"/>
    </row>
    <row r="659">
      <c r="A659" s="76"/>
      <c r="D659" s="76"/>
    </row>
    <row r="660">
      <c r="A660" s="76"/>
      <c r="D660" s="76"/>
    </row>
    <row r="661">
      <c r="A661" s="76"/>
      <c r="D661" s="76"/>
    </row>
    <row r="662">
      <c r="A662" s="76"/>
      <c r="D662" s="76"/>
    </row>
    <row r="663">
      <c r="A663" s="76"/>
      <c r="D663" s="76"/>
    </row>
    <row r="664">
      <c r="A664" s="76"/>
      <c r="D664" s="76"/>
    </row>
    <row r="665">
      <c r="A665" s="76"/>
      <c r="D665" s="76"/>
    </row>
    <row r="666">
      <c r="A666" s="76"/>
      <c r="D666" s="76"/>
    </row>
    <row r="667">
      <c r="A667" s="76"/>
      <c r="D667" s="76"/>
    </row>
    <row r="668">
      <c r="A668" s="76"/>
      <c r="D668" s="76"/>
    </row>
    <row r="669">
      <c r="A669" s="76"/>
      <c r="D669" s="76"/>
    </row>
    <row r="670">
      <c r="A670" s="76"/>
      <c r="D670" s="76"/>
    </row>
    <row r="671">
      <c r="A671" s="76"/>
      <c r="D671" s="76"/>
    </row>
    <row r="672">
      <c r="A672" s="76"/>
      <c r="D672" s="76"/>
    </row>
    <row r="673">
      <c r="A673" s="76"/>
      <c r="D673" s="76"/>
    </row>
    <row r="674">
      <c r="A674" s="76"/>
      <c r="D674" s="76"/>
    </row>
    <row r="675">
      <c r="A675" s="76"/>
      <c r="D675" s="76"/>
    </row>
    <row r="676">
      <c r="A676" s="76"/>
      <c r="D676" s="76"/>
    </row>
    <row r="677">
      <c r="A677" s="76"/>
      <c r="D677" s="76"/>
    </row>
    <row r="678">
      <c r="A678" s="76"/>
      <c r="D678" s="76"/>
    </row>
    <row r="679">
      <c r="A679" s="76"/>
      <c r="D679" s="76"/>
    </row>
    <row r="680">
      <c r="A680" s="76"/>
      <c r="D680" s="76"/>
    </row>
    <row r="681">
      <c r="A681" s="76"/>
      <c r="D681" s="76"/>
    </row>
    <row r="682">
      <c r="A682" s="76"/>
      <c r="D682" s="76"/>
    </row>
    <row r="683">
      <c r="A683" s="76"/>
      <c r="D683" s="76"/>
    </row>
    <row r="684">
      <c r="A684" s="76"/>
      <c r="D684" s="76"/>
    </row>
    <row r="685">
      <c r="A685" s="76"/>
      <c r="D685" s="76"/>
    </row>
    <row r="686">
      <c r="A686" s="76"/>
      <c r="D686" s="76"/>
    </row>
    <row r="687">
      <c r="A687" s="76"/>
      <c r="D687" s="76"/>
    </row>
    <row r="688">
      <c r="A688" s="76"/>
      <c r="D688" s="76"/>
    </row>
    <row r="689">
      <c r="A689" s="76"/>
      <c r="D689" s="76"/>
    </row>
    <row r="690">
      <c r="A690" s="76"/>
      <c r="D690" s="76"/>
    </row>
    <row r="691">
      <c r="A691" s="76"/>
      <c r="D691" s="76"/>
    </row>
    <row r="692">
      <c r="A692" s="76"/>
      <c r="D692" s="76"/>
    </row>
    <row r="693">
      <c r="A693" s="76"/>
      <c r="D693" s="76"/>
    </row>
    <row r="694">
      <c r="A694" s="76"/>
      <c r="D694" s="76"/>
    </row>
    <row r="695">
      <c r="A695" s="76"/>
      <c r="D695" s="76"/>
    </row>
    <row r="696">
      <c r="A696" s="76"/>
      <c r="D696" s="76"/>
    </row>
    <row r="697">
      <c r="A697" s="76"/>
      <c r="D697" s="76"/>
    </row>
    <row r="698">
      <c r="A698" s="76"/>
      <c r="D698" s="76"/>
    </row>
    <row r="699">
      <c r="A699" s="76"/>
      <c r="D699" s="76"/>
    </row>
    <row r="700">
      <c r="A700" s="76"/>
      <c r="D700" s="76"/>
    </row>
    <row r="701">
      <c r="A701" s="76"/>
      <c r="D701" s="76"/>
    </row>
    <row r="702">
      <c r="A702" s="76"/>
      <c r="D702" s="76"/>
    </row>
    <row r="703">
      <c r="A703" s="76"/>
      <c r="D703" s="76"/>
    </row>
    <row r="704">
      <c r="A704" s="76"/>
      <c r="D704" s="76"/>
    </row>
    <row r="705">
      <c r="A705" s="76"/>
      <c r="D705" s="76"/>
    </row>
    <row r="706">
      <c r="A706" s="76"/>
      <c r="D706" s="76"/>
    </row>
    <row r="707">
      <c r="A707" s="76"/>
      <c r="D707" s="76"/>
    </row>
    <row r="708">
      <c r="A708" s="76"/>
      <c r="D708" s="76"/>
    </row>
    <row r="709">
      <c r="A709" s="76"/>
      <c r="D709" s="76"/>
    </row>
    <row r="710">
      <c r="A710" s="76"/>
      <c r="D710" s="76"/>
    </row>
    <row r="711">
      <c r="A711" s="76"/>
      <c r="D711" s="76"/>
    </row>
    <row r="712">
      <c r="A712" s="76"/>
      <c r="D712" s="76"/>
    </row>
    <row r="713">
      <c r="A713" s="76"/>
      <c r="D713" s="76"/>
    </row>
    <row r="714">
      <c r="A714" s="76"/>
      <c r="D714" s="76"/>
    </row>
    <row r="715">
      <c r="A715" s="76"/>
      <c r="D715" s="76"/>
    </row>
    <row r="716">
      <c r="A716" s="76"/>
      <c r="D716" s="76"/>
    </row>
    <row r="717">
      <c r="A717" s="76"/>
      <c r="D717" s="76"/>
    </row>
    <row r="718">
      <c r="A718" s="76"/>
      <c r="D718" s="76"/>
    </row>
    <row r="719">
      <c r="A719" s="76"/>
      <c r="D719" s="76"/>
    </row>
    <row r="720">
      <c r="A720" s="76"/>
      <c r="D720" s="76"/>
    </row>
    <row r="721">
      <c r="A721" s="76"/>
      <c r="D721" s="76"/>
    </row>
    <row r="722">
      <c r="A722" s="76"/>
      <c r="D722" s="76"/>
    </row>
    <row r="723">
      <c r="A723" s="76"/>
      <c r="D723" s="76"/>
    </row>
    <row r="724">
      <c r="A724" s="76"/>
      <c r="D724" s="76"/>
    </row>
    <row r="725">
      <c r="A725" s="76"/>
      <c r="D725" s="76"/>
    </row>
    <row r="726">
      <c r="A726" s="76"/>
      <c r="D726" s="76"/>
    </row>
    <row r="727">
      <c r="A727" s="76"/>
      <c r="D727" s="76"/>
    </row>
    <row r="728">
      <c r="A728" s="76"/>
      <c r="D728" s="76"/>
    </row>
    <row r="729">
      <c r="A729" s="76"/>
      <c r="D729" s="76"/>
    </row>
    <row r="730">
      <c r="A730" s="76"/>
      <c r="D730" s="76"/>
    </row>
    <row r="731">
      <c r="A731" s="76"/>
      <c r="D731" s="76"/>
    </row>
    <row r="732">
      <c r="A732" s="76"/>
      <c r="D732" s="76"/>
    </row>
    <row r="733">
      <c r="A733" s="76"/>
      <c r="D733" s="76"/>
    </row>
    <row r="734">
      <c r="A734" s="76"/>
      <c r="D734" s="76"/>
    </row>
    <row r="735">
      <c r="A735" s="76"/>
      <c r="D735" s="76"/>
    </row>
    <row r="736">
      <c r="A736" s="76"/>
      <c r="D736" s="76"/>
    </row>
    <row r="737">
      <c r="A737" s="76"/>
      <c r="D737" s="76"/>
    </row>
    <row r="738">
      <c r="A738" s="76"/>
      <c r="D738" s="76"/>
    </row>
    <row r="739">
      <c r="A739" s="76"/>
      <c r="D739" s="76"/>
    </row>
    <row r="740">
      <c r="A740" s="76"/>
      <c r="D740" s="76"/>
    </row>
    <row r="741">
      <c r="A741" s="76"/>
      <c r="D741" s="76"/>
    </row>
    <row r="742">
      <c r="A742" s="76"/>
      <c r="D742" s="76"/>
    </row>
    <row r="743">
      <c r="A743" s="76"/>
      <c r="D743" s="76"/>
    </row>
    <row r="744">
      <c r="A744" s="76"/>
      <c r="D744" s="76"/>
    </row>
    <row r="745">
      <c r="A745" s="76"/>
      <c r="D745" s="76"/>
    </row>
    <row r="746">
      <c r="A746" s="76"/>
      <c r="D746" s="76"/>
    </row>
    <row r="747">
      <c r="A747" s="76"/>
      <c r="D747" s="76"/>
    </row>
    <row r="748">
      <c r="A748" s="76"/>
      <c r="D748" s="76"/>
    </row>
    <row r="749">
      <c r="A749" s="76"/>
      <c r="D749" s="76"/>
    </row>
    <row r="750">
      <c r="A750" s="76"/>
      <c r="D750" s="76"/>
    </row>
    <row r="751">
      <c r="A751" s="76"/>
      <c r="D751" s="76"/>
    </row>
    <row r="752">
      <c r="A752" s="76"/>
      <c r="D752" s="76"/>
    </row>
    <row r="753">
      <c r="A753" s="76"/>
      <c r="D753" s="76"/>
    </row>
    <row r="754">
      <c r="A754" s="76"/>
      <c r="D754" s="76"/>
    </row>
    <row r="755">
      <c r="A755" s="76"/>
      <c r="D755" s="76"/>
    </row>
    <row r="756">
      <c r="A756" s="76"/>
      <c r="D756" s="76"/>
    </row>
    <row r="757">
      <c r="A757" s="76"/>
      <c r="D757" s="76"/>
    </row>
    <row r="758">
      <c r="A758" s="76"/>
      <c r="D758" s="76"/>
    </row>
    <row r="759">
      <c r="A759" s="76"/>
      <c r="D759" s="76"/>
    </row>
    <row r="760">
      <c r="A760" s="76"/>
      <c r="D760" s="76"/>
    </row>
    <row r="761">
      <c r="A761" s="76"/>
      <c r="D761" s="76"/>
    </row>
    <row r="762">
      <c r="A762" s="76"/>
      <c r="D762" s="76"/>
    </row>
    <row r="763">
      <c r="A763" s="76"/>
      <c r="D763" s="76"/>
    </row>
    <row r="764">
      <c r="A764" s="76"/>
      <c r="D764" s="76"/>
    </row>
    <row r="765">
      <c r="A765" s="76"/>
      <c r="D765" s="76"/>
    </row>
    <row r="766">
      <c r="A766" s="76"/>
      <c r="D766" s="76"/>
    </row>
    <row r="767">
      <c r="A767" s="76"/>
      <c r="D767" s="76"/>
    </row>
    <row r="768">
      <c r="A768" s="76"/>
      <c r="D768" s="76"/>
    </row>
    <row r="769">
      <c r="A769" s="76"/>
      <c r="D769" s="76"/>
    </row>
    <row r="770">
      <c r="A770" s="76"/>
      <c r="D770" s="76"/>
    </row>
    <row r="771">
      <c r="A771" s="76"/>
      <c r="D771" s="76"/>
    </row>
    <row r="772">
      <c r="A772" s="76"/>
      <c r="D772" s="76"/>
    </row>
    <row r="773">
      <c r="A773" s="76"/>
      <c r="D773" s="76"/>
    </row>
    <row r="774">
      <c r="A774" s="76"/>
      <c r="D774" s="76"/>
    </row>
    <row r="775">
      <c r="A775" s="76"/>
      <c r="D775" s="76"/>
    </row>
    <row r="776">
      <c r="A776" s="76"/>
      <c r="D776" s="76"/>
    </row>
    <row r="777">
      <c r="A777" s="76"/>
      <c r="D777" s="76"/>
    </row>
    <row r="778">
      <c r="A778" s="76"/>
      <c r="D778" s="76"/>
    </row>
    <row r="779">
      <c r="A779" s="76"/>
      <c r="D779" s="76"/>
    </row>
    <row r="780">
      <c r="A780" s="76"/>
      <c r="D780" s="76"/>
    </row>
    <row r="781">
      <c r="A781" s="76"/>
      <c r="D781" s="76"/>
    </row>
    <row r="782">
      <c r="A782" s="76"/>
      <c r="D782" s="76"/>
    </row>
    <row r="783">
      <c r="A783" s="76"/>
      <c r="D783" s="76"/>
    </row>
    <row r="784">
      <c r="A784" s="76"/>
      <c r="D784" s="76"/>
    </row>
    <row r="785">
      <c r="A785" s="76"/>
      <c r="D785" s="76"/>
    </row>
    <row r="786">
      <c r="A786" s="76"/>
      <c r="D786" s="76"/>
    </row>
    <row r="787">
      <c r="A787" s="76"/>
      <c r="D787" s="76"/>
    </row>
    <row r="788">
      <c r="A788" s="76"/>
      <c r="D788" s="76"/>
    </row>
    <row r="789">
      <c r="A789" s="76"/>
      <c r="D789" s="76"/>
    </row>
    <row r="790">
      <c r="A790" s="76"/>
      <c r="D790" s="76"/>
    </row>
    <row r="791">
      <c r="A791" s="76"/>
      <c r="D791" s="76"/>
    </row>
    <row r="792">
      <c r="A792" s="76"/>
      <c r="D792" s="76"/>
    </row>
    <row r="793">
      <c r="A793" s="76"/>
      <c r="D793" s="76"/>
    </row>
    <row r="794">
      <c r="A794" s="76"/>
      <c r="D794" s="76"/>
    </row>
    <row r="795">
      <c r="A795" s="76"/>
      <c r="D795" s="76"/>
    </row>
    <row r="796">
      <c r="A796" s="76"/>
      <c r="D796" s="76"/>
    </row>
    <row r="797">
      <c r="A797" s="76"/>
      <c r="D797" s="76"/>
    </row>
    <row r="798">
      <c r="A798" s="76"/>
      <c r="D798" s="76"/>
    </row>
    <row r="799">
      <c r="A799" s="76"/>
      <c r="D799" s="76"/>
    </row>
    <row r="800">
      <c r="A800" s="76"/>
      <c r="D800" s="76"/>
    </row>
    <row r="801">
      <c r="A801" s="76"/>
      <c r="D801" s="76"/>
    </row>
    <row r="802">
      <c r="A802" s="76"/>
      <c r="D802" s="76"/>
    </row>
    <row r="803">
      <c r="A803" s="76"/>
      <c r="D803" s="76"/>
    </row>
    <row r="804">
      <c r="A804" s="76"/>
      <c r="D804" s="76"/>
    </row>
    <row r="805">
      <c r="A805" s="76"/>
      <c r="D805" s="76"/>
    </row>
    <row r="806">
      <c r="A806" s="76"/>
      <c r="D806" s="76"/>
    </row>
    <row r="807">
      <c r="A807" s="76"/>
      <c r="D807" s="76"/>
    </row>
    <row r="808">
      <c r="A808" s="76"/>
      <c r="D808" s="76"/>
    </row>
    <row r="809">
      <c r="A809" s="76"/>
      <c r="D809" s="76"/>
    </row>
    <row r="810">
      <c r="A810" s="76"/>
      <c r="D810" s="76"/>
    </row>
    <row r="811">
      <c r="A811" s="76"/>
      <c r="D811" s="76"/>
    </row>
    <row r="812">
      <c r="A812" s="76"/>
      <c r="D812" s="76"/>
    </row>
    <row r="813">
      <c r="A813" s="76"/>
      <c r="D813" s="76"/>
    </row>
    <row r="814">
      <c r="A814" s="76"/>
      <c r="D814" s="76"/>
    </row>
    <row r="815">
      <c r="A815" s="76"/>
      <c r="D815" s="76"/>
    </row>
    <row r="816">
      <c r="A816" s="76"/>
      <c r="D816" s="76"/>
    </row>
    <row r="817">
      <c r="A817" s="76"/>
      <c r="D817" s="76"/>
    </row>
    <row r="818">
      <c r="A818" s="76"/>
      <c r="D818" s="76"/>
    </row>
    <row r="819">
      <c r="A819" s="76"/>
      <c r="D819" s="76"/>
    </row>
    <row r="820">
      <c r="A820" s="76"/>
      <c r="D820" s="76"/>
    </row>
    <row r="821">
      <c r="A821" s="76"/>
      <c r="D821" s="76"/>
    </row>
    <row r="822">
      <c r="A822" s="76"/>
      <c r="D822" s="76"/>
    </row>
    <row r="823">
      <c r="A823" s="76"/>
      <c r="D823" s="76"/>
    </row>
    <row r="824">
      <c r="A824" s="76"/>
      <c r="D824" s="76"/>
    </row>
    <row r="825">
      <c r="A825" s="76"/>
      <c r="D825" s="76"/>
    </row>
    <row r="826">
      <c r="A826" s="76"/>
      <c r="D826" s="76"/>
    </row>
    <row r="827">
      <c r="A827" s="76"/>
      <c r="D827" s="76"/>
    </row>
    <row r="828">
      <c r="A828" s="76"/>
      <c r="D828" s="76"/>
    </row>
    <row r="829">
      <c r="A829" s="76"/>
      <c r="D829" s="76"/>
    </row>
    <row r="830">
      <c r="A830" s="76"/>
      <c r="D830" s="76"/>
    </row>
    <row r="831">
      <c r="A831" s="76"/>
      <c r="D831" s="76"/>
    </row>
    <row r="832">
      <c r="A832" s="76"/>
      <c r="D832" s="76"/>
    </row>
    <row r="833">
      <c r="A833" s="76"/>
      <c r="D833" s="76"/>
    </row>
    <row r="834">
      <c r="A834" s="76"/>
      <c r="D834" s="76"/>
    </row>
    <row r="835">
      <c r="A835" s="76"/>
      <c r="D835" s="76"/>
    </row>
    <row r="836">
      <c r="A836" s="76"/>
      <c r="D836" s="76"/>
    </row>
    <row r="837">
      <c r="A837" s="76"/>
      <c r="D837" s="76"/>
    </row>
    <row r="838">
      <c r="A838" s="76"/>
      <c r="D838" s="76"/>
    </row>
    <row r="839">
      <c r="A839" s="76"/>
      <c r="D839" s="76"/>
    </row>
    <row r="840">
      <c r="A840" s="76"/>
      <c r="D840" s="76"/>
    </row>
    <row r="841">
      <c r="A841" s="76"/>
      <c r="D841" s="76"/>
    </row>
    <row r="842">
      <c r="A842" s="76"/>
      <c r="D842" s="76"/>
    </row>
    <row r="843">
      <c r="A843" s="76"/>
      <c r="D843" s="76"/>
    </row>
    <row r="844">
      <c r="A844" s="76"/>
      <c r="D844" s="76"/>
    </row>
    <row r="845">
      <c r="A845" s="76"/>
      <c r="D845" s="76"/>
    </row>
    <row r="846">
      <c r="A846" s="76"/>
      <c r="D846" s="76"/>
    </row>
    <row r="847">
      <c r="A847" s="76"/>
      <c r="D847" s="76"/>
    </row>
    <row r="848">
      <c r="A848" s="76"/>
      <c r="D848" s="76"/>
    </row>
    <row r="849">
      <c r="A849" s="76"/>
      <c r="D849" s="76"/>
    </row>
    <row r="850">
      <c r="A850" s="76"/>
      <c r="D850" s="76"/>
    </row>
    <row r="851">
      <c r="A851" s="76"/>
      <c r="D851" s="76"/>
    </row>
    <row r="852">
      <c r="A852" s="76"/>
      <c r="D852" s="76"/>
    </row>
    <row r="853">
      <c r="A853" s="76"/>
      <c r="D853" s="76"/>
    </row>
    <row r="854">
      <c r="A854" s="76"/>
      <c r="D854" s="76"/>
    </row>
    <row r="855">
      <c r="A855" s="76"/>
      <c r="D855" s="76"/>
    </row>
    <row r="856">
      <c r="A856" s="76"/>
      <c r="D856" s="76"/>
    </row>
    <row r="857">
      <c r="A857" s="76"/>
      <c r="D857" s="76"/>
    </row>
    <row r="858">
      <c r="A858" s="76"/>
      <c r="D858" s="76"/>
    </row>
    <row r="859">
      <c r="A859" s="76"/>
      <c r="D859" s="76"/>
    </row>
    <row r="860">
      <c r="A860" s="76"/>
      <c r="D860" s="76"/>
    </row>
    <row r="861">
      <c r="A861" s="76"/>
      <c r="D861" s="76"/>
    </row>
    <row r="862">
      <c r="A862" s="76"/>
      <c r="D862" s="76"/>
    </row>
    <row r="863">
      <c r="A863" s="76"/>
      <c r="D863" s="76"/>
    </row>
    <row r="864">
      <c r="A864" s="76"/>
      <c r="D864" s="76"/>
    </row>
    <row r="865">
      <c r="A865" s="76"/>
      <c r="D865" s="76"/>
    </row>
    <row r="866">
      <c r="A866" s="76"/>
      <c r="D866" s="76"/>
    </row>
    <row r="867">
      <c r="A867" s="76"/>
      <c r="D867" s="76"/>
    </row>
    <row r="868">
      <c r="A868" s="76"/>
      <c r="D868" s="76"/>
    </row>
    <row r="869">
      <c r="A869" s="76"/>
      <c r="D869" s="76"/>
    </row>
    <row r="870">
      <c r="A870" s="76"/>
      <c r="D870" s="76"/>
    </row>
    <row r="871">
      <c r="A871" s="76"/>
      <c r="D871" s="76"/>
    </row>
    <row r="872">
      <c r="A872" s="76"/>
      <c r="D872" s="76"/>
    </row>
    <row r="873">
      <c r="A873" s="76"/>
      <c r="D873" s="76"/>
    </row>
    <row r="874">
      <c r="A874" s="76"/>
      <c r="D874" s="76"/>
    </row>
    <row r="875">
      <c r="A875" s="76"/>
      <c r="D875" s="76"/>
    </row>
    <row r="876">
      <c r="A876" s="76"/>
      <c r="D876" s="76"/>
    </row>
    <row r="877">
      <c r="A877" s="76"/>
      <c r="D877" s="76"/>
    </row>
    <row r="878">
      <c r="A878" s="76"/>
      <c r="D878" s="76"/>
    </row>
    <row r="879">
      <c r="A879" s="76"/>
      <c r="D879" s="76"/>
    </row>
    <row r="880">
      <c r="A880" s="76"/>
      <c r="D880" s="76"/>
    </row>
    <row r="881">
      <c r="A881" s="76"/>
      <c r="D881" s="76"/>
    </row>
    <row r="882">
      <c r="A882" s="76"/>
      <c r="D882" s="76"/>
    </row>
    <row r="883">
      <c r="A883" s="76"/>
      <c r="D883" s="76"/>
    </row>
    <row r="884">
      <c r="A884" s="76"/>
      <c r="D884" s="76"/>
    </row>
    <row r="885">
      <c r="A885" s="76"/>
      <c r="D885" s="76"/>
    </row>
    <row r="886">
      <c r="A886" s="76"/>
      <c r="D886" s="76"/>
    </row>
    <row r="887">
      <c r="A887" s="76"/>
      <c r="D887" s="76"/>
    </row>
    <row r="888">
      <c r="A888" s="76"/>
      <c r="D888" s="76"/>
    </row>
    <row r="889">
      <c r="A889" s="76"/>
      <c r="D889" s="76"/>
    </row>
    <row r="890">
      <c r="A890" s="76"/>
      <c r="D890" s="76"/>
    </row>
    <row r="891">
      <c r="A891" s="76"/>
      <c r="D891" s="76"/>
    </row>
    <row r="892">
      <c r="A892" s="76"/>
      <c r="D892" s="76"/>
    </row>
    <row r="893">
      <c r="A893" s="76"/>
      <c r="D893" s="76"/>
    </row>
    <row r="894">
      <c r="A894" s="76"/>
      <c r="D894" s="76"/>
    </row>
    <row r="895">
      <c r="A895" s="76"/>
      <c r="D895" s="76"/>
    </row>
    <row r="896">
      <c r="A896" s="76"/>
      <c r="D896" s="76"/>
    </row>
    <row r="897">
      <c r="A897" s="76"/>
      <c r="D897" s="76"/>
    </row>
    <row r="898">
      <c r="A898" s="76"/>
      <c r="D898" s="76"/>
    </row>
    <row r="899">
      <c r="A899" s="76"/>
      <c r="D899" s="76"/>
    </row>
    <row r="900">
      <c r="A900" s="76"/>
      <c r="D900" s="76"/>
    </row>
    <row r="901">
      <c r="A901" s="76"/>
      <c r="D901" s="76"/>
    </row>
    <row r="902">
      <c r="A902" s="76"/>
      <c r="D902" s="76"/>
    </row>
    <row r="903">
      <c r="A903" s="76"/>
      <c r="D903" s="76"/>
    </row>
    <row r="904">
      <c r="A904" s="76"/>
      <c r="D904" s="76"/>
    </row>
    <row r="905">
      <c r="A905" s="76"/>
      <c r="D905" s="76"/>
    </row>
    <row r="906">
      <c r="A906" s="76"/>
      <c r="D906" s="76"/>
    </row>
    <row r="907">
      <c r="A907" s="76"/>
      <c r="D907" s="76"/>
    </row>
    <row r="908">
      <c r="A908" s="76"/>
      <c r="D908" s="76"/>
    </row>
    <row r="909">
      <c r="A909" s="76"/>
      <c r="D909" s="76"/>
    </row>
    <row r="910">
      <c r="A910" s="76"/>
      <c r="D910" s="76"/>
    </row>
    <row r="911">
      <c r="A911" s="76"/>
      <c r="D911" s="76"/>
    </row>
    <row r="912">
      <c r="A912" s="76"/>
      <c r="D912" s="76"/>
    </row>
    <row r="913">
      <c r="A913" s="76"/>
      <c r="D913" s="76"/>
    </row>
    <row r="914">
      <c r="A914" s="76"/>
      <c r="D914" s="76"/>
    </row>
    <row r="915">
      <c r="A915" s="76"/>
      <c r="D915" s="76"/>
    </row>
    <row r="916">
      <c r="A916" s="76"/>
      <c r="D916" s="76"/>
    </row>
    <row r="917">
      <c r="A917" s="76"/>
      <c r="D917" s="76"/>
    </row>
    <row r="918">
      <c r="A918" s="76"/>
      <c r="D918" s="76"/>
    </row>
    <row r="919">
      <c r="A919" s="76"/>
      <c r="D919" s="76"/>
    </row>
    <row r="920">
      <c r="A920" s="76"/>
      <c r="D920" s="76"/>
    </row>
    <row r="921">
      <c r="A921" s="76"/>
      <c r="D921" s="76"/>
    </row>
    <row r="922">
      <c r="A922" s="76"/>
      <c r="D922" s="76"/>
    </row>
    <row r="923">
      <c r="A923" s="76"/>
      <c r="D923" s="76"/>
    </row>
    <row r="924">
      <c r="A924" s="76"/>
      <c r="D924" s="76"/>
    </row>
    <row r="925">
      <c r="A925" s="76"/>
      <c r="D925" s="76"/>
    </row>
    <row r="926">
      <c r="A926" s="76"/>
      <c r="D926" s="76"/>
    </row>
    <row r="927">
      <c r="A927" s="76"/>
      <c r="D927" s="76"/>
    </row>
    <row r="928">
      <c r="A928" s="76"/>
      <c r="D928" s="76"/>
    </row>
    <row r="929">
      <c r="A929" s="76"/>
      <c r="D929" s="76"/>
    </row>
    <row r="930">
      <c r="A930" s="76"/>
      <c r="D930" s="76"/>
    </row>
    <row r="931">
      <c r="A931" s="76"/>
      <c r="D931" s="76"/>
    </row>
    <row r="932">
      <c r="A932" s="76"/>
      <c r="D932" s="76"/>
    </row>
    <row r="933">
      <c r="A933" s="76"/>
      <c r="D933" s="76"/>
    </row>
    <row r="934">
      <c r="A934" s="76"/>
      <c r="D934" s="76"/>
    </row>
    <row r="935">
      <c r="A935" s="76"/>
      <c r="D935" s="76"/>
    </row>
    <row r="936">
      <c r="A936" s="76"/>
      <c r="D936" s="76"/>
    </row>
    <row r="937">
      <c r="A937" s="76"/>
      <c r="D937" s="76"/>
    </row>
    <row r="938">
      <c r="A938" s="76"/>
      <c r="D938" s="76"/>
    </row>
    <row r="939">
      <c r="A939" s="76"/>
      <c r="D939" s="76"/>
    </row>
    <row r="940">
      <c r="A940" s="76"/>
      <c r="D940" s="76"/>
    </row>
    <row r="941">
      <c r="A941" s="76"/>
      <c r="D941" s="76"/>
    </row>
    <row r="942">
      <c r="A942" s="76"/>
      <c r="D942" s="76"/>
    </row>
    <row r="943">
      <c r="A943" s="76"/>
      <c r="D943" s="76"/>
    </row>
    <row r="944">
      <c r="A944" s="76"/>
      <c r="D944" s="76"/>
    </row>
    <row r="945">
      <c r="A945" s="76"/>
      <c r="D945" s="76"/>
    </row>
    <row r="946">
      <c r="A946" s="76"/>
      <c r="D946" s="76"/>
    </row>
    <row r="947">
      <c r="A947" s="76"/>
      <c r="D947" s="76"/>
    </row>
    <row r="948">
      <c r="A948" s="76"/>
      <c r="D948" s="76"/>
    </row>
    <row r="949">
      <c r="A949" s="76"/>
      <c r="D949" s="76"/>
    </row>
    <row r="950">
      <c r="A950" s="76"/>
      <c r="D950" s="76"/>
    </row>
    <row r="951">
      <c r="A951" s="76"/>
      <c r="D951" s="76"/>
    </row>
    <row r="952">
      <c r="A952" s="76"/>
      <c r="D952" s="76"/>
    </row>
    <row r="953">
      <c r="A953" s="76"/>
      <c r="D953" s="76"/>
    </row>
    <row r="954">
      <c r="A954" s="76"/>
      <c r="D954" s="76"/>
    </row>
    <row r="955">
      <c r="A955" s="76"/>
      <c r="D955" s="76"/>
    </row>
    <row r="956">
      <c r="A956" s="76"/>
      <c r="D956" s="76"/>
    </row>
    <row r="957">
      <c r="A957" s="76"/>
      <c r="D957" s="76"/>
    </row>
    <row r="958">
      <c r="A958" s="76"/>
      <c r="D958" s="76"/>
    </row>
    <row r="959">
      <c r="A959" s="76"/>
      <c r="D959" s="76"/>
    </row>
    <row r="960">
      <c r="A960" s="76"/>
      <c r="D960" s="76"/>
    </row>
    <row r="961">
      <c r="A961" s="76"/>
      <c r="D961" s="76"/>
    </row>
    <row r="962">
      <c r="A962" s="76"/>
      <c r="D962" s="76"/>
    </row>
    <row r="963">
      <c r="A963" s="76"/>
      <c r="D963" s="76"/>
    </row>
    <row r="964">
      <c r="A964" s="76"/>
      <c r="D964" s="76"/>
    </row>
    <row r="965">
      <c r="A965" s="76"/>
      <c r="D965" s="76"/>
    </row>
    <row r="966">
      <c r="A966" s="76"/>
      <c r="D966" s="76"/>
    </row>
    <row r="967">
      <c r="A967" s="76"/>
      <c r="D967" s="76"/>
    </row>
    <row r="968">
      <c r="A968" s="76"/>
      <c r="D968" s="76"/>
    </row>
    <row r="969">
      <c r="A969" s="76"/>
      <c r="D969" s="76"/>
    </row>
    <row r="970">
      <c r="A970" s="76"/>
      <c r="D970" s="76"/>
    </row>
    <row r="971">
      <c r="A971" s="76"/>
      <c r="D971" s="76"/>
    </row>
    <row r="972">
      <c r="A972" s="76"/>
      <c r="D972" s="76"/>
    </row>
    <row r="973">
      <c r="A973" s="76"/>
      <c r="D973" s="76"/>
    </row>
    <row r="974">
      <c r="A974" s="76"/>
      <c r="D974" s="76"/>
    </row>
    <row r="975">
      <c r="A975" s="76"/>
      <c r="D975" s="76"/>
    </row>
    <row r="976">
      <c r="A976" s="76"/>
      <c r="D976" s="76"/>
    </row>
    <row r="977">
      <c r="A977" s="76"/>
      <c r="D977" s="76"/>
    </row>
    <row r="978">
      <c r="A978" s="76"/>
      <c r="D978" s="76"/>
    </row>
    <row r="979">
      <c r="A979" s="76"/>
      <c r="D979" s="76"/>
    </row>
    <row r="980">
      <c r="A980" s="76"/>
      <c r="D980" s="76"/>
    </row>
    <row r="981">
      <c r="A981" s="76"/>
      <c r="D981" s="76"/>
    </row>
    <row r="982">
      <c r="A982" s="76"/>
      <c r="D982" s="76"/>
    </row>
    <row r="983">
      <c r="A983" s="76"/>
      <c r="D983" s="76"/>
    </row>
    <row r="984">
      <c r="A984" s="76"/>
      <c r="D984" s="76"/>
    </row>
    <row r="985">
      <c r="A985" s="76"/>
      <c r="D985" s="76"/>
    </row>
    <row r="986">
      <c r="A986" s="76"/>
      <c r="D986" s="76"/>
    </row>
    <row r="987">
      <c r="A987" s="76"/>
      <c r="D987" s="76"/>
    </row>
    <row r="988">
      <c r="A988" s="76"/>
      <c r="D988" s="76"/>
    </row>
    <row r="989">
      <c r="A989" s="76"/>
      <c r="D989" s="76"/>
    </row>
    <row r="990">
      <c r="A990" s="76"/>
      <c r="D990" s="76"/>
    </row>
    <row r="991">
      <c r="A991" s="76"/>
      <c r="D991" s="76"/>
    </row>
    <row r="992">
      <c r="A992" s="76"/>
      <c r="D992" s="76"/>
    </row>
    <row r="993">
      <c r="A993" s="76"/>
      <c r="D993" s="76"/>
    </row>
    <row r="994">
      <c r="A994" s="76"/>
      <c r="D994" s="76"/>
    </row>
    <row r="995">
      <c r="A995" s="76"/>
      <c r="D995" s="76"/>
    </row>
    <row r="996">
      <c r="A996" s="76"/>
      <c r="D996" s="76"/>
    </row>
    <row r="997">
      <c r="A997" s="76"/>
      <c r="D997" s="76"/>
    </row>
    <row r="998">
      <c r="A998" s="76"/>
      <c r="D998" s="76"/>
    </row>
    <row r="999">
      <c r="A999" s="76"/>
      <c r="D999" s="76"/>
    </row>
    <row r="1000">
      <c r="A1000" s="76"/>
      <c r="D1000" s="76"/>
    </row>
    <row r="1001">
      <c r="A1001" s="76"/>
      <c r="D1001" s="76"/>
    </row>
    <row r="1002">
      <c r="A1002" s="76"/>
      <c r="D1002" s="76"/>
    </row>
  </sheetData>
  <mergeCells count="10">
    <mergeCell ref="C50:D50"/>
    <mergeCell ref="A52:C52"/>
    <mergeCell ref="A55:C55"/>
    <mergeCell ref="A2:E4"/>
    <mergeCell ref="A5:E5"/>
    <mergeCell ref="A7:E7"/>
    <mergeCell ref="B9:D9"/>
    <mergeCell ref="B10:D10"/>
    <mergeCell ref="B11:D11"/>
    <mergeCell ref="B12:D12"/>
  </mergeCells>
  <dataValidations>
    <dataValidation type="list" allowBlank="1" showDropDown="1" showErrorMessage="1" sqref="B11">
      <formula1>'SUPPLIERS LIST'!$B$2</formula1>
    </dataValidation>
    <dataValidation type="list" allowBlank="1" showDropDown="1" showErrorMessage="1" sqref="A15:A49 A51:A1002">
      <formula1>'MASTER ITEM LIST'!$B$2:$B1002</formula1>
    </dataValidation>
  </dataValidations>
  <printOptions gridLines="1" horizontalCentered="1"/>
  <pageMargins bottom="0.75" footer="0.0" header="0.0" left="0.7" right="0.7" top="0.75"/>
  <pageSetup paperSize="5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2" max="2" width="21.38"/>
    <col customWidth="1" min="3" max="3" width="20.75"/>
    <col customWidth="1" min="4" max="4" width="22.88"/>
    <col customWidth="1" min="5" max="5" width="19.5"/>
    <col customWidth="1" min="7" max="7" width="14.75"/>
  </cols>
  <sheetData>
    <row r="1">
      <c r="A1" s="94"/>
      <c r="B1" s="94"/>
      <c r="C1" s="95"/>
      <c r="D1" s="95"/>
      <c r="E1" s="95"/>
      <c r="F1" s="96"/>
      <c r="G1" s="96"/>
    </row>
    <row r="2">
      <c r="A2" s="94"/>
      <c r="B2" s="97" t="s">
        <v>1378</v>
      </c>
      <c r="F2" s="96"/>
      <c r="G2" s="96"/>
    </row>
    <row r="3">
      <c r="A3" s="94"/>
      <c r="F3" s="96"/>
      <c r="G3" s="96"/>
    </row>
    <row r="4">
      <c r="A4" s="94"/>
    </row>
    <row r="5">
      <c r="A5" s="94"/>
      <c r="B5" s="98" t="s">
        <v>1379</v>
      </c>
      <c r="F5" s="78"/>
      <c r="G5" s="78"/>
    </row>
    <row r="6">
      <c r="A6" s="94"/>
      <c r="B6" s="99"/>
      <c r="C6" s="99"/>
      <c r="D6" s="99"/>
      <c r="E6" s="99"/>
    </row>
    <row r="7" ht="27.0" customHeight="1">
      <c r="A7" s="94"/>
      <c r="B7" s="100" t="s">
        <v>1390</v>
      </c>
      <c r="F7" s="79"/>
      <c r="G7" s="79"/>
    </row>
    <row r="8">
      <c r="A8" s="94"/>
      <c r="B8" s="99"/>
      <c r="C8" s="99"/>
      <c r="D8" s="99"/>
      <c r="E8" s="99"/>
    </row>
    <row r="9" ht="19.5" customHeight="1">
      <c r="A9" s="101"/>
      <c r="B9" s="102" t="s">
        <v>1391</v>
      </c>
      <c r="C9" s="103" t="s">
        <v>1210</v>
      </c>
      <c r="E9" s="104" t="s">
        <v>1392</v>
      </c>
    </row>
    <row r="10" ht="24.75" customHeight="1">
      <c r="A10" s="101"/>
      <c r="B10" s="102" t="s">
        <v>1393</v>
      </c>
      <c r="C10" s="105" t="str">
        <f t="array" ref="C10">IFERROR(XLOOKUP(C9, 'CUSTOMERS LIST'!B:B, 'CUSTOMERS LIST'!C:C), "")</f>
        <v>Valencia City, Bukidnon</v>
      </c>
      <c r="E10" s="106"/>
    </row>
    <row r="11" ht="15.0" customHeight="1">
      <c r="A11" s="107"/>
      <c r="B11" s="108" t="s">
        <v>1384</v>
      </c>
      <c r="C11" s="109" t="str">
        <f t="array" ref="C11">IFERROR(XLOOKUP(C9, 'CUSTOMERS LIST'!B2:B998,'CUSTOMERS LIST'!F2:F998),"")</f>
        <v>60 DAYS</v>
      </c>
      <c r="E11" s="106"/>
    </row>
    <row r="12">
      <c r="A12" s="94"/>
      <c r="B12" s="106"/>
      <c r="C12" s="106"/>
      <c r="D12" s="106"/>
      <c r="E12" s="106"/>
    </row>
    <row r="13">
      <c r="A13" s="110"/>
      <c r="B13" s="111" t="s">
        <v>1394</v>
      </c>
      <c r="C13" s="111" t="s">
        <v>1395</v>
      </c>
      <c r="D13" s="111" t="s">
        <v>1396</v>
      </c>
      <c r="E13" s="111" t="s">
        <v>1397</v>
      </c>
    </row>
    <row r="14" ht="19.5" customHeight="1">
      <c r="A14" s="94"/>
      <c r="B14" s="112">
        <f t="array" ref="B14:B25">IF(C9="", "", IFERROR(BYROW(C14:C25, LAMBDA(inv, IF(inv="", "", MINIFS(SALES!A:A, SALES!B:B, inv)))), ""))</f>
        <v>46251</v>
      </c>
      <c r="C14" s="114" t="str">
        <f>IFERROR(__xludf.DUMMYFUNCTION("IFERROR(IF(C9="""", """", UNIQUE(FILTER(SALES!B2:B998, SALES!C2:C998 = C9, SALES!L2:L998 = ""UNPAID""))))"),"CSI-000440")</f>
        <v>CSI-000440</v>
      </c>
      <c r="D14" s="115">
        <v>6421.0</v>
      </c>
      <c r="E14" s="118">
        <f t="array" ref="E14:E23">IF(C9="", "", BYROW(C14:C23, LAMBDA(inv, IF(inv="", "", SUMIF(SALES!B:B, inv, SALES!K:K)))))</f>
        <v>3865</v>
      </c>
    </row>
    <row r="15" ht="19.5" customHeight="1">
      <c r="A15" s="94"/>
      <c r="B15" s="112">
        <v>46251.0</v>
      </c>
      <c r="C15" s="114" t="str">
        <f>IFERROR(__xludf.DUMMYFUNCTION("""COMPUTED_VALUE"""),"CSI-000441")</f>
        <v>CSI-000441</v>
      </c>
      <c r="D15" s="115">
        <v>6421.0</v>
      </c>
      <c r="E15" s="118">
        <v>380.0</v>
      </c>
    </row>
    <row r="16" ht="19.5" customHeight="1">
      <c r="A16" s="94"/>
      <c r="B16" s="112">
        <v>46252.0</v>
      </c>
      <c r="C16" s="114" t="str">
        <f>IFERROR(__xludf.DUMMYFUNCTION("""COMPUTED_VALUE"""),"CSI-000442")</f>
        <v>CSI-000442</v>
      </c>
      <c r="D16" s="115">
        <v>6429.0</v>
      </c>
      <c r="E16" s="118">
        <v>480.0</v>
      </c>
    </row>
    <row r="17" ht="19.5" customHeight="1">
      <c r="A17" s="94"/>
      <c r="B17" s="112">
        <v>46252.0</v>
      </c>
      <c r="C17" s="114" t="str">
        <f>IFERROR(__xludf.DUMMYFUNCTION("""COMPUTED_VALUE"""),"CSI-000443")</f>
        <v>CSI-000443</v>
      </c>
      <c r="D17" s="115">
        <v>6432.0</v>
      </c>
      <c r="E17" s="118">
        <v>2455.0</v>
      </c>
    </row>
    <row r="18" ht="19.5" customHeight="1">
      <c r="A18" s="94"/>
      <c r="B18" s="112">
        <v>46252.0</v>
      </c>
      <c r="C18" s="114" t="str">
        <f>IFERROR(__xludf.DUMMYFUNCTION("""COMPUTED_VALUE"""),"CSI-000444")</f>
        <v>CSI-000444</v>
      </c>
      <c r="D18" s="115">
        <v>6430.0</v>
      </c>
      <c r="E18" s="118">
        <v>1010.0</v>
      </c>
    </row>
    <row r="19" ht="19.5" customHeight="1">
      <c r="A19" s="94"/>
      <c r="B19" s="112" t="s">
        <v>1407</v>
      </c>
      <c r="C19" s="114"/>
      <c r="D19" s="115"/>
      <c r="E19" s="118" t="s">
        <v>1407</v>
      </c>
    </row>
    <row r="20" ht="19.5" customHeight="1">
      <c r="A20" s="94"/>
      <c r="B20" s="112" t="s">
        <v>1407</v>
      </c>
      <c r="C20" s="114"/>
      <c r="D20" s="115"/>
      <c r="E20" s="118" t="s">
        <v>1407</v>
      </c>
    </row>
    <row r="21" ht="19.5" customHeight="1">
      <c r="A21" s="94"/>
      <c r="B21" s="112" t="s">
        <v>1407</v>
      </c>
      <c r="C21" s="114"/>
      <c r="D21" s="115"/>
      <c r="E21" s="118" t="s">
        <v>1407</v>
      </c>
    </row>
    <row r="22" ht="19.5" customHeight="1">
      <c r="A22" s="94"/>
      <c r="B22" s="112" t="s">
        <v>1407</v>
      </c>
      <c r="C22" s="114"/>
      <c r="D22" s="115"/>
      <c r="E22" s="118" t="s">
        <v>1407</v>
      </c>
    </row>
    <row r="23" ht="19.5" customHeight="1">
      <c r="A23" s="94"/>
      <c r="B23" s="112" t="s">
        <v>1407</v>
      </c>
      <c r="C23" s="114"/>
      <c r="D23" s="120"/>
      <c r="E23" s="118" t="s">
        <v>1407</v>
      </c>
    </row>
    <row r="24" ht="19.5" customHeight="1">
      <c r="A24" s="94"/>
      <c r="B24" s="112" t="s">
        <v>1407</v>
      </c>
      <c r="C24" s="114"/>
      <c r="D24" s="121"/>
      <c r="E24" s="122"/>
    </row>
    <row r="25" ht="19.5" customHeight="1">
      <c r="A25" s="94"/>
      <c r="B25" s="112" t="s">
        <v>1407</v>
      </c>
      <c r="C25" s="114"/>
      <c r="D25" s="123" t="s">
        <v>1410</v>
      </c>
      <c r="E25" s="122">
        <f>SUM(E14:E23)</f>
        <v>8190</v>
      </c>
    </row>
    <row r="26" ht="19.5" customHeight="1">
      <c r="A26" s="94"/>
      <c r="B26" s="112"/>
      <c r="C26" s="114"/>
      <c r="D26" s="114"/>
      <c r="E26" s="118"/>
    </row>
    <row r="27" ht="19.5" customHeight="1">
      <c r="A27" s="94"/>
      <c r="B27" s="112"/>
      <c r="C27" s="114"/>
      <c r="D27" s="124" t="s">
        <v>1412</v>
      </c>
      <c r="E27" s="122">
        <v>53110.0</v>
      </c>
    </row>
    <row r="28" ht="18.75" customHeight="1">
      <c r="A28" s="94"/>
      <c r="B28" s="125"/>
      <c r="C28" s="126"/>
      <c r="D28" s="127"/>
      <c r="E28" s="128"/>
    </row>
    <row r="29" ht="18.75" customHeight="1">
      <c r="A29" s="94"/>
      <c r="B29" s="125"/>
      <c r="C29" s="126"/>
      <c r="D29" s="129" t="s">
        <v>1413</v>
      </c>
      <c r="E29" s="130">
        <v>79870.0</v>
      </c>
    </row>
    <row r="30" ht="19.5" customHeight="1">
      <c r="A30" s="94"/>
      <c r="B30" s="131"/>
      <c r="C30" s="132"/>
      <c r="D30" s="133"/>
      <c r="E30" s="134"/>
    </row>
    <row r="31">
      <c r="A31" s="94"/>
      <c r="B31" s="106"/>
      <c r="C31" s="106"/>
      <c r="D31" s="106"/>
      <c r="E31" s="106"/>
    </row>
    <row r="32">
      <c r="A32" s="94"/>
      <c r="B32" s="135" t="s">
        <v>1415</v>
      </c>
      <c r="E32" s="136"/>
    </row>
    <row r="33">
      <c r="A33" s="94"/>
      <c r="B33" s="106"/>
      <c r="C33" s="106"/>
      <c r="D33" s="106"/>
      <c r="E33" s="106"/>
    </row>
    <row r="34">
      <c r="A34" s="94"/>
      <c r="B34" s="106"/>
      <c r="C34" s="106"/>
      <c r="D34" s="106"/>
      <c r="E34" s="106"/>
    </row>
    <row r="35">
      <c r="A35" s="94"/>
      <c r="B35" s="135" t="s">
        <v>1416</v>
      </c>
    </row>
    <row r="36">
      <c r="A36" s="94"/>
      <c r="B36" s="106"/>
      <c r="C36" s="106"/>
      <c r="D36" s="106"/>
      <c r="E36" s="106"/>
    </row>
    <row r="37">
      <c r="A37" s="94"/>
      <c r="B37" s="94"/>
      <c r="C37" s="94"/>
      <c r="D37" s="94"/>
      <c r="E37" s="94"/>
    </row>
    <row r="38">
      <c r="A38" s="94"/>
      <c r="B38" s="137" t="s">
        <v>1417</v>
      </c>
      <c r="C38" s="94"/>
      <c r="D38" s="94"/>
      <c r="E38" s="94"/>
    </row>
    <row r="39">
      <c r="A39" s="94"/>
      <c r="B39" s="94"/>
      <c r="C39" s="94"/>
      <c r="D39" s="94"/>
      <c r="E39" s="94"/>
    </row>
    <row r="40">
      <c r="A40" s="94"/>
      <c r="B40" s="94"/>
      <c r="C40" s="94"/>
      <c r="D40" s="94"/>
      <c r="E40" s="94"/>
    </row>
    <row r="41">
      <c r="A41" s="94"/>
      <c r="B41" s="94"/>
      <c r="C41" s="94"/>
      <c r="D41" s="94"/>
      <c r="E41" s="94"/>
    </row>
    <row r="42">
      <c r="A42" s="94"/>
      <c r="B42" s="94"/>
      <c r="C42" s="94"/>
      <c r="D42" s="94"/>
      <c r="E42" s="94"/>
    </row>
    <row r="43">
      <c r="A43" s="94"/>
      <c r="B43" s="94"/>
      <c r="C43" s="94"/>
      <c r="D43" s="94"/>
      <c r="E43" s="94"/>
    </row>
    <row r="44">
      <c r="A44" s="94"/>
      <c r="B44" s="94"/>
      <c r="C44" s="94"/>
      <c r="D44" s="94"/>
      <c r="E44" s="94"/>
    </row>
    <row r="45">
      <c r="A45" s="94"/>
      <c r="B45" s="94"/>
      <c r="C45" s="94"/>
      <c r="D45" s="94"/>
      <c r="E45" s="94"/>
    </row>
    <row r="46">
      <c r="A46" s="94"/>
      <c r="B46" s="94"/>
      <c r="C46" s="94"/>
      <c r="D46" s="94"/>
      <c r="E46" s="94"/>
    </row>
    <row r="47">
      <c r="A47" s="94"/>
      <c r="B47" s="94"/>
      <c r="C47" s="94"/>
      <c r="D47" s="94"/>
      <c r="E47" s="94"/>
    </row>
    <row r="48">
      <c r="A48" s="94"/>
      <c r="B48" s="94"/>
      <c r="C48" s="94"/>
      <c r="D48" s="94"/>
      <c r="E48" s="94"/>
    </row>
    <row r="49">
      <c r="A49" s="94"/>
      <c r="B49" s="94"/>
      <c r="C49" s="94"/>
      <c r="D49" s="94"/>
      <c r="E49" s="94"/>
    </row>
    <row r="50">
      <c r="A50" s="94"/>
      <c r="B50" s="94"/>
      <c r="C50" s="94"/>
      <c r="D50" s="94"/>
      <c r="E50" s="94"/>
    </row>
    <row r="51">
      <c r="A51" s="94"/>
      <c r="B51" s="94"/>
      <c r="C51" s="94"/>
      <c r="D51" s="94"/>
      <c r="E51" s="94"/>
    </row>
    <row r="52">
      <c r="A52" s="94"/>
      <c r="B52" s="94"/>
      <c r="C52" s="94"/>
      <c r="D52" s="94"/>
      <c r="E52" s="94"/>
    </row>
    <row r="53">
      <c r="A53" s="94"/>
      <c r="B53" s="94"/>
      <c r="C53" s="94"/>
      <c r="D53" s="94"/>
      <c r="E53" s="94"/>
    </row>
    <row r="54">
      <c r="A54" s="94"/>
      <c r="B54" s="94"/>
      <c r="C54" s="94"/>
      <c r="D54" s="94"/>
      <c r="E54" s="94"/>
    </row>
    <row r="55">
      <c r="A55" s="94"/>
      <c r="B55" s="94"/>
      <c r="C55" s="94"/>
      <c r="D55" s="94"/>
      <c r="E55" s="94"/>
    </row>
    <row r="56">
      <c r="A56" s="94"/>
      <c r="B56" s="94"/>
      <c r="C56" s="94"/>
      <c r="D56" s="94"/>
      <c r="E56" s="94"/>
    </row>
    <row r="57">
      <c r="A57" s="94"/>
      <c r="B57" s="94"/>
      <c r="C57" s="94"/>
      <c r="D57" s="94"/>
      <c r="E57" s="94"/>
    </row>
    <row r="58">
      <c r="A58" s="94"/>
      <c r="B58" s="94"/>
      <c r="C58" s="94"/>
      <c r="D58" s="94"/>
      <c r="E58" s="94"/>
    </row>
    <row r="59">
      <c r="A59" s="94"/>
      <c r="B59" s="94"/>
      <c r="C59" s="94"/>
      <c r="D59" s="94"/>
      <c r="E59" s="94"/>
    </row>
    <row r="60">
      <c r="A60" s="94"/>
      <c r="B60" s="94"/>
      <c r="C60" s="94"/>
      <c r="D60" s="94"/>
      <c r="E60" s="94"/>
    </row>
    <row r="61">
      <c r="A61" s="94"/>
      <c r="B61" s="94"/>
      <c r="C61" s="94"/>
      <c r="D61" s="94"/>
      <c r="E61" s="94"/>
    </row>
    <row r="62">
      <c r="A62" s="94"/>
      <c r="B62" s="94"/>
      <c r="C62" s="94"/>
      <c r="D62" s="94"/>
      <c r="E62" s="94"/>
    </row>
    <row r="63">
      <c r="A63" s="94"/>
      <c r="B63" s="94"/>
      <c r="C63" s="94"/>
      <c r="D63" s="94"/>
      <c r="E63" s="94"/>
    </row>
    <row r="64">
      <c r="A64" s="94"/>
      <c r="B64" s="94"/>
      <c r="C64" s="94"/>
      <c r="D64" s="94"/>
      <c r="E64" s="94"/>
    </row>
    <row r="65">
      <c r="A65" s="94"/>
      <c r="B65" s="94"/>
      <c r="C65" s="94"/>
      <c r="D65" s="94"/>
      <c r="E65" s="94"/>
    </row>
    <row r="66">
      <c r="A66" s="94"/>
      <c r="B66" s="94"/>
      <c r="C66" s="94"/>
      <c r="D66" s="94"/>
      <c r="E66" s="94"/>
    </row>
    <row r="67">
      <c r="A67" s="94"/>
      <c r="B67" s="94"/>
      <c r="C67" s="94"/>
      <c r="D67" s="94"/>
      <c r="E67" s="94"/>
    </row>
    <row r="68">
      <c r="A68" s="94"/>
      <c r="B68" s="94"/>
      <c r="C68" s="94"/>
      <c r="D68" s="94"/>
      <c r="E68" s="94"/>
    </row>
    <row r="69">
      <c r="A69" s="94"/>
      <c r="B69" s="94"/>
      <c r="C69" s="94"/>
      <c r="D69" s="94"/>
      <c r="E69" s="94"/>
    </row>
    <row r="70">
      <c r="A70" s="94"/>
      <c r="B70" s="94"/>
      <c r="C70" s="94"/>
      <c r="D70" s="94"/>
      <c r="E70" s="94"/>
    </row>
    <row r="71">
      <c r="A71" s="94"/>
      <c r="B71" s="94"/>
      <c r="C71" s="94"/>
      <c r="D71" s="94"/>
      <c r="E71" s="94"/>
    </row>
    <row r="72">
      <c r="A72" s="94"/>
      <c r="B72" s="94"/>
      <c r="C72" s="94"/>
      <c r="D72" s="94"/>
      <c r="E72" s="94"/>
    </row>
    <row r="73">
      <c r="A73" s="94"/>
      <c r="B73" s="94"/>
      <c r="C73" s="94"/>
      <c r="D73" s="94"/>
      <c r="E73" s="94"/>
    </row>
    <row r="74">
      <c r="A74" s="94"/>
      <c r="B74" s="94"/>
      <c r="C74" s="94"/>
      <c r="D74" s="94"/>
      <c r="E74" s="94"/>
    </row>
    <row r="75">
      <c r="A75" s="94"/>
      <c r="B75" s="94"/>
      <c r="C75" s="94"/>
      <c r="D75" s="94"/>
      <c r="E75" s="94"/>
    </row>
    <row r="76">
      <c r="A76" s="94"/>
      <c r="B76" s="94"/>
      <c r="C76" s="94"/>
      <c r="D76" s="94"/>
      <c r="E76" s="94"/>
    </row>
    <row r="77">
      <c r="A77" s="94"/>
      <c r="B77" s="94"/>
      <c r="C77" s="94"/>
      <c r="D77" s="94"/>
      <c r="E77" s="94"/>
    </row>
    <row r="78">
      <c r="A78" s="94"/>
      <c r="B78" s="94"/>
      <c r="C78" s="94"/>
      <c r="D78" s="94"/>
      <c r="E78" s="94"/>
    </row>
    <row r="79">
      <c r="A79" s="94"/>
      <c r="B79" s="94"/>
      <c r="C79" s="94"/>
      <c r="D79" s="94"/>
      <c r="E79" s="94"/>
    </row>
    <row r="80">
      <c r="A80" s="94"/>
      <c r="B80" s="94"/>
      <c r="C80" s="94"/>
      <c r="D80" s="94"/>
      <c r="E80" s="94"/>
    </row>
    <row r="81">
      <c r="A81" s="94"/>
      <c r="B81" s="94"/>
      <c r="C81" s="94"/>
      <c r="D81" s="94"/>
      <c r="E81" s="94"/>
    </row>
    <row r="82">
      <c r="A82" s="94"/>
      <c r="B82" s="94"/>
      <c r="C82" s="94"/>
      <c r="D82" s="94"/>
      <c r="E82" s="94"/>
    </row>
    <row r="83">
      <c r="A83" s="94"/>
      <c r="B83" s="94"/>
      <c r="C83" s="94"/>
      <c r="D83" s="94"/>
      <c r="E83" s="94"/>
    </row>
    <row r="84">
      <c r="A84" s="94"/>
      <c r="B84" s="94"/>
      <c r="C84" s="94"/>
      <c r="D84" s="94"/>
      <c r="E84" s="94"/>
    </row>
    <row r="85">
      <c r="A85" s="94"/>
      <c r="B85" s="94"/>
      <c r="C85" s="94"/>
      <c r="D85" s="94"/>
      <c r="E85" s="94"/>
    </row>
    <row r="86">
      <c r="A86" s="94"/>
      <c r="B86" s="94"/>
      <c r="C86" s="94"/>
      <c r="D86" s="94"/>
      <c r="E86" s="94"/>
    </row>
    <row r="87">
      <c r="A87" s="94"/>
      <c r="B87" s="94"/>
      <c r="C87" s="94"/>
      <c r="D87" s="94"/>
      <c r="E87" s="94"/>
    </row>
    <row r="88">
      <c r="A88" s="94"/>
      <c r="B88" s="94"/>
      <c r="C88" s="94"/>
      <c r="D88" s="94"/>
      <c r="E88" s="94"/>
    </row>
    <row r="89">
      <c r="A89" s="94"/>
      <c r="B89" s="94"/>
      <c r="C89" s="94"/>
      <c r="D89" s="94"/>
      <c r="E89" s="94"/>
    </row>
    <row r="90">
      <c r="A90" s="94"/>
      <c r="B90" s="94"/>
      <c r="C90" s="94"/>
      <c r="D90" s="94"/>
      <c r="E90" s="94"/>
    </row>
    <row r="91">
      <c r="A91" s="94"/>
      <c r="B91" s="94"/>
      <c r="C91" s="94"/>
      <c r="D91" s="94"/>
      <c r="E91" s="94"/>
    </row>
    <row r="92">
      <c r="A92" s="94"/>
      <c r="B92" s="94"/>
      <c r="C92" s="94"/>
      <c r="D92" s="94"/>
      <c r="E92" s="94"/>
    </row>
    <row r="93">
      <c r="A93" s="94"/>
      <c r="B93" s="94"/>
      <c r="C93" s="94"/>
      <c r="D93" s="94"/>
      <c r="E93" s="94"/>
    </row>
    <row r="94">
      <c r="A94" s="94"/>
      <c r="B94" s="94"/>
      <c r="C94" s="94"/>
      <c r="D94" s="94"/>
      <c r="E94" s="94"/>
    </row>
    <row r="95">
      <c r="A95" s="94"/>
      <c r="B95" s="94"/>
      <c r="C95" s="94"/>
      <c r="D95" s="94"/>
      <c r="E95" s="94"/>
    </row>
    <row r="96">
      <c r="A96" s="94"/>
      <c r="B96" s="94"/>
      <c r="C96" s="94"/>
      <c r="D96" s="94"/>
      <c r="E96" s="94"/>
    </row>
    <row r="97">
      <c r="A97" s="94"/>
      <c r="B97" s="94"/>
      <c r="C97" s="94"/>
      <c r="D97" s="94"/>
      <c r="E97" s="94"/>
    </row>
    <row r="98">
      <c r="A98" s="94"/>
      <c r="B98" s="94"/>
      <c r="C98" s="94"/>
      <c r="D98" s="94"/>
      <c r="E98" s="94"/>
    </row>
    <row r="99">
      <c r="A99" s="94"/>
      <c r="B99" s="94"/>
      <c r="C99" s="94"/>
      <c r="D99" s="94"/>
      <c r="E99" s="94"/>
    </row>
    <row r="100">
      <c r="A100" s="94"/>
      <c r="B100" s="94"/>
      <c r="C100" s="94"/>
      <c r="D100" s="94"/>
      <c r="E100" s="94"/>
    </row>
    <row r="101">
      <c r="A101" s="94"/>
      <c r="B101" s="94"/>
      <c r="C101" s="94"/>
      <c r="D101" s="94"/>
      <c r="E101" s="94"/>
    </row>
    <row r="102">
      <c r="A102" s="94"/>
      <c r="B102" s="94"/>
      <c r="C102" s="94"/>
      <c r="D102" s="94"/>
      <c r="E102" s="94"/>
    </row>
    <row r="103">
      <c r="A103" s="94"/>
      <c r="B103" s="94"/>
      <c r="C103" s="94"/>
      <c r="D103" s="94"/>
      <c r="E103" s="94"/>
    </row>
    <row r="104">
      <c r="A104" s="94"/>
      <c r="B104" s="94"/>
      <c r="C104" s="94"/>
      <c r="D104" s="94"/>
      <c r="E104" s="94"/>
    </row>
    <row r="105">
      <c r="A105" s="94"/>
      <c r="B105" s="94"/>
      <c r="C105" s="94"/>
      <c r="D105" s="94"/>
      <c r="E105" s="94"/>
    </row>
    <row r="106">
      <c r="A106" s="94"/>
      <c r="B106" s="94"/>
      <c r="C106" s="94"/>
      <c r="D106" s="94"/>
      <c r="E106" s="94"/>
    </row>
    <row r="107">
      <c r="A107" s="94"/>
      <c r="B107" s="94"/>
      <c r="C107" s="94"/>
      <c r="D107" s="94"/>
      <c r="E107" s="94"/>
    </row>
    <row r="108">
      <c r="A108" s="94"/>
      <c r="B108" s="94"/>
      <c r="C108" s="94"/>
      <c r="D108" s="94"/>
      <c r="E108" s="94"/>
    </row>
    <row r="109">
      <c r="A109" s="94"/>
      <c r="B109" s="94"/>
      <c r="C109" s="94"/>
      <c r="D109" s="94"/>
      <c r="E109" s="94"/>
    </row>
    <row r="110">
      <c r="A110" s="94"/>
      <c r="B110" s="94"/>
      <c r="C110" s="94"/>
      <c r="D110" s="94"/>
      <c r="E110" s="94"/>
    </row>
    <row r="111">
      <c r="A111" s="94"/>
      <c r="B111" s="94"/>
      <c r="C111" s="94"/>
      <c r="D111" s="94"/>
      <c r="E111" s="94"/>
    </row>
    <row r="112">
      <c r="A112" s="94"/>
      <c r="B112" s="94"/>
      <c r="C112" s="94"/>
      <c r="D112" s="94"/>
      <c r="E112" s="94"/>
    </row>
    <row r="113">
      <c r="A113" s="94"/>
      <c r="B113" s="94"/>
      <c r="C113" s="94"/>
      <c r="D113" s="94"/>
      <c r="E113" s="94"/>
    </row>
    <row r="114">
      <c r="A114" s="94"/>
      <c r="B114" s="94"/>
      <c r="C114" s="94"/>
      <c r="D114" s="94"/>
      <c r="E114" s="94"/>
    </row>
    <row r="115">
      <c r="A115" s="94"/>
      <c r="B115" s="94"/>
      <c r="C115" s="94"/>
      <c r="D115" s="94"/>
      <c r="E115" s="94"/>
    </row>
    <row r="116">
      <c r="A116" s="94"/>
      <c r="B116" s="94"/>
      <c r="C116" s="94"/>
      <c r="D116" s="94"/>
      <c r="E116" s="94"/>
    </row>
    <row r="117">
      <c r="A117" s="94"/>
      <c r="B117" s="94"/>
      <c r="C117" s="94"/>
      <c r="D117" s="94"/>
      <c r="E117" s="94"/>
    </row>
    <row r="118">
      <c r="A118" s="94"/>
      <c r="B118" s="94"/>
      <c r="C118" s="94"/>
      <c r="D118" s="94"/>
      <c r="E118" s="94"/>
    </row>
    <row r="119">
      <c r="A119" s="94"/>
      <c r="B119" s="94"/>
      <c r="C119" s="94"/>
      <c r="D119" s="94"/>
      <c r="E119" s="94"/>
    </row>
    <row r="120">
      <c r="A120" s="94"/>
      <c r="B120" s="94"/>
      <c r="C120" s="94"/>
      <c r="D120" s="94"/>
      <c r="E120" s="94"/>
    </row>
    <row r="121">
      <c r="A121" s="94"/>
      <c r="B121" s="94"/>
      <c r="C121" s="94"/>
      <c r="D121" s="94"/>
      <c r="E121" s="94"/>
    </row>
    <row r="122">
      <c r="A122" s="94"/>
      <c r="B122" s="94"/>
      <c r="C122" s="94"/>
      <c r="D122" s="94"/>
      <c r="E122" s="94"/>
    </row>
    <row r="123">
      <c r="A123" s="94"/>
      <c r="B123" s="94"/>
      <c r="C123" s="94"/>
      <c r="D123" s="94"/>
      <c r="E123" s="94"/>
    </row>
    <row r="124">
      <c r="A124" s="94"/>
      <c r="B124" s="94"/>
      <c r="C124" s="94"/>
      <c r="D124" s="94"/>
      <c r="E124" s="94"/>
    </row>
    <row r="125">
      <c r="A125" s="94"/>
      <c r="B125" s="94"/>
      <c r="C125" s="94"/>
      <c r="D125" s="94"/>
      <c r="E125" s="94"/>
    </row>
    <row r="126">
      <c r="A126" s="94"/>
      <c r="B126" s="94"/>
      <c r="C126" s="94"/>
      <c r="D126" s="94"/>
      <c r="E126" s="94"/>
    </row>
    <row r="127">
      <c r="A127" s="94"/>
      <c r="B127" s="94"/>
      <c r="C127" s="94"/>
      <c r="D127" s="94"/>
      <c r="E127" s="94"/>
    </row>
    <row r="128">
      <c r="A128" s="94"/>
      <c r="B128" s="94"/>
      <c r="C128" s="94"/>
      <c r="D128" s="94"/>
      <c r="E128" s="94"/>
    </row>
    <row r="129">
      <c r="A129" s="94"/>
      <c r="B129" s="94"/>
      <c r="C129" s="94"/>
      <c r="D129" s="94"/>
      <c r="E129" s="94"/>
    </row>
    <row r="130">
      <c r="A130" s="94"/>
      <c r="B130" s="94"/>
      <c r="C130" s="94"/>
      <c r="D130" s="94"/>
      <c r="E130" s="94"/>
    </row>
    <row r="131">
      <c r="A131" s="94"/>
      <c r="B131" s="94"/>
      <c r="C131" s="94"/>
      <c r="D131" s="94"/>
      <c r="E131" s="94"/>
    </row>
    <row r="132">
      <c r="A132" s="94"/>
      <c r="B132" s="94"/>
      <c r="C132" s="94"/>
      <c r="D132" s="94"/>
      <c r="E132" s="94"/>
    </row>
    <row r="133">
      <c r="A133" s="94"/>
      <c r="B133" s="94"/>
      <c r="C133" s="94"/>
      <c r="D133" s="94"/>
      <c r="E133" s="94"/>
    </row>
    <row r="134">
      <c r="A134" s="94"/>
      <c r="B134" s="94"/>
      <c r="C134" s="94"/>
      <c r="D134" s="94"/>
      <c r="E134" s="94"/>
    </row>
    <row r="135">
      <c r="A135" s="94"/>
      <c r="B135" s="94"/>
      <c r="C135" s="94"/>
      <c r="D135" s="94"/>
      <c r="E135" s="94"/>
    </row>
    <row r="136">
      <c r="A136" s="94"/>
      <c r="B136" s="94"/>
      <c r="C136" s="94"/>
      <c r="D136" s="94"/>
      <c r="E136" s="94"/>
    </row>
    <row r="137">
      <c r="A137" s="94"/>
      <c r="B137" s="94"/>
      <c r="C137" s="94"/>
      <c r="D137" s="94"/>
      <c r="E137" s="94"/>
    </row>
    <row r="138">
      <c r="A138" s="94"/>
      <c r="B138" s="94"/>
      <c r="C138" s="94"/>
      <c r="D138" s="94"/>
      <c r="E138" s="94"/>
    </row>
    <row r="139">
      <c r="A139" s="94"/>
      <c r="B139" s="94"/>
      <c r="C139" s="94"/>
      <c r="D139" s="94"/>
      <c r="E139" s="94"/>
    </row>
    <row r="140">
      <c r="A140" s="94"/>
      <c r="B140" s="94"/>
      <c r="C140" s="94"/>
      <c r="D140" s="94"/>
      <c r="E140" s="94"/>
    </row>
    <row r="141">
      <c r="A141" s="94"/>
      <c r="B141" s="94"/>
      <c r="C141" s="94"/>
      <c r="D141" s="94"/>
      <c r="E141" s="94"/>
    </row>
    <row r="142">
      <c r="A142" s="94"/>
      <c r="B142" s="94"/>
      <c r="C142" s="94"/>
      <c r="D142" s="94"/>
      <c r="E142" s="94"/>
    </row>
    <row r="143">
      <c r="A143" s="94"/>
      <c r="B143" s="94"/>
      <c r="C143" s="94"/>
      <c r="D143" s="94"/>
      <c r="E143" s="94"/>
    </row>
    <row r="144">
      <c r="A144" s="94"/>
      <c r="B144" s="94"/>
      <c r="C144" s="94"/>
      <c r="D144" s="94"/>
      <c r="E144" s="94"/>
    </row>
    <row r="145">
      <c r="A145" s="94"/>
      <c r="B145" s="94"/>
      <c r="C145" s="94"/>
      <c r="D145" s="94"/>
      <c r="E145" s="94"/>
    </row>
    <row r="146">
      <c r="A146" s="94"/>
      <c r="B146" s="94"/>
      <c r="C146" s="94"/>
      <c r="D146" s="94"/>
      <c r="E146" s="94"/>
    </row>
    <row r="147">
      <c r="A147" s="94"/>
      <c r="B147" s="94"/>
      <c r="C147" s="94"/>
      <c r="D147" s="94"/>
      <c r="E147" s="94"/>
    </row>
    <row r="148">
      <c r="A148" s="94"/>
      <c r="B148" s="94"/>
      <c r="C148" s="94"/>
      <c r="D148" s="94"/>
      <c r="E148" s="94"/>
    </row>
    <row r="149">
      <c r="A149" s="94"/>
      <c r="B149" s="94"/>
      <c r="C149" s="94"/>
      <c r="D149" s="94"/>
      <c r="E149" s="94"/>
    </row>
    <row r="150">
      <c r="A150" s="94"/>
      <c r="B150" s="94"/>
      <c r="C150" s="94"/>
      <c r="D150" s="94"/>
      <c r="E150" s="94"/>
    </row>
    <row r="151">
      <c r="A151" s="94"/>
      <c r="B151" s="94"/>
      <c r="C151" s="94"/>
      <c r="D151" s="94"/>
      <c r="E151" s="94"/>
    </row>
    <row r="152">
      <c r="A152" s="94"/>
      <c r="B152" s="94"/>
      <c r="C152" s="94"/>
      <c r="D152" s="94"/>
      <c r="E152" s="94"/>
    </row>
    <row r="153">
      <c r="A153" s="94"/>
      <c r="B153" s="94"/>
      <c r="C153" s="94"/>
      <c r="D153" s="94"/>
      <c r="E153" s="94"/>
    </row>
    <row r="154">
      <c r="A154" s="94"/>
      <c r="B154" s="94"/>
      <c r="C154" s="94"/>
      <c r="D154" s="94"/>
      <c r="E154" s="94"/>
    </row>
    <row r="155">
      <c r="A155" s="94"/>
      <c r="B155" s="94"/>
      <c r="C155" s="94"/>
      <c r="D155" s="94"/>
      <c r="E155" s="94"/>
    </row>
    <row r="156">
      <c r="A156" s="94"/>
      <c r="B156" s="94"/>
      <c r="C156" s="94"/>
      <c r="D156" s="94"/>
      <c r="E156" s="94"/>
    </row>
    <row r="157">
      <c r="A157" s="94"/>
      <c r="B157" s="94"/>
      <c r="C157" s="94"/>
      <c r="D157" s="94"/>
      <c r="E157" s="94"/>
    </row>
    <row r="158">
      <c r="A158" s="94"/>
      <c r="B158" s="94"/>
      <c r="C158" s="94"/>
      <c r="D158" s="94"/>
      <c r="E158" s="94"/>
    </row>
    <row r="159">
      <c r="A159" s="94"/>
      <c r="B159" s="94"/>
      <c r="C159" s="94"/>
      <c r="D159" s="94"/>
      <c r="E159" s="94"/>
    </row>
    <row r="160">
      <c r="A160" s="94"/>
      <c r="B160" s="94"/>
      <c r="C160" s="94"/>
      <c r="D160" s="94"/>
      <c r="E160" s="94"/>
    </row>
    <row r="161">
      <c r="A161" s="94"/>
      <c r="B161" s="94"/>
      <c r="C161" s="94"/>
      <c r="D161" s="94"/>
      <c r="E161" s="94"/>
    </row>
    <row r="162">
      <c r="A162" s="94"/>
      <c r="B162" s="94"/>
      <c r="C162" s="94"/>
      <c r="D162" s="94"/>
      <c r="E162" s="94"/>
    </row>
    <row r="163">
      <c r="A163" s="94"/>
      <c r="B163" s="94"/>
      <c r="C163" s="94"/>
      <c r="D163" s="94"/>
      <c r="E163" s="94"/>
    </row>
    <row r="164">
      <c r="A164" s="94"/>
      <c r="B164" s="94"/>
      <c r="C164" s="94"/>
      <c r="D164" s="94"/>
      <c r="E164" s="94"/>
    </row>
    <row r="165">
      <c r="A165" s="94"/>
      <c r="B165" s="94"/>
      <c r="C165" s="94"/>
      <c r="D165" s="94"/>
      <c r="E165" s="94"/>
    </row>
    <row r="166">
      <c r="A166" s="94"/>
      <c r="B166" s="94"/>
      <c r="C166" s="94"/>
      <c r="D166" s="94"/>
      <c r="E166" s="94"/>
    </row>
    <row r="167">
      <c r="A167" s="94"/>
      <c r="B167" s="94"/>
      <c r="C167" s="94"/>
      <c r="D167" s="94"/>
      <c r="E167" s="94"/>
    </row>
    <row r="168">
      <c r="A168" s="94"/>
      <c r="B168" s="94"/>
      <c r="C168" s="94"/>
      <c r="D168" s="94"/>
      <c r="E168" s="94"/>
    </row>
    <row r="169">
      <c r="A169" s="94"/>
      <c r="B169" s="94"/>
      <c r="C169" s="94"/>
      <c r="D169" s="94"/>
      <c r="E169" s="94"/>
    </row>
    <row r="170">
      <c r="A170" s="94"/>
      <c r="B170" s="94"/>
      <c r="C170" s="94"/>
      <c r="D170" s="94"/>
      <c r="E170" s="94"/>
    </row>
    <row r="171">
      <c r="A171" s="94"/>
      <c r="B171" s="94"/>
      <c r="C171" s="94"/>
      <c r="D171" s="94"/>
      <c r="E171" s="94"/>
    </row>
    <row r="172">
      <c r="A172" s="94"/>
      <c r="B172" s="94"/>
      <c r="C172" s="94"/>
      <c r="D172" s="94"/>
      <c r="E172" s="94"/>
    </row>
    <row r="173">
      <c r="A173" s="94"/>
      <c r="B173" s="94"/>
      <c r="C173" s="94"/>
      <c r="D173" s="94"/>
      <c r="E173" s="94"/>
    </row>
    <row r="174">
      <c r="A174" s="94"/>
      <c r="B174" s="94"/>
      <c r="C174" s="94"/>
      <c r="D174" s="94"/>
      <c r="E174" s="94"/>
    </row>
    <row r="175">
      <c r="A175" s="94"/>
      <c r="B175" s="94"/>
      <c r="C175" s="94"/>
      <c r="D175" s="94"/>
      <c r="E175" s="94"/>
    </row>
    <row r="176">
      <c r="A176" s="94"/>
      <c r="B176" s="94"/>
      <c r="C176" s="94"/>
      <c r="D176" s="94"/>
      <c r="E176" s="94"/>
    </row>
    <row r="177">
      <c r="A177" s="94"/>
      <c r="B177" s="94"/>
      <c r="C177" s="94"/>
      <c r="D177" s="94"/>
      <c r="E177" s="94"/>
    </row>
    <row r="178">
      <c r="A178" s="94"/>
      <c r="B178" s="94"/>
      <c r="C178" s="94"/>
      <c r="D178" s="94"/>
      <c r="E178" s="94"/>
    </row>
    <row r="179">
      <c r="A179" s="94"/>
      <c r="B179" s="94"/>
      <c r="C179" s="94"/>
      <c r="D179" s="94"/>
      <c r="E179" s="94"/>
    </row>
    <row r="180">
      <c r="A180" s="94"/>
      <c r="B180" s="94"/>
      <c r="C180" s="94"/>
      <c r="D180" s="94"/>
      <c r="E180" s="94"/>
    </row>
    <row r="181">
      <c r="A181" s="94"/>
      <c r="B181" s="94"/>
      <c r="C181" s="94"/>
      <c r="D181" s="94"/>
      <c r="E181" s="94"/>
    </row>
    <row r="182">
      <c r="A182" s="94"/>
      <c r="B182" s="94"/>
      <c r="C182" s="94"/>
      <c r="D182" s="94"/>
      <c r="E182" s="94"/>
    </row>
    <row r="183">
      <c r="A183" s="94"/>
      <c r="B183" s="94"/>
      <c r="C183" s="94"/>
      <c r="D183" s="94"/>
      <c r="E183" s="94"/>
    </row>
    <row r="184">
      <c r="A184" s="94"/>
      <c r="B184" s="94"/>
      <c r="C184" s="94"/>
      <c r="D184" s="94"/>
      <c r="E184" s="94"/>
    </row>
    <row r="185">
      <c r="A185" s="94"/>
      <c r="B185" s="94"/>
      <c r="C185" s="94"/>
      <c r="D185" s="94"/>
      <c r="E185" s="94"/>
    </row>
    <row r="186">
      <c r="A186" s="94"/>
      <c r="B186" s="94"/>
      <c r="C186" s="94"/>
      <c r="D186" s="94"/>
      <c r="E186" s="94"/>
    </row>
    <row r="187">
      <c r="A187" s="94"/>
      <c r="B187" s="94"/>
      <c r="C187" s="94"/>
      <c r="D187" s="94"/>
      <c r="E187" s="94"/>
    </row>
    <row r="188">
      <c r="A188" s="94"/>
      <c r="B188" s="94"/>
      <c r="C188" s="94"/>
      <c r="D188" s="94"/>
      <c r="E188" s="94"/>
    </row>
    <row r="189">
      <c r="A189" s="94"/>
      <c r="B189" s="94"/>
      <c r="C189" s="94"/>
      <c r="D189" s="94"/>
      <c r="E189" s="94"/>
    </row>
    <row r="190">
      <c r="A190" s="94"/>
      <c r="B190" s="94"/>
      <c r="C190" s="94"/>
      <c r="D190" s="94"/>
      <c r="E190" s="94"/>
    </row>
    <row r="191">
      <c r="A191" s="94"/>
      <c r="B191" s="94"/>
      <c r="C191" s="94"/>
      <c r="D191" s="94"/>
      <c r="E191" s="94"/>
    </row>
    <row r="192">
      <c r="A192" s="94"/>
      <c r="B192" s="94"/>
      <c r="C192" s="94"/>
      <c r="D192" s="94"/>
      <c r="E192" s="94"/>
    </row>
    <row r="193">
      <c r="A193" s="94"/>
      <c r="B193" s="94"/>
      <c r="C193" s="94"/>
      <c r="D193" s="94"/>
      <c r="E193" s="94"/>
    </row>
    <row r="194">
      <c r="A194" s="94"/>
      <c r="B194" s="94"/>
      <c r="C194" s="94"/>
      <c r="D194" s="94"/>
      <c r="E194" s="94"/>
    </row>
    <row r="195">
      <c r="A195" s="94"/>
      <c r="B195" s="94"/>
      <c r="C195" s="94"/>
      <c r="D195" s="94"/>
      <c r="E195" s="94"/>
    </row>
    <row r="196">
      <c r="A196" s="94"/>
      <c r="B196" s="94"/>
      <c r="C196" s="94"/>
      <c r="D196" s="94"/>
      <c r="E196" s="94"/>
    </row>
    <row r="197">
      <c r="A197" s="94"/>
      <c r="B197" s="94"/>
      <c r="C197" s="94"/>
      <c r="D197" s="94"/>
      <c r="E197" s="94"/>
    </row>
    <row r="198">
      <c r="A198" s="94"/>
      <c r="B198" s="94"/>
      <c r="C198" s="94"/>
      <c r="D198" s="94"/>
      <c r="E198" s="94"/>
    </row>
    <row r="199">
      <c r="A199" s="94"/>
      <c r="B199" s="94"/>
      <c r="C199" s="94"/>
      <c r="D199" s="94"/>
      <c r="E199" s="94"/>
    </row>
    <row r="200">
      <c r="A200" s="94"/>
      <c r="B200" s="94"/>
      <c r="C200" s="94"/>
      <c r="D200" s="94"/>
      <c r="E200" s="94"/>
    </row>
    <row r="201">
      <c r="A201" s="94"/>
      <c r="B201" s="94"/>
      <c r="C201" s="94"/>
      <c r="D201" s="94"/>
      <c r="E201" s="94"/>
    </row>
    <row r="202">
      <c r="A202" s="94"/>
      <c r="B202" s="94"/>
      <c r="C202" s="94"/>
      <c r="D202" s="94"/>
      <c r="E202" s="94"/>
    </row>
    <row r="203">
      <c r="A203" s="94"/>
      <c r="B203" s="94"/>
      <c r="C203" s="94"/>
      <c r="D203" s="94"/>
      <c r="E203" s="94"/>
    </row>
    <row r="204">
      <c r="A204" s="94"/>
      <c r="B204" s="94"/>
      <c r="C204" s="94"/>
      <c r="D204" s="94"/>
      <c r="E204" s="94"/>
    </row>
    <row r="205">
      <c r="A205" s="94"/>
      <c r="B205" s="94"/>
      <c r="C205" s="94"/>
      <c r="D205" s="94"/>
      <c r="E205" s="94"/>
    </row>
    <row r="206">
      <c r="A206" s="94"/>
      <c r="B206" s="94"/>
      <c r="C206" s="94"/>
      <c r="D206" s="94"/>
      <c r="E206" s="94"/>
    </row>
    <row r="207">
      <c r="A207" s="94"/>
      <c r="B207" s="94"/>
      <c r="C207" s="94"/>
      <c r="D207" s="94"/>
      <c r="E207" s="94"/>
    </row>
    <row r="208">
      <c r="A208" s="94"/>
      <c r="B208" s="94"/>
      <c r="C208" s="94"/>
      <c r="D208" s="94"/>
      <c r="E208" s="94"/>
    </row>
    <row r="209">
      <c r="A209" s="94"/>
      <c r="B209" s="94"/>
      <c r="C209" s="94"/>
      <c r="D209" s="94"/>
      <c r="E209" s="94"/>
    </row>
    <row r="210">
      <c r="A210" s="94"/>
      <c r="B210" s="94"/>
      <c r="C210" s="94"/>
      <c r="D210" s="94"/>
      <c r="E210" s="94"/>
    </row>
    <row r="211">
      <c r="A211" s="94"/>
      <c r="B211" s="94"/>
      <c r="C211" s="94"/>
      <c r="D211" s="94"/>
      <c r="E211" s="94"/>
    </row>
    <row r="212">
      <c r="A212" s="94"/>
      <c r="B212" s="94"/>
      <c r="C212" s="94"/>
      <c r="D212" s="94"/>
      <c r="E212" s="94"/>
    </row>
    <row r="213">
      <c r="A213" s="94"/>
      <c r="B213" s="94"/>
      <c r="C213" s="94"/>
      <c r="D213" s="94"/>
      <c r="E213" s="94"/>
    </row>
    <row r="214">
      <c r="A214" s="94"/>
      <c r="B214" s="94"/>
      <c r="C214" s="94"/>
      <c r="D214" s="94"/>
      <c r="E214" s="94"/>
    </row>
    <row r="215">
      <c r="A215" s="94"/>
      <c r="B215" s="94"/>
      <c r="C215" s="94"/>
      <c r="D215" s="94"/>
      <c r="E215" s="94"/>
    </row>
    <row r="216">
      <c r="A216" s="94"/>
      <c r="B216" s="94"/>
      <c r="C216" s="94"/>
      <c r="D216" s="94"/>
      <c r="E216" s="94"/>
    </row>
    <row r="217">
      <c r="A217" s="94"/>
      <c r="B217" s="94"/>
      <c r="C217" s="94"/>
      <c r="D217" s="94"/>
      <c r="E217" s="94"/>
    </row>
    <row r="218">
      <c r="A218" s="94"/>
      <c r="B218" s="94"/>
      <c r="C218" s="94"/>
      <c r="D218" s="94"/>
      <c r="E218" s="94"/>
    </row>
    <row r="219">
      <c r="A219" s="94"/>
      <c r="B219" s="94"/>
      <c r="C219" s="94"/>
      <c r="D219" s="94"/>
      <c r="E219" s="94"/>
    </row>
    <row r="220">
      <c r="A220" s="94"/>
      <c r="B220" s="94"/>
      <c r="C220" s="94"/>
      <c r="D220" s="94"/>
      <c r="E220" s="94"/>
    </row>
    <row r="221">
      <c r="A221" s="94"/>
      <c r="B221" s="94"/>
      <c r="C221" s="94"/>
      <c r="D221" s="94"/>
      <c r="E221" s="94"/>
    </row>
    <row r="222">
      <c r="A222" s="94"/>
      <c r="B222" s="94"/>
      <c r="C222" s="94"/>
      <c r="D222" s="94"/>
      <c r="E222" s="94"/>
    </row>
    <row r="223">
      <c r="A223" s="94"/>
      <c r="B223" s="94"/>
      <c r="C223" s="94"/>
      <c r="D223" s="94"/>
      <c r="E223" s="94"/>
    </row>
    <row r="224">
      <c r="A224" s="94"/>
      <c r="B224" s="94"/>
      <c r="C224" s="94"/>
      <c r="D224" s="94"/>
      <c r="E224" s="94"/>
    </row>
    <row r="225">
      <c r="A225" s="94"/>
      <c r="B225" s="94"/>
      <c r="C225" s="94"/>
      <c r="D225" s="94"/>
      <c r="E225" s="94"/>
    </row>
    <row r="226">
      <c r="A226" s="94"/>
      <c r="B226" s="94"/>
      <c r="C226" s="94"/>
      <c r="D226" s="94"/>
      <c r="E226" s="94"/>
    </row>
    <row r="227">
      <c r="A227" s="94"/>
      <c r="B227" s="94"/>
      <c r="C227" s="94"/>
      <c r="D227" s="94"/>
      <c r="E227" s="94"/>
    </row>
    <row r="228">
      <c r="A228" s="94"/>
      <c r="B228" s="94"/>
      <c r="C228" s="94"/>
      <c r="D228" s="94"/>
      <c r="E228" s="94"/>
    </row>
    <row r="229">
      <c r="A229" s="94"/>
      <c r="B229" s="94"/>
      <c r="C229" s="94"/>
      <c r="D229" s="94"/>
      <c r="E229" s="94"/>
    </row>
    <row r="230">
      <c r="A230" s="94"/>
      <c r="B230" s="94"/>
      <c r="C230" s="94"/>
      <c r="D230" s="94"/>
      <c r="E230" s="94"/>
    </row>
    <row r="231">
      <c r="A231" s="94"/>
      <c r="B231" s="94"/>
      <c r="C231" s="94"/>
      <c r="D231" s="94"/>
      <c r="E231" s="94"/>
    </row>
    <row r="232">
      <c r="A232" s="94"/>
      <c r="B232" s="94"/>
      <c r="C232" s="94"/>
      <c r="D232" s="94"/>
      <c r="E232" s="94"/>
    </row>
    <row r="233">
      <c r="A233" s="94"/>
      <c r="B233" s="94"/>
      <c r="C233" s="94"/>
      <c r="D233" s="94"/>
      <c r="E233" s="94"/>
    </row>
    <row r="234">
      <c r="A234" s="94"/>
      <c r="B234" s="94"/>
      <c r="C234" s="94"/>
      <c r="D234" s="94"/>
      <c r="E234" s="94"/>
    </row>
    <row r="235">
      <c r="A235" s="94"/>
      <c r="B235" s="94"/>
      <c r="C235" s="94"/>
      <c r="D235" s="94"/>
      <c r="E235" s="94"/>
    </row>
    <row r="236">
      <c r="A236" s="94"/>
      <c r="B236" s="94"/>
      <c r="C236" s="94"/>
      <c r="D236" s="94"/>
      <c r="E236" s="94"/>
    </row>
    <row r="237">
      <c r="A237" s="94"/>
      <c r="B237" s="94"/>
      <c r="C237" s="94"/>
      <c r="D237" s="94"/>
      <c r="E237" s="94"/>
    </row>
    <row r="238">
      <c r="A238" s="94"/>
      <c r="B238" s="94"/>
      <c r="C238" s="94"/>
      <c r="D238" s="94"/>
      <c r="E238" s="94"/>
    </row>
    <row r="239">
      <c r="A239" s="94"/>
      <c r="B239" s="94"/>
      <c r="C239" s="94"/>
      <c r="D239" s="94"/>
      <c r="E239" s="94"/>
    </row>
    <row r="240">
      <c r="A240" s="94"/>
      <c r="B240" s="94"/>
      <c r="C240" s="94"/>
      <c r="D240" s="94"/>
      <c r="E240" s="94"/>
    </row>
    <row r="241">
      <c r="A241" s="94"/>
      <c r="B241" s="94"/>
      <c r="C241" s="94"/>
      <c r="D241" s="94"/>
      <c r="E241" s="94"/>
    </row>
    <row r="242">
      <c r="A242" s="94"/>
      <c r="B242" s="94"/>
      <c r="C242" s="94"/>
      <c r="D242" s="94"/>
      <c r="E242" s="94"/>
    </row>
    <row r="243">
      <c r="A243" s="94"/>
      <c r="B243" s="94"/>
      <c r="C243" s="94"/>
      <c r="D243" s="94"/>
      <c r="E243" s="94"/>
    </row>
    <row r="244">
      <c r="A244" s="94"/>
      <c r="B244" s="94"/>
      <c r="C244" s="94"/>
      <c r="D244" s="94"/>
      <c r="E244" s="94"/>
    </row>
    <row r="245">
      <c r="A245" s="94"/>
      <c r="B245" s="94"/>
      <c r="C245" s="94"/>
      <c r="D245" s="94"/>
      <c r="E245" s="94"/>
    </row>
    <row r="246">
      <c r="A246" s="94"/>
      <c r="B246" s="94"/>
      <c r="C246" s="94"/>
      <c r="D246" s="94"/>
      <c r="E246" s="94"/>
    </row>
    <row r="247">
      <c r="A247" s="94"/>
      <c r="B247" s="94"/>
      <c r="C247" s="94"/>
      <c r="D247" s="94"/>
      <c r="E247" s="94"/>
    </row>
    <row r="248">
      <c r="A248" s="94"/>
      <c r="B248" s="94"/>
      <c r="C248" s="94"/>
      <c r="D248" s="94"/>
      <c r="E248" s="94"/>
    </row>
    <row r="249">
      <c r="A249" s="94"/>
      <c r="B249" s="94"/>
      <c r="C249" s="94"/>
      <c r="D249" s="94"/>
      <c r="E249" s="94"/>
    </row>
    <row r="250">
      <c r="A250" s="94"/>
      <c r="B250" s="94"/>
      <c r="C250" s="94"/>
      <c r="D250" s="94"/>
      <c r="E250" s="94"/>
    </row>
    <row r="251">
      <c r="A251" s="94"/>
      <c r="B251" s="94"/>
      <c r="C251" s="94"/>
      <c r="D251" s="94"/>
      <c r="E251" s="94"/>
    </row>
    <row r="252">
      <c r="A252" s="94"/>
      <c r="B252" s="94"/>
      <c r="C252" s="94"/>
      <c r="D252" s="94"/>
      <c r="E252" s="94"/>
    </row>
    <row r="253">
      <c r="A253" s="94"/>
      <c r="B253" s="94"/>
      <c r="C253" s="94"/>
      <c r="D253" s="94"/>
      <c r="E253" s="94"/>
    </row>
    <row r="254">
      <c r="A254" s="94"/>
      <c r="B254" s="94"/>
      <c r="C254" s="94"/>
      <c r="D254" s="94"/>
      <c r="E254" s="94"/>
    </row>
    <row r="255">
      <c r="A255" s="94"/>
      <c r="B255" s="94"/>
      <c r="C255" s="94"/>
      <c r="D255" s="94"/>
      <c r="E255" s="94"/>
    </row>
    <row r="256">
      <c r="A256" s="94"/>
      <c r="B256" s="94"/>
      <c r="C256" s="94"/>
      <c r="D256" s="94"/>
      <c r="E256" s="94"/>
    </row>
    <row r="257">
      <c r="A257" s="94"/>
      <c r="B257" s="94"/>
      <c r="C257" s="94"/>
      <c r="D257" s="94"/>
      <c r="E257" s="94"/>
    </row>
    <row r="258">
      <c r="A258" s="94"/>
      <c r="B258" s="94"/>
      <c r="C258" s="94"/>
      <c r="D258" s="94"/>
      <c r="E258" s="94"/>
    </row>
    <row r="259">
      <c r="A259" s="94"/>
      <c r="B259" s="94"/>
      <c r="C259" s="94"/>
      <c r="D259" s="94"/>
      <c r="E259" s="94"/>
    </row>
    <row r="260">
      <c r="A260" s="94"/>
      <c r="B260" s="94"/>
      <c r="C260" s="94"/>
      <c r="D260" s="94"/>
      <c r="E260" s="94"/>
    </row>
    <row r="261">
      <c r="A261" s="94"/>
      <c r="B261" s="94"/>
      <c r="C261" s="94"/>
      <c r="D261" s="94"/>
      <c r="E261" s="94"/>
    </row>
    <row r="262">
      <c r="A262" s="94"/>
      <c r="B262" s="94"/>
      <c r="C262" s="94"/>
      <c r="D262" s="94"/>
      <c r="E262" s="94"/>
    </row>
    <row r="263">
      <c r="A263" s="94"/>
      <c r="B263" s="94"/>
      <c r="C263" s="94"/>
      <c r="D263" s="94"/>
      <c r="E263" s="94"/>
    </row>
    <row r="264">
      <c r="A264" s="94"/>
      <c r="B264" s="94"/>
      <c r="C264" s="94"/>
      <c r="D264" s="94"/>
      <c r="E264" s="94"/>
    </row>
    <row r="265">
      <c r="A265" s="94"/>
      <c r="B265" s="94"/>
      <c r="C265" s="94"/>
      <c r="D265" s="94"/>
      <c r="E265" s="94"/>
    </row>
    <row r="266">
      <c r="A266" s="94"/>
      <c r="B266" s="94"/>
      <c r="C266" s="94"/>
      <c r="D266" s="94"/>
      <c r="E266" s="94"/>
    </row>
    <row r="267">
      <c r="A267" s="94"/>
      <c r="B267" s="94"/>
      <c r="C267" s="94"/>
      <c r="D267" s="94"/>
      <c r="E267" s="94"/>
    </row>
    <row r="268">
      <c r="A268" s="94"/>
      <c r="B268" s="94"/>
      <c r="C268" s="94"/>
      <c r="D268" s="94"/>
      <c r="E268" s="94"/>
    </row>
    <row r="269">
      <c r="A269" s="94"/>
      <c r="B269" s="94"/>
      <c r="C269" s="94"/>
      <c r="D269" s="94"/>
      <c r="E269" s="94"/>
    </row>
    <row r="270">
      <c r="A270" s="94"/>
      <c r="B270" s="94"/>
      <c r="C270" s="94"/>
      <c r="D270" s="94"/>
      <c r="E270" s="94"/>
    </row>
    <row r="271">
      <c r="A271" s="94"/>
      <c r="B271" s="94"/>
      <c r="C271" s="94"/>
      <c r="D271" s="94"/>
      <c r="E271" s="94"/>
    </row>
    <row r="272">
      <c r="A272" s="94"/>
      <c r="B272" s="94"/>
      <c r="C272" s="94"/>
      <c r="D272" s="94"/>
      <c r="E272" s="94"/>
    </row>
    <row r="273">
      <c r="A273" s="94"/>
      <c r="B273" s="94"/>
      <c r="C273" s="94"/>
      <c r="D273" s="94"/>
      <c r="E273" s="94"/>
    </row>
    <row r="274">
      <c r="A274" s="94"/>
      <c r="B274" s="94"/>
      <c r="C274" s="94"/>
      <c r="D274" s="94"/>
      <c r="E274" s="94"/>
    </row>
    <row r="275">
      <c r="A275" s="94"/>
      <c r="B275" s="94"/>
      <c r="C275" s="94"/>
      <c r="D275" s="94"/>
      <c r="E275" s="94"/>
    </row>
    <row r="276">
      <c r="A276" s="94"/>
      <c r="B276" s="94"/>
      <c r="C276" s="94"/>
      <c r="D276" s="94"/>
      <c r="E276" s="94"/>
    </row>
    <row r="277">
      <c r="A277" s="94"/>
      <c r="B277" s="94"/>
      <c r="C277" s="94"/>
      <c r="D277" s="94"/>
      <c r="E277" s="94"/>
    </row>
    <row r="278">
      <c r="A278" s="94"/>
      <c r="B278" s="94"/>
      <c r="C278" s="94"/>
      <c r="D278" s="94"/>
      <c r="E278" s="94"/>
    </row>
    <row r="279">
      <c r="A279" s="94"/>
      <c r="B279" s="94"/>
      <c r="C279" s="94"/>
      <c r="D279" s="94"/>
      <c r="E279" s="94"/>
    </row>
    <row r="280">
      <c r="A280" s="94"/>
      <c r="B280" s="94"/>
      <c r="C280" s="94"/>
      <c r="D280" s="94"/>
      <c r="E280" s="94"/>
    </row>
    <row r="281">
      <c r="A281" s="94"/>
      <c r="B281" s="94"/>
      <c r="C281" s="94"/>
      <c r="D281" s="94"/>
      <c r="E281" s="94"/>
    </row>
    <row r="282">
      <c r="A282" s="94"/>
      <c r="B282" s="94"/>
      <c r="C282" s="94"/>
      <c r="D282" s="94"/>
      <c r="E282" s="94"/>
    </row>
    <row r="283">
      <c r="A283" s="94"/>
      <c r="B283" s="94"/>
      <c r="C283" s="94"/>
      <c r="D283" s="94"/>
      <c r="E283" s="94"/>
    </row>
    <row r="284">
      <c r="A284" s="94"/>
      <c r="B284" s="94"/>
      <c r="C284" s="94"/>
      <c r="D284" s="94"/>
      <c r="E284" s="94"/>
    </row>
    <row r="285">
      <c r="A285" s="94"/>
      <c r="B285" s="94"/>
      <c r="C285" s="94"/>
      <c r="D285" s="94"/>
      <c r="E285" s="94"/>
    </row>
    <row r="286">
      <c r="A286" s="94"/>
      <c r="B286" s="94"/>
      <c r="C286" s="94"/>
      <c r="D286" s="94"/>
      <c r="E286" s="94"/>
    </row>
    <row r="287">
      <c r="A287" s="94"/>
      <c r="B287" s="94"/>
      <c r="C287" s="94"/>
      <c r="D287" s="94"/>
      <c r="E287" s="94"/>
    </row>
    <row r="288">
      <c r="A288" s="94"/>
      <c r="B288" s="94"/>
      <c r="C288" s="94"/>
      <c r="D288" s="94"/>
      <c r="E288" s="94"/>
    </row>
    <row r="289">
      <c r="A289" s="94"/>
      <c r="B289" s="94"/>
      <c r="C289" s="94"/>
      <c r="D289" s="94"/>
      <c r="E289" s="94"/>
    </row>
    <row r="290">
      <c r="A290" s="94"/>
      <c r="B290" s="94"/>
      <c r="C290" s="94"/>
      <c r="D290" s="94"/>
      <c r="E290" s="94"/>
    </row>
    <row r="291">
      <c r="A291" s="94"/>
      <c r="B291" s="94"/>
      <c r="C291" s="94"/>
      <c r="D291" s="94"/>
      <c r="E291" s="94"/>
    </row>
    <row r="292">
      <c r="A292" s="94"/>
      <c r="B292" s="94"/>
      <c r="C292" s="94"/>
      <c r="D292" s="94"/>
      <c r="E292" s="94"/>
    </row>
    <row r="293">
      <c r="A293" s="94"/>
      <c r="B293" s="94"/>
      <c r="C293" s="94"/>
      <c r="D293" s="94"/>
      <c r="E293" s="94"/>
    </row>
    <row r="294">
      <c r="A294" s="94"/>
      <c r="B294" s="94"/>
      <c r="C294" s="94"/>
      <c r="D294" s="94"/>
      <c r="E294" s="94"/>
    </row>
    <row r="295">
      <c r="A295" s="94"/>
      <c r="B295" s="94"/>
      <c r="C295" s="94"/>
      <c r="D295" s="94"/>
      <c r="E295" s="94"/>
    </row>
    <row r="296">
      <c r="A296" s="94"/>
      <c r="B296" s="94"/>
      <c r="C296" s="94"/>
      <c r="D296" s="94"/>
      <c r="E296" s="94"/>
    </row>
    <row r="297">
      <c r="A297" s="94"/>
      <c r="B297" s="94"/>
      <c r="C297" s="94"/>
      <c r="D297" s="94"/>
      <c r="E297" s="94"/>
    </row>
    <row r="298">
      <c r="A298" s="94"/>
      <c r="B298" s="94"/>
      <c r="C298" s="94"/>
      <c r="D298" s="94"/>
      <c r="E298" s="94"/>
    </row>
    <row r="299">
      <c r="A299" s="94"/>
      <c r="B299" s="94"/>
      <c r="C299" s="94"/>
      <c r="D299" s="94"/>
      <c r="E299" s="94"/>
    </row>
    <row r="300">
      <c r="A300" s="94"/>
      <c r="B300" s="94"/>
      <c r="C300" s="94"/>
      <c r="D300" s="94"/>
      <c r="E300" s="94"/>
    </row>
    <row r="301">
      <c r="A301" s="94"/>
      <c r="B301" s="94"/>
      <c r="C301" s="94"/>
      <c r="D301" s="94"/>
      <c r="E301" s="94"/>
    </row>
    <row r="302">
      <c r="A302" s="94"/>
      <c r="B302" s="94"/>
      <c r="C302" s="94"/>
      <c r="D302" s="94"/>
      <c r="E302" s="94"/>
    </row>
    <row r="303">
      <c r="A303" s="94"/>
      <c r="B303" s="94"/>
      <c r="C303" s="94"/>
      <c r="D303" s="94"/>
      <c r="E303" s="94"/>
    </row>
    <row r="304">
      <c r="A304" s="94"/>
      <c r="B304" s="94"/>
      <c r="C304" s="94"/>
      <c r="D304" s="94"/>
      <c r="E304" s="94"/>
    </row>
    <row r="305">
      <c r="A305" s="94"/>
      <c r="B305" s="94"/>
      <c r="C305" s="94"/>
      <c r="D305" s="94"/>
      <c r="E305" s="94"/>
    </row>
    <row r="306">
      <c r="A306" s="94"/>
      <c r="B306" s="94"/>
      <c r="C306" s="94"/>
      <c r="D306" s="94"/>
      <c r="E306" s="94"/>
    </row>
    <row r="307">
      <c r="A307" s="94"/>
      <c r="B307" s="94"/>
      <c r="C307" s="94"/>
      <c r="D307" s="94"/>
      <c r="E307" s="94"/>
    </row>
    <row r="308">
      <c r="A308" s="94"/>
      <c r="B308" s="94"/>
      <c r="C308" s="94"/>
      <c r="D308" s="94"/>
      <c r="E308" s="94"/>
    </row>
    <row r="309">
      <c r="A309" s="94"/>
      <c r="B309" s="94"/>
      <c r="C309" s="94"/>
      <c r="D309" s="94"/>
      <c r="E309" s="94"/>
    </row>
    <row r="310">
      <c r="A310" s="94"/>
      <c r="B310" s="94"/>
      <c r="C310" s="94"/>
      <c r="D310" s="94"/>
      <c r="E310" s="94"/>
    </row>
    <row r="311">
      <c r="A311" s="94"/>
      <c r="B311" s="94"/>
      <c r="C311" s="94"/>
      <c r="D311" s="94"/>
      <c r="E311" s="94"/>
    </row>
    <row r="312">
      <c r="A312" s="94"/>
      <c r="B312" s="94"/>
      <c r="C312" s="94"/>
      <c r="D312" s="94"/>
      <c r="E312" s="94"/>
    </row>
    <row r="313">
      <c r="A313" s="94"/>
      <c r="B313" s="94"/>
      <c r="C313" s="94"/>
      <c r="D313" s="94"/>
      <c r="E313" s="94"/>
    </row>
    <row r="314">
      <c r="A314" s="94"/>
      <c r="B314" s="94"/>
      <c r="C314" s="94"/>
      <c r="D314" s="94"/>
      <c r="E314" s="94"/>
    </row>
    <row r="315">
      <c r="A315" s="94"/>
      <c r="B315" s="94"/>
      <c r="C315" s="94"/>
      <c r="D315" s="94"/>
      <c r="E315" s="94"/>
    </row>
    <row r="316">
      <c r="A316" s="94"/>
      <c r="B316" s="94"/>
      <c r="C316" s="94"/>
      <c r="D316" s="94"/>
      <c r="E316" s="94"/>
    </row>
    <row r="317">
      <c r="A317" s="94"/>
      <c r="B317" s="94"/>
      <c r="C317" s="94"/>
      <c r="D317" s="94"/>
      <c r="E317" s="94"/>
    </row>
    <row r="318">
      <c r="A318" s="94"/>
      <c r="B318" s="94"/>
      <c r="C318" s="94"/>
      <c r="D318" s="94"/>
      <c r="E318" s="94"/>
    </row>
    <row r="319">
      <c r="A319" s="94"/>
      <c r="B319" s="94"/>
      <c r="C319" s="94"/>
      <c r="D319" s="94"/>
      <c r="E319" s="94"/>
    </row>
    <row r="320">
      <c r="A320" s="94"/>
      <c r="B320" s="94"/>
      <c r="C320" s="94"/>
      <c r="D320" s="94"/>
      <c r="E320" s="94"/>
    </row>
    <row r="321">
      <c r="A321" s="94"/>
      <c r="B321" s="94"/>
      <c r="C321" s="94"/>
      <c r="D321" s="94"/>
      <c r="E321" s="94"/>
    </row>
    <row r="322">
      <c r="A322" s="94"/>
      <c r="B322" s="94"/>
      <c r="C322" s="94"/>
      <c r="D322" s="94"/>
      <c r="E322" s="94"/>
    </row>
    <row r="323">
      <c r="A323" s="94"/>
      <c r="B323" s="94"/>
      <c r="C323" s="94"/>
      <c r="D323" s="94"/>
      <c r="E323" s="94"/>
    </row>
    <row r="324">
      <c r="A324" s="94"/>
      <c r="B324" s="94"/>
      <c r="C324" s="94"/>
      <c r="D324" s="94"/>
      <c r="E324" s="94"/>
    </row>
    <row r="325">
      <c r="A325" s="94"/>
      <c r="B325" s="94"/>
      <c r="C325" s="94"/>
      <c r="D325" s="94"/>
      <c r="E325" s="94"/>
    </row>
    <row r="326">
      <c r="A326" s="94"/>
      <c r="B326" s="94"/>
      <c r="C326" s="94"/>
      <c r="D326" s="94"/>
      <c r="E326" s="94"/>
    </row>
    <row r="327">
      <c r="A327" s="94"/>
      <c r="B327" s="94"/>
      <c r="C327" s="94"/>
      <c r="D327" s="94"/>
      <c r="E327" s="94"/>
    </row>
    <row r="328">
      <c r="A328" s="94"/>
      <c r="B328" s="94"/>
      <c r="C328" s="94"/>
      <c r="D328" s="94"/>
      <c r="E328" s="94"/>
    </row>
    <row r="329">
      <c r="A329" s="94"/>
      <c r="B329" s="94"/>
      <c r="C329" s="94"/>
      <c r="D329" s="94"/>
      <c r="E329" s="94"/>
    </row>
    <row r="330">
      <c r="A330" s="94"/>
      <c r="B330" s="94"/>
      <c r="C330" s="94"/>
      <c r="D330" s="94"/>
      <c r="E330" s="94"/>
    </row>
    <row r="331">
      <c r="A331" s="94"/>
      <c r="B331" s="94"/>
      <c r="C331" s="94"/>
      <c r="D331" s="94"/>
      <c r="E331" s="94"/>
    </row>
    <row r="332">
      <c r="A332" s="94"/>
      <c r="B332" s="94"/>
      <c r="C332" s="94"/>
      <c r="D332" s="94"/>
      <c r="E332" s="94"/>
    </row>
    <row r="333">
      <c r="A333" s="94"/>
      <c r="B333" s="94"/>
      <c r="C333" s="94"/>
      <c r="D333" s="94"/>
      <c r="E333" s="94"/>
    </row>
    <row r="334">
      <c r="A334" s="94"/>
      <c r="B334" s="94"/>
      <c r="C334" s="94"/>
      <c r="D334" s="94"/>
      <c r="E334" s="94"/>
    </row>
    <row r="335">
      <c r="A335" s="94"/>
      <c r="B335" s="94"/>
      <c r="C335" s="94"/>
      <c r="D335" s="94"/>
      <c r="E335" s="94"/>
    </row>
    <row r="336">
      <c r="A336" s="94"/>
      <c r="B336" s="94"/>
      <c r="C336" s="94"/>
      <c r="D336" s="94"/>
      <c r="E336" s="94"/>
    </row>
    <row r="337">
      <c r="A337" s="94"/>
      <c r="B337" s="94"/>
      <c r="C337" s="94"/>
      <c r="D337" s="94"/>
      <c r="E337" s="94"/>
    </row>
    <row r="338">
      <c r="A338" s="94"/>
      <c r="B338" s="94"/>
      <c r="C338" s="94"/>
      <c r="D338" s="94"/>
      <c r="E338" s="94"/>
    </row>
    <row r="339">
      <c r="A339" s="94"/>
      <c r="B339" s="94"/>
      <c r="C339" s="94"/>
      <c r="D339" s="94"/>
      <c r="E339" s="94"/>
    </row>
    <row r="340">
      <c r="A340" s="94"/>
      <c r="B340" s="94"/>
      <c r="C340" s="94"/>
      <c r="D340" s="94"/>
      <c r="E340" s="94"/>
    </row>
    <row r="341">
      <c r="A341" s="94"/>
      <c r="B341" s="94"/>
      <c r="C341" s="94"/>
      <c r="D341" s="94"/>
      <c r="E341" s="94"/>
    </row>
    <row r="342">
      <c r="A342" s="94"/>
      <c r="B342" s="94"/>
      <c r="C342" s="94"/>
      <c r="D342" s="94"/>
      <c r="E342" s="94"/>
    </row>
    <row r="343">
      <c r="A343" s="94"/>
      <c r="B343" s="94"/>
      <c r="C343" s="94"/>
      <c r="D343" s="94"/>
      <c r="E343" s="94"/>
    </row>
    <row r="344">
      <c r="A344" s="94"/>
      <c r="B344" s="94"/>
      <c r="C344" s="94"/>
      <c r="D344" s="94"/>
      <c r="E344" s="94"/>
    </row>
    <row r="345">
      <c r="A345" s="94"/>
      <c r="B345" s="94"/>
      <c r="C345" s="94"/>
      <c r="D345" s="94"/>
      <c r="E345" s="94"/>
    </row>
    <row r="346">
      <c r="A346" s="94"/>
      <c r="B346" s="94"/>
      <c r="C346" s="94"/>
      <c r="D346" s="94"/>
      <c r="E346" s="94"/>
    </row>
    <row r="347">
      <c r="A347" s="94"/>
      <c r="B347" s="94"/>
      <c r="C347" s="94"/>
      <c r="D347" s="94"/>
      <c r="E347" s="94"/>
    </row>
    <row r="348">
      <c r="A348" s="94"/>
      <c r="B348" s="94"/>
      <c r="C348" s="94"/>
      <c r="D348" s="94"/>
      <c r="E348" s="94"/>
    </row>
    <row r="349">
      <c r="A349" s="94"/>
      <c r="B349" s="94"/>
      <c r="C349" s="94"/>
      <c r="D349" s="94"/>
      <c r="E349" s="94"/>
    </row>
    <row r="350">
      <c r="A350" s="94"/>
      <c r="B350" s="94"/>
      <c r="C350" s="94"/>
      <c r="D350" s="94"/>
      <c r="E350" s="94"/>
    </row>
    <row r="351">
      <c r="A351" s="94"/>
      <c r="B351" s="94"/>
      <c r="C351" s="94"/>
      <c r="D351" s="94"/>
      <c r="E351" s="94"/>
    </row>
    <row r="352">
      <c r="A352" s="94"/>
      <c r="B352" s="94"/>
      <c r="C352" s="94"/>
      <c r="D352" s="94"/>
      <c r="E352" s="94"/>
    </row>
    <row r="353">
      <c r="A353" s="94"/>
      <c r="B353" s="94"/>
      <c r="C353" s="94"/>
      <c r="D353" s="94"/>
      <c r="E353" s="94"/>
    </row>
    <row r="354">
      <c r="A354" s="94"/>
      <c r="B354" s="94"/>
      <c r="C354" s="94"/>
      <c r="D354" s="94"/>
      <c r="E354" s="94"/>
    </row>
    <row r="355">
      <c r="A355" s="94"/>
      <c r="B355" s="94"/>
      <c r="C355" s="94"/>
      <c r="D355" s="94"/>
      <c r="E355" s="94"/>
    </row>
    <row r="356">
      <c r="A356" s="94"/>
      <c r="B356" s="94"/>
      <c r="C356" s="94"/>
      <c r="D356" s="94"/>
      <c r="E356" s="94"/>
    </row>
    <row r="357">
      <c r="A357" s="94"/>
      <c r="B357" s="94"/>
      <c r="C357" s="94"/>
      <c r="D357" s="94"/>
      <c r="E357" s="94"/>
    </row>
    <row r="358">
      <c r="A358" s="94"/>
      <c r="B358" s="94"/>
      <c r="C358" s="94"/>
      <c r="D358" s="94"/>
      <c r="E358" s="94"/>
    </row>
    <row r="359">
      <c r="A359" s="94"/>
      <c r="B359" s="94"/>
      <c r="C359" s="94"/>
      <c r="D359" s="94"/>
      <c r="E359" s="94"/>
    </row>
    <row r="360">
      <c r="A360" s="94"/>
      <c r="B360" s="94"/>
      <c r="C360" s="94"/>
      <c r="D360" s="94"/>
      <c r="E360" s="94"/>
    </row>
    <row r="361">
      <c r="A361" s="94"/>
      <c r="B361" s="94"/>
      <c r="C361" s="94"/>
      <c r="D361" s="94"/>
      <c r="E361" s="94"/>
    </row>
    <row r="362">
      <c r="A362" s="94"/>
      <c r="B362" s="94"/>
      <c r="C362" s="94"/>
      <c r="D362" s="94"/>
      <c r="E362" s="94"/>
    </row>
    <row r="363">
      <c r="A363" s="94"/>
      <c r="B363" s="94"/>
      <c r="C363" s="94"/>
      <c r="D363" s="94"/>
      <c r="E363" s="94"/>
    </row>
    <row r="364">
      <c r="A364" s="94"/>
      <c r="B364" s="94"/>
      <c r="C364" s="94"/>
      <c r="D364" s="94"/>
      <c r="E364" s="94"/>
    </row>
    <row r="365">
      <c r="A365" s="94"/>
      <c r="B365" s="94"/>
      <c r="C365" s="94"/>
      <c r="D365" s="94"/>
      <c r="E365" s="94"/>
    </row>
    <row r="366">
      <c r="A366" s="94"/>
      <c r="B366" s="94"/>
      <c r="C366" s="94"/>
      <c r="D366" s="94"/>
      <c r="E366" s="94"/>
    </row>
    <row r="367">
      <c r="A367" s="94"/>
      <c r="B367" s="94"/>
      <c r="C367" s="94"/>
      <c r="D367" s="94"/>
      <c r="E367" s="94"/>
    </row>
    <row r="368">
      <c r="A368" s="94"/>
      <c r="B368" s="94"/>
      <c r="C368" s="94"/>
      <c r="D368" s="94"/>
      <c r="E368" s="94"/>
    </row>
    <row r="369">
      <c r="A369" s="94"/>
      <c r="B369" s="94"/>
      <c r="C369" s="94"/>
      <c r="D369" s="94"/>
      <c r="E369" s="94"/>
    </row>
    <row r="370">
      <c r="A370" s="94"/>
      <c r="B370" s="94"/>
      <c r="C370" s="94"/>
      <c r="D370" s="94"/>
      <c r="E370" s="94"/>
    </row>
    <row r="371">
      <c r="A371" s="94"/>
      <c r="B371" s="94"/>
      <c r="C371" s="94"/>
      <c r="D371" s="94"/>
      <c r="E371" s="94"/>
    </row>
    <row r="372">
      <c r="A372" s="94"/>
      <c r="B372" s="94"/>
      <c r="C372" s="94"/>
      <c r="D372" s="94"/>
      <c r="E372" s="94"/>
    </row>
    <row r="373">
      <c r="A373" s="94"/>
      <c r="B373" s="94"/>
      <c r="C373" s="94"/>
      <c r="D373" s="94"/>
      <c r="E373" s="94"/>
    </row>
    <row r="374">
      <c r="A374" s="94"/>
      <c r="B374" s="94"/>
      <c r="C374" s="94"/>
      <c r="D374" s="94"/>
      <c r="E374" s="94"/>
    </row>
    <row r="375">
      <c r="A375" s="94"/>
      <c r="B375" s="94"/>
      <c r="C375" s="94"/>
      <c r="D375" s="94"/>
      <c r="E375" s="94"/>
    </row>
    <row r="376">
      <c r="A376" s="94"/>
      <c r="B376" s="94"/>
      <c r="C376" s="94"/>
      <c r="D376" s="94"/>
      <c r="E376" s="94"/>
    </row>
    <row r="377">
      <c r="A377" s="94"/>
      <c r="B377" s="94"/>
      <c r="C377" s="94"/>
      <c r="D377" s="94"/>
      <c r="E377" s="94"/>
    </row>
    <row r="378">
      <c r="A378" s="94"/>
      <c r="B378" s="94"/>
      <c r="C378" s="94"/>
      <c r="D378" s="94"/>
      <c r="E378" s="94"/>
    </row>
    <row r="379">
      <c r="A379" s="94"/>
      <c r="B379" s="94"/>
      <c r="C379" s="94"/>
      <c r="D379" s="94"/>
      <c r="E379" s="94"/>
    </row>
    <row r="380">
      <c r="A380" s="94"/>
      <c r="B380" s="94"/>
      <c r="C380" s="94"/>
      <c r="D380" s="94"/>
      <c r="E380" s="94"/>
    </row>
    <row r="381">
      <c r="A381" s="94"/>
      <c r="B381" s="94"/>
      <c r="C381" s="94"/>
      <c r="D381" s="94"/>
      <c r="E381" s="94"/>
    </row>
    <row r="382">
      <c r="A382" s="94"/>
      <c r="B382" s="94"/>
      <c r="C382" s="94"/>
      <c r="D382" s="94"/>
      <c r="E382" s="94"/>
    </row>
    <row r="383">
      <c r="A383" s="94"/>
      <c r="B383" s="94"/>
      <c r="C383" s="94"/>
      <c r="D383" s="94"/>
      <c r="E383" s="94"/>
    </row>
    <row r="384">
      <c r="A384" s="94"/>
      <c r="B384" s="94"/>
      <c r="C384" s="94"/>
      <c r="D384" s="94"/>
      <c r="E384" s="94"/>
    </row>
    <row r="385">
      <c r="A385" s="94"/>
      <c r="B385" s="94"/>
      <c r="C385" s="94"/>
      <c r="D385" s="94"/>
      <c r="E385" s="94"/>
    </row>
    <row r="386">
      <c r="A386" s="94"/>
      <c r="B386" s="94"/>
      <c r="C386" s="94"/>
      <c r="D386" s="94"/>
      <c r="E386" s="94"/>
    </row>
    <row r="387">
      <c r="A387" s="94"/>
      <c r="B387" s="94"/>
      <c r="C387" s="94"/>
      <c r="D387" s="94"/>
      <c r="E387" s="94"/>
    </row>
    <row r="388">
      <c r="A388" s="94"/>
      <c r="B388" s="94"/>
      <c r="C388" s="94"/>
      <c r="D388" s="94"/>
      <c r="E388" s="94"/>
    </row>
    <row r="389">
      <c r="A389" s="94"/>
      <c r="B389" s="94"/>
      <c r="C389" s="94"/>
      <c r="D389" s="94"/>
      <c r="E389" s="94"/>
    </row>
    <row r="390">
      <c r="A390" s="94"/>
      <c r="B390" s="94"/>
      <c r="C390" s="94"/>
      <c r="D390" s="94"/>
      <c r="E390" s="94"/>
    </row>
    <row r="391">
      <c r="A391" s="94"/>
      <c r="B391" s="94"/>
      <c r="C391" s="94"/>
      <c r="D391" s="94"/>
      <c r="E391" s="94"/>
    </row>
    <row r="392">
      <c r="A392" s="94"/>
      <c r="B392" s="94"/>
      <c r="C392" s="94"/>
      <c r="D392" s="94"/>
      <c r="E392" s="94"/>
    </row>
    <row r="393">
      <c r="A393" s="94"/>
      <c r="B393" s="94"/>
      <c r="C393" s="94"/>
      <c r="D393" s="94"/>
      <c r="E393" s="94"/>
    </row>
    <row r="394">
      <c r="A394" s="94"/>
      <c r="B394" s="94"/>
      <c r="C394" s="94"/>
      <c r="D394" s="94"/>
      <c r="E394" s="94"/>
    </row>
    <row r="395">
      <c r="A395" s="94"/>
      <c r="B395" s="94"/>
      <c r="C395" s="94"/>
      <c r="D395" s="94"/>
      <c r="E395" s="94"/>
    </row>
    <row r="396">
      <c r="A396" s="94"/>
      <c r="B396" s="94"/>
      <c r="C396" s="94"/>
      <c r="D396" s="94"/>
      <c r="E396" s="94"/>
    </row>
    <row r="397">
      <c r="A397" s="94"/>
      <c r="B397" s="94"/>
      <c r="C397" s="94"/>
      <c r="D397" s="94"/>
      <c r="E397" s="94"/>
    </row>
    <row r="398">
      <c r="A398" s="94"/>
      <c r="B398" s="94"/>
      <c r="C398" s="94"/>
      <c r="D398" s="94"/>
      <c r="E398" s="94"/>
    </row>
    <row r="399">
      <c r="A399" s="94"/>
      <c r="B399" s="94"/>
      <c r="C399" s="94"/>
      <c r="D399" s="94"/>
      <c r="E399" s="94"/>
    </row>
    <row r="400">
      <c r="A400" s="94"/>
      <c r="B400" s="94"/>
      <c r="C400" s="94"/>
      <c r="D400" s="94"/>
      <c r="E400" s="94"/>
    </row>
    <row r="401">
      <c r="A401" s="94"/>
      <c r="B401" s="94"/>
      <c r="C401" s="94"/>
      <c r="D401" s="94"/>
      <c r="E401" s="94"/>
    </row>
    <row r="402">
      <c r="A402" s="94"/>
      <c r="B402" s="94"/>
      <c r="C402" s="94"/>
      <c r="D402" s="94"/>
      <c r="E402" s="94"/>
    </row>
    <row r="403">
      <c r="A403" s="94"/>
      <c r="B403" s="94"/>
      <c r="C403" s="94"/>
      <c r="D403" s="94"/>
      <c r="E403" s="94"/>
    </row>
    <row r="404">
      <c r="A404" s="94"/>
      <c r="B404" s="94"/>
      <c r="C404" s="94"/>
      <c r="D404" s="94"/>
      <c r="E404" s="94"/>
    </row>
    <row r="405">
      <c r="A405" s="94"/>
      <c r="B405" s="94"/>
      <c r="C405" s="94"/>
      <c r="D405" s="94"/>
      <c r="E405" s="94"/>
    </row>
    <row r="406">
      <c r="A406" s="94"/>
      <c r="B406" s="94"/>
      <c r="C406" s="94"/>
      <c r="D406" s="94"/>
      <c r="E406" s="94"/>
    </row>
    <row r="407">
      <c r="A407" s="94"/>
      <c r="B407" s="94"/>
      <c r="C407" s="94"/>
      <c r="D407" s="94"/>
      <c r="E407" s="94"/>
    </row>
    <row r="408">
      <c r="A408" s="94"/>
      <c r="B408" s="94"/>
      <c r="C408" s="94"/>
      <c r="D408" s="94"/>
      <c r="E408" s="94"/>
    </row>
    <row r="409">
      <c r="A409" s="94"/>
      <c r="B409" s="94"/>
      <c r="C409" s="94"/>
      <c r="D409" s="94"/>
      <c r="E409" s="94"/>
    </row>
    <row r="410">
      <c r="A410" s="94"/>
      <c r="B410" s="94"/>
      <c r="C410" s="94"/>
      <c r="D410" s="94"/>
      <c r="E410" s="94"/>
    </row>
    <row r="411">
      <c r="A411" s="94"/>
      <c r="B411" s="94"/>
      <c r="C411" s="94"/>
      <c r="D411" s="94"/>
      <c r="E411" s="94"/>
    </row>
    <row r="412">
      <c r="A412" s="94"/>
      <c r="B412" s="94"/>
      <c r="C412" s="94"/>
      <c r="D412" s="94"/>
      <c r="E412" s="94"/>
    </row>
    <row r="413">
      <c r="A413" s="94"/>
      <c r="B413" s="94"/>
      <c r="C413" s="94"/>
      <c r="D413" s="94"/>
      <c r="E413" s="94"/>
    </row>
    <row r="414">
      <c r="A414" s="94"/>
      <c r="B414" s="94"/>
      <c r="C414" s="94"/>
      <c r="D414" s="94"/>
      <c r="E414" s="94"/>
    </row>
    <row r="415">
      <c r="A415" s="94"/>
      <c r="B415" s="94"/>
      <c r="C415" s="94"/>
      <c r="D415" s="94"/>
      <c r="E415" s="94"/>
    </row>
    <row r="416">
      <c r="A416" s="94"/>
      <c r="B416" s="94"/>
      <c r="C416" s="94"/>
      <c r="D416" s="94"/>
      <c r="E416" s="94"/>
    </row>
    <row r="417">
      <c r="A417" s="94"/>
      <c r="B417" s="94"/>
      <c r="C417" s="94"/>
      <c r="D417" s="94"/>
      <c r="E417" s="94"/>
    </row>
    <row r="418">
      <c r="A418" s="94"/>
      <c r="B418" s="94"/>
      <c r="C418" s="94"/>
      <c r="D418" s="94"/>
      <c r="E418" s="94"/>
    </row>
    <row r="419">
      <c r="A419" s="94"/>
      <c r="B419" s="94"/>
      <c r="C419" s="94"/>
      <c r="D419" s="94"/>
      <c r="E419" s="94"/>
    </row>
    <row r="420">
      <c r="A420" s="94"/>
      <c r="B420" s="94"/>
      <c r="C420" s="94"/>
      <c r="D420" s="94"/>
      <c r="E420" s="94"/>
    </row>
    <row r="421">
      <c r="A421" s="94"/>
      <c r="B421" s="94"/>
      <c r="C421" s="94"/>
      <c r="D421" s="94"/>
      <c r="E421" s="94"/>
    </row>
    <row r="422">
      <c r="A422" s="94"/>
      <c r="B422" s="94"/>
      <c r="C422" s="94"/>
      <c r="D422" s="94"/>
      <c r="E422" s="94"/>
    </row>
    <row r="423">
      <c r="A423" s="94"/>
      <c r="B423" s="94"/>
      <c r="C423" s="94"/>
      <c r="D423" s="94"/>
      <c r="E423" s="94"/>
    </row>
    <row r="424">
      <c r="A424" s="94"/>
      <c r="B424" s="94"/>
      <c r="C424" s="94"/>
      <c r="D424" s="94"/>
      <c r="E424" s="94"/>
    </row>
    <row r="425">
      <c r="A425" s="94"/>
      <c r="B425" s="94"/>
      <c r="C425" s="94"/>
      <c r="D425" s="94"/>
      <c r="E425" s="94"/>
    </row>
    <row r="426">
      <c r="A426" s="94"/>
      <c r="B426" s="94"/>
      <c r="C426" s="94"/>
      <c r="D426" s="94"/>
      <c r="E426" s="94"/>
    </row>
    <row r="427">
      <c r="A427" s="94"/>
      <c r="B427" s="94"/>
      <c r="C427" s="94"/>
      <c r="D427" s="94"/>
      <c r="E427" s="94"/>
    </row>
    <row r="428">
      <c r="A428" s="94"/>
      <c r="B428" s="94"/>
      <c r="C428" s="94"/>
      <c r="D428" s="94"/>
      <c r="E428" s="94"/>
    </row>
    <row r="429">
      <c r="A429" s="94"/>
      <c r="B429" s="94"/>
      <c r="C429" s="94"/>
      <c r="D429" s="94"/>
      <c r="E429" s="94"/>
    </row>
    <row r="430">
      <c r="A430" s="94"/>
      <c r="B430" s="94"/>
      <c r="C430" s="94"/>
      <c r="D430" s="94"/>
      <c r="E430" s="94"/>
    </row>
    <row r="431">
      <c r="A431" s="94"/>
      <c r="B431" s="94"/>
      <c r="C431" s="94"/>
      <c r="D431" s="94"/>
      <c r="E431" s="94"/>
    </row>
    <row r="432">
      <c r="A432" s="94"/>
      <c r="B432" s="94"/>
      <c r="C432" s="94"/>
      <c r="D432" s="94"/>
      <c r="E432" s="94"/>
    </row>
    <row r="433">
      <c r="A433" s="94"/>
      <c r="B433" s="94"/>
      <c r="C433" s="94"/>
      <c r="D433" s="94"/>
      <c r="E433" s="94"/>
    </row>
    <row r="434">
      <c r="A434" s="94"/>
      <c r="B434" s="94"/>
      <c r="C434" s="94"/>
      <c r="D434" s="94"/>
      <c r="E434" s="94"/>
    </row>
    <row r="435">
      <c r="A435" s="94"/>
      <c r="B435" s="94"/>
      <c r="C435" s="94"/>
      <c r="D435" s="94"/>
      <c r="E435" s="94"/>
    </row>
    <row r="436">
      <c r="A436" s="94"/>
      <c r="B436" s="94"/>
      <c r="C436" s="94"/>
      <c r="D436" s="94"/>
      <c r="E436" s="94"/>
    </row>
    <row r="437">
      <c r="A437" s="94"/>
      <c r="B437" s="94"/>
      <c r="C437" s="94"/>
      <c r="D437" s="94"/>
      <c r="E437" s="94"/>
    </row>
    <row r="438">
      <c r="A438" s="94"/>
      <c r="B438" s="94"/>
      <c r="C438" s="94"/>
      <c r="D438" s="94"/>
      <c r="E438" s="94"/>
    </row>
    <row r="439">
      <c r="A439" s="94"/>
      <c r="B439" s="94"/>
      <c r="C439" s="94"/>
      <c r="D439" s="94"/>
      <c r="E439" s="94"/>
    </row>
    <row r="440">
      <c r="A440" s="94"/>
      <c r="B440" s="94"/>
      <c r="C440" s="94"/>
      <c r="D440" s="94"/>
      <c r="E440" s="94"/>
    </row>
    <row r="441">
      <c r="A441" s="94"/>
      <c r="B441" s="94"/>
      <c r="C441" s="94"/>
      <c r="D441" s="94"/>
      <c r="E441" s="94"/>
    </row>
    <row r="442">
      <c r="A442" s="94"/>
      <c r="B442" s="94"/>
      <c r="C442" s="94"/>
      <c r="D442" s="94"/>
      <c r="E442" s="94"/>
    </row>
    <row r="443">
      <c r="A443" s="94"/>
      <c r="B443" s="94"/>
      <c r="C443" s="94"/>
      <c r="D443" s="94"/>
      <c r="E443" s="94"/>
    </row>
    <row r="444">
      <c r="A444" s="94"/>
      <c r="B444" s="94"/>
      <c r="C444" s="94"/>
      <c r="D444" s="94"/>
      <c r="E444" s="94"/>
    </row>
    <row r="445">
      <c r="A445" s="94"/>
      <c r="B445" s="94"/>
      <c r="C445" s="94"/>
      <c r="D445" s="94"/>
      <c r="E445" s="94"/>
    </row>
    <row r="446">
      <c r="A446" s="94"/>
      <c r="B446" s="94"/>
      <c r="C446" s="94"/>
      <c r="D446" s="94"/>
      <c r="E446" s="94"/>
    </row>
    <row r="447">
      <c r="A447" s="94"/>
      <c r="B447" s="94"/>
      <c r="C447" s="94"/>
      <c r="D447" s="94"/>
      <c r="E447" s="94"/>
    </row>
    <row r="448">
      <c r="A448" s="94"/>
      <c r="B448" s="94"/>
      <c r="C448" s="94"/>
      <c r="D448" s="94"/>
      <c r="E448" s="94"/>
    </row>
    <row r="449">
      <c r="A449" s="94"/>
      <c r="B449" s="94"/>
      <c r="C449" s="94"/>
      <c r="D449" s="94"/>
      <c r="E449" s="94"/>
    </row>
    <row r="450">
      <c r="A450" s="94"/>
      <c r="B450" s="94"/>
      <c r="C450" s="94"/>
      <c r="D450" s="94"/>
      <c r="E450" s="94"/>
    </row>
    <row r="451">
      <c r="A451" s="94"/>
      <c r="B451" s="94"/>
      <c r="C451" s="94"/>
      <c r="D451" s="94"/>
      <c r="E451" s="94"/>
    </row>
    <row r="452">
      <c r="A452" s="94"/>
      <c r="B452" s="94"/>
      <c r="C452" s="94"/>
      <c r="D452" s="94"/>
      <c r="E452" s="94"/>
    </row>
    <row r="453">
      <c r="A453" s="94"/>
      <c r="B453" s="94"/>
      <c r="C453" s="94"/>
      <c r="D453" s="94"/>
      <c r="E453" s="94"/>
    </row>
    <row r="454">
      <c r="A454" s="94"/>
      <c r="B454" s="94"/>
      <c r="C454" s="94"/>
      <c r="D454" s="94"/>
      <c r="E454" s="94"/>
    </row>
    <row r="455">
      <c r="A455" s="94"/>
      <c r="B455" s="94"/>
      <c r="C455" s="94"/>
      <c r="D455" s="94"/>
      <c r="E455" s="94"/>
    </row>
    <row r="456">
      <c r="A456" s="94"/>
      <c r="B456" s="94"/>
      <c r="C456" s="94"/>
      <c r="D456" s="94"/>
      <c r="E456" s="94"/>
    </row>
    <row r="457">
      <c r="A457" s="94"/>
      <c r="B457" s="94"/>
      <c r="C457" s="94"/>
      <c r="D457" s="94"/>
      <c r="E457" s="94"/>
    </row>
    <row r="458">
      <c r="A458" s="94"/>
      <c r="B458" s="94"/>
      <c r="C458" s="94"/>
      <c r="D458" s="94"/>
      <c r="E458" s="94"/>
    </row>
    <row r="459">
      <c r="A459" s="94"/>
      <c r="B459" s="94"/>
      <c r="C459" s="94"/>
      <c r="D459" s="94"/>
      <c r="E459" s="94"/>
    </row>
    <row r="460">
      <c r="A460" s="94"/>
      <c r="B460" s="94"/>
      <c r="C460" s="94"/>
      <c r="D460" s="94"/>
      <c r="E460" s="94"/>
    </row>
    <row r="461">
      <c r="A461" s="94"/>
      <c r="B461" s="94"/>
      <c r="C461" s="94"/>
      <c r="D461" s="94"/>
      <c r="E461" s="94"/>
    </row>
    <row r="462">
      <c r="A462" s="94"/>
      <c r="B462" s="94"/>
      <c r="C462" s="94"/>
      <c r="D462" s="94"/>
      <c r="E462" s="94"/>
    </row>
    <row r="463">
      <c r="A463" s="94"/>
      <c r="B463" s="94"/>
      <c r="C463" s="94"/>
      <c r="D463" s="94"/>
      <c r="E463" s="94"/>
    </row>
    <row r="464">
      <c r="A464" s="94"/>
      <c r="B464" s="94"/>
      <c r="C464" s="94"/>
      <c r="D464" s="94"/>
      <c r="E464" s="94"/>
    </row>
    <row r="465">
      <c r="A465" s="94"/>
      <c r="B465" s="94"/>
      <c r="C465" s="94"/>
      <c r="D465" s="94"/>
      <c r="E465" s="94"/>
    </row>
    <row r="466">
      <c r="A466" s="94"/>
      <c r="B466" s="94"/>
      <c r="C466" s="94"/>
      <c r="D466" s="94"/>
      <c r="E466" s="94"/>
    </row>
    <row r="467">
      <c r="A467" s="94"/>
      <c r="B467" s="94"/>
      <c r="C467" s="94"/>
      <c r="D467" s="94"/>
      <c r="E467" s="94"/>
    </row>
    <row r="468">
      <c r="A468" s="94"/>
      <c r="B468" s="94"/>
      <c r="C468" s="94"/>
      <c r="D468" s="94"/>
      <c r="E468" s="94"/>
    </row>
    <row r="469">
      <c r="A469" s="94"/>
      <c r="B469" s="94"/>
      <c r="C469" s="94"/>
      <c r="D469" s="94"/>
      <c r="E469" s="94"/>
    </row>
    <row r="470">
      <c r="A470" s="94"/>
      <c r="B470" s="94"/>
      <c r="C470" s="94"/>
      <c r="D470" s="94"/>
      <c r="E470" s="94"/>
    </row>
    <row r="471">
      <c r="A471" s="94"/>
      <c r="B471" s="94"/>
      <c r="C471" s="94"/>
      <c r="D471" s="94"/>
      <c r="E471" s="94"/>
    </row>
    <row r="472">
      <c r="A472" s="94"/>
      <c r="B472" s="94"/>
      <c r="C472" s="94"/>
      <c r="D472" s="94"/>
      <c r="E472" s="94"/>
    </row>
    <row r="473">
      <c r="A473" s="94"/>
      <c r="B473" s="94"/>
      <c r="C473" s="94"/>
      <c r="D473" s="94"/>
      <c r="E473" s="94"/>
    </row>
    <row r="474">
      <c r="A474" s="94"/>
      <c r="B474" s="94"/>
      <c r="C474" s="94"/>
      <c r="D474" s="94"/>
      <c r="E474" s="94"/>
    </row>
    <row r="475">
      <c r="A475" s="94"/>
      <c r="B475" s="94"/>
      <c r="C475" s="94"/>
      <c r="D475" s="94"/>
      <c r="E475" s="94"/>
    </row>
    <row r="476">
      <c r="A476" s="94"/>
      <c r="B476" s="94"/>
      <c r="C476" s="94"/>
      <c r="D476" s="94"/>
      <c r="E476" s="94"/>
    </row>
    <row r="477">
      <c r="A477" s="94"/>
      <c r="B477" s="94"/>
      <c r="C477" s="94"/>
      <c r="D477" s="94"/>
      <c r="E477" s="94"/>
    </row>
    <row r="478">
      <c r="A478" s="94"/>
      <c r="B478" s="94"/>
      <c r="C478" s="94"/>
      <c r="D478" s="94"/>
      <c r="E478" s="94"/>
    </row>
    <row r="479">
      <c r="A479" s="94"/>
      <c r="B479" s="94"/>
      <c r="C479" s="94"/>
      <c r="D479" s="94"/>
      <c r="E479" s="94"/>
    </row>
    <row r="480">
      <c r="A480" s="94"/>
      <c r="B480" s="94"/>
      <c r="C480" s="94"/>
      <c r="D480" s="94"/>
      <c r="E480" s="94"/>
    </row>
    <row r="481">
      <c r="A481" s="94"/>
      <c r="B481" s="94"/>
      <c r="C481" s="94"/>
      <c r="D481" s="94"/>
      <c r="E481" s="94"/>
    </row>
    <row r="482">
      <c r="A482" s="94"/>
      <c r="B482" s="94"/>
      <c r="C482" s="94"/>
      <c r="D482" s="94"/>
      <c r="E482" s="94"/>
    </row>
    <row r="483">
      <c r="A483" s="94"/>
      <c r="B483" s="94"/>
      <c r="C483" s="94"/>
      <c r="D483" s="94"/>
      <c r="E483" s="94"/>
    </row>
    <row r="484">
      <c r="A484" s="94"/>
      <c r="B484" s="94"/>
      <c r="C484" s="94"/>
      <c r="D484" s="94"/>
      <c r="E484" s="94"/>
    </row>
    <row r="485">
      <c r="A485" s="94"/>
      <c r="B485" s="94"/>
      <c r="C485" s="94"/>
      <c r="D485" s="94"/>
      <c r="E485" s="94"/>
    </row>
    <row r="486">
      <c r="A486" s="94"/>
      <c r="B486" s="94"/>
      <c r="C486" s="94"/>
      <c r="D486" s="94"/>
      <c r="E486" s="94"/>
    </row>
    <row r="487">
      <c r="A487" s="94"/>
      <c r="B487" s="94"/>
      <c r="C487" s="94"/>
      <c r="D487" s="94"/>
      <c r="E487" s="94"/>
    </row>
    <row r="488">
      <c r="A488" s="94"/>
      <c r="B488" s="94"/>
      <c r="C488" s="94"/>
      <c r="D488" s="94"/>
      <c r="E488" s="94"/>
    </row>
    <row r="489">
      <c r="A489" s="94"/>
      <c r="B489" s="94"/>
      <c r="C489" s="94"/>
      <c r="D489" s="94"/>
      <c r="E489" s="94"/>
    </row>
    <row r="490">
      <c r="A490" s="94"/>
      <c r="B490" s="94"/>
      <c r="C490" s="94"/>
      <c r="D490" s="94"/>
      <c r="E490" s="94"/>
    </row>
    <row r="491">
      <c r="A491" s="94"/>
      <c r="B491" s="94"/>
      <c r="C491" s="94"/>
      <c r="D491" s="94"/>
      <c r="E491" s="94"/>
    </row>
    <row r="492">
      <c r="A492" s="94"/>
      <c r="B492" s="94"/>
      <c r="C492" s="94"/>
      <c r="D492" s="94"/>
      <c r="E492" s="94"/>
    </row>
    <row r="493">
      <c r="A493" s="94"/>
      <c r="B493" s="94"/>
      <c r="C493" s="94"/>
      <c r="D493" s="94"/>
      <c r="E493" s="94"/>
    </row>
    <row r="494">
      <c r="A494" s="94"/>
      <c r="B494" s="94"/>
      <c r="C494" s="94"/>
      <c r="D494" s="94"/>
      <c r="E494" s="94"/>
    </row>
    <row r="495">
      <c r="A495" s="94"/>
      <c r="B495" s="94"/>
      <c r="C495" s="94"/>
      <c r="D495" s="94"/>
      <c r="E495" s="94"/>
    </row>
    <row r="496">
      <c r="A496" s="94"/>
      <c r="B496" s="94"/>
      <c r="C496" s="94"/>
      <c r="D496" s="94"/>
      <c r="E496" s="94"/>
    </row>
    <row r="497">
      <c r="A497" s="94"/>
      <c r="B497" s="94"/>
      <c r="C497" s="94"/>
      <c r="D497" s="94"/>
      <c r="E497" s="94"/>
    </row>
    <row r="498">
      <c r="A498" s="94"/>
      <c r="B498" s="94"/>
      <c r="C498" s="94"/>
      <c r="D498" s="94"/>
      <c r="E498" s="94"/>
    </row>
    <row r="499">
      <c r="A499" s="94"/>
      <c r="B499" s="94"/>
      <c r="C499" s="94"/>
      <c r="D499" s="94"/>
      <c r="E499" s="94"/>
    </row>
    <row r="500">
      <c r="A500" s="94"/>
      <c r="B500" s="94"/>
      <c r="C500" s="94"/>
      <c r="D500" s="94"/>
      <c r="E500" s="94"/>
    </row>
    <row r="501">
      <c r="A501" s="94"/>
      <c r="B501" s="94"/>
      <c r="C501" s="94"/>
      <c r="D501" s="94"/>
      <c r="E501" s="94"/>
    </row>
    <row r="502">
      <c r="A502" s="94"/>
      <c r="B502" s="94"/>
      <c r="C502" s="94"/>
      <c r="D502" s="94"/>
      <c r="E502" s="94"/>
    </row>
    <row r="503">
      <c r="A503" s="94"/>
      <c r="B503" s="94"/>
      <c r="C503" s="94"/>
      <c r="D503" s="94"/>
      <c r="E503" s="94"/>
    </row>
    <row r="504">
      <c r="A504" s="94"/>
      <c r="B504" s="94"/>
      <c r="C504" s="94"/>
      <c r="D504" s="94"/>
      <c r="E504" s="94"/>
    </row>
    <row r="505">
      <c r="A505" s="94"/>
      <c r="B505" s="94"/>
      <c r="C505" s="94"/>
      <c r="D505" s="94"/>
      <c r="E505" s="94"/>
    </row>
    <row r="506">
      <c r="A506" s="94"/>
      <c r="B506" s="94"/>
      <c r="C506" s="94"/>
      <c r="D506" s="94"/>
      <c r="E506" s="94"/>
    </row>
    <row r="507">
      <c r="A507" s="94"/>
      <c r="B507" s="94"/>
      <c r="C507" s="94"/>
      <c r="D507" s="94"/>
      <c r="E507" s="94"/>
    </row>
    <row r="508">
      <c r="A508" s="94"/>
      <c r="B508" s="94"/>
      <c r="C508" s="94"/>
      <c r="D508" s="94"/>
      <c r="E508" s="94"/>
    </row>
    <row r="509">
      <c r="A509" s="94"/>
      <c r="B509" s="94"/>
      <c r="C509" s="94"/>
      <c r="D509" s="94"/>
      <c r="E509" s="94"/>
    </row>
    <row r="510">
      <c r="A510" s="94"/>
      <c r="B510" s="94"/>
      <c r="C510" s="94"/>
      <c r="D510" s="94"/>
      <c r="E510" s="94"/>
    </row>
    <row r="511">
      <c r="A511" s="94"/>
      <c r="B511" s="94"/>
      <c r="C511" s="94"/>
      <c r="D511" s="94"/>
      <c r="E511" s="94"/>
    </row>
    <row r="512">
      <c r="A512" s="94"/>
      <c r="B512" s="94"/>
      <c r="C512" s="94"/>
      <c r="D512" s="94"/>
      <c r="E512" s="94"/>
    </row>
    <row r="513">
      <c r="A513" s="94"/>
      <c r="B513" s="94"/>
      <c r="C513" s="94"/>
      <c r="D513" s="94"/>
      <c r="E513" s="94"/>
    </row>
    <row r="514">
      <c r="A514" s="94"/>
      <c r="B514" s="94"/>
      <c r="C514" s="94"/>
      <c r="D514" s="94"/>
      <c r="E514" s="94"/>
    </row>
    <row r="515">
      <c r="A515" s="94"/>
      <c r="B515" s="94"/>
      <c r="C515" s="94"/>
      <c r="D515" s="94"/>
      <c r="E515" s="94"/>
    </row>
    <row r="516">
      <c r="A516" s="94"/>
      <c r="B516" s="94"/>
      <c r="C516" s="94"/>
      <c r="D516" s="94"/>
      <c r="E516" s="94"/>
    </row>
    <row r="517">
      <c r="A517" s="94"/>
      <c r="B517" s="94"/>
      <c r="C517" s="94"/>
      <c r="D517" s="94"/>
      <c r="E517" s="94"/>
    </row>
    <row r="518">
      <c r="A518" s="94"/>
      <c r="B518" s="94"/>
      <c r="C518" s="94"/>
      <c r="D518" s="94"/>
      <c r="E518" s="94"/>
    </row>
    <row r="519">
      <c r="A519" s="94"/>
      <c r="B519" s="94"/>
      <c r="C519" s="94"/>
      <c r="D519" s="94"/>
      <c r="E519" s="94"/>
    </row>
    <row r="520">
      <c r="A520" s="94"/>
      <c r="B520" s="94"/>
      <c r="C520" s="94"/>
      <c r="D520" s="94"/>
      <c r="E520" s="94"/>
    </row>
    <row r="521">
      <c r="A521" s="94"/>
      <c r="B521" s="94"/>
      <c r="C521" s="94"/>
      <c r="D521" s="94"/>
      <c r="E521" s="94"/>
    </row>
    <row r="522">
      <c r="A522" s="94"/>
      <c r="B522" s="94"/>
      <c r="C522" s="94"/>
      <c r="D522" s="94"/>
      <c r="E522" s="94"/>
    </row>
    <row r="523">
      <c r="A523" s="94"/>
      <c r="B523" s="94"/>
      <c r="C523" s="94"/>
      <c r="D523" s="94"/>
      <c r="E523" s="94"/>
    </row>
    <row r="524">
      <c r="A524" s="94"/>
      <c r="B524" s="94"/>
      <c r="C524" s="94"/>
      <c r="D524" s="94"/>
      <c r="E524" s="94"/>
    </row>
    <row r="525">
      <c r="A525" s="94"/>
      <c r="B525" s="94"/>
      <c r="C525" s="94"/>
      <c r="D525" s="94"/>
      <c r="E525" s="94"/>
    </row>
    <row r="526">
      <c r="A526" s="94"/>
      <c r="B526" s="94"/>
      <c r="C526" s="94"/>
      <c r="D526" s="94"/>
      <c r="E526" s="94"/>
    </row>
    <row r="527">
      <c r="A527" s="94"/>
      <c r="B527" s="94"/>
      <c r="C527" s="94"/>
      <c r="D527" s="94"/>
      <c r="E527" s="94"/>
    </row>
    <row r="528">
      <c r="A528" s="94"/>
      <c r="B528" s="94"/>
      <c r="C528" s="94"/>
      <c r="D528" s="94"/>
      <c r="E528" s="94"/>
    </row>
    <row r="529">
      <c r="A529" s="94"/>
      <c r="B529" s="94"/>
      <c r="C529" s="94"/>
      <c r="D529" s="94"/>
      <c r="E529" s="94"/>
    </row>
    <row r="530">
      <c r="A530" s="94"/>
      <c r="B530" s="94"/>
      <c r="C530" s="94"/>
      <c r="D530" s="94"/>
      <c r="E530" s="94"/>
    </row>
    <row r="531">
      <c r="A531" s="94"/>
      <c r="B531" s="94"/>
      <c r="C531" s="94"/>
      <c r="D531" s="94"/>
      <c r="E531" s="94"/>
    </row>
    <row r="532">
      <c r="A532" s="94"/>
      <c r="B532" s="94"/>
      <c r="C532" s="94"/>
      <c r="D532" s="94"/>
      <c r="E532" s="94"/>
    </row>
    <row r="533">
      <c r="A533" s="94"/>
      <c r="B533" s="94"/>
      <c r="C533" s="94"/>
      <c r="D533" s="94"/>
      <c r="E533" s="94"/>
    </row>
    <row r="534">
      <c r="A534" s="94"/>
      <c r="B534" s="94"/>
      <c r="C534" s="94"/>
      <c r="D534" s="94"/>
      <c r="E534" s="94"/>
    </row>
    <row r="535">
      <c r="A535" s="94"/>
      <c r="B535" s="94"/>
      <c r="C535" s="94"/>
      <c r="D535" s="94"/>
      <c r="E535" s="94"/>
    </row>
    <row r="536">
      <c r="A536" s="94"/>
      <c r="B536" s="94"/>
      <c r="C536" s="94"/>
      <c r="D536" s="94"/>
      <c r="E536" s="94"/>
    </row>
    <row r="537">
      <c r="A537" s="94"/>
      <c r="B537" s="94"/>
      <c r="C537" s="94"/>
      <c r="D537" s="94"/>
      <c r="E537" s="94"/>
    </row>
    <row r="538">
      <c r="A538" s="94"/>
      <c r="B538" s="94"/>
      <c r="C538" s="94"/>
      <c r="D538" s="94"/>
      <c r="E538" s="94"/>
    </row>
    <row r="539">
      <c r="A539" s="94"/>
      <c r="B539" s="94"/>
      <c r="C539" s="94"/>
      <c r="D539" s="94"/>
      <c r="E539" s="94"/>
    </row>
    <row r="540">
      <c r="A540" s="94"/>
      <c r="B540" s="94"/>
      <c r="C540" s="94"/>
      <c r="D540" s="94"/>
      <c r="E540" s="94"/>
    </row>
    <row r="541">
      <c r="A541" s="94"/>
      <c r="B541" s="94"/>
      <c r="C541" s="94"/>
      <c r="D541" s="94"/>
      <c r="E541" s="94"/>
    </row>
    <row r="542">
      <c r="A542" s="94"/>
      <c r="B542" s="94"/>
      <c r="C542" s="94"/>
      <c r="D542" s="94"/>
      <c r="E542" s="94"/>
    </row>
    <row r="543">
      <c r="A543" s="94"/>
      <c r="B543" s="94"/>
      <c r="C543" s="94"/>
      <c r="D543" s="94"/>
      <c r="E543" s="94"/>
    </row>
    <row r="544">
      <c r="A544" s="94"/>
      <c r="B544" s="94"/>
      <c r="C544" s="94"/>
      <c r="D544" s="94"/>
      <c r="E544" s="94"/>
    </row>
    <row r="545">
      <c r="A545" s="94"/>
      <c r="B545" s="94"/>
      <c r="C545" s="94"/>
      <c r="D545" s="94"/>
      <c r="E545" s="94"/>
    </row>
    <row r="546">
      <c r="A546" s="94"/>
      <c r="B546" s="94"/>
      <c r="C546" s="94"/>
      <c r="D546" s="94"/>
      <c r="E546" s="94"/>
    </row>
    <row r="547">
      <c r="A547" s="94"/>
      <c r="B547" s="94"/>
      <c r="C547" s="94"/>
      <c r="D547" s="94"/>
      <c r="E547" s="94"/>
    </row>
    <row r="548">
      <c r="A548" s="94"/>
      <c r="B548" s="94"/>
      <c r="C548" s="94"/>
      <c r="D548" s="94"/>
      <c r="E548" s="94"/>
    </row>
    <row r="549">
      <c r="A549" s="94"/>
      <c r="B549" s="94"/>
      <c r="C549" s="94"/>
      <c r="D549" s="94"/>
      <c r="E549" s="94"/>
    </row>
    <row r="550">
      <c r="A550" s="94"/>
      <c r="B550" s="94"/>
      <c r="C550" s="94"/>
      <c r="D550" s="94"/>
      <c r="E550" s="94"/>
    </row>
    <row r="551">
      <c r="A551" s="94"/>
      <c r="B551" s="94"/>
      <c r="C551" s="94"/>
      <c r="D551" s="94"/>
      <c r="E551" s="94"/>
    </row>
    <row r="552">
      <c r="A552" s="94"/>
      <c r="B552" s="94"/>
      <c r="C552" s="94"/>
      <c r="D552" s="94"/>
      <c r="E552" s="94"/>
    </row>
    <row r="553">
      <c r="A553" s="94"/>
      <c r="B553" s="94"/>
      <c r="C553" s="94"/>
      <c r="D553" s="94"/>
      <c r="E553" s="94"/>
    </row>
    <row r="554">
      <c r="A554" s="94"/>
      <c r="B554" s="94"/>
      <c r="C554" s="94"/>
      <c r="D554" s="94"/>
      <c r="E554" s="94"/>
    </row>
    <row r="555">
      <c r="A555" s="94"/>
      <c r="B555" s="94"/>
      <c r="C555" s="94"/>
      <c r="D555" s="94"/>
      <c r="E555" s="94"/>
    </row>
    <row r="556">
      <c r="A556" s="94"/>
      <c r="B556" s="94"/>
      <c r="C556" s="94"/>
      <c r="D556" s="94"/>
      <c r="E556" s="94"/>
    </row>
    <row r="557">
      <c r="A557" s="94"/>
      <c r="B557" s="94"/>
      <c r="C557" s="94"/>
      <c r="D557" s="94"/>
      <c r="E557" s="94"/>
    </row>
    <row r="558">
      <c r="A558" s="94"/>
      <c r="B558" s="94"/>
      <c r="C558" s="94"/>
      <c r="D558" s="94"/>
      <c r="E558" s="94"/>
    </row>
    <row r="559">
      <c r="A559" s="94"/>
      <c r="B559" s="94"/>
      <c r="C559" s="94"/>
      <c r="D559" s="94"/>
      <c r="E559" s="94"/>
    </row>
    <row r="560">
      <c r="A560" s="94"/>
      <c r="B560" s="94"/>
      <c r="C560" s="94"/>
      <c r="D560" s="94"/>
      <c r="E560" s="94"/>
    </row>
    <row r="561">
      <c r="A561" s="94"/>
      <c r="B561" s="94"/>
      <c r="C561" s="94"/>
      <c r="D561" s="94"/>
      <c r="E561" s="94"/>
    </row>
    <row r="562">
      <c r="A562" s="94"/>
      <c r="B562" s="94"/>
      <c r="C562" s="94"/>
      <c r="D562" s="94"/>
      <c r="E562" s="94"/>
    </row>
    <row r="563">
      <c r="A563" s="94"/>
      <c r="B563" s="94"/>
      <c r="C563" s="94"/>
      <c r="D563" s="94"/>
      <c r="E563" s="94"/>
    </row>
    <row r="564">
      <c r="A564" s="94"/>
      <c r="B564" s="94"/>
      <c r="C564" s="94"/>
      <c r="D564" s="94"/>
      <c r="E564" s="94"/>
    </row>
    <row r="565">
      <c r="A565" s="94"/>
      <c r="B565" s="94"/>
      <c r="C565" s="94"/>
      <c r="D565" s="94"/>
      <c r="E565" s="94"/>
    </row>
    <row r="566">
      <c r="A566" s="94"/>
      <c r="B566" s="94"/>
      <c r="C566" s="94"/>
      <c r="D566" s="94"/>
      <c r="E566" s="94"/>
    </row>
    <row r="567">
      <c r="A567" s="94"/>
      <c r="B567" s="94"/>
      <c r="C567" s="94"/>
      <c r="D567" s="94"/>
      <c r="E567" s="94"/>
    </row>
    <row r="568">
      <c r="A568" s="94"/>
      <c r="B568" s="94"/>
      <c r="C568" s="94"/>
      <c r="D568" s="94"/>
      <c r="E568" s="94"/>
    </row>
    <row r="569">
      <c r="A569" s="94"/>
      <c r="B569" s="94"/>
      <c r="C569" s="94"/>
      <c r="D569" s="94"/>
      <c r="E569" s="94"/>
    </row>
    <row r="570">
      <c r="A570" s="94"/>
      <c r="B570" s="94"/>
      <c r="C570" s="94"/>
      <c r="D570" s="94"/>
      <c r="E570" s="94"/>
    </row>
    <row r="571">
      <c r="A571" s="94"/>
      <c r="B571" s="94"/>
      <c r="C571" s="94"/>
      <c r="D571" s="94"/>
      <c r="E571" s="94"/>
    </row>
    <row r="572">
      <c r="A572" s="94"/>
      <c r="B572" s="94"/>
      <c r="C572" s="94"/>
      <c r="D572" s="94"/>
      <c r="E572" s="94"/>
    </row>
    <row r="573">
      <c r="A573" s="94"/>
      <c r="B573" s="94"/>
      <c r="C573" s="94"/>
      <c r="D573" s="94"/>
      <c r="E573" s="94"/>
    </row>
    <row r="574">
      <c r="A574" s="94"/>
      <c r="B574" s="94"/>
      <c r="C574" s="94"/>
      <c r="D574" s="94"/>
      <c r="E574" s="94"/>
    </row>
    <row r="575">
      <c r="A575" s="94"/>
      <c r="B575" s="94"/>
      <c r="C575" s="94"/>
      <c r="D575" s="94"/>
      <c r="E575" s="94"/>
    </row>
    <row r="576">
      <c r="A576" s="94"/>
      <c r="B576" s="94"/>
      <c r="C576" s="94"/>
      <c r="D576" s="94"/>
      <c r="E576" s="94"/>
    </row>
    <row r="577">
      <c r="A577" s="94"/>
      <c r="B577" s="94"/>
      <c r="C577" s="94"/>
      <c r="D577" s="94"/>
      <c r="E577" s="94"/>
    </row>
    <row r="578">
      <c r="A578" s="94"/>
      <c r="B578" s="94"/>
      <c r="C578" s="94"/>
      <c r="D578" s="94"/>
      <c r="E578" s="94"/>
    </row>
    <row r="579">
      <c r="A579" s="94"/>
      <c r="B579" s="94"/>
      <c r="C579" s="94"/>
      <c r="D579" s="94"/>
      <c r="E579" s="94"/>
    </row>
    <row r="580">
      <c r="A580" s="94"/>
      <c r="B580" s="94"/>
      <c r="C580" s="94"/>
      <c r="D580" s="94"/>
      <c r="E580" s="94"/>
    </row>
    <row r="581">
      <c r="A581" s="94"/>
      <c r="B581" s="94"/>
      <c r="C581" s="94"/>
      <c r="D581" s="94"/>
      <c r="E581" s="94"/>
    </row>
    <row r="582">
      <c r="A582" s="94"/>
      <c r="B582" s="94"/>
      <c r="C582" s="94"/>
      <c r="D582" s="94"/>
      <c r="E582" s="94"/>
    </row>
    <row r="583">
      <c r="A583" s="94"/>
      <c r="B583" s="94"/>
      <c r="C583" s="94"/>
      <c r="D583" s="94"/>
      <c r="E583" s="94"/>
    </row>
    <row r="584">
      <c r="A584" s="94"/>
      <c r="B584" s="94"/>
      <c r="C584" s="94"/>
      <c r="D584" s="94"/>
      <c r="E584" s="94"/>
    </row>
    <row r="585">
      <c r="A585" s="94"/>
      <c r="B585" s="94"/>
      <c r="C585" s="94"/>
      <c r="D585" s="94"/>
      <c r="E585" s="94"/>
    </row>
    <row r="586">
      <c r="A586" s="94"/>
      <c r="B586" s="94"/>
      <c r="C586" s="94"/>
      <c r="D586" s="94"/>
      <c r="E586" s="94"/>
    </row>
    <row r="587">
      <c r="A587" s="94"/>
      <c r="B587" s="94"/>
      <c r="C587" s="94"/>
      <c r="D587" s="94"/>
      <c r="E587" s="94"/>
    </row>
    <row r="588">
      <c r="A588" s="94"/>
      <c r="B588" s="94"/>
      <c r="C588" s="94"/>
      <c r="D588" s="94"/>
      <c r="E588" s="94"/>
    </row>
    <row r="589">
      <c r="A589" s="94"/>
      <c r="B589" s="94"/>
      <c r="C589" s="94"/>
      <c r="D589" s="94"/>
      <c r="E589" s="94"/>
    </row>
    <row r="590">
      <c r="A590" s="94"/>
      <c r="B590" s="94"/>
      <c r="C590" s="94"/>
      <c r="D590" s="94"/>
      <c r="E590" s="94"/>
    </row>
    <row r="591">
      <c r="A591" s="94"/>
      <c r="B591" s="94"/>
      <c r="C591" s="94"/>
      <c r="D591" s="94"/>
      <c r="E591" s="94"/>
    </row>
    <row r="592">
      <c r="A592" s="94"/>
      <c r="B592" s="94"/>
      <c r="C592" s="94"/>
      <c r="D592" s="94"/>
      <c r="E592" s="94"/>
    </row>
    <row r="593">
      <c r="A593" s="94"/>
      <c r="B593" s="94"/>
      <c r="C593" s="94"/>
      <c r="D593" s="94"/>
      <c r="E593" s="94"/>
    </row>
    <row r="594">
      <c r="A594" s="94"/>
      <c r="B594" s="94"/>
      <c r="C594" s="94"/>
      <c r="D594" s="94"/>
      <c r="E594" s="94"/>
    </row>
    <row r="595">
      <c r="A595" s="94"/>
      <c r="B595" s="94"/>
      <c r="C595" s="94"/>
      <c r="D595" s="94"/>
      <c r="E595" s="94"/>
    </row>
    <row r="596">
      <c r="A596" s="94"/>
      <c r="B596" s="94"/>
      <c r="C596" s="94"/>
      <c r="D596" s="94"/>
      <c r="E596" s="94"/>
    </row>
    <row r="597">
      <c r="A597" s="94"/>
      <c r="B597" s="94"/>
      <c r="C597" s="94"/>
      <c r="D597" s="94"/>
      <c r="E597" s="94"/>
    </row>
    <row r="598">
      <c r="A598" s="94"/>
      <c r="B598" s="94"/>
      <c r="C598" s="94"/>
      <c r="D598" s="94"/>
      <c r="E598" s="94"/>
    </row>
    <row r="599">
      <c r="A599" s="94"/>
      <c r="B599" s="94"/>
      <c r="C599" s="94"/>
      <c r="D599" s="94"/>
      <c r="E599" s="94"/>
    </row>
    <row r="600">
      <c r="A600" s="94"/>
      <c r="B600" s="94"/>
      <c r="C600" s="94"/>
      <c r="D600" s="94"/>
      <c r="E600" s="94"/>
    </row>
    <row r="601">
      <c r="A601" s="94"/>
      <c r="B601" s="94"/>
      <c r="C601" s="94"/>
      <c r="D601" s="94"/>
      <c r="E601" s="94"/>
    </row>
    <row r="602">
      <c r="A602" s="94"/>
      <c r="B602" s="94"/>
      <c r="C602" s="94"/>
      <c r="D602" s="94"/>
      <c r="E602" s="94"/>
    </row>
    <row r="603">
      <c r="A603" s="94"/>
      <c r="B603" s="94"/>
      <c r="C603" s="94"/>
      <c r="D603" s="94"/>
      <c r="E603" s="94"/>
    </row>
    <row r="604">
      <c r="A604" s="94"/>
      <c r="B604" s="94"/>
      <c r="C604" s="94"/>
      <c r="D604" s="94"/>
      <c r="E604" s="94"/>
    </row>
    <row r="605">
      <c r="A605" s="94"/>
      <c r="B605" s="94"/>
      <c r="C605" s="94"/>
      <c r="D605" s="94"/>
      <c r="E605" s="94"/>
    </row>
    <row r="606">
      <c r="A606" s="94"/>
      <c r="B606" s="94"/>
      <c r="C606" s="94"/>
      <c r="D606" s="94"/>
      <c r="E606" s="94"/>
    </row>
    <row r="607">
      <c r="A607" s="94"/>
      <c r="B607" s="94"/>
      <c r="C607" s="94"/>
      <c r="D607" s="94"/>
      <c r="E607" s="94"/>
    </row>
    <row r="608">
      <c r="A608" s="94"/>
      <c r="B608" s="94"/>
      <c r="C608" s="94"/>
      <c r="D608" s="94"/>
      <c r="E608" s="94"/>
    </row>
    <row r="609">
      <c r="A609" s="94"/>
      <c r="B609" s="94"/>
      <c r="C609" s="94"/>
      <c r="D609" s="94"/>
      <c r="E609" s="94"/>
    </row>
    <row r="610">
      <c r="A610" s="94"/>
      <c r="B610" s="94"/>
      <c r="C610" s="94"/>
      <c r="D610" s="94"/>
      <c r="E610" s="94"/>
    </row>
    <row r="611">
      <c r="A611" s="94"/>
      <c r="B611" s="94"/>
      <c r="C611" s="94"/>
      <c r="D611" s="94"/>
      <c r="E611" s="94"/>
    </row>
    <row r="612">
      <c r="A612" s="94"/>
      <c r="B612" s="94"/>
      <c r="C612" s="94"/>
      <c r="D612" s="94"/>
      <c r="E612" s="94"/>
    </row>
    <row r="613">
      <c r="A613" s="94"/>
      <c r="B613" s="94"/>
      <c r="C613" s="94"/>
      <c r="D613" s="94"/>
      <c r="E613" s="94"/>
    </row>
    <row r="614">
      <c r="A614" s="94"/>
      <c r="B614" s="94"/>
      <c r="C614" s="94"/>
      <c r="D614" s="94"/>
      <c r="E614" s="94"/>
    </row>
    <row r="615">
      <c r="A615" s="94"/>
      <c r="B615" s="94"/>
      <c r="C615" s="94"/>
      <c r="D615" s="94"/>
      <c r="E615" s="94"/>
    </row>
    <row r="616">
      <c r="A616" s="94"/>
      <c r="B616" s="94"/>
      <c r="C616" s="94"/>
      <c r="D616" s="94"/>
      <c r="E616" s="94"/>
    </row>
    <row r="617">
      <c r="A617" s="94"/>
      <c r="B617" s="94"/>
      <c r="C617" s="94"/>
      <c r="D617" s="94"/>
      <c r="E617" s="94"/>
    </row>
    <row r="618">
      <c r="A618" s="94"/>
      <c r="B618" s="94"/>
      <c r="C618" s="94"/>
      <c r="D618" s="94"/>
      <c r="E618" s="94"/>
    </row>
    <row r="619">
      <c r="A619" s="94"/>
      <c r="B619" s="94"/>
      <c r="C619" s="94"/>
      <c r="D619" s="94"/>
      <c r="E619" s="94"/>
    </row>
    <row r="620">
      <c r="A620" s="94"/>
      <c r="B620" s="94"/>
      <c r="C620" s="94"/>
      <c r="D620" s="94"/>
      <c r="E620" s="94"/>
    </row>
    <row r="621">
      <c r="A621" s="94"/>
      <c r="B621" s="94"/>
      <c r="C621" s="94"/>
      <c r="D621" s="94"/>
      <c r="E621" s="94"/>
    </row>
    <row r="622">
      <c r="A622" s="94"/>
      <c r="B622" s="94"/>
      <c r="C622" s="94"/>
      <c r="D622" s="94"/>
      <c r="E622" s="94"/>
    </row>
    <row r="623">
      <c r="A623" s="94"/>
      <c r="B623" s="94"/>
      <c r="C623" s="94"/>
      <c r="D623" s="94"/>
      <c r="E623" s="94"/>
    </row>
    <row r="624">
      <c r="A624" s="94"/>
      <c r="B624" s="94"/>
      <c r="C624" s="94"/>
      <c r="D624" s="94"/>
      <c r="E624" s="94"/>
    </row>
    <row r="625">
      <c r="A625" s="94"/>
      <c r="B625" s="94"/>
      <c r="C625" s="94"/>
      <c r="D625" s="94"/>
      <c r="E625" s="94"/>
    </row>
    <row r="626">
      <c r="A626" s="94"/>
      <c r="B626" s="94"/>
      <c r="C626" s="94"/>
      <c r="D626" s="94"/>
      <c r="E626" s="94"/>
    </row>
    <row r="627">
      <c r="A627" s="94"/>
      <c r="B627" s="94"/>
      <c r="C627" s="94"/>
      <c r="D627" s="94"/>
      <c r="E627" s="94"/>
    </row>
    <row r="628">
      <c r="A628" s="94"/>
      <c r="B628" s="94"/>
      <c r="C628" s="94"/>
      <c r="D628" s="94"/>
      <c r="E628" s="94"/>
    </row>
    <row r="629">
      <c r="A629" s="94"/>
      <c r="B629" s="94"/>
      <c r="C629" s="94"/>
      <c r="D629" s="94"/>
      <c r="E629" s="94"/>
    </row>
    <row r="630">
      <c r="A630" s="94"/>
      <c r="B630" s="94"/>
      <c r="C630" s="94"/>
      <c r="D630" s="94"/>
      <c r="E630" s="94"/>
    </row>
    <row r="631">
      <c r="A631" s="94"/>
      <c r="B631" s="94"/>
      <c r="C631" s="94"/>
      <c r="D631" s="94"/>
      <c r="E631" s="94"/>
    </row>
    <row r="632">
      <c r="A632" s="94"/>
      <c r="B632" s="94"/>
      <c r="C632" s="94"/>
      <c r="D632" s="94"/>
      <c r="E632" s="94"/>
    </row>
    <row r="633">
      <c r="A633" s="94"/>
      <c r="B633" s="94"/>
      <c r="C633" s="94"/>
      <c r="D633" s="94"/>
      <c r="E633" s="94"/>
    </row>
    <row r="634">
      <c r="A634" s="94"/>
      <c r="B634" s="94"/>
      <c r="C634" s="94"/>
      <c r="D634" s="94"/>
      <c r="E634" s="94"/>
    </row>
    <row r="635">
      <c r="A635" s="94"/>
      <c r="B635" s="94"/>
      <c r="C635" s="94"/>
      <c r="D635" s="94"/>
      <c r="E635" s="94"/>
    </row>
    <row r="636">
      <c r="A636" s="94"/>
      <c r="B636" s="94"/>
      <c r="C636" s="94"/>
      <c r="D636" s="94"/>
      <c r="E636" s="94"/>
    </row>
    <row r="637">
      <c r="A637" s="94"/>
      <c r="B637" s="94"/>
      <c r="C637" s="94"/>
      <c r="D637" s="94"/>
      <c r="E637" s="94"/>
    </row>
    <row r="638">
      <c r="A638" s="94"/>
      <c r="B638" s="94"/>
      <c r="C638" s="94"/>
      <c r="D638" s="94"/>
      <c r="E638" s="94"/>
    </row>
    <row r="639">
      <c r="A639" s="94"/>
      <c r="B639" s="94"/>
      <c r="C639" s="94"/>
      <c r="D639" s="94"/>
      <c r="E639" s="94"/>
    </row>
    <row r="640">
      <c r="A640" s="94"/>
      <c r="B640" s="94"/>
      <c r="C640" s="94"/>
      <c r="D640" s="94"/>
      <c r="E640" s="94"/>
    </row>
    <row r="641">
      <c r="A641" s="94"/>
      <c r="B641" s="94"/>
      <c r="C641" s="94"/>
      <c r="D641" s="94"/>
      <c r="E641" s="94"/>
    </row>
    <row r="642">
      <c r="A642" s="94"/>
      <c r="B642" s="94"/>
      <c r="C642" s="94"/>
      <c r="D642" s="94"/>
      <c r="E642" s="94"/>
    </row>
    <row r="643">
      <c r="A643" s="94"/>
      <c r="B643" s="94"/>
      <c r="C643" s="94"/>
      <c r="D643" s="94"/>
      <c r="E643" s="94"/>
    </row>
    <row r="644">
      <c r="A644" s="94"/>
      <c r="B644" s="94"/>
      <c r="C644" s="94"/>
      <c r="D644" s="94"/>
      <c r="E644" s="94"/>
    </row>
    <row r="645">
      <c r="A645" s="94"/>
      <c r="B645" s="94"/>
      <c r="C645" s="94"/>
      <c r="D645" s="94"/>
      <c r="E645" s="94"/>
    </row>
    <row r="646">
      <c r="A646" s="94"/>
      <c r="B646" s="94"/>
      <c r="C646" s="94"/>
      <c r="D646" s="94"/>
      <c r="E646" s="94"/>
    </row>
    <row r="647">
      <c r="A647" s="94"/>
      <c r="B647" s="94"/>
      <c r="C647" s="94"/>
      <c r="D647" s="94"/>
      <c r="E647" s="94"/>
    </row>
    <row r="648">
      <c r="A648" s="94"/>
      <c r="B648" s="94"/>
      <c r="C648" s="94"/>
      <c r="D648" s="94"/>
      <c r="E648" s="94"/>
    </row>
    <row r="649">
      <c r="A649" s="94"/>
      <c r="B649" s="94"/>
      <c r="C649" s="94"/>
      <c r="D649" s="94"/>
      <c r="E649" s="94"/>
    </row>
    <row r="650">
      <c r="A650" s="94"/>
      <c r="B650" s="94"/>
      <c r="C650" s="94"/>
      <c r="D650" s="94"/>
      <c r="E650" s="94"/>
    </row>
    <row r="651">
      <c r="A651" s="94"/>
      <c r="B651" s="94"/>
      <c r="C651" s="94"/>
      <c r="D651" s="94"/>
      <c r="E651" s="94"/>
    </row>
    <row r="652">
      <c r="A652" s="94"/>
      <c r="B652" s="94"/>
      <c r="C652" s="94"/>
      <c r="D652" s="94"/>
      <c r="E652" s="94"/>
    </row>
    <row r="653">
      <c r="A653" s="94"/>
      <c r="B653" s="94"/>
      <c r="C653" s="94"/>
      <c r="D653" s="94"/>
      <c r="E653" s="94"/>
    </row>
    <row r="654">
      <c r="A654" s="94"/>
      <c r="B654" s="94"/>
      <c r="C654" s="94"/>
      <c r="D654" s="94"/>
      <c r="E654" s="94"/>
    </row>
    <row r="655">
      <c r="A655" s="94"/>
      <c r="B655" s="94"/>
      <c r="C655" s="94"/>
      <c r="D655" s="94"/>
      <c r="E655" s="94"/>
    </row>
    <row r="656">
      <c r="A656" s="94"/>
      <c r="B656" s="94"/>
      <c r="C656" s="94"/>
      <c r="D656" s="94"/>
      <c r="E656" s="94"/>
    </row>
    <row r="657">
      <c r="A657" s="94"/>
      <c r="B657" s="94"/>
      <c r="C657" s="94"/>
      <c r="D657" s="94"/>
      <c r="E657" s="94"/>
    </row>
    <row r="658">
      <c r="A658" s="94"/>
      <c r="B658" s="94"/>
      <c r="C658" s="94"/>
      <c r="D658" s="94"/>
      <c r="E658" s="94"/>
    </row>
    <row r="659">
      <c r="A659" s="94"/>
      <c r="B659" s="94"/>
      <c r="C659" s="94"/>
      <c r="D659" s="94"/>
      <c r="E659" s="94"/>
    </row>
    <row r="660">
      <c r="A660" s="94"/>
      <c r="B660" s="94"/>
      <c r="C660" s="94"/>
      <c r="D660" s="94"/>
      <c r="E660" s="94"/>
    </row>
    <row r="661">
      <c r="A661" s="94"/>
      <c r="B661" s="94"/>
      <c r="C661" s="94"/>
      <c r="D661" s="94"/>
      <c r="E661" s="94"/>
    </row>
    <row r="662">
      <c r="A662" s="94"/>
      <c r="B662" s="94"/>
      <c r="C662" s="94"/>
      <c r="D662" s="94"/>
      <c r="E662" s="94"/>
    </row>
    <row r="663">
      <c r="A663" s="94"/>
      <c r="B663" s="94"/>
      <c r="C663" s="94"/>
      <c r="D663" s="94"/>
      <c r="E663" s="94"/>
    </row>
    <row r="664">
      <c r="A664" s="94"/>
      <c r="B664" s="94"/>
      <c r="C664" s="94"/>
      <c r="D664" s="94"/>
      <c r="E664" s="94"/>
    </row>
    <row r="665">
      <c r="A665" s="94"/>
      <c r="B665" s="94"/>
      <c r="C665" s="94"/>
      <c r="D665" s="94"/>
      <c r="E665" s="94"/>
    </row>
    <row r="666">
      <c r="A666" s="94"/>
      <c r="B666" s="94"/>
      <c r="C666" s="94"/>
      <c r="D666" s="94"/>
      <c r="E666" s="94"/>
    </row>
    <row r="667">
      <c r="A667" s="94"/>
      <c r="B667" s="94"/>
      <c r="C667" s="94"/>
      <c r="D667" s="94"/>
      <c r="E667" s="94"/>
    </row>
    <row r="668">
      <c r="A668" s="94"/>
      <c r="B668" s="94"/>
      <c r="C668" s="94"/>
      <c r="D668" s="94"/>
      <c r="E668" s="94"/>
    </row>
    <row r="669">
      <c r="A669" s="94"/>
      <c r="B669" s="94"/>
      <c r="C669" s="94"/>
      <c r="D669" s="94"/>
      <c r="E669" s="94"/>
    </row>
    <row r="670">
      <c r="A670" s="94"/>
      <c r="B670" s="94"/>
      <c r="C670" s="94"/>
      <c r="D670" s="94"/>
      <c r="E670" s="94"/>
    </row>
    <row r="671">
      <c r="A671" s="94"/>
      <c r="B671" s="94"/>
      <c r="C671" s="94"/>
      <c r="D671" s="94"/>
      <c r="E671" s="94"/>
    </row>
    <row r="672">
      <c r="A672" s="94"/>
      <c r="B672" s="94"/>
      <c r="C672" s="94"/>
      <c r="D672" s="94"/>
      <c r="E672" s="94"/>
    </row>
    <row r="673">
      <c r="A673" s="94"/>
      <c r="B673" s="94"/>
      <c r="C673" s="94"/>
      <c r="D673" s="94"/>
      <c r="E673" s="94"/>
    </row>
    <row r="674">
      <c r="A674" s="94"/>
      <c r="B674" s="94"/>
      <c r="C674" s="94"/>
      <c r="D674" s="94"/>
      <c r="E674" s="94"/>
    </row>
    <row r="675">
      <c r="A675" s="94"/>
      <c r="B675" s="94"/>
      <c r="C675" s="94"/>
      <c r="D675" s="94"/>
      <c r="E675" s="94"/>
    </row>
    <row r="676">
      <c r="A676" s="94"/>
      <c r="B676" s="94"/>
      <c r="C676" s="94"/>
      <c r="D676" s="94"/>
      <c r="E676" s="94"/>
    </row>
    <row r="677">
      <c r="A677" s="94"/>
      <c r="B677" s="94"/>
      <c r="C677" s="94"/>
      <c r="D677" s="94"/>
      <c r="E677" s="94"/>
    </row>
    <row r="678">
      <c r="A678" s="94"/>
      <c r="B678" s="94"/>
      <c r="C678" s="94"/>
      <c r="D678" s="94"/>
      <c r="E678" s="94"/>
    </row>
    <row r="679">
      <c r="A679" s="94"/>
      <c r="B679" s="94"/>
      <c r="C679" s="94"/>
      <c r="D679" s="94"/>
      <c r="E679" s="94"/>
    </row>
    <row r="680">
      <c r="A680" s="94"/>
      <c r="B680" s="94"/>
      <c r="C680" s="94"/>
      <c r="D680" s="94"/>
      <c r="E680" s="94"/>
    </row>
    <row r="681">
      <c r="A681" s="94"/>
      <c r="B681" s="94"/>
      <c r="C681" s="94"/>
      <c r="D681" s="94"/>
      <c r="E681" s="94"/>
    </row>
    <row r="682">
      <c r="A682" s="94"/>
      <c r="B682" s="94"/>
      <c r="C682" s="94"/>
      <c r="D682" s="94"/>
      <c r="E682" s="94"/>
    </row>
    <row r="683">
      <c r="A683" s="94"/>
      <c r="B683" s="94"/>
      <c r="C683" s="94"/>
      <c r="D683" s="94"/>
      <c r="E683" s="94"/>
    </row>
    <row r="684">
      <c r="A684" s="94"/>
      <c r="B684" s="94"/>
      <c r="C684" s="94"/>
      <c r="D684" s="94"/>
      <c r="E684" s="94"/>
    </row>
    <row r="685">
      <c r="A685" s="94"/>
      <c r="B685" s="94"/>
      <c r="C685" s="94"/>
      <c r="D685" s="94"/>
      <c r="E685" s="94"/>
    </row>
    <row r="686">
      <c r="A686" s="94"/>
      <c r="B686" s="94"/>
      <c r="C686" s="94"/>
      <c r="D686" s="94"/>
      <c r="E686" s="94"/>
    </row>
    <row r="687">
      <c r="A687" s="94"/>
      <c r="B687" s="94"/>
      <c r="C687" s="94"/>
      <c r="D687" s="94"/>
      <c r="E687" s="94"/>
    </row>
    <row r="688">
      <c r="A688" s="94"/>
      <c r="B688" s="94"/>
      <c r="C688" s="94"/>
      <c r="D688" s="94"/>
      <c r="E688" s="94"/>
    </row>
    <row r="689">
      <c r="A689" s="94"/>
      <c r="B689" s="94"/>
      <c r="C689" s="94"/>
      <c r="D689" s="94"/>
      <c r="E689" s="94"/>
    </row>
    <row r="690">
      <c r="A690" s="94"/>
      <c r="B690" s="94"/>
      <c r="C690" s="94"/>
      <c r="D690" s="94"/>
      <c r="E690" s="94"/>
    </row>
    <row r="691">
      <c r="A691" s="94"/>
      <c r="B691" s="94"/>
      <c r="C691" s="94"/>
      <c r="D691" s="94"/>
      <c r="E691" s="94"/>
    </row>
    <row r="692">
      <c r="A692" s="94"/>
      <c r="B692" s="94"/>
      <c r="C692" s="94"/>
      <c r="D692" s="94"/>
      <c r="E692" s="94"/>
    </row>
    <row r="693">
      <c r="A693" s="94"/>
      <c r="B693" s="94"/>
      <c r="C693" s="94"/>
      <c r="D693" s="94"/>
      <c r="E693" s="94"/>
    </row>
    <row r="694">
      <c r="A694" s="94"/>
      <c r="B694" s="94"/>
      <c r="C694" s="94"/>
      <c r="D694" s="94"/>
      <c r="E694" s="94"/>
    </row>
    <row r="695">
      <c r="A695" s="94"/>
      <c r="B695" s="94"/>
      <c r="C695" s="94"/>
      <c r="D695" s="94"/>
      <c r="E695" s="94"/>
    </row>
    <row r="696">
      <c r="A696" s="94"/>
      <c r="B696" s="94"/>
      <c r="C696" s="94"/>
      <c r="D696" s="94"/>
      <c r="E696" s="94"/>
    </row>
    <row r="697">
      <c r="A697" s="94"/>
      <c r="B697" s="94"/>
      <c r="C697" s="94"/>
      <c r="D697" s="94"/>
      <c r="E697" s="94"/>
    </row>
    <row r="698">
      <c r="A698" s="94"/>
      <c r="B698" s="94"/>
      <c r="C698" s="94"/>
      <c r="D698" s="94"/>
      <c r="E698" s="94"/>
    </row>
    <row r="699">
      <c r="A699" s="94"/>
      <c r="B699" s="94"/>
      <c r="C699" s="94"/>
      <c r="D699" s="94"/>
      <c r="E699" s="94"/>
    </row>
    <row r="700">
      <c r="A700" s="94"/>
      <c r="B700" s="94"/>
      <c r="C700" s="94"/>
      <c r="D700" s="94"/>
      <c r="E700" s="94"/>
    </row>
    <row r="701">
      <c r="A701" s="94"/>
      <c r="B701" s="94"/>
      <c r="C701" s="94"/>
      <c r="D701" s="94"/>
      <c r="E701" s="94"/>
    </row>
    <row r="702">
      <c r="A702" s="94"/>
      <c r="B702" s="94"/>
      <c r="C702" s="94"/>
      <c r="D702" s="94"/>
      <c r="E702" s="94"/>
    </row>
    <row r="703">
      <c r="A703" s="94"/>
      <c r="B703" s="94"/>
      <c r="C703" s="94"/>
      <c r="D703" s="94"/>
      <c r="E703" s="94"/>
    </row>
    <row r="704">
      <c r="A704" s="94"/>
      <c r="B704" s="94"/>
      <c r="C704" s="94"/>
      <c r="D704" s="94"/>
      <c r="E704" s="94"/>
    </row>
    <row r="705">
      <c r="A705" s="94"/>
      <c r="B705" s="94"/>
      <c r="C705" s="94"/>
      <c r="D705" s="94"/>
      <c r="E705" s="94"/>
    </row>
    <row r="706">
      <c r="A706" s="94"/>
      <c r="B706" s="94"/>
      <c r="C706" s="94"/>
      <c r="D706" s="94"/>
      <c r="E706" s="94"/>
    </row>
    <row r="707">
      <c r="A707" s="94"/>
      <c r="B707" s="94"/>
      <c r="C707" s="94"/>
      <c r="D707" s="94"/>
      <c r="E707" s="94"/>
    </row>
    <row r="708">
      <c r="A708" s="94"/>
      <c r="B708" s="94"/>
      <c r="C708" s="94"/>
      <c r="D708" s="94"/>
      <c r="E708" s="94"/>
    </row>
    <row r="709">
      <c r="A709" s="94"/>
      <c r="B709" s="94"/>
      <c r="C709" s="94"/>
      <c r="D709" s="94"/>
      <c r="E709" s="94"/>
    </row>
    <row r="710">
      <c r="A710" s="94"/>
      <c r="B710" s="94"/>
      <c r="C710" s="94"/>
      <c r="D710" s="94"/>
      <c r="E710" s="94"/>
    </row>
    <row r="711">
      <c r="A711" s="94"/>
      <c r="B711" s="94"/>
      <c r="C711" s="94"/>
      <c r="D711" s="94"/>
      <c r="E711" s="94"/>
    </row>
    <row r="712">
      <c r="A712" s="94"/>
      <c r="B712" s="94"/>
      <c r="C712" s="94"/>
      <c r="D712" s="94"/>
      <c r="E712" s="94"/>
    </row>
    <row r="713">
      <c r="A713" s="94"/>
      <c r="B713" s="94"/>
      <c r="C713" s="94"/>
      <c r="D713" s="94"/>
      <c r="E713" s="94"/>
    </row>
    <row r="714">
      <c r="A714" s="94"/>
      <c r="B714" s="94"/>
      <c r="C714" s="94"/>
      <c r="D714" s="94"/>
      <c r="E714" s="94"/>
    </row>
    <row r="715">
      <c r="A715" s="94"/>
      <c r="B715" s="94"/>
      <c r="C715" s="94"/>
      <c r="D715" s="94"/>
      <c r="E715" s="94"/>
    </row>
    <row r="716">
      <c r="A716" s="94"/>
      <c r="B716" s="94"/>
      <c r="C716" s="94"/>
      <c r="D716" s="94"/>
      <c r="E716" s="94"/>
    </row>
    <row r="717">
      <c r="A717" s="94"/>
      <c r="B717" s="94"/>
      <c r="C717" s="94"/>
      <c r="D717" s="94"/>
      <c r="E717" s="94"/>
    </row>
    <row r="718">
      <c r="A718" s="94"/>
      <c r="B718" s="94"/>
      <c r="C718" s="94"/>
      <c r="D718" s="94"/>
      <c r="E718" s="94"/>
    </row>
    <row r="719">
      <c r="A719" s="94"/>
      <c r="B719" s="94"/>
      <c r="C719" s="94"/>
      <c r="D719" s="94"/>
      <c r="E719" s="94"/>
    </row>
    <row r="720">
      <c r="A720" s="94"/>
      <c r="B720" s="94"/>
      <c r="C720" s="94"/>
      <c r="D720" s="94"/>
      <c r="E720" s="94"/>
    </row>
    <row r="721">
      <c r="A721" s="94"/>
      <c r="B721" s="94"/>
      <c r="C721" s="94"/>
      <c r="D721" s="94"/>
      <c r="E721" s="94"/>
    </row>
    <row r="722">
      <c r="A722" s="94"/>
      <c r="B722" s="94"/>
      <c r="C722" s="94"/>
      <c r="D722" s="94"/>
      <c r="E722" s="94"/>
    </row>
    <row r="723">
      <c r="A723" s="94"/>
      <c r="B723" s="94"/>
      <c r="C723" s="94"/>
      <c r="D723" s="94"/>
      <c r="E723" s="94"/>
    </row>
    <row r="724">
      <c r="A724" s="94"/>
      <c r="B724" s="94"/>
      <c r="C724" s="94"/>
      <c r="D724" s="94"/>
      <c r="E724" s="94"/>
    </row>
    <row r="725">
      <c r="A725" s="94"/>
      <c r="B725" s="94"/>
      <c r="C725" s="94"/>
      <c r="D725" s="94"/>
      <c r="E725" s="94"/>
    </row>
    <row r="726">
      <c r="A726" s="94"/>
      <c r="B726" s="94"/>
      <c r="C726" s="94"/>
      <c r="D726" s="94"/>
      <c r="E726" s="94"/>
    </row>
    <row r="727">
      <c r="A727" s="94"/>
      <c r="B727" s="94"/>
      <c r="C727" s="94"/>
      <c r="D727" s="94"/>
      <c r="E727" s="94"/>
    </row>
    <row r="728">
      <c r="A728" s="94"/>
      <c r="B728" s="94"/>
      <c r="C728" s="94"/>
      <c r="D728" s="94"/>
      <c r="E728" s="94"/>
    </row>
    <row r="729">
      <c r="A729" s="94"/>
      <c r="B729" s="94"/>
      <c r="C729" s="94"/>
      <c r="D729" s="94"/>
      <c r="E729" s="94"/>
    </row>
    <row r="730">
      <c r="A730" s="94"/>
      <c r="B730" s="94"/>
      <c r="C730" s="94"/>
      <c r="D730" s="94"/>
      <c r="E730" s="94"/>
    </row>
    <row r="731">
      <c r="A731" s="94"/>
      <c r="B731" s="94"/>
      <c r="C731" s="94"/>
      <c r="D731" s="94"/>
      <c r="E731" s="94"/>
    </row>
    <row r="732">
      <c r="A732" s="94"/>
      <c r="B732" s="94"/>
      <c r="C732" s="94"/>
      <c r="D732" s="94"/>
      <c r="E732" s="94"/>
    </row>
    <row r="733">
      <c r="A733" s="94"/>
      <c r="B733" s="94"/>
      <c r="C733" s="94"/>
      <c r="D733" s="94"/>
      <c r="E733" s="94"/>
    </row>
    <row r="734">
      <c r="A734" s="94"/>
      <c r="B734" s="94"/>
      <c r="C734" s="94"/>
      <c r="D734" s="94"/>
      <c r="E734" s="94"/>
    </row>
    <row r="735">
      <c r="A735" s="94"/>
      <c r="B735" s="94"/>
      <c r="C735" s="94"/>
      <c r="D735" s="94"/>
      <c r="E735" s="94"/>
    </row>
    <row r="736">
      <c r="A736" s="94"/>
      <c r="B736" s="94"/>
      <c r="C736" s="94"/>
      <c r="D736" s="94"/>
      <c r="E736" s="94"/>
    </row>
    <row r="737">
      <c r="A737" s="94"/>
      <c r="B737" s="94"/>
      <c r="C737" s="94"/>
      <c r="D737" s="94"/>
      <c r="E737" s="94"/>
    </row>
    <row r="738">
      <c r="A738" s="94"/>
      <c r="B738" s="94"/>
      <c r="C738" s="94"/>
      <c r="D738" s="94"/>
      <c r="E738" s="94"/>
    </row>
    <row r="739">
      <c r="A739" s="94"/>
      <c r="B739" s="94"/>
      <c r="C739" s="94"/>
      <c r="D739" s="94"/>
      <c r="E739" s="94"/>
    </row>
    <row r="740">
      <c r="A740" s="94"/>
      <c r="B740" s="94"/>
      <c r="C740" s="94"/>
      <c r="D740" s="94"/>
      <c r="E740" s="94"/>
    </row>
    <row r="741">
      <c r="A741" s="94"/>
      <c r="B741" s="94"/>
      <c r="C741" s="94"/>
      <c r="D741" s="94"/>
      <c r="E741" s="94"/>
    </row>
    <row r="742">
      <c r="A742" s="94"/>
      <c r="B742" s="94"/>
      <c r="C742" s="94"/>
      <c r="D742" s="94"/>
      <c r="E742" s="94"/>
    </row>
    <row r="743">
      <c r="A743" s="94"/>
      <c r="B743" s="94"/>
      <c r="C743" s="94"/>
      <c r="D743" s="94"/>
      <c r="E743" s="94"/>
    </row>
    <row r="744">
      <c r="A744" s="94"/>
      <c r="B744" s="94"/>
      <c r="C744" s="94"/>
      <c r="D744" s="94"/>
      <c r="E744" s="94"/>
    </row>
    <row r="745">
      <c r="A745" s="94"/>
      <c r="B745" s="94"/>
      <c r="C745" s="94"/>
      <c r="D745" s="94"/>
      <c r="E745" s="94"/>
    </row>
    <row r="746">
      <c r="A746" s="94"/>
      <c r="B746" s="94"/>
      <c r="C746" s="94"/>
      <c r="D746" s="94"/>
      <c r="E746" s="94"/>
    </row>
    <row r="747">
      <c r="A747" s="94"/>
      <c r="B747" s="94"/>
      <c r="C747" s="94"/>
      <c r="D747" s="94"/>
      <c r="E747" s="94"/>
    </row>
    <row r="748">
      <c r="A748" s="94"/>
      <c r="B748" s="94"/>
      <c r="C748" s="94"/>
      <c r="D748" s="94"/>
      <c r="E748" s="94"/>
    </row>
    <row r="749">
      <c r="A749" s="94"/>
      <c r="B749" s="94"/>
      <c r="C749" s="94"/>
      <c r="D749" s="94"/>
      <c r="E749" s="94"/>
    </row>
    <row r="750">
      <c r="A750" s="94"/>
      <c r="B750" s="94"/>
      <c r="C750" s="94"/>
      <c r="D750" s="94"/>
      <c r="E750" s="94"/>
    </row>
    <row r="751">
      <c r="A751" s="94"/>
      <c r="B751" s="94"/>
      <c r="C751" s="94"/>
      <c r="D751" s="94"/>
      <c r="E751" s="94"/>
    </row>
    <row r="752">
      <c r="A752" s="94"/>
      <c r="B752" s="94"/>
      <c r="C752" s="94"/>
      <c r="D752" s="94"/>
      <c r="E752" s="94"/>
    </row>
    <row r="753">
      <c r="A753" s="94"/>
      <c r="B753" s="94"/>
      <c r="C753" s="94"/>
      <c r="D753" s="94"/>
      <c r="E753" s="94"/>
    </row>
    <row r="754">
      <c r="A754" s="94"/>
      <c r="B754" s="94"/>
      <c r="C754" s="94"/>
      <c r="D754" s="94"/>
      <c r="E754" s="94"/>
    </row>
    <row r="755">
      <c r="A755" s="94"/>
      <c r="B755" s="94"/>
      <c r="C755" s="94"/>
      <c r="D755" s="94"/>
      <c r="E755" s="94"/>
    </row>
    <row r="756">
      <c r="A756" s="94"/>
      <c r="B756" s="94"/>
      <c r="C756" s="94"/>
      <c r="D756" s="94"/>
      <c r="E756" s="94"/>
    </row>
    <row r="757">
      <c r="A757" s="94"/>
      <c r="B757" s="94"/>
      <c r="C757" s="94"/>
      <c r="D757" s="94"/>
      <c r="E757" s="94"/>
    </row>
    <row r="758">
      <c r="A758" s="94"/>
      <c r="B758" s="94"/>
      <c r="C758" s="94"/>
      <c r="D758" s="94"/>
      <c r="E758" s="94"/>
    </row>
    <row r="759">
      <c r="A759" s="94"/>
      <c r="B759" s="94"/>
      <c r="C759" s="94"/>
      <c r="D759" s="94"/>
      <c r="E759" s="94"/>
    </row>
    <row r="760">
      <c r="A760" s="94"/>
      <c r="B760" s="94"/>
      <c r="C760" s="94"/>
      <c r="D760" s="94"/>
      <c r="E760" s="94"/>
    </row>
    <row r="761">
      <c r="A761" s="94"/>
      <c r="B761" s="94"/>
      <c r="C761" s="94"/>
      <c r="D761" s="94"/>
      <c r="E761" s="94"/>
    </row>
    <row r="762">
      <c r="A762" s="94"/>
      <c r="B762" s="94"/>
      <c r="C762" s="94"/>
      <c r="D762" s="94"/>
      <c r="E762" s="94"/>
    </row>
    <row r="763">
      <c r="A763" s="94"/>
      <c r="B763" s="94"/>
      <c r="C763" s="94"/>
      <c r="D763" s="94"/>
      <c r="E763" s="94"/>
    </row>
    <row r="764">
      <c r="A764" s="94"/>
      <c r="B764" s="94"/>
      <c r="C764" s="94"/>
      <c r="D764" s="94"/>
      <c r="E764" s="94"/>
    </row>
    <row r="765">
      <c r="A765" s="94"/>
      <c r="B765" s="94"/>
      <c r="C765" s="94"/>
      <c r="D765" s="94"/>
      <c r="E765" s="94"/>
    </row>
    <row r="766">
      <c r="A766" s="94"/>
      <c r="B766" s="94"/>
      <c r="C766" s="94"/>
      <c r="D766" s="94"/>
      <c r="E766" s="94"/>
    </row>
    <row r="767">
      <c r="A767" s="94"/>
      <c r="B767" s="94"/>
      <c r="C767" s="94"/>
      <c r="D767" s="94"/>
      <c r="E767" s="94"/>
    </row>
    <row r="768">
      <c r="A768" s="94"/>
      <c r="B768" s="94"/>
      <c r="C768" s="94"/>
      <c r="D768" s="94"/>
      <c r="E768" s="94"/>
    </row>
    <row r="769">
      <c r="A769" s="94"/>
      <c r="B769" s="94"/>
      <c r="C769" s="94"/>
      <c r="D769" s="94"/>
      <c r="E769" s="94"/>
    </row>
    <row r="770">
      <c r="A770" s="94"/>
      <c r="B770" s="94"/>
      <c r="C770" s="94"/>
      <c r="D770" s="94"/>
      <c r="E770" s="94"/>
    </row>
    <row r="771">
      <c r="A771" s="94"/>
      <c r="B771" s="94"/>
      <c r="C771" s="94"/>
      <c r="D771" s="94"/>
      <c r="E771" s="94"/>
    </row>
    <row r="772">
      <c r="A772" s="94"/>
      <c r="B772" s="94"/>
      <c r="C772" s="94"/>
      <c r="D772" s="94"/>
      <c r="E772" s="94"/>
    </row>
    <row r="773">
      <c r="A773" s="94"/>
      <c r="B773" s="94"/>
      <c r="C773" s="94"/>
      <c r="D773" s="94"/>
      <c r="E773" s="94"/>
    </row>
    <row r="774">
      <c r="A774" s="94"/>
      <c r="B774" s="94"/>
      <c r="C774" s="94"/>
      <c r="D774" s="94"/>
      <c r="E774" s="94"/>
    </row>
    <row r="775">
      <c r="A775" s="94"/>
      <c r="B775" s="94"/>
      <c r="C775" s="94"/>
      <c r="D775" s="94"/>
      <c r="E775" s="94"/>
    </row>
    <row r="776">
      <c r="A776" s="94"/>
      <c r="B776" s="94"/>
      <c r="C776" s="94"/>
      <c r="D776" s="94"/>
      <c r="E776" s="94"/>
    </row>
    <row r="777">
      <c r="A777" s="94"/>
      <c r="B777" s="94"/>
      <c r="C777" s="94"/>
      <c r="D777" s="94"/>
      <c r="E777" s="94"/>
    </row>
    <row r="778">
      <c r="A778" s="94"/>
      <c r="B778" s="94"/>
      <c r="C778" s="94"/>
      <c r="D778" s="94"/>
      <c r="E778" s="94"/>
    </row>
    <row r="779">
      <c r="A779" s="94"/>
      <c r="B779" s="94"/>
      <c r="C779" s="94"/>
      <c r="D779" s="94"/>
      <c r="E779" s="94"/>
    </row>
    <row r="780">
      <c r="A780" s="94"/>
      <c r="B780" s="94"/>
      <c r="C780" s="94"/>
      <c r="D780" s="94"/>
      <c r="E780" s="94"/>
    </row>
    <row r="781">
      <c r="A781" s="94"/>
      <c r="B781" s="94"/>
      <c r="C781" s="94"/>
      <c r="D781" s="94"/>
      <c r="E781" s="94"/>
    </row>
    <row r="782">
      <c r="A782" s="94"/>
      <c r="B782" s="94"/>
      <c r="C782" s="94"/>
      <c r="D782" s="94"/>
      <c r="E782" s="94"/>
    </row>
    <row r="783">
      <c r="A783" s="94"/>
      <c r="B783" s="94"/>
      <c r="C783" s="94"/>
      <c r="D783" s="94"/>
      <c r="E783" s="94"/>
    </row>
    <row r="784">
      <c r="A784" s="94"/>
      <c r="B784" s="94"/>
      <c r="C784" s="94"/>
      <c r="D784" s="94"/>
      <c r="E784" s="94"/>
    </row>
    <row r="785">
      <c r="A785" s="94"/>
      <c r="B785" s="94"/>
      <c r="C785" s="94"/>
      <c r="D785" s="94"/>
      <c r="E785" s="94"/>
    </row>
    <row r="786">
      <c r="A786" s="94"/>
      <c r="B786" s="94"/>
      <c r="C786" s="94"/>
      <c r="D786" s="94"/>
      <c r="E786" s="94"/>
    </row>
    <row r="787">
      <c r="A787" s="94"/>
      <c r="B787" s="94"/>
      <c r="C787" s="94"/>
      <c r="D787" s="94"/>
      <c r="E787" s="94"/>
    </row>
    <row r="788">
      <c r="A788" s="94"/>
      <c r="B788" s="94"/>
      <c r="C788" s="94"/>
      <c r="D788" s="94"/>
      <c r="E788" s="94"/>
    </row>
    <row r="789">
      <c r="A789" s="94"/>
      <c r="B789" s="94"/>
      <c r="C789" s="94"/>
      <c r="D789" s="94"/>
      <c r="E789" s="94"/>
    </row>
    <row r="790">
      <c r="A790" s="94"/>
      <c r="B790" s="94"/>
      <c r="C790" s="94"/>
      <c r="D790" s="94"/>
      <c r="E790" s="94"/>
    </row>
    <row r="791">
      <c r="A791" s="94"/>
      <c r="B791" s="94"/>
      <c r="C791" s="94"/>
      <c r="D791" s="94"/>
      <c r="E791" s="94"/>
    </row>
    <row r="792">
      <c r="A792" s="94"/>
      <c r="B792" s="94"/>
      <c r="C792" s="94"/>
      <c r="D792" s="94"/>
      <c r="E792" s="94"/>
    </row>
    <row r="793">
      <c r="A793" s="94"/>
      <c r="B793" s="94"/>
      <c r="C793" s="94"/>
      <c r="D793" s="94"/>
      <c r="E793" s="94"/>
    </row>
    <row r="794">
      <c r="A794" s="94"/>
      <c r="B794" s="94"/>
      <c r="C794" s="94"/>
      <c r="D794" s="94"/>
      <c r="E794" s="94"/>
    </row>
    <row r="795">
      <c r="A795" s="94"/>
      <c r="B795" s="94"/>
      <c r="C795" s="94"/>
      <c r="D795" s="94"/>
      <c r="E795" s="94"/>
    </row>
    <row r="796">
      <c r="A796" s="94"/>
      <c r="B796" s="94"/>
      <c r="C796" s="94"/>
      <c r="D796" s="94"/>
      <c r="E796" s="94"/>
    </row>
    <row r="797">
      <c r="A797" s="94"/>
      <c r="B797" s="94"/>
      <c r="C797" s="94"/>
      <c r="D797" s="94"/>
      <c r="E797" s="94"/>
    </row>
    <row r="798">
      <c r="A798" s="94"/>
      <c r="B798" s="94"/>
      <c r="C798" s="94"/>
      <c r="D798" s="94"/>
      <c r="E798" s="94"/>
    </row>
    <row r="799">
      <c r="A799" s="94"/>
      <c r="B799" s="94"/>
      <c r="C799" s="94"/>
      <c r="D799" s="94"/>
      <c r="E799" s="94"/>
    </row>
    <row r="800">
      <c r="A800" s="94"/>
      <c r="B800" s="94"/>
      <c r="C800" s="94"/>
      <c r="D800" s="94"/>
      <c r="E800" s="94"/>
    </row>
    <row r="801">
      <c r="A801" s="94"/>
      <c r="B801" s="94"/>
      <c r="C801" s="94"/>
      <c r="D801" s="94"/>
      <c r="E801" s="94"/>
    </row>
    <row r="802">
      <c r="A802" s="94"/>
      <c r="B802" s="94"/>
      <c r="C802" s="94"/>
      <c r="D802" s="94"/>
      <c r="E802" s="94"/>
    </row>
    <row r="803">
      <c r="A803" s="94"/>
      <c r="B803" s="94"/>
      <c r="C803" s="94"/>
      <c r="D803" s="94"/>
      <c r="E803" s="94"/>
    </row>
    <row r="804">
      <c r="A804" s="94"/>
      <c r="B804" s="94"/>
      <c r="C804" s="94"/>
      <c r="D804" s="94"/>
      <c r="E804" s="94"/>
    </row>
    <row r="805">
      <c r="A805" s="94"/>
      <c r="B805" s="94"/>
      <c r="C805" s="94"/>
      <c r="D805" s="94"/>
      <c r="E805" s="94"/>
    </row>
    <row r="806">
      <c r="A806" s="94"/>
      <c r="B806" s="94"/>
      <c r="C806" s="94"/>
      <c r="D806" s="94"/>
      <c r="E806" s="94"/>
    </row>
    <row r="807">
      <c r="A807" s="94"/>
      <c r="B807" s="94"/>
      <c r="C807" s="94"/>
      <c r="D807" s="94"/>
      <c r="E807" s="94"/>
    </row>
    <row r="808">
      <c r="A808" s="94"/>
      <c r="B808" s="94"/>
      <c r="C808" s="94"/>
      <c r="D808" s="94"/>
      <c r="E808" s="94"/>
    </row>
    <row r="809">
      <c r="A809" s="94"/>
      <c r="B809" s="94"/>
      <c r="C809" s="94"/>
      <c r="D809" s="94"/>
      <c r="E809" s="94"/>
    </row>
    <row r="810">
      <c r="A810" s="94"/>
      <c r="B810" s="94"/>
      <c r="C810" s="94"/>
      <c r="D810" s="94"/>
      <c r="E810" s="94"/>
    </row>
    <row r="811">
      <c r="A811" s="94"/>
      <c r="B811" s="94"/>
      <c r="C811" s="94"/>
      <c r="D811" s="94"/>
      <c r="E811" s="94"/>
    </row>
    <row r="812">
      <c r="A812" s="94"/>
      <c r="B812" s="94"/>
      <c r="C812" s="94"/>
      <c r="D812" s="94"/>
      <c r="E812" s="94"/>
    </row>
    <row r="813">
      <c r="A813" s="94"/>
      <c r="B813" s="94"/>
      <c r="C813" s="94"/>
      <c r="D813" s="94"/>
      <c r="E813" s="94"/>
    </row>
    <row r="814">
      <c r="A814" s="94"/>
      <c r="B814" s="94"/>
      <c r="C814" s="94"/>
      <c r="D814" s="94"/>
      <c r="E814" s="94"/>
    </row>
    <row r="815">
      <c r="A815" s="94"/>
      <c r="B815" s="94"/>
      <c r="C815" s="94"/>
      <c r="D815" s="94"/>
      <c r="E815" s="94"/>
    </row>
    <row r="816">
      <c r="A816" s="94"/>
      <c r="B816" s="94"/>
      <c r="C816" s="94"/>
      <c r="D816" s="94"/>
      <c r="E816" s="94"/>
    </row>
    <row r="817">
      <c r="A817" s="94"/>
      <c r="B817" s="94"/>
      <c r="C817" s="94"/>
      <c r="D817" s="94"/>
      <c r="E817" s="94"/>
    </row>
    <row r="818">
      <c r="A818" s="94"/>
      <c r="B818" s="94"/>
      <c r="C818" s="94"/>
      <c r="D818" s="94"/>
      <c r="E818" s="94"/>
    </row>
    <row r="819">
      <c r="A819" s="94"/>
      <c r="B819" s="94"/>
      <c r="C819" s="94"/>
      <c r="D819" s="94"/>
      <c r="E819" s="94"/>
    </row>
    <row r="820">
      <c r="A820" s="94"/>
      <c r="B820" s="94"/>
      <c r="C820" s="94"/>
      <c r="D820" s="94"/>
      <c r="E820" s="94"/>
    </row>
    <row r="821">
      <c r="A821" s="94"/>
      <c r="B821" s="94"/>
      <c r="C821" s="94"/>
      <c r="D821" s="94"/>
      <c r="E821" s="94"/>
    </row>
    <row r="822">
      <c r="A822" s="94"/>
      <c r="B822" s="94"/>
      <c r="C822" s="94"/>
      <c r="D822" s="94"/>
      <c r="E822" s="94"/>
    </row>
    <row r="823">
      <c r="A823" s="94"/>
      <c r="B823" s="94"/>
      <c r="C823" s="94"/>
      <c r="D823" s="94"/>
      <c r="E823" s="94"/>
    </row>
    <row r="824">
      <c r="A824" s="94"/>
      <c r="B824" s="94"/>
      <c r="C824" s="94"/>
      <c r="D824" s="94"/>
      <c r="E824" s="94"/>
    </row>
    <row r="825">
      <c r="A825" s="94"/>
      <c r="B825" s="94"/>
      <c r="C825" s="94"/>
      <c r="D825" s="94"/>
      <c r="E825" s="94"/>
    </row>
    <row r="826">
      <c r="A826" s="94"/>
      <c r="B826" s="94"/>
      <c r="C826" s="94"/>
      <c r="D826" s="94"/>
      <c r="E826" s="94"/>
    </row>
    <row r="827">
      <c r="A827" s="94"/>
      <c r="B827" s="94"/>
      <c r="C827" s="94"/>
      <c r="D827" s="94"/>
      <c r="E827" s="94"/>
    </row>
    <row r="828">
      <c r="A828" s="94"/>
      <c r="B828" s="94"/>
      <c r="C828" s="94"/>
      <c r="D828" s="94"/>
      <c r="E828" s="94"/>
    </row>
    <row r="829">
      <c r="A829" s="94"/>
      <c r="B829" s="94"/>
      <c r="C829" s="94"/>
      <c r="D829" s="94"/>
      <c r="E829" s="94"/>
    </row>
    <row r="830">
      <c r="A830" s="94"/>
      <c r="B830" s="94"/>
      <c r="C830" s="94"/>
      <c r="D830" s="94"/>
      <c r="E830" s="94"/>
    </row>
    <row r="831">
      <c r="A831" s="94"/>
      <c r="B831" s="94"/>
      <c r="C831" s="94"/>
      <c r="D831" s="94"/>
      <c r="E831" s="94"/>
    </row>
    <row r="832">
      <c r="A832" s="94"/>
      <c r="B832" s="94"/>
      <c r="C832" s="94"/>
      <c r="D832" s="94"/>
      <c r="E832" s="94"/>
    </row>
    <row r="833">
      <c r="A833" s="94"/>
      <c r="B833" s="94"/>
      <c r="C833" s="94"/>
      <c r="D833" s="94"/>
      <c r="E833" s="94"/>
    </row>
    <row r="834">
      <c r="A834" s="94"/>
      <c r="B834" s="94"/>
      <c r="C834" s="94"/>
      <c r="D834" s="94"/>
      <c r="E834" s="94"/>
    </row>
    <row r="835">
      <c r="A835" s="94"/>
      <c r="B835" s="94"/>
      <c r="C835" s="94"/>
      <c r="D835" s="94"/>
      <c r="E835" s="94"/>
    </row>
    <row r="836">
      <c r="A836" s="94"/>
      <c r="B836" s="94"/>
      <c r="C836" s="94"/>
      <c r="D836" s="94"/>
      <c r="E836" s="94"/>
    </row>
    <row r="837">
      <c r="A837" s="94"/>
      <c r="B837" s="94"/>
      <c r="C837" s="94"/>
      <c r="D837" s="94"/>
      <c r="E837" s="94"/>
    </row>
    <row r="838">
      <c r="A838" s="94"/>
      <c r="B838" s="94"/>
      <c r="C838" s="94"/>
      <c r="D838" s="94"/>
      <c r="E838" s="94"/>
    </row>
    <row r="839">
      <c r="A839" s="94"/>
      <c r="B839" s="94"/>
      <c r="C839" s="94"/>
      <c r="D839" s="94"/>
      <c r="E839" s="94"/>
    </row>
    <row r="840">
      <c r="A840" s="94"/>
      <c r="B840" s="94"/>
      <c r="C840" s="94"/>
      <c r="D840" s="94"/>
      <c r="E840" s="94"/>
    </row>
    <row r="841">
      <c r="A841" s="94"/>
      <c r="B841" s="94"/>
      <c r="C841" s="94"/>
      <c r="D841" s="94"/>
      <c r="E841" s="94"/>
    </row>
    <row r="842">
      <c r="A842" s="94"/>
      <c r="B842" s="94"/>
      <c r="C842" s="94"/>
      <c r="D842" s="94"/>
      <c r="E842" s="94"/>
    </row>
    <row r="843">
      <c r="A843" s="94"/>
      <c r="B843" s="94"/>
      <c r="C843" s="94"/>
      <c r="D843" s="94"/>
      <c r="E843" s="94"/>
    </row>
    <row r="844">
      <c r="A844" s="94"/>
      <c r="B844" s="94"/>
      <c r="C844" s="94"/>
      <c r="D844" s="94"/>
      <c r="E844" s="94"/>
    </row>
    <row r="845">
      <c r="A845" s="94"/>
      <c r="B845" s="94"/>
      <c r="C845" s="94"/>
      <c r="D845" s="94"/>
      <c r="E845" s="94"/>
    </row>
    <row r="846">
      <c r="A846" s="94"/>
      <c r="B846" s="94"/>
      <c r="C846" s="94"/>
      <c r="D846" s="94"/>
      <c r="E846" s="94"/>
    </row>
    <row r="847">
      <c r="A847" s="94"/>
      <c r="B847" s="94"/>
      <c r="C847" s="94"/>
      <c r="D847" s="94"/>
      <c r="E847" s="94"/>
    </row>
    <row r="848">
      <c r="A848" s="94"/>
      <c r="B848" s="94"/>
      <c r="C848" s="94"/>
      <c r="D848" s="94"/>
      <c r="E848" s="94"/>
    </row>
    <row r="849">
      <c r="A849" s="94"/>
      <c r="B849" s="94"/>
      <c r="C849" s="94"/>
      <c r="D849" s="94"/>
      <c r="E849" s="94"/>
    </row>
    <row r="850">
      <c r="A850" s="94"/>
      <c r="B850" s="94"/>
      <c r="C850" s="94"/>
      <c r="D850" s="94"/>
      <c r="E850" s="94"/>
    </row>
    <row r="851">
      <c r="A851" s="94"/>
      <c r="B851" s="94"/>
      <c r="C851" s="94"/>
      <c r="D851" s="94"/>
      <c r="E851" s="94"/>
    </row>
    <row r="852">
      <c r="A852" s="94"/>
      <c r="B852" s="94"/>
      <c r="C852" s="94"/>
      <c r="D852" s="94"/>
      <c r="E852" s="94"/>
    </row>
    <row r="853">
      <c r="A853" s="94"/>
      <c r="B853" s="94"/>
      <c r="C853" s="94"/>
      <c r="D853" s="94"/>
      <c r="E853" s="94"/>
    </row>
    <row r="854">
      <c r="A854" s="94"/>
      <c r="B854" s="94"/>
      <c r="C854" s="94"/>
      <c r="D854" s="94"/>
      <c r="E854" s="94"/>
    </row>
    <row r="855">
      <c r="A855" s="94"/>
      <c r="B855" s="94"/>
      <c r="C855" s="94"/>
      <c r="D855" s="94"/>
      <c r="E855" s="94"/>
    </row>
    <row r="856">
      <c r="A856" s="94"/>
      <c r="B856" s="94"/>
      <c r="C856" s="94"/>
      <c r="D856" s="94"/>
      <c r="E856" s="94"/>
    </row>
    <row r="857">
      <c r="A857" s="94"/>
      <c r="B857" s="94"/>
      <c r="C857" s="94"/>
      <c r="D857" s="94"/>
      <c r="E857" s="94"/>
    </row>
    <row r="858">
      <c r="A858" s="94"/>
      <c r="B858" s="94"/>
      <c r="C858" s="94"/>
      <c r="D858" s="94"/>
      <c r="E858" s="94"/>
    </row>
    <row r="859">
      <c r="A859" s="94"/>
      <c r="B859" s="94"/>
      <c r="C859" s="94"/>
      <c r="D859" s="94"/>
      <c r="E859" s="94"/>
    </row>
    <row r="860">
      <c r="A860" s="94"/>
      <c r="B860" s="94"/>
      <c r="C860" s="94"/>
      <c r="D860" s="94"/>
      <c r="E860" s="94"/>
    </row>
    <row r="861">
      <c r="A861" s="94"/>
      <c r="B861" s="94"/>
      <c r="C861" s="94"/>
      <c r="D861" s="94"/>
      <c r="E861" s="94"/>
    </row>
    <row r="862">
      <c r="A862" s="94"/>
      <c r="B862" s="94"/>
      <c r="C862" s="94"/>
      <c r="D862" s="94"/>
      <c r="E862" s="94"/>
    </row>
    <row r="863">
      <c r="A863" s="94"/>
      <c r="B863" s="94"/>
      <c r="C863" s="94"/>
      <c r="D863" s="94"/>
      <c r="E863" s="94"/>
    </row>
    <row r="864">
      <c r="A864" s="94"/>
      <c r="B864" s="94"/>
      <c r="C864" s="94"/>
      <c r="D864" s="94"/>
      <c r="E864" s="94"/>
    </row>
    <row r="865">
      <c r="A865" s="94"/>
      <c r="B865" s="94"/>
      <c r="C865" s="94"/>
      <c r="D865" s="94"/>
      <c r="E865" s="94"/>
    </row>
    <row r="866">
      <c r="A866" s="94"/>
      <c r="B866" s="94"/>
      <c r="C866" s="94"/>
      <c r="D866" s="94"/>
      <c r="E866" s="94"/>
    </row>
    <row r="867">
      <c r="A867" s="94"/>
      <c r="B867" s="94"/>
      <c r="C867" s="94"/>
      <c r="D867" s="94"/>
      <c r="E867" s="94"/>
    </row>
    <row r="868">
      <c r="A868" s="94"/>
      <c r="B868" s="94"/>
      <c r="C868" s="94"/>
      <c r="D868" s="94"/>
      <c r="E868" s="94"/>
    </row>
    <row r="869">
      <c r="A869" s="94"/>
      <c r="B869" s="94"/>
      <c r="C869" s="94"/>
      <c r="D869" s="94"/>
      <c r="E869" s="94"/>
    </row>
    <row r="870">
      <c r="A870" s="94"/>
      <c r="B870" s="94"/>
      <c r="C870" s="94"/>
      <c r="D870" s="94"/>
      <c r="E870" s="94"/>
    </row>
    <row r="871">
      <c r="A871" s="94"/>
      <c r="B871" s="94"/>
      <c r="C871" s="94"/>
      <c r="D871" s="94"/>
      <c r="E871" s="94"/>
    </row>
    <row r="872">
      <c r="A872" s="94"/>
      <c r="B872" s="94"/>
      <c r="C872" s="94"/>
      <c r="D872" s="94"/>
      <c r="E872" s="94"/>
    </row>
    <row r="873">
      <c r="A873" s="94"/>
      <c r="B873" s="94"/>
      <c r="C873" s="94"/>
      <c r="D873" s="94"/>
      <c r="E873" s="94"/>
    </row>
    <row r="874">
      <c r="A874" s="94"/>
      <c r="B874" s="94"/>
      <c r="C874" s="94"/>
      <c r="D874" s="94"/>
      <c r="E874" s="94"/>
    </row>
    <row r="875">
      <c r="A875" s="94"/>
      <c r="B875" s="94"/>
      <c r="C875" s="94"/>
      <c r="D875" s="94"/>
      <c r="E875" s="94"/>
    </row>
    <row r="876">
      <c r="A876" s="94"/>
      <c r="B876" s="94"/>
      <c r="C876" s="94"/>
      <c r="D876" s="94"/>
      <c r="E876" s="94"/>
    </row>
    <row r="877">
      <c r="A877" s="94"/>
      <c r="B877" s="94"/>
      <c r="C877" s="94"/>
      <c r="D877" s="94"/>
      <c r="E877" s="94"/>
    </row>
    <row r="878">
      <c r="A878" s="94"/>
      <c r="B878" s="94"/>
      <c r="C878" s="94"/>
      <c r="D878" s="94"/>
      <c r="E878" s="94"/>
    </row>
    <row r="879">
      <c r="A879" s="94"/>
      <c r="B879" s="94"/>
      <c r="C879" s="94"/>
      <c r="D879" s="94"/>
      <c r="E879" s="94"/>
    </row>
    <row r="880">
      <c r="A880" s="94"/>
      <c r="B880" s="94"/>
      <c r="C880" s="94"/>
      <c r="D880" s="94"/>
      <c r="E880" s="94"/>
    </row>
    <row r="881">
      <c r="A881" s="94"/>
      <c r="B881" s="94"/>
      <c r="C881" s="94"/>
      <c r="D881" s="94"/>
      <c r="E881" s="94"/>
    </row>
    <row r="882">
      <c r="A882" s="94"/>
      <c r="B882" s="94"/>
      <c r="C882" s="94"/>
      <c r="D882" s="94"/>
      <c r="E882" s="94"/>
    </row>
    <row r="883">
      <c r="A883" s="94"/>
      <c r="B883" s="94"/>
      <c r="C883" s="94"/>
      <c r="D883" s="94"/>
      <c r="E883" s="94"/>
    </row>
    <row r="884">
      <c r="A884" s="94"/>
      <c r="B884" s="94"/>
      <c r="C884" s="94"/>
      <c r="D884" s="94"/>
      <c r="E884" s="94"/>
    </row>
    <row r="885">
      <c r="A885" s="94"/>
      <c r="B885" s="94"/>
      <c r="C885" s="94"/>
      <c r="D885" s="94"/>
      <c r="E885" s="94"/>
    </row>
    <row r="886">
      <c r="A886" s="94"/>
      <c r="B886" s="94"/>
      <c r="C886" s="94"/>
      <c r="D886" s="94"/>
      <c r="E886" s="94"/>
    </row>
    <row r="887">
      <c r="A887" s="94"/>
      <c r="B887" s="94"/>
      <c r="C887" s="94"/>
      <c r="D887" s="94"/>
      <c r="E887" s="94"/>
    </row>
    <row r="888">
      <c r="A888" s="94"/>
      <c r="B888" s="94"/>
      <c r="C888" s="94"/>
      <c r="D888" s="94"/>
      <c r="E888" s="94"/>
    </row>
    <row r="889">
      <c r="A889" s="94"/>
      <c r="B889" s="94"/>
      <c r="C889" s="94"/>
      <c r="D889" s="94"/>
      <c r="E889" s="94"/>
    </row>
    <row r="890">
      <c r="A890" s="94"/>
      <c r="B890" s="94"/>
      <c r="C890" s="94"/>
      <c r="D890" s="94"/>
      <c r="E890" s="94"/>
    </row>
    <row r="891">
      <c r="A891" s="94"/>
      <c r="B891" s="94"/>
      <c r="C891" s="94"/>
      <c r="D891" s="94"/>
      <c r="E891" s="94"/>
    </row>
    <row r="892">
      <c r="A892" s="94"/>
      <c r="B892" s="94"/>
      <c r="C892" s="94"/>
      <c r="D892" s="94"/>
      <c r="E892" s="94"/>
    </row>
    <row r="893">
      <c r="A893" s="94"/>
      <c r="B893" s="94"/>
      <c r="C893" s="94"/>
      <c r="D893" s="94"/>
      <c r="E893" s="94"/>
    </row>
    <row r="894">
      <c r="A894" s="94"/>
      <c r="B894" s="94"/>
      <c r="C894" s="94"/>
      <c r="D894" s="94"/>
      <c r="E894" s="94"/>
    </row>
    <row r="895">
      <c r="A895" s="94"/>
      <c r="B895" s="94"/>
      <c r="C895" s="94"/>
      <c r="D895" s="94"/>
      <c r="E895" s="94"/>
    </row>
    <row r="896">
      <c r="A896" s="94"/>
      <c r="B896" s="94"/>
      <c r="C896" s="94"/>
      <c r="D896" s="94"/>
      <c r="E896" s="94"/>
    </row>
    <row r="897">
      <c r="A897" s="94"/>
      <c r="B897" s="94"/>
      <c r="C897" s="94"/>
      <c r="D897" s="94"/>
      <c r="E897" s="94"/>
    </row>
    <row r="898">
      <c r="A898" s="94"/>
      <c r="B898" s="94"/>
      <c r="C898" s="94"/>
      <c r="D898" s="94"/>
      <c r="E898" s="94"/>
    </row>
    <row r="899">
      <c r="A899" s="94"/>
      <c r="B899" s="94"/>
      <c r="C899" s="94"/>
      <c r="D899" s="94"/>
      <c r="E899" s="94"/>
    </row>
    <row r="900">
      <c r="A900" s="94"/>
      <c r="B900" s="94"/>
      <c r="C900" s="94"/>
      <c r="D900" s="94"/>
      <c r="E900" s="94"/>
    </row>
    <row r="901">
      <c r="A901" s="94"/>
      <c r="B901" s="94"/>
      <c r="C901" s="94"/>
      <c r="D901" s="94"/>
      <c r="E901" s="94"/>
    </row>
    <row r="902">
      <c r="A902" s="94"/>
      <c r="B902" s="94"/>
      <c r="C902" s="94"/>
      <c r="D902" s="94"/>
      <c r="E902" s="94"/>
    </row>
    <row r="903">
      <c r="A903" s="94"/>
      <c r="B903" s="94"/>
      <c r="C903" s="94"/>
      <c r="D903" s="94"/>
      <c r="E903" s="94"/>
    </row>
    <row r="904">
      <c r="A904" s="94"/>
      <c r="B904" s="94"/>
      <c r="C904" s="94"/>
      <c r="D904" s="94"/>
      <c r="E904" s="94"/>
    </row>
    <row r="905">
      <c r="A905" s="94"/>
      <c r="B905" s="94"/>
      <c r="C905" s="94"/>
      <c r="D905" s="94"/>
      <c r="E905" s="94"/>
    </row>
    <row r="906">
      <c r="A906" s="94"/>
      <c r="B906" s="94"/>
      <c r="C906" s="94"/>
      <c r="D906" s="94"/>
      <c r="E906" s="94"/>
    </row>
    <row r="907">
      <c r="A907" s="94"/>
      <c r="B907" s="94"/>
      <c r="C907" s="94"/>
      <c r="D907" s="94"/>
      <c r="E907" s="94"/>
    </row>
    <row r="908">
      <c r="A908" s="94"/>
      <c r="B908" s="94"/>
      <c r="C908" s="94"/>
      <c r="D908" s="94"/>
      <c r="E908" s="94"/>
    </row>
    <row r="909">
      <c r="A909" s="94"/>
      <c r="B909" s="94"/>
      <c r="C909" s="94"/>
      <c r="D909" s="94"/>
      <c r="E909" s="94"/>
    </row>
    <row r="910">
      <c r="A910" s="94"/>
      <c r="B910" s="94"/>
      <c r="C910" s="94"/>
      <c r="D910" s="94"/>
      <c r="E910" s="94"/>
    </row>
    <row r="911">
      <c r="A911" s="94"/>
      <c r="B911" s="94"/>
      <c r="C911" s="94"/>
      <c r="D911" s="94"/>
      <c r="E911" s="94"/>
    </row>
    <row r="912">
      <c r="A912" s="94"/>
      <c r="B912" s="94"/>
      <c r="C912" s="94"/>
      <c r="D912" s="94"/>
      <c r="E912" s="94"/>
    </row>
    <row r="913">
      <c r="A913" s="94"/>
      <c r="B913" s="94"/>
      <c r="C913" s="94"/>
      <c r="D913" s="94"/>
      <c r="E913" s="94"/>
    </row>
    <row r="914">
      <c r="A914" s="94"/>
      <c r="B914" s="94"/>
      <c r="C914" s="94"/>
      <c r="D914" s="94"/>
      <c r="E914" s="94"/>
    </row>
    <row r="915">
      <c r="A915" s="94"/>
      <c r="B915" s="94"/>
      <c r="C915" s="94"/>
      <c r="D915" s="94"/>
      <c r="E915" s="94"/>
    </row>
    <row r="916">
      <c r="A916" s="94"/>
      <c r="B916" s="94"/>
      <c r="C916" s="94"/>
      <c r="D916" s="94"/>
      <c r="E916" s="94"/>
    </row>
    <row r="917">
      <c r="A917" s="94"/>
      <c r="B917" s="94"/>
      <c r="C917" s="94"/>
      <c r="D917" s="94"/>
      <c r="E917" s="94"/>
    </row>
    <row r="918">
      <c r="A918" s="94"/>
      <c r="B918" s="94"/>
      <c r="C918" s="94"/>
      <c r="D918" s="94"/>
      <c r="E918" s="94"/>
    </row>
    <row r="919">
      <c r="A919" s="94"/>
      <c r="B919" s="94"/>
      <c r="C919" s="94"/>
      <c r="D919" s="94"/>
      <c r="E919" s="94"/>
    </row>
    <row r="920">
      <c r="A920" s="94"/>
      <c r="B920" s="94"/>
      <c r="C920" s="94"/>
      <c r="D920" s="94"/>
      <c r="E920" s="94"/>
    </row>
    <row r="921">
      <c r="A921" s="94"/>
      <c r="B921" s="94"/>
      <c r="C921" s="94"/>
      <c r="D921" s="94"/>
      <c r="E921" s="94"/>
    </row>
    <row r="922">
      <c r="A922" s="94"/>
      <c r="B922" s="94"/>
      <c r="C922" s="94"/>
      <c r="D922" s="94"/>
      <c r="E922" s="94"/>
    </row>
    <row r="923">
      <c r="A923" s="94"/>
      <c r="B923" s="94"/>
      <c r="C923" s="94"/>
      <c r="D923" s="94"/>
      <c r="E923" s="94"/>
    </row>
    <row r="924">
      <c r="A924" s="94"/>
      <c r="B924" s="94"/>
      <c r="C924" s="94"/>
      <c r="D924" s="94"/>
      <c r="E924" s="94"/>
    </row>
    <row r="925">
      <c r="A925" s="94"/>
      <c r="B925" s="94"/>
      <c r="C925" s="94"/>
      <c r="D925" s="94"/>
      <c r="E925" s="94"/>
    </row>
    <row r="926">
      <c r="A926" s="94"/>
      <c r="B926" s="94"/>
      <c r="C926" s="94"/>
      <c r="D926" s="94"/>
      <c r="E926" s="94"/>
    </row>
    <row r="927">
      <c r="A927" s="94"/>
      <c r="B927" s="94"/>
      <c r="C927" s="94"/>
      <c r="D927" s="94"/>
      <c r="E927" s="94"/>
    </row>
    <row r="928">
      <c r="A928" s="94"/>
      <c r="B928" s="94"/>
      <c r="C928" s="94"/>
      <c r="D928" s="94"/>
      <c r="E928" s="94"/>
    </row>
    <row r="929">
      <c r="A929" s="94"/>
      <c r="B929" s="94"/>
      <c r="C929" s="94"/>
      <c r="D929" s="94"/>
      <c r="E929" s="94"/>
    </row>
    <row r="930">
      <c r="A930" s="94"/>
      <c r="B930" s="94"/>
      <c r="C930" s="94"/>
      <c r="D930" s="94"/>
      <c r="E930" s="94"/>
    </row>
    <row r="931">
      <c r="A931" s="94"/>
      <c r="B931" s="94"/>
      <c r="C931" s="94"/>
      <c r="D931" s="94"/>
      <c r="E931" s="94"/>
    </row>
    <row r="932">
      <c r="A932" s="94"/>
      <c r="B932" s="94"/>
      <c r="C932" s="94"/>
      <c r="D932" s="94"/>
      <c r="E932" s="94"/>
    </row>
    <row r="933">
      <c r="A933" s="94"/>
      <c r="B933" s="94"/>
      <c r="C933" s="94"/>
      <c r="D933" s="94"/>
      <c r="E933" s="94"/>
    </row>
    <row r="934">
      <c r="A934" s="94"/>
      <c r="B934" s="94"/>
      <c r="C934" s="94"/>
      <c r="D934" s="94"/>
      <c r="E934" s="94"/>
    </row>
    <row r="935">
      <c r="A935" s="94"/>
      <c r="B935" s="94"/>
      <c r="C935" s="94"/>
      <c r="D935" s="94"/>
      <c r="E935" s="94"/>
    </row>
    <row r="936">
      <c r="A936" s="94"/>
      <c r="B936" s="94"/>
      <c r="C936" s="94"/>
      <c r="D936" s="94"/>
      <c r="E936" s="94"/>
    </row>
    <row r="937">
      <c r="A937" s="94"/>
      <c r="B937" s="94"/>
      <c r="C937" s="94"/>
      <c r="D937" s="94"/>
      <c r="E937" s="94"/>
    </row>
    <row r="938">
      <c r="A938" s="94"/>
      <c r="B938" s="94"/>
      <c r="C938" s="94"/>
      <c r="D938" s="94"/>
      <c r="E938" s="94"/>
    </row>
    <row r="939">
      <c r="A939" s="94"/>
      <c r="B939" s="94"/>
      <c r="C939" s="94"/>
      <c r="D939" s="94"/>
      <c r="E939" s="94"/>
    </row>
    <row r="940">
      <c r="A940" s="94"/>
      <c r="B940" s="94"/>
      <c r="C940" s="94"/>
      <c r="D940" s="94"/>
      <c r="E940" s="94"/>
    </row>
    <row r="941">
      <c r="A941" s="94"/>
      <c r="B941" s="94"/>
      <c r="C941" s="94"/>
      <c r="D941" s="94"/>
      <c r="E941" s="94"/>
    </row>
    <row r="942">
      <c r="A942" s="94"/>
      <c r="B942" s="94"/>
      <c r="C942" s="94"/>
      <c r="D942" s="94"/>
      <c r="E942" s="94"/>
    </row>
    <row r="943">
      <c r="A943" s="94"/>
      <c r="B943" s="94"/>
      <c r="C943" s="94"/>
      <c r="D943" s="94"/>
      <c r="E943" s="94"/>
    </row>
    <row r="944">
      <c r="A944" s="94"/>
      <c r="B944" s="94"/>
      <c r="C944" s="94"/>
      <c r="D944" s="94"/>
      <c r="E944" s="94"/>
    </row>
    <row r="945">
      <c r="A945" s="94"/>
      <c r="B945" s="94"/>
      <c r="C945" s="94"/>
      <c r="D945" s="94"/>
      <c r="E945" s="94"/>
    </row>
    <row r="946">
      <c r="A946" s="94"/>
      <c r="B946" s="94"/>
      <c r="C946" s="94"/>
      <c r="D946" s="94"/>
      <c r="E946" s="94"/>
    </row>
    <row r="947">
      <c r="A947" s="94"/>
      <c r="B947" s="94"/>
      <c r="C947" s="94"/>
      <c r="D947" s="94"/>
      <c r="E947" s="94"/>
    </row>
    <row r="948">
      <c r="A948" s="94"/>
      <c r="B948" s="94"/>
      <c r="C948" s="94"/>
      <c r="D948" s="94"/>
      <c r="E948" s="94"/>
    </row>
    <row r="949">
      <c r="A949" s="94"/>
      <c r="B949" s="94"/>
      <c r="C949" s="94"/>
      <c r="D949" s="94"/>
      <c r="E949" s="94"/>
    </row>
    <row r="950">
      <c r="A950" s="94"/>
      <c r="B950" s="94"/>
      <c r="C950" s="94"/>
      <c r="D950" s="94"/>
      <c r="E950" s="94"/>
    </row>
    <row r="951">
      <c r="A951" s="94"/>
      <c r="B951" s="94"/>
      <c r="C951" s="94"/>
      <c r="D951" s="94"/>
      <c r="E951" s="94"/>
    </row>
    <row r="952">
      <c r="A952" s="94"/>
      <c r="B952" s="94"/>
      <c r="C952" s="94"/>
      <c r="D952" s="94"/>
      <c r="E952" s="94"/>
    </row>
    <row r="953">
      <c r="A953" s="94"/>
      <c r="B953" s="94"/>
      <c r="C953" s="94"/>
      <c r="D953" s="94"/>
      <c r="E953" s="94"/>
    </row>
    <row r="954">
      <c r="A954" s="94"/>
      <c r="B954" s="94"/>
      <c r="C954" s="94"/>
      <c r="D954" s="94"/>
      <c r="E954" s="94"/>
    </row>
    <row r="955">
      <c r="A955" s="94"/>
      <c r="B955" s="94"/>
      <c r="C955" s="94"/>
      <c r="D955" s="94"/>
      <c r="E955" s="94"/>
    </row>
    <row r="956">
      <c r="A956" s="94"/>
      <c r="B956" s="94"/>
      <c r="C956" s="94"/>
      <c r="D956" s="94"/>
      <c r="E956" s="94"/>
    </row>
    <row r="957">
      <c r="A957" s="94"/>
      <c r="B957" s="94"/>
      <c r="C957" s="94"/>
      <c r="D957" s="94"/>
      <c r="E957" s="94"/>
    </row>
    <row r="958">
      <c r="A958" s="94"/>
      <c r="B958" s="94"/>
      <c r="C958" s="94"/>
      <c r="D958" s="94"/>
      <c r="E958" s="94"/>
    </row>
    <row r="959">
      <c r="A959" s="94"/>
      <c r="B959" s="94"/>
      <c r="C959" s="94"/>
      <c r="D959" s="94"/>
      <c r="E959" s="94"/>
    </row>
    <row r="960">
      <c r="A960" s="94"/>
      <c r="B960" s="94"/>
      <c r="C960" s="94"/>
      <c r="D960" s="94"/>
      <c r="E960" s="94"/>
    </row>
    <row r="961">
      <c r="A961" s="94"/>
      <c r="B961" s="94"/>
      <c r="C961" s="94"/>
      <c r="D961" s="94"/>
      <c r="E961" s="94"/>
    </row>
    <row r="962">
      <c r="A962" s="94"/>
      <c r="B962" s="94"/>
      <c r="C962" s="94"/>
      <c r="D962" s="94"/>
      <c r="E962" s="94"/>
    </row>
    <row r="963">
      <c r="A963" s="94"/>
      <c r="B963" s="94"/>
      <c r="C963" s="94"/>
      <c r="D963" s="94"/>
      <c r="E963" s="94"/>
    </row>
    <row r="964">
      <c r="A964" s="94"/>
      <c r="B964" s="94"/>
      <c r="C964" s="94"/>
      <c r="D964" s="94"/>
      <c r="E964" s="94"/>
    </row>
    <row r="965">
      <c r="A965" s="94"/>
      <c r="B965" s="94"/>
      <c r="C965" s="94"/>
      <c r="D965" s="94"/>
      <c r="E965" s="94"/>
    </row>
    <row r="966">
      <c r="A966" s="94"/>
      <c r="B966" s="94"/>
      <c r="C966" s="94"/>
      <c r="D966" s="94"/>
      <c r="E966" s="94"/>
    </row>
    <row r="967">
      <c r="A967" s="94"/>
      <c r="B967" s="94"/>
      <c r="C967" s="94"/>
      <c r="D967" s="94"/>
      <c r="E967" s="94"/>
    </row>
    <row r="968">
      <c r="A968" s="94"/>
      <c r="B968" s="94"/>
      <c r="C968" s="94"/>
      <c r="D968" s="94"/>
      <c r="E968" s="94"/>
    </row>
    <row r="969">
      <c r="A969" s="94"/>
      <c r="B969" s="94"/>
      <c r="C969" s="94"/>
      <c r="D969" s="94"/>
      <c r="E969" s="94"/>
    </row>
    <row r="970">
      <c r="A970" s="94"/>
      <c r="B970" s="94"/>
      <c r="C970" s="94"/>
      <c r="D970" s="94"/>
      <c r="E970" s="94"/>
    </row>
    <row r="971">
      <c r="A971" s="94"/>
      <c r="B971" s="94"/>
      <c r="C971" s="94"/>
      <c r="D971" s="94"/>
      <c r="E971" s="94"/>
    </row>
    <row r="972">
      <c r="A972" s="94"/>
      <c r="B972" s="94"/>
      <c r="C972" s="94"/>
      <c r="D972" s="94"/>
      <c r="E972" s="94"/>
    </row>
    <row r="973">
      <c r="A973" s="94"/>
      <c r="B973" s="94"/>
      <c r="C973" s="94"/>
      <c r="D973" s="94"/>
      <c r="E973" s="94"/>
    </row>
    <row r="974">
      <c r="A974" s="94"/>
      <c r="B974" s="94"/>
      <c r="C974" s="94"/>
      <c r="D974" s="94"/>
      <c r="E974" s="94"/>
    </row>
    <row r="975">
      <c r="A975" s="94"/>
      <c r="B975" s="94"/>
      <c r="C975" s="94"/>
      <c r="D975" s="94"/>
      <c r="E975" s="94"/>
    </row>
    <row r="976">
      <c r="A976" s="94"/>
      <c r="B976" s="94"/>
      <c r="C976" s="94"/>
      <c r="D976" s="94"/>
      <c r="E976" s="94"/>
    </row>
    <row r="977">
      <c r="A977" s="94"/>
      <c r="B977" s="94"/>
      <c r="C977" s="94"/>
      <c r="D977" s="94"/>
      <c r="E977" s="94"/>
    </row>
    <row r="978">
      <c r="A978" s="94"/>
      <c r="B978" s="94"/>
      <c r="C978" s="94"/>
      <c r="D978" s="94"/>
      <c r="E978" s="94"/>
    </row>
    <row r="979">
      <c r="A979" s="94"/>
      <c r="B979" s="94"/>
      <c r="C979" s="94"/>
      <c r="D979" s="94"/>
      <c r="E979" s="94"/>
    </row>
    <row r="980">
      <c r="A980" s="94"/>
      <c r="B980" s="94"/>
      <c r="C980" s="94"/>
      <c r="D980" s="94"/>
      <c r="E980" s="94"/>
    </row>
    <row r="981">
      <c r="A981" s="94"/>
      <c r="B981" s="94"/>
      <c r="C981" s="94"/>
      <c r="D981" s="94"/>
      <c r="E981" s="94"/>
    </row>
    <row r="982">
      <c r="A982" s="94"/>
      <c r="B982" s="94"/>
      <c r="C982" s="94"/>
      <c r="D982" s="94"/>
      <c r="E982" s="94"/>
    </row>
    <row r="983">
      <c r="A983" s="94"/>
      <c r="B983" s="94"/>
      <c r="C983" s="94"/>
      <c r="D983" s="94"/>
      <c r="E983" s="94"/>
    </row>
    <row r="984">
      <c r="A984" s="94"/>
      <c r="B984" s="94"/>
      <c r="C984" s="94"/>
      <c r="D984" s="94"/>
      <c r="E984" s="94"/>
    </row>
    <row r="985">
      <c r="A985" s="94"/>
      <c r="B985" s="94"/>
      <c r="C985" s="94"/>
      <c r="D985" s="94"/>
      <c r="E985" s="94"/>
    </row>
    <row r="986">
      <c r="A986" s="94"/>
      <c r="B986" s="94"/>
      <c r="C986" s="94"/>
      <c r="D986" s="94"/>
      <c r="E986" s="94"/>
    </row>
    <row r="987">
      <c r="A987" s="94"/>
      <c r="B987" s="94"/>
      <c r="C987" s="94"/>
      <c r="D987" s="94"/>
      <c r="E987" s="94"/>
    </row>
    <row r="988">
      <c r="A988" s="94"/>
      <c r="B988" s="94"/>
      <c r="C988" s="94"/>
      <c r="D988" s="94"/>
      <c r="E988" s="94"/>
    </row>
    <row r="989">
      <c r="A989" s="94"/>
      <c r="B989" s="94"/>
      <c r="C989" s="94"/>
      <c r="D989" s="94"/>
      <c r="E989" s="94"/>
    </row>
    <row r="990">
      <c r="A990" s="94"/>
      <c r="B990" s="94"/>
      <c r="C990" s="94"/>
      <c r="D990" s="94"/>
      <c r="E990" s="94"/>
    </row>
    <row r="991">
      <c r="A991" s="94"/>
      <c r="B991" s="94"/>
      <c r="C991" s="94"/>
      <c r="D991" s="94"/>
      <c r="E991" s="94"/>
    </row>
    <row r="992">
      <c r="A992" s="94"/>
      <c r="B992" s="94"/>
      <c r="C992" s="94"/>
      <c r="D992" s="94"/>
      <c r="E992" s="94"/>
    </row>
    <row r="993">
      <c r="A993" s="94"/>
      <c r="B993" s="94"/>
      <c r="C993" s="94"/>
      <c r="D993" s="94"/>
      <c r="E993" s="94"/>
    </row>
    <row r="994">
      <c r="A994" s="94"/>
      <c r="B994" s="94"/>
      <c r="C994" s="94"/>
      <c r="D994" s="94"/>
      <c r="E994" s="94"/>
    </row>
    <row r="995">
      <c r="A995" s="94"/>
      <c r="B995" s="94"/>
      <c r="C995" s="94"/>
      <c r="D995" s="94"/>
      <c r="E995" s="94"/>
    </row>
    <row r="996">
      <c r="A996" s="94"/>
      <c r="B996" s="94"/>
      <c r="C996" s="94"/>
      <c r="D996" s="94"/>
      <c r="E996" s="94"/>
    </row>
    <row r="997">
      <c r="A997" s="94"/>
      <c r="B997" s="94"/>
      <c r="C997" s="94"/>
      <c r="D997" s="94"/>
      <c r="E997" s="94"/>
    </row>
    <row r="998">
      <c r="A998" s="94"/>
      <c r="B998" s="94"/>
      <c r="C998" s="94"/>
      <c r="D998" s="94"/>
      <c r="E998" s="94"/>
    </row>
  </sheetData>
  <mergeCells count="8">
    <mergeCell ref="B2:E4"/>
    <mergeCell ref="B5:E5"/>
    <mergeCell ref="B7:E7"/>
    <mergeCell ref="C9:D9"/>
    <mergeCell ref="C10:D10"/>
    <mergeCell ref="C11:D11"/>
    <mergeCell ref="B32:D32"/>
    <mergeCell ref="B35:D35"/>
  </mergeCells>
  <dataValidations>
    <dataValidation type="list" allowBlank="1" showDropDown="1" showErrorMessage="1" sqref="C9">
      <formula1>'CUSTOMERS LIST'!$B$2:$B$99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44.13"/>
    <col customWidth="1" min="3" max="4" width="22.13"/>
    <col customWidth="1" min="5" max="5" width="22.88"/>
    <col customWidth="1" min="6" max="6" width="20.75"/>
    <col customWidth="1" min="7" max="7" width="21.38"/>
  </cols>
  <sheetData>
    <row r="1" ht="22.5" customHeight="1">
      <c r="A1" s="113" t="s">
        <v>1398</v>
      </c>
      <c r="B1" s="113" t="s">
        <v>1399</v>
      </c>
      <c r="C1" s="116" t="s">
        <v>1400</v>
      </c>
      <c r="D1" s="113" t="s">
        <v>1401</v>
      </c>
      <c r="E1" s="113" t="s">
        <v>1402</v>
      </c>
      <c r="F1" s="113" t="s">
        <v>1403</v>
      </c>
      <c r="G1" s="113" t="s">
        <v>1404</v>
      </c>
    </row>
    <row r="2" ht="22.5" customHeight="1">
      <c r="A2" s="117" t="s">
        <v>1405</v>
      </c>
      <c r="B2" s="117" t="s">
        <v>49</v>
      </c>
      <c r="C2" s="117"/>
      <c r="D2" s="117"/>
      <c r="E2" s="119"/>
      <c r="F2" s="119"/>
      <c r="G2" s="119"/>
    </row>
    <row r="3" ht="22.5" customHeight="1">
      <c r="A3" s="117" t="s">
        <v>1406</v>
      </c>
      <c r="B3" s="117" t="s">
        <v>38</v>
      </c>
      <c r="C3" s="117"/>
      <c r="D3" s="117"/>
      <c r="E3" s="119"/>
      <c r="F3" s="119"/>
      <c r="G3" s="119"/>
    </row>
    <row r="4" ht="22.5" customHeight="1">
      <c r="A4" s="117" t="s">
        <v>1408</v>
      </c>
      <c r="B4" s="117" t="s">
        <v>1203</v>
      </c>
      <c r="C4" s="117"/>
      <c r="D4" s="117"/>
      <c r="E4" s="119"/>
      <c r="F4" s="119"/>
      <c r="G4" s="119"/>
    </row>
    <row r="5" ht="22.5" customHeight="1">
      <c r="A5" s="117" t="s">
        <v>1409</v>
      </c>
      <c r="B5" s="117" t="s">
        <v>1205</v>
      </c>
      <c r="C5" s="117"/>
      <c r="D5" s="119"/>
      <c r="E5" s="119"/>
      <c r="F5" s="119"/>
      <c r="G5" s="119"/>
    </row>
    <row r="6" ht="22.5" customHeight="1">
      <c r="A6" s="117"/>
      <c r="B6" s="117" t="s">
        <v>1307</v>
      </c>
      <c r="C6" s="117"/>
      <c r="D6" s="117"/>
      <c r="E6" s="119"/>
      <c r="F6" s="119"/>
      <c r="G6" s="119"/>
    </row>
    <row r="7" ht="22.5" customHeight="1">
      <c r="A7" s="117"/>
      <c r="B7" s="117" t="s">
        <v>1346</v>
      </c>
      <c r="C7" s="117"/>
      <c r="D7" s="117"/>
      <c r="E7" s="119"/>
      <c r="F7" s="119"/>
      <c r="G7" s="119"/>
    </row>
    <row r="8" ht="22.5" customHeight="1">
      <c r="A8" s="117"/>
      <c r="B8" s="117" t="s">
        <v>1414</v>
      </c>
      <c r="C8" s="117"/>
      <c r="D8" s="117"/>
      <c r="E8" s="119"/>
      <c r="F8" s="119"/>
      <c r="G8" s="119"/>
    </row>
    <row r="9" ht="22.5" customHeight="1">
      <c r="A9" s="138"/>
      <c r="B9" s="138"/>
      <c r="C9" s="138"/>
      <c r="D9" s="139"/>
      <c r="E9" s="139"/>
      <c r="F9" s="139"/>
      <c r="G9" s="139"/>
    </row>
    <row r="10" ht="22.5" customHeight="1">
      <c r="A10" s="138"/>
      <c r="B10" s="138"/>
      <c r="C10" s="138"/>
      <c r="D10" s="139"/>
      <c r="E10" s="139"/>
      <c r="F10" s="139"/>
      <c r="G10" s="139"/>
    </row>
    <row r="11" ht="22.5" customHeight="1">
      <c r="A11" s="138"/>
      <c r="B11" s="138"/>
      <c r="C11" s="138"/>
      <c r="D11" s="138"/>
      <c r="E11" s="139"/>
      <c r="F11" s="139"/>
      <c r="G11" s="139"/>
    </row>
    <row r="12" ht="22.5" customHeight="1">
      <c r="A12" s="138"/>
      <c r="B12" s="138"/>
      <c r="C12" s="138"/>
      <c r="D12" s="139"/>
      <c r="E12" s="139"/>
      <c r="F12" s="139"/>
      <c r="G12" s="139"/>
    </row>
    <row r="13" ht="22.5" customHeight="1">
      <c r="A13" s="138"/>
      <c r="B13" s="138"/>
      <c r="C13" s="138"/>
      <c r="D13" s="138"/>
      <c r="E13" s="139"/>
      <c r="F13" s="139"/>
      <c r="G13" s="139"/>
    </row>
    <row r="14" ht="22.5" customHeight="1">
      <c r="A14" s="138"/>
      <c r="B14" s="138"/>
      <c r="C14" s="138"/>
      <c r="D14" s="138"/>
      <c r="E14" s="139"/>
      <c r="F14" s="139"/>
      <c r="G14" s="139"/>
    </row>
    <row r="15">
      <c r="A15" s="76"/>
      <c r="B15" s="76"/>
      <c r="C15" s="76"/>
      <c r="D15" s="76"/>
      <c r="E15" s="76"/>
      <c r="F15" s="76"/>
      <c r="G15" s="76"/>
    </row>
    <row r="16">
      <c r="A16" s="76"/>
      <c r="B16" s="76"/>
      <c r="C16" s="76"/>
      <c r="D16" s="76"/>
      <c r="E16" s="76"/>
      <c r="F16" s="76"/>
      <c r="G16" s="76"/>
    </row>
    <row r="17">
      <c r="A17" s="76"/>
      <c r="B17" s="76"/>
      <c r="C17" s="76"/>
      <c r="D17" s="76"/>
      <c r="E17" s="76"/>
      <c r="F17" s="76"/>
      <c r="G17" s="76"/>
    </row>
    <row r="18">
      <c r="A18" s="76"/>
      <c r="B18" s="76"/>
      <c r="C18" s="76"/>
      <c r="D18" s="76"/>
      <c r="E18" s="76"/>
      <c r="F18" s="76"/>
      <c r="G18" s="76"/>
    </row>
    <row r="19">
      <c r="A19" s="76"/>
      <c r="B19" s="76"/>
      <c r="C19" s="76"/>
      <c r="D19" s="76"/>
      <c r="E19" s="76"/>
      <c r="F19" s="76"/>
      <c r="G19" s="76"/>
    </row>
    <row r="20">
      <c r="A20" s="76"/>
      <c r="B20" s="76"/>
      <c r="C20" s="76"/>
      <c r="D20" s="76"/>
      <c r="E20" s="76"/>
      <c r="F20" s="76"/>
      <c r="G20" s="76"/>
    </row>
    <row r="21">
      <c r="A21" s="76"/>
      <c r="B21" s="76"/>
      <c r="C21" s="76"/>
      <c r="D21" s="76"/>
      <c r="E21" s="76"/>
      <c r="F21" s="76"/>
      <c r="G21" s="76"/>
    </row>
    <row r="22">
      <c r="A22" s="76"/>
      <c r="B22" s="76"/>
      <c r="C22" s="76"/>
      <c r="D22" s="76"/>
      <c r="E22" s="76"/>
      <c r="F22" s="76"/>
      <c r="G22" s="76"/>
    </row>
    <row r="23">
      <c r="A23" s="76"/>
      <c r="B23" s="76"/>
      <c r="C23" s="76"/>
      <c r="D23" s="76"/>
      <c r="E23" s="76"/>
      <c r="F23" s="76"/>
      <c r="G23" s="76"/>
    </row>
    <row r="24">
      <c r="A24" s="76"/>
      <c r="B24" s="76"/>
      <c r="C24" s="76"/>
      <c r="D24" s="76"/>
      <c r="E24" s="76"/>
      <c r="F24" s="76"/>
      <c r="G24" s="76"/>
    </row>
    <row r="25">
      <c r="A25" s="76"/>
      <c r="B25" s="76"/>
      <c r="C25" s="76"/>
      <c r="D25" s="76"/>
      <c r="E25" s="76"/>
      <c r="F25" s="76"/>
      <c r="G25" s="76"/>
    </row>
    <row r="26">
      <c r="A26" s="76"/>
      <c r="B26" s="76"/>
      <c r="C26" s="76"/>
      <c r="D26" s="76"/>
      <c r="E26" s="76"/>
      <c r="F26" s="76"/>
      <c r="G26" s="76"/>
    </row>
    <row r="27">
      <c r="A27" s="76"/>
      <c r="B27" s="76"/>
      <c r="C27" s="76"/>
      <c r="D27" s="76"/>
      <c r="E27" s="76"/>
      <c r="F27" s="76"/>
      <c r="G27" s="76"/>
    </row>
    <row r="28">
      <c r="A28" s="76"/>
      <c r="B28" s="76"/>
      <c r="C28" s="76"/>
      <c r="D28" s="76"/>
      <c r="E28" s="76"/>
      <c r="F28" s="76"/>
      <c r="G28" s="76"/>
    </row>
    <row r="29">
      <c r="A29" s="76"/>
      <c r="B29" s="76"/>
      <c r="C29" s="76"/>
      <c r="D29" s="76"/>
      <c r="E29" s="76"/>
      <c r="F29" s="76"/>
      <c r="G29" s="76"/>
    </row>
    <row r="30">
      <c r="A30" s="76"/>
      <c r="B30" s="76"/>
      <c r="C30" s="76"/>
      <c r="D30" s="76"/>
      <c r="E30" s="76"/>
      <c r="F30" s="76"/>
      <c r="G30" s="76"/>
    </row>
    <row r="31">
      <c r="A31" s="76"/>
      <c r="B31" s="76"/>
      <c r="C31" s="76"/>
      <c r="D31" s="76"/>
      <c r="E31" s="76"/>
      <c r="F31" s="76"/>
      <c r="G31" s="76"/>
    </row>
    <row r="32">
      <c r="A32" s="76"/>
      <c r="B32" s="76"/>
      <c r="C32" s="76"/>
      <c r="D32" s="76"/>
      <c r="E32" s="76"/>
      <c r="F32" s="76"/>
      <c r="G32" s="76"/>
    </row>
    <row r="33">
      <c r="A33" s="76"/>
      <c r="B33" s="76"/>
      <c r="C33" s="76"/>
      <c r="D33" s="76"/>
      <c r="E33" s="76"/>
      <c r="F33" s="76"/>
      <c r="G33" s="76"/>
    </row>
    <row r="34">
      <c r="A34" s="76"/>
      <c r="B34" s="76"/>
      <c r="C34" s="76"/>
      <c r="D34" s="76"/>
      <c r="E34" s="76"/>
      <c r="F34" s="76"/>
      <c r="G34" s="76"/>
    </row>
    <row r="35">
      <c r="A35" s="76"/>
      <c r="B35" s="76"/>
      <c r="C35" s="76"/>
      <c r="D35" s="76"/>
      <c r="E35" s="76"/>
      <c r="F35" s="76"/>
      <c r="G35" s="76"/>
    </row>
    <row r="36">
      <c r="A36" s="76"/>
      <c r="B36" s="76"/>
      <c r="C36" s="76"/>
      <c r="D36" s="76"/>
      <c r="E36" s="76"/>
      <c r="F36" s="76"/>
      <c r="G36" s="76"/>
    </row>
    <row r="37">
      <c r="A37" s="76"/>
      <c r="B37" s="76"/>
      <c r="C37" s="76"/>
      <c r="D37" s="76"/>
      <c r="E37" s="76"/>
      <c r="F37" s="76"/>
      <c r="G37" s="76"/>
    </row>
    <row r="38">
      <c r="A38" s="76"/>
      <c r="B38" s="76"/>
      <c r="C38" s="76"/>
      <c r="D38" s="76"/>
      <c r="E38" s="76"/>
      <c r="F38" s="76"/>
      <c r="G38" s="76"/>
    </row>
    <row r="39">
      <c r="A39" s="76"/>
      <c r="B39" s="76"/>
      <c r="C39" s="76"/>
      <c r="D39" s="76"/>
      <c r="E39" s="76"/>
      <c r="F39" s="76"/>
      <c r="G39" s="76"/>
    </row>
    <row r="40">
      <c r="A40" s="76"/>
      <c r="B40" s="76"/>
      <c r="C40" s="76"/>
      <c r="D40" s="76"/>
      <c r="E40" s="76"/>
      <c r="F40" s="76"/>
      <c r="G40" s="76"/>
    </row>
    <row r="41">
      <c r="A41" s="76"/>
      <c r="B41" s="76"/>
      <c r="C41" s="76"/>
      <c r="D41" s="76"/>
      <c r="E41" s="76"/>
      <c r="F41" s="76"/>
      <c r="G41" s="76"/>
    </row>
    <row r="42">
      <c r="A42" s="76"/>
      <c r="B42" s="76"/>
      <c r="C42" s="76"/>
      <c r="D42" s="76"/>
      <c r="E42" s="76"/>
      <c r="F42" s="76"/>
      <c r="G42" s="76"/>
    </row>
    <row r="43">
      <c r="A43" s="76"/>
      <c r="B43" s="76"/>
      <c r="C43" s="76"/>
      <c r="D43" s="76"/>
      <c r="E43" s="76"/>
      <c r="F43" s="76"/>
      <c r="G43" s="76"/>
    </row>
    <row r="44">
      <c r="A44" s="76"/>
      <c r="B44" s="76"/>
      <c r="C44" s="76"/>
      <c r="D44" s="76"/>
      <c r="E44" s="76"/>
      <c r="F44" s="76"/>
      <c r="G44" s="76"/>
    </row>
    <row r="45">
      <c r="A45" s="76"/>
      <c r="B45" s="76"/>
      <c r="C45" s="76"/>
      <c r="D45" s="76"/>
      <c r="E45" s="76"/>
      <c r="F45" s="76"/>
      <c r="G45" s="76"/>
    </row>
    <row r="46">
      <c r="A46" s="76"/>
      <c r="B46" s="76"/>
      <c r="C46" s="76"/>
      <c r="D46" s="76"/>
      <c r="E46" s="76"/>
      <c r="F46" s="76"/>
      <c r="G46" s="76"/>
    </row>
    <row r="47">
      <c r="A47" s="76"/>
      <c r="B47" s="76"/>
      <c r="C47" s="76"/>
      <c r="D47" s="76"/>
      <c r="E47" s="76"/>
      <c r="F47" s="76"/>
      <c r="G47" s="76"/>
    </row>
    <row r="48">
      <c r="A48" s="76"/>
      <c r="B48" s="76"/>
      <c r="C48" s="76"/>
      <c r="D48" s="76"/>
      <c r="E48" s="76"/>
      <c r="F48" s="76"/>
      <c r="G48" s="76"/>
    </row>
    <row r="49">
      <c r="A49" s="76"/>
      <c r="B49" s="76"/>
      <c r="C49" s="76"/>
      <c r="D49" s="76"/>
      <c r="E49" s="76"/>
      <c r="F49" s="76"/>
      <c r="G49" s="76"/>
    </row>
    <row r="50">
      <c r="A50" s="76"/>
      <c r="B50" s="76"/>
      <c r="C50" s="76"/>
      <c r="D50" s="76"/>
      <c r="E50" s="76"/>
      <c r="F50" s="76"/>
      <c r="G50" s="76"/>
    </row>
    <row r="51">
      <c r="A51" s="76"/>
      <c r="B51" s="76"/>
      <c r="C51" s="76"/>
      <c r="D51" s="76"/>
      <c r="E51" s="76"/>
      <c r="F51" s="76"/>
      <c r="G51" s="76"/>
    </row>
    <row r="52">
      <c r="A52" s="76"/>
      <c r="B52" s="76"/>
      <c r="C52" s="76"/>
      <c r="D52" s="76"/>
      <c r="E52" s="76"/>
      <c r="F52" s="76"/>
      <c r="G52" s="76"/>
    </row>
    <row r="53">
      <c r="A53" s="76"/>
      <c r="B53" s="76"/>
      <c r="C53" s="76"/>
      <c r="D53" s="76"/>
      <c r="E53" s="76"/>
      <c r="F53" s="76"/>
      <c r="G53" s="76"/>
    </row>
    <row r="54">
      <c r="A54" s="76"/>
      <c r="B54" s="76"/>
      <c r="C54" s="76"/>
      <c r="D54" s="76"/>
      <c r="E54" s="76"/>
      <c r="F54" s="76"/>
      <c r="G54" s="76"/>
    </row>
    <row r="55">
      <c r="A55" s="76"/>
      <c r="B55" s="76"/>
      <c r="C55" s="76"/>
      <c r="D55" s="76"/>
      <c r="E55" s="76"/>
      <c r="F55" s="76"/>
      <c r="G55" s="76"/>
    </row>
    <row r="56">
      <c r="A56" s="76"/>
      <c r="B56" s="76"/>
      <c r="C56" s="76"/>
      <c r="D56" s="76"/>
      <c r="E56" s="76"/>
      <c r="F56" s="76"/>
      <c r="G56" s="76"/>
    </row>
    <row r="57">
      <c r="A57" s="76"/>
      <c r="B57" s="76"/>
      <c r="C57" s="76"/>
      <c r="D57" s="76"/>
      <c r="E57" s="76"/>
      <c r="F57" s="76"/>
      <c r="G57" s="76"/>
    </row>
    <row r="58">
      <c r="A58" s="76"/>
      <c r="B58" s="76"/>
      <c r="C58" s="76"/>
      <c r="D58" s="76"/>
      <c r="E58" s="76"/>
      <c r="F58" s="76"/>
      <c r="G58" s="76"/>
    </row>
    <row r="59">
      <c r="A59" s="76"/>
      <c r="B59" s="76"/>
      <c r="C59" s="76"/>
      <c r="D59" s="76"/>
      <c r="E59" s="76"/>
      <c r="F59" s="76"/>
      <c r="G59" s="76"/>
    </row>
    <row r="60">
      <c r="A60" s="76"/>
      <c r="B60" s="76"/>
      <c r="C60" s="76"/>
      <c r="D60" s="76"/>
      <c r="E60" s="76"/>
      <c r="F60" s="76"/>
      <c r="G60" s="76"/>
    </row>
    <row r="61">
      <c r="A61" s="76"/>
      <c r="B61" s="76"/>
      <c r="C61" s="76"/>
      <c r="D61" s="76"/>
      <c r="E61" s="76"/>
      <c r="F61" s="76"/>
      <c r="G61" s="76"/>
    </row>
    <row r="62">
      <c r="A62" s="76"/>
      <c r="B62" s="76"/>
      <c r="C62" s="76"/>
      <c r="D62" s="76"/>
      <c r="E62" s="76"/>
      <c r="F62" s="76"/>
      <c r="G62" s="76"/>
    </row>
    <row r="63">
      <c r="A63" s="76"/>
      <c r="B63" s="76"/>
      <c r="C63" s="76"/>
      <c r="D63" s="76"/>
      <c r="E63" s="76"/>
      <c r="F63" s="76"/>
      <c r="G63" s="76"/>
    </row>
    <row r="64">
      <c r="A64" s="76"/>
      <c r="B64" s="76"/>
      <c r="C64" s="76"/>
      <c r="D64" s="76"/>
      <c r="E64" s="76"/>
      <c r="F64" s="76"/>
      <c r="G64" s="76"/>
    </row>
    <row r="65">
      <c r="A65" s="76"/>
      <c r="B65" s="76"/>
      <c r="C65" s="76"/>
      <c r="D65" s="76"/>
      <c r="E65" s="76"/>
      <c r="F65" s="76"/>
      <c r="G65" s="76"/>
    </row>
    <row r="66">
      <c r="A66" s="76"/>
      <c r="B66" s="76"/>
      <c r="C66" s="76"/>
      <c r="D66" s="76"/>
      <c r="E66" s="76"/>
      <c r="F66" s="76"/>
      <c r="G66" s="76"/>
    </row>
    <row r="67">
      <c r="A67" s="76"/>
      <c r="B67" s="76"/>
      <c r="C67" s="76"/>
      <c r="D67" s="76"/>
      <c r="E67" s="76"/>
      <c r="F67" s="76"/>
      <c r="G67" s="76"/>
    </row>
    <row r="68">
      <c r="A68" s="76"/>
      <c r="B68" s="76"/>
      <c r="C68" s="76"/>
      <c r="D68" s="76"/>
      <c r="E68" s="76"/>
      <c r="F68" s="76"/>
      <c r="G68" s="76"/>
    </row>
    <row r="69">
      <c r="A69" s="76"/>
      <c r="B69" s="76"/>
      <c r="C69" s="76"/>
      <c r="D69" s="76"/>
      <c r="E69" s="76"/>
      <c r="F69" s="76"/>
      <c r="G69" s="76"/>
    </row>
    <row r="70">
      <c r="A70" s="76"/>
      <c r="B70" s="76"/>
      <c r="C70" s="76"/>
      <c r="D70" s="76"/>
      <c r="E70" s="76"/>
      <c r="F70" s="76"/>
      <c r="G70" s="76"/>
    </row>
    <row r="71">
      <c r="A71" s="76"/>
      <c r="B71" s="76"/>
      <c r="C71" s="76"/>
      <c r="D71" s="76"/>
      <c r="E71" s="76"/>
      <c r="F71" s="76"/>
      <c r="G71" s="76"/>
    </row>
    <row r="72">
      <c r="A72" s="76"/>
      <c r="B72" s="76"/>
      <c r="C72" s="76"/>
      <c r="D72" s="76"/>
      <c r="E72" s="76"/>
      <c r="F72" s="76"/>
      <c r="G72" s="76"/>
    </row>
    <row r="73">
      <c r="A73" s="76"/>
      <c r="B73" s="76"/>
      <c r="C73" s="76"/>
      <c r="D73" s="76"/>
      <c r="E73" s="76"/>
      <c r="F73" s="76"/>
      <c r="G73" s="76"/>
    </row>
    <row r="74">
      <c r="A74" s="76"/>
      <c r="B74" s="76"/>
      <c r="C74" s="76"/>
      <c r="D74" s="76"/>
      <c r="E74" s="76"/>
      <c r="F74" s="76"/>
      <c r="G74" s="76"/>
    </row>
    <row r="75">
      <c r="A75" s="76"/>
      <c r="B75" s="76"/>
      <c r="C75" s="76"/>
      <c r="D75" s="76"/>
      <c r="E75" s="76"/>
      <c r="F75" s="76"/>
      <c r="G75" s="76"/>
    </row>
    <row r="76">
      <c r="A76" s="76"/>
      <c r="B76" s="76"/>
      <c r="C76" s="76"/>
      <c r="D76" s="76"/>
      <c r="E76" s="76"/>
      <c r="F76" s="76"/>
      <c r="G76" s="76"/>
    </row>
    <row r="77">
      <c r="A77" s="76"/>
      <c r="B77" s="76"/>
      <c r="C77" s="76"/>
      <c r="D77" s="76"/>
      <c r="E77" s="76"/>
      <c r="F77" s="76"/>
      <c r="G77" s="76"/>
    </row>
    <row r="78">
      <c r="A78" s="76"/>
      <c r="B78" s="76"/>
      <c r="C78" s="76"/>
      <c r="D78" s="76"/>
      <c r="E78" s="76"/>
      <c r="F78" s="76"/>
      <c r="G78" s="76"/>
    </row>
    <row r="79">
      <c r="A79" s="76"/>
      <c r="B79" s="76"/>
      <c r="C79" s="76"/>
      <c r="D79" s="76"/>
      <c r="E79" s="76"/>
      <c r="F79" s="76"/>
      <c r="G79" s="76"/>
    </row>
    <row r="80">
      <c r="A80" s="76"/>
      <c r="B80" s="76"/>
      <c r="C80" s="76"/>
      <c r="D80" s="76"/>
      <c r="E80" s="76"/>
      <c r="F80" s="76"/>
      <c r="G80" s="76"/>
    </row>
    <row r="81">
      <c r="A81" s="76"/>
      <c r="B81" s="76"/>
      <c r="C81" s="76"/>
      <c r="D81" s="76"/>
      <c r="E81" s="76"/>
      <c r="F81" s="76"/>
      <c r="G81" s="76"/>
    </row>
    <row r="82">
      <c r="A82" s="76"/>
      <c r="B82" s="76"/>
      <c r="C82" s="76"/>
      <c r="D82" s="76"/>
      <c r="E82" s="76"/>
      <c r="F82" s="76"/>
      <c r="G82" s="76"/>
    </row>
    <row r="83">
      <c r="A83" s="76"/>
      <c r="B83" s="76"/>
      <c r="C83" s="76"/>
      <c r="D83" s="76"/>
      <c r="E83" s="76"/>
      <c r="F83" s="76"/>
      <c r="G83" s="76"/>
    </row>
    <row r="84">
      <c r="A84" s="76"/>
      <c r="B84" s="76"/>
      <c r="C84" s="76"/>
      <c r="D84" s="76"/>
      <c r="E84" s="76"/>
      <c r="F84" s="76"/>
      <c r="G84" s="76"/>
    </row>
    <row r="85">
      <c r="A85" s="76"/>
      <c r="B85" s="76"/>
      <c r="C85" s="76"/>
      <c r="D85" s="76"/>
      <c r="E85" s="76"/>
      <c r="F85" s="76"/>
      <c r="G85" s="76"/>
    </row>
    <row r="86">
      <c r="A86" s="76"/>
      <c r="B86" s="76"/>
      <c r="C86" s="76"/>
      <c r="D86" s="76"/>
      <c r="E86" s="76"/>
      <c r="F86" s="76"/>
      <c r="G86" s="76"/>
    </row>
    <row r="87">
      <c r="A87" s="76"/>
      <c r="B87" s="76"/>
      <c r="C87" s="76"/>
      <c r="D87" s="76"/>
      <c r="E87" s="76"/>
      <c r="F87" s="76"/>
      <c r="G87" s="76"/>
    </row>
    <row r="88">
      <c r="A88" s="76"/>
      <c r="B88" s="76"/>
      <c r="C88" s="76"/>
      <c r="D88" s="76"/>
      <c r="E88" s="76"/>
      <c r="F88" s="76"/>
      <c r="G88" s="76"/>
    </row>
    <row r="89">
      <c r="A89" s="76"/>
      <c r="B89" s="76"/>
      <c r="C89" s="76"/>
      <c r="D89" s="76"/>
      <c r="E89" s="76"/>
      <c r="F89" s="76"/>
      <c r="G89" s="76"/>
    </row>
    <row r="90">
      <c r="A90" s="76"/>
      <c r="B90" s="76"/>
      <c r="C90" s="76"/>
      <c r="D90" s="76"/>
      <c r="E90" s="76"/>
      <c r="F90" s="76"/>
      <c r="G90" s="76"/>
    </row>
    <row r="91">
      <c r="A91" s="76"/>
      <c r="B91" s="76"/>
      <c r="C91" s="76"/>
      <c r="D91" s="76"/>
      <c r="E91" s="76"/>
      <c r="F91" s="76"/>
      <c r="G91" s="76"/>
    </row>
    <row r="92">
      <c r="A92" s="76"/>
      <c r="B92" s="76"/>
      <c r="C92" s="76"/>
      <c r="D92" s="76"/>
      <c r="E92" s="76"/>
      <c r="F92" s="76"/>
      <c r="G92" s="76"/>
    </row>
    <row r="93">
      <c r="A93" s="76"/>
      <c r="B93" s="76"/>
      <c r="C93" s="76"/>
      <c r="D93" s="76"/>
      <c r="E93" s="76"/>
      <c r="F93" s="76"/>
      <c r="G93" s="76"/>
    </row>
    <row r="94">
      <c r="A94" s="76"/>
      <c r="B94" s="76"/>
      <c r="C94" s="76"/>
      <c r="D94" s="76"/>
      <c r="E94" s="76"/>
      <c r="F94" s="76"/>
      <c r="G94" s="76"/>
    </row>
    <row r="95">
      <c r="A95" s="76"/>
      <c r="B95" s="76"/>
      <c r="C95" s="76"/>
      <c r="D95" s="76"/>
      <c r="E95" s="76"/>
      <c r="F95" s="76"/>
      <c r="G95" s="76"/>
    </row>
    <row r="96">
      <c r="A96" s="76"/>
      <c r="B96" s="76"/>
      <c r="C96" s="76"/>
      <c r="D96" s="76"/>
      <c r="E96" s="76"/>
      <c r="F96" s="76"/>
      <c r="G96" s="76"/>
    </row>
    <row r="97">
      <c r="A97" s="76"/>
      <c r="B97" s="76"/>
      <c r="C97" s="76"/>
      <c r="D97" s="76"/>
      <c r="E97" s="76"/>
      <c r="F97" s="76"/>
      <c r="G97" s="76"/>
    </row>
    <row r="98">
      <c r="A98" s="76"/>
      <c r="B98" s="76"/>
      <c r="C98" s="76"/>
      <c r="D98" s="76"/>
      <c r="E98" s="76"/>
      <c r="F98" s="76"/>
      <c r="G98" s="76"/>
    </row>
    <row r="99">
      <c r="A99" s="76"/>
      <c r="B99" s="76"/>
      <c r="C99" s="76"/>
      <c r="D99" s="76"/>
      <c r="E99" s="76"/>
      <c r="F99" s="76"/>
      <c r="G99" s="76"/>
    </row>
    <row r="100">
      <c r="A100" s="76"/>
      <c r="B100" s="76"/>
      <c r="C100" s="76"/>
      <c r="D100" s="76"/>
      <c r="E100" s="76"/>
      <c r="F100" s="76"/>
      <c r="G100" s="76"/>
    </row>
    <row r="101">
      <c r="A101" s="76"/>
      <c r="B101" s="76"/>
      <c r="C101" s="76"/>
      <c r="D101" s="76"/>
      <c r="E101" s="76"/>
      <c r="F101" s="76"/>
      <c r="G101" s="76"/>
    </row>
    <row r="102">
      <c r="A102" s="76"/>
      <c r="B102" s="76"/>
      <c r="C102" s="76"/>
      <c r="D102" s="76"/>
      <c r="E102" s="76"/>
      <c r="F102" s="76"/>
      <c r="G102" s="76"/>
    </row>
    <row r="103">
      <c r="A103" s="76"/>
      <c r="B103" s="76"/>
      <c r="C103" s="76"/>
      <c r="D103" s="76"/>
      <c r="E103" s="76"/>
      <c r="F103" s="76"/>
      <c r="G103" s="76"/>
    </row>
    <row r="104">
      <c r="A104" s="76"/>
      <c r="B104" s="76"/>
      <c r="C104" s="76"/>
      <c r="D104" s="76"/>
      <c r="E104" s="76"/>
      <c r="F104" s="76"/>
      <c r="G104" s="76"/>
    </row>
    <row r="105">
      <c r="A105" s="76"/>
      <c r="B105" s="76"/>
      <c r="C105" s="76"/>
      <c r="D105" s="76"/>
      <c r="E105" s="76"/>
      <c r="F105" s="76"/>
      <c r="G105" s="76"/>
    </row>
    <row r="106">
      <c r="A106" s="76"/>
      <c r="B106" s="76"/>
      <c r="C106" s="76"/>
      <c r="D106" s="76"/>
      <c r="E106" s="76"/>
      <c r="F106" s="76"/>
      <c r="G106" s="76"/>
    </row>
    <row r="107">
      <c r="A107" s="76"/>
      <c r="B107" s="76"/>
      <c r="C107" s="76"/>
      <c r="D107" s="76"/>
      <c r="E107" s="76"/>
      <c r="F107" s="76"/>
      <c r="G107" s="76"/>
    </row>
    <row r="108">
      <c r="A108" s="76"/>
      <c r="B108" s="76"/>
      <c r="C108" s="76"/>
      <c r="D108" s="76"/>
      <c r="E108" s="76"/>
      <c r="F108" s="76"/>
      <c r="G108" s="76"/>
    </row>
    <row r="109">
      <c r="A109" s="76"/>
      <c r="B109" s="76"/>
      <c r="C109" s="76"/>
      <c r="D109" s="76"/>
      <c r="E109" s="76"/>
      <c r="F109" s="76"/>
      <c r="G109" s="76"/>
    </row>
    <row r="110">
      <c r="A110" s="76"/>
      <c r="B110" s="76"/>
      <c r="C110" s="76"/>
      <c r="D110" s="76"/>
      <c r="E110" s="76"/>
      <c r="F110" s="76"/>
      <c r="G110" s="76"/>
    </row>
    <row r="111">
      <c r="A111" s="76"/>
      <c r="B111" s="76"/>
      <c r="C111" s="76"/>
      <c r="D111" s="76"/>
      <c r="E111" s="76"/>
      <c r="F111" s="76"/>
      <c r="G111" s="76"/>
    </row>
    <row r="112">
      <c r="A112" s="76"/>
      <c r="B112" s="76"/>
      <c r="C112" s="76"/>
      <c r="D112" s="76"/>
      <c r="E112" s="76"/>
      <c r="F112" s="76"/>
      <c r="G112" s="76"/>
    </row>
    <row r="113">
      <c r="A113" s="76"/>
      <c r="B113" s="76"/>
      <c r="C113" s="76"/>
      <c r="D113" s="76"/>
      <c r="E113" s="76"/>
      <c r="F113" s="76"/>
      <c r="G113" s="76"/>
    </row>
    <row r="114">
      <c r="A114" s="76"/>
      <c r="B114" s="76"/>
      <c r="C114" s="76"/>
      <c r="D114" s="76"/>
      <c r="E114" s="76"/>
      <c r="F114" s="76"/>
      <c r="G114" s="76"/>
    </row>
    <row r="115">
      <c r="A115" s="76"/>
      <c r="B115" s="76"/>
      <c r="C115" s="76"/>
      <c r="D115" s="76"/>
      <c r="E115" s="76"/>
      <c r="F115" s="76"/>
      <c r="G115" s="76"/>
    </row>
    <row r="116">
      <c r="A116" s="76"/>
      <c r="B116" s="76"/>
      <c r="C116" s="76"/>
      <c r="D116" s="76"/>
      <c r="E116" s="76"/>
      <c r="F116" s="76"/>
      <c r="G116" s="76"/>
    </row>
    <row r="117">
      <c r="A117" s="76"/>
      <c r="B117" s="76"/>
      <c r="C117" s="76"/>
      <c r="D117" s="76"/>
      <c r="E117" s="76"/>
      <c r="F117" s="76"/>
      <c r="G117" s="76"/>
    </row>
    <row r="118">
      <c r="A118" s="76"/>
      <c r="B118" s="76"/>
      <c r="C118" s="76"/>
      <c r="D118" s="76"/>
      <c r="E118" s="76"/>
      <c r="F118" s="76"/>
      <c r="G118" s="76"/>
    </row>
    <row r="119">
      <c r="A119" s="76"/>
      <c r="B119" s="76"/>
      <c r="C119" s="76"/>
      <c r="D119" s="76"/>
      <c r="E119" s="76"/>
      <c r="F119" s="76"/>
      <c r="G119" s="76"/>
    </row>
    <row r="120">
      <c r="A120" s="76"/>
      <c r="B120" s="76"/>
      <c r="C120" s="76"/>
      <c r="D120" s="76"/>
      <c r="E120" s="76"/>
      <c r="F120" s="76"/>
      <c r="G120" s="76"/>
    </row>
    <row r="121">
      <c r="A121" s="76"/>
      <c r="B121" s="76"/>
      <c r="C121" s="76"/>
      <c r="D121" s="76"/>
      <c r="E121" s="76"/>
      <c r="F121" s="76"/>
      <c r="G121" s="76"/>
    </row>
    <row r="122">
      <c r="A122" s="76"/>
      <c r="B122" s="76"/>
      <c r="C122" s="76"/>
      <c r="D122" s="76"/>
      <c r="E122" s="76"/>
      <c r="F122" s="76"/>
      <c r="G122" s="76"/>
    </row>
    <row r="123">
      <c r="A123" s="76"/>
      <c r="B123" s="76"/>
      <c r="C123" s="76"/>
      <c r="D123" s="76"/>
      <c r="E123" s="76"/>
      <c r="F123" s="76"/>
      <c r="G123" s="76"/>
    </row>
    <row r="124">
      <c r="A124" s="76"/>
      <c r="B124" s="76"/>
      <c r="C124" s="76"/>
      <c r="D124" s="76"/>
      <c r="E124" s="76"/>
      <c r="F124" s="76"/>
      <c r="G124" s="76"/>
    </row>
    <row r="125">
      <c r="A125" s="76"/>
      <c r="B125" s="76"/>
      <c r="C125" s="76"/>
      <c r="D125" s="76"/>
      <c r="E125" s="76"/>
      <c r="F125" s="76"/>
      <c r="G125" s="76"/>
    </row>
    <row r="126">
      <c r="A126" s="76"/>
      <c r="B126" s="76"/>
      <c r="C126" s="76"/>
      <c r="D126" s="76"/>
      <c r="E126" s="76"/>
      <c r="F126" s="76"/>
      <c r="G126" s="76"/>
    </row>
    <row r="127">
      <c r="A127" s="76"/>
      <c r="B127" s="76"/>
      <c r="C127" s="76"/>
      <c r="D127" s="76"/>
      <c r="E127" s="76"/>
      <c r="F127" s="76"/>
      <c r="G127" s="76"/>
    </row>
    <row r="128">
      <c r="A128" s="76"/>
      <c r="B128" s="76"/>
      <c r="C128" s="76"/>
      <c r="D128" s="76"/>
      <c r="E128" s="76"/>
      <c r="F128" s="76"/>
      <c r="G128" s="76"/>
    </row>
    <row r="129">
      <c r="A129" s="76"/>
      <c r="B129" s="76"/>
      <c r="C129" s="76"/>
      <c r="D129" s="76"/>
      <c r="E129" s="76"/>
      <c r="F129" s="76"/>
      <c r="G129" s="76"/>
    </row>
    <row r="130">
      <c r="A130" s="76"/>
      <c r="B130" s="76"/>
      <c r="C130" s="76"/>
      <c r="D130" s="76"/>
      <c r="E130" s="76"/>
      <c r="F130" s="76"/>
      <c r="G130" s="76"/>
    </row>
    <row r="131">
      <c r="A131" s="76"/>
      <c r="B131" s="76"/>
      <c r="C131" s="76"/>
      <c r="D131" s="76"/>
      <c r="E131" s="76"/>
      <c r="F131" s="76"/>
      <c r="G131" s="76"/>
    </row>
    <row r="132">
      <c r="A132" s="76"/>
      <c r="B132" s="76"/>
      <c r="C132" s="76"/>
      <c r="D132" s="76"/>
      <c r="E132" s="76"/>
      <c r="F132" s="76"/>
      <c r="G132" s="76"/>
    </row>
    <row r="133">
      <c r="A133" s="76"/>
      <c r="B133" s="76"/>
      <c r="C133" s="76"/>
      <c r="D133" s="76"/>
      <c r="E133" s="76"/>
      <c r="F133" s="76"/>
      <c r="G133" s="76"/>
    </row>
    <row r="134">
      <c r="A134" s="76"/>
      <c r="B134" s="76"/>
      <c r="C134" s="76"/>
      <c r="D134" s="76"/>
      <c r="E134" s="76"/>
      <c r="F134" s="76"/>
      <c r="G134" s="76"/>
    </row>
    <row r="135">
      <c r="A135" s="76"/>
      <c r="B135" s="76"/>
      <c r="C135" s="76"/>
      <c r="D135" s="76"/>
      <c r="E135" s="76"/>
      <c r="F135" s="76"/>
      <c r="G135" s="76"/>
    </row>
    <row r="136">
      <c r="A136" s="76"/>
      <c r="B136" s="76"/>
      <c r="C136" s="76"/>
      <c r="D136" s="76"/>
      <c r="E136" s="76"/>
      <c r="F136" s="76"/>
      <c r="G136" s="76"/>
    </row>
    <row r="137">
      <c r="A137" s="76"/>
      <c r="B137" s="76"/>
      <c r="C137" s="76"/>
      <c r="D137" s="76"/>
      <c r="E137" s="76"/>
      <c r="F137" s="76"/>
      <c r="G137" s="76"/>
    </row>
    <row r="138">
      <c r="A138" s="76"/>
      <c r="B138" s="76"/>
      <c r="C138" s="76"/>
      <c r="D138" s="76"/>
      <c r="E138" s="76"/>
      <c r="F138" s="76"/>
      <c r="G138" s="76"/>
    </row>
    <row r="139">
      <c r="A139" s="76"/>
      <c r="B139" s="76"/>
      <c r="C139" s="76"/>
      <c r="D139" s="76"/>
      <c r="E139" s="76"/>
      <c r="F139" s="76"/>
      <c r="G139" s="76"/>
    </row>
    <row r="140">
      <c r="A140" s="76"/>
      <c r="B140" s="76"/>
      <c r="C140" s="76"/>
      <c r="D140" s="76"/>
      <c r="E140" s="76"/>
      <c r="F140" s="76"/>
      <c r="G140" s="76"/>
    </row>
    <row r="141">
      <c r="A141" s="76"/>
      <c r="B141" s="76"/>
      <c r="C141" s="76"/>
      <c r="D141" s="76"/>
      <c r="E141" s="76"/>
      <c r="F141" s="76"/>
      <c r="G141" s="76"/>
    </row>
    <row r="142">
      <c r="A142" s="76"/>
      <c r="B142" s="76"/>
      <c r="C142" s="76"/>
      <c r="D142" s="76"/>
      <c r="E142" s="76"/>
      <c r="F142" s="76"/>
      <c r="G142" s="76"/>
    </row>
    <row r="143">
      <c r="A143" s="76"/>
      <c r="B143" s="76"/>
      <c r="C143" s="76"/>
      <c r="D143" s="76"/>
      <c r="E143" s="76"/>
      <c r="F143" s="76"/>
      <c r="G143" s="76"/>
    </row>
    <row r="144">
      <c r="A144" s="76"/>
      <c r="B144" s="76"/>
      <c r="C144" s="76"/>
      <c r="D144" s="76"/>
      <c r="E144" s="76"/>
      <c r="F144" s="76"/>
      <c r="G144" s="76"/>
    </row>
    <row r="145">
      <c r="A145" s="76"/>
      <c r="B145" s="76"/>
      <c r="C145" s="76"/>
      <c r="D145" s="76"/>
      <c r="E145" s="76"/>
      <c r="F145" s="76"/>
      <c r="G145" s="76"/>
    </row>
    <row r="146">
      <c r="A146" s="76"/>
      <c r="B146" s="76"/>
      <c r="C146" s="76"/>
      <c r="D146" s="76"/>
      <c r="E146" s="76"/>
      <c r="F146" s="76"/>
      <c r="G146" s="76"/>
    </row>
    <row r="147">
      <c r="A147" s="76"/>
      <c r="B147" s="76"/>
      <c r="C147" s="76"/>
      <c r="D147" s="76"/>
      <c r="E147" s="76"/>
      <c r="F147" s="76"/>
      <c r="G147" s="76"/>
    </row>
    <row r="148">
      <c r="A148" s="76"/>
      <c r="B148" s="76"/>
      <c r="C148" s="76"/>
      <c r="D148" s="76"/>
      <c r="E148" s="76"/>
      <c r="F148" s="76"/>
      <c r="G148" s="76"/>
    </row>
    <row r="149">
      <c r="A149" s="76"/>
      <c r="B149" s="76"/>
      <c r="C149" s="76"/>
      <c r="D149" s="76"/>
      <c r="E149" s="76"/>
      <c r="F149" s="76"/>
      <c r="G149" s="76"/>
    </row>
    <row r="150">
      <c r="A150" s="76"/>
      <c r="B150" s="76"/>
      <c r="C150" s="76"/>
      <c r="D150" s="76"/>
      <c r="E150" s="76"/>
      <c r="F150" s="76"/>
      <c r="G150" s="76"/>
    </row>
    <row r="151">
      <c r="A151" s="76"/>
      <c r="B151" s="76"/>
      <c r="C151" s="76"/>
      <c r="D151" s="76"/>
      <c r="E151" s="76"/>
      <c r="F151" s="76"/>
      <c r="G151" s="76"/>
    </row>
    <row r="152">
      <c r="A152" s="76"/>
      <c r="B152" s="76"/>
      <c r="C152" s="76"/>
      <c r="D152" s="76"/>
      <c r="E152" s="76"/>
      <c r="F152" s="76"/>
      <c r="G152" s="76"/>
    </row>
    <row r="153">
      <c r="A153" s="76"/>
      <c r="B153" s="76"/>
      <c r="C153" s="76"/>
      <c r="D153" s="76"/>
      <c r="E153" s="76"/>
      <c r="F153" s="76"/>
      <c r="G153" s="76"/>
    </row>
    <row r="154">
      <c r="A154" s="76"/>
      <c r="B154" s="76"/>
      <c r="C154" s="76"/>
      <c r="D154" s="76"/>
      <c r="E154" s="76"/>
      <c r="F154" s="76"/>
      <c r="G154" s="76"/>
    </row>
    <row r="155">
      <c r="A155" s="76"/>
      <c r="B155" s="76"/>
      <c r="C155" s="76"/>
      <c r="D155" s="76"/>
      <c r="E155" s="76"/>
      <c r="F155" s="76"/>
      <c r="G155" s="76"/>
    </row>
    <row r="156">
      <c r="A156" s="76"/>
      <c r="B156" s="76"/>
      <c r="C156" s="76"/>
      <c r="D156" s="76"/>
      <c r="E156" s="76"/>
      <c r="F156" s="76"/>
      <c r="G156" s="76"/>
    </row>
    <row r="157">
      <c r="A157" s="76"/>
      <c r="B157" s="76"/>
      <c r="C157" s="76"/>
      <c r="D157" s="76"/>
      <c r="E157" s="76"/>
      <c r="F157" s="76"/>
      <c r="G157" s="76"/>
    </row>
    <row r="158">
      <c r="A158" s="76"/>
      <c r="B158" s="76"/>
      <c r="C158" s="76"/>
      <c r="D158" s="76"/>
      <c r="E158" s="76"/>
      <c r="F158" s="76"/>
      <c r="G158" s="76"/>
    </row>
    <row r="159">
      <c r="A159" s="76"/>
      <c r="B159" s="76"/>
      <c r="C159" s="76"/>
      <c r="D159" s="76"/>
      <c r="E159" s="76"/>
      <c r="F159" s="76"/>
      <c r="G159" s="76"/>
    </row>
    <row r="160">
      <c r="A160" s="76"/>
      <c r="B160" s="76"/>
      <c r="C160" s="76"/>
      <c r="D160" s="76"/>
      <c r="E160" s="76"/>
      <c r="F160" s="76"/>
      <c r="G160" s="76"/>
    </row>
    <row r="161">
      <c r="A161" s="76"/>
      <c r="B161" s="76"/>
      <c r="C161" s="76"/>
      <c r="D161" s="76"/>
      <c r="E161" s="76"/>
      <c r="F161" s="76"/>
      <c r="G161" s="76"/>
    </row>
    <row r="162">
      <c r="A162" s="76"/>
      <c r="B162" s="76"/>
      <c r="C162" s="76"/>
      <c r="D162" s="76"/>
      <c r="E162" s="76"/>
      <c r="F162" s="76"/>
      <c r="G162" s="76"/>
    </row>
    <row r="163">
      <c r="A163" s="76"/>
      <c r="B163" s="76"/>
      <c r="C163" s="76"/>
      <c r="D163" s="76"/>
      <c r="E163" s="76"/>
      <c r="F163" s="76"/>
      <c r="G163" s="76"/>
    </row>
    <row r="164">
      <c r="A164" s="76"/>
      <c r="B164" s="76"/>
      <c r="C164" s="76"/>
      <c r="D164" s="76"/>
      <c r="E164" s="76"/>
      <c r="F164" s="76"/>
      <c r="G164" s="76"/>
    </row>
    <row r="165">
      <c r="A165" s="76"/>
      <c r="B165" s="76"/>
      <c r="C165" s="76"/>
      <c r="D165" s="76"/>
      <c r="E165" s="76"/>
      <c r="F165" s="76"/>
      <c r="G165" s="76"/>
    </row>
    <row r="166">
      <c r="A166" s="76"/>
      <c r="B166" s="76"/>
      <c r="C166" s="76"/>
      <c r="D166" s="76"/>
      <c r="E166" s="76"/>
      <c r="F166" s="76"/>
      <c r="G166" s="76"/>
    </row>
    <row r="167">
      <c r="A167" s="76"/>
      <c r="B167" s="76"/>
      <c r="C167" s="76"/>
      <c r="D167" s="76"/>
      <c r="E167" s="76"/>
      <c r="F167" s="76"/>
      <c r="G167" s="76"/>
    </row>
    <row r="168">
      <c r="A168" s="76"/>
      <c r="B168" s="76"/>
      <c r="C168" s="76"/>
      <c r="D168" s="76"/>
      <c r="E168" s="76"/>
      <c r="F168" s="76"/>
      <c r="G168" s="76"/>
    </row>
    <row r="169">
      <c r="A169" s="76"/>
      <c r="B169" s="76"/>
      <c r="C169" s="76"/>
      <c r="D169" s="76"/>
      <c r="E169" s="76"/>
      <c r="F169" s="76"/>
      <c r="G169" s="76"/>
    </row>
    <row r="170">
      <c r="A170" s="76"/>
      <c r="B170" s="76"/>
      <c r="C170" s="76"/>
      <c r="D170" s="76"/>
      <c r="E170" s="76"/>
      <c r="F170" s="76"/>
      <c r="G170" s="76"/>
    </row>
    <row r="171">
      <c r="A171" s="76"/>
      <c r="B171" s="76"/>
      <c r="C171" s="76"/>
      <c r="D171" s="76"/>
      <c r="E171" s="76"/>
      <c r="F171" s="76"/>
      <c r="G171" s="76"/>
    </row>
    <row r="172">
      <c r="A172" s="76"/>
      <c r="B172" s="76"/>
      <c r="C172" s="76"/>
      <c r="D172" s="76"/>
      <c r="E172" s="76"/>
      <c r="F172" s="76"/>
      <c r="G172" s="76"/>
    </row>
    <row r="173">
      <c r="A173" s="76"/>
      <c r="B173" s="76"/>
      <c r="C173" s="76"/>
      <c r="D173" s="76"/>
      <c r="E173" s="76"/>
      <c r="F173" s="76"/>
      <c r="G173" s="76"/>
    </row>
    <row r="174">
      <c r="A174" s="76"/>
      <c r="B174" s="76"/>
      <c r="C174" s="76"/>
      <c r="D174" s="76"/>
      <c r="E174" s="76"/>
      <c r="F174" s="76"/>
      <c r="G174" s="76"/>
    </row>
    <row r="175">
      <c r="A175" s="76"/>
      <c r="B175" s="76"/>
      <c r="C175" s="76"/>
      <c r="D175" s="76"/>
      <c r="E175" s="76"/>
      <c r="F175" s="76"/>
      <c r="G175" s="76"/>
    </row>
    <row r="176">
      <c r="A176" s="76"/>
      <c r="B176" s="76"/>
      <c r="C176" s="76"/>
      <c r="D176" s="76"/>
      <c r="E176" s="76"/>
      <c r="F176" s="76"/>
      <c r="G176" s="76"/>
    </row>
    <row r="177">
      <c r="A177" s="76"/>
      <c r="B177" s="76"/>
      <c r="C177" s="76"/>
      <c r="D177" s="76"/>
      <c r="E177" s="76"/>
      <c r="F177" s="76"/>
      <c r="G177" s="76"/>
    </row>
    <row r="178">
      <c r="A178" s="76"/>
      <c r="B178" s="76"/>
      <c r="C178" s="76"/>
      <c r="D178" s="76"/>
      <c r="E178" s="76"/>
      <c r="F178" s="76"/>
      <c r="G178" s="76"/>
    </row>
    <row r="179">
      <c r="A179" s="76"/>
      <c r="B179" s="76"/>
      <c r="C179" s="76"/>
      <c r="D179" s="76"/>
      <c r="E179" s="76"/>
      <c r="F179" s="76"/>
      <c r="G179" s="76"/>
    </row>
    <row r="180">
      <c r="A180" s="76"/>
      <c r="B180" s="76"/>
      <c r="C180" s="76"/>
      <c r="D180" s="76"/>
      <c r="E180" s="76"/>
      <c r="F180" s="76"/>
      <c r="G180" s="76"/>
    </row>
    <row r="181">
      <c r="A181" s="76"/>
      <c r="B181" s="76"/>
      <c r="C181" s="76"/>
      <c r="D181" s="76"/>
      <c r="E181" s="76"/>
      <c r="F181" s="76"/>
      <c r="G181" s="76"/>
    </row>
    <row r="182">
      <c r="A182" s="76"/>
      <c r="B182" s="76"/>
      <c r="C182" s="76"/>
      <c r="D182" s="76"/>
      <c r="E182" s="76"/>
      <c r="F182" s="76"/>
      <c r="G182" s="76"/>
    </row>
    <row r="183">
      <c r="A183" s="76"/>
      <c r="B183" s="76"/>
      <c r="C183" s="76"/>
      <c r="D183" s="76"/>
      <c r="E183" s="76"/>
      <c r="F183" s="76"/>
      <c r="G183" s="76"/>
    </row>
    <row r="184">
      <c r="A184" s="76"/>
      <c r="B184" s="76"/>
      <c r="C184" s="76"/>
      <c r="D184" s="76"/>
      <c r="E184" s="76"/>
      <c r="F184" s="76"/>
      <c r="G184" s="76"/>
    </row>
    <row r="185">
      <c r="A185" s="76"/>
      <c r="B185" s="76"/>
      <c r="C185" s="76"/>
      <c r="D185" s="76"/>
      <c r="E185" s="76"/>
      <c r="F185" s="76"/>
      <c r="G185" s="76"/>
    </row>
    <row r="186">
      <c r="A186" s="76"/>
      <c r="B186" s="76"/>
      <c r="C186" s="76"/>
      <c r="D186" s="76"/>
      <c r="E186" s="76"/>
      <c r="F186" s="76"/>
      <c r="G186" s="76"/>
    </row>
    <row r="187">
      <c r="A187" s="76"/>
      <c r="B187" s="76"/>
      <c r="C187" s="76"/>
      <c r="D187" s="76"/>
      <c r="E187" s="76"/>
      <c r="F187" s="76"/>
      <c r="G187" s="76"/>
    </row>
    <row r="188">
      <c r="A188" s="76"/>
      <c r="B188" s="76"/>
      <c r="C188" s="76"/>
      <c r="D188" s="76"/>
      <c r="E188" s="76"/>
      <c r="F188" s="76"/>
      <c r="G188" s="76"/>
    </row>
    <row r="189">
      <c r="A189" s="76"/>
      <c r="B189" s="76"/>
      <c r="C189" s="76"/>
      <c r="D189" s="76"/>
      <c r="E189" s="76"/>
      <c r="F189" s="76"/>
      <c r="G189" s="76"/>
    </row>
    <row r="190">
      <c r="A190" s="76"/>
      <c r="B190" s="76"/>
      <c r="C190" s="76"/>
      <c r="D190" s="76"/>
      <c r="E190" s="76"/>
      <c r="F190" s="76"/>
      <c r="G190" s="76"/>
    </row>
    <row r="191">
      <c r="A191" s="76"/>
      <c r="B191" s="76"/>
      <c r="C191" s="76"/>
      <c r="D191" s="76"/>
      <c r="E191" s="76"/>
      <c r="F191" s="76"/>
      <c r="G191" s="76"/>
    </row>
    <row r="192">
      <c r="A192" s="76"/>
      <c r="B192" s="76"/>
      <c r="C192" s="76"/>
      <c r="D192" s="76"/>
      <c r="E192" s="76"/>
      <c r="F192" s="76"/>
      <c r="G192" s="76"/>
    </row>
    <row r="193">
      <c r="A193" s="76"/>
      <c r="B193" s="76"/>
      <c r="C193" s="76"/>
      <c r="D193" s="76"/>
      <c r="E193" s="76"/>
      <c r="F193" s="76"/>
      <c r="G193" s="76"/>
    </row>
    <row r="194">
      <c r="A194" s="76"/>
      <c r="B194" s="76"/>
      <c r="C194" s="76"/>
      <c r="D194" s="76"/>
      <c r="E194" s="76"/>
      <c r="F194" s="76"/>
      <c r="G194" s="76"/>
    </row>
    <row r="195">
      <c r="A195" s="76"/>
      <c r="B195" s="76"/>
      <c r="C195" s="76"/>
      <c r="D195" s="76"/>
      <c r="E195" s="76"/>
      <c r="F195" s="76"/>
      <c r="G195" s="76"/>
    </row>
    <row r="196">
      <c r="A196" s="76"/>
      <c r="B196" s="76"/>
      <c r="C196" s="76"/>
      <c r="D196" s="76"/>
      <c r="E196" s="76"/>
      <c r="F196" s="76"/>
      <c r="G196" s="76"/>
    </row>
    <row r="197">
      <c r="A197" s="76"/>
      <c r="B197" s="76"/>
      <c r="C197" s="76"/>
      <c r="D197" s="76"/>
      <c r="E197" s="76"/>
      <c r="F197" s="76"/>
      <c r="G197" s="76"/>
    </row>
    <row r="198">
      <c r="A198" s="76"/>
      <c r="B198" s="76"/>
      <c r="C198" s="76"/>
      <c r="D198" s="76"/>
      <c r="E198" s="76"/>
      <c r="F198" s="76"/>
      <c r="G198" s="76"/>
    </row>
    <row r="199">
      <c r="A199" s="76"/>
      <c r="B199" s="76"/>
      <c r="C199" s="76"/>
      <c r="D199" s="76"/>
      <c r="E199" s="76"/>
      <c r="F199" s="76"/>
      <c r="G199" s="76"/>
    </row>
    <row r="200">
      <c r="A200" s="76"/>
      <c r="B200" s="76"/>
      <c r="C200" s="76"/>
      <c r="D200" s="76"/>
      <c r="E200" s="76"/>
      <c r="F200" s="76"/>
      <c r="G200" s="76"/>
    </row>
    <row r="201">
      <c r="A201" s="76"/>
      <c r="B201" s="76"/>
      <c r="C201" s="76"/>
      <c r="D201" s="76"/>
      <c r="E201" s="76"/>
      <c r="F201" s="76"/>
      <c r="G201" s="76"/>
    </row>
    <row r="202">
      <c r="A202" s="76"/>
      <c r="B202" s="76"/>
      <c r="C202" s="76"/>
      <c r="D202" s="76"/>
      <c r="E202" s="76"/>
      <c r="F202" s="76"/>
      <c r="G202" s="76"/>
    </row>
    <row r="203">
      <c r="A203" s="76"/>
      <c r="B203" s="76"/>
      <c r="C203" s="76"/>
      <c r="D203" s="76"/>
      <c r="E203" s="76"/>
      <c r="F203" s="76"/>
      <c r="G203" s="76"/>
    </row>
    <row r="204">
      <c r="A204" s="76"/>
      <c r="B204" s="76"/>
      <c r="C204" s="76"/>
      <c r="D204" s="76"/>
      <c r="E204" s="76"/>
      <c r="F204" s="76"/>
      <c r="G204" s="76"/>
    </row>
    <row r="205">
      <c r="A205" s="76"/>
      <c r="B205" s="76"/>
      <c r="C205" s="76"/>
      <c r="D205" s="76"/>
      <c r="E205" s="76"/>
      <c r="F205" s="76"/>
      <c r="G205" s="76"/>
    </row>
    <row r="206">
      <c r="A206" s="76"/>
      <c r="B206" s="76"/>
      <c r="C206" s="76"/>
      <c r="D206" s="76"/>
      <c r="E206" s="76"/>
      <c r="F206" s="76"/>
      <c r="G206" s="76"/>
    </row>
    <row r="207">
      <c r="A207" s="76"/>
      <c r="B207" s="76"/>
      <c r="C207" s="76"/>
      <c r="D207" s="76"/>
      <c r="E207" s="76"/>
      <c r="F207" s="76"/>
      <c r="G207" s="76"/>
    </row>
    <row r="208">
      <c r="A208" s="76"/>
      <c r="B208" s="76"/>
      <c r="C208" s="76"/>
      <c r="D208" s="76"/>
      <c r="E208" s="76"/>
      <c r="F208" s="76"/>
      <c r="G208" s="76"/>
    </row>
    <row r="209">
      <c r="A209" s="76"/>
      <c r="B209" s="76"/>
      <c r="C209" s="76"/>
      <c r="D209" s="76"/>
      <c r="E209" s="76"/>
      <c r="F209" s="76"/>
      <c r="G209" s="76"/>
    </row>
    <row r="210">
      <c r="A210" s="76"/>
      <c r="B210" s="76"/>
      <c r="C210" s="76"/>
      <c r="D210" s="76"/>
      <c r="E210" s="76"/>
      <c r="F210" s="76"/>
      <c r="G210" s="76"/>
    </row>
    <row r="211">
      <c r="A211" s="76"/>
      <c r="B211" s="76"/>
      <c r="C211" s="76"/>
      <c r="D211" s="76"/>
      <c r="E211" s="76"/>
      <c r="F211" s="76"/>
      <c r="G211" s="76"/>
    </row>
    <row r="212">
      <c r="A212" s="76"/>
      <c r="B212" s="76"/>
      <c r="C212" s="76"/>
      <c r="D212" s="76"/>
      <c r="E212" s="76"/>
      <c r="F212" s="76"/>
      <c r="G212" s="76"/>
    </row>
    <row r="213">
      <c r="A213" s="76"/>
      <c r="B213" s="76"/>
      <c r="C213" s="76"/>
      <c r="D213" s="76"/>
      <c r="E213" s="76"/>
      <c r="F213" s="76"/>
      <c r="G213" s="76"/>
    </row>
    <row r="214">
      <c r="A214" s="76"/>
      <c r="B214" s="76"/>
      <c r="C214" s="76"/>
      <c r="D214" s="76"/>
      <c r="E214" s="76"/>
      <c r="F214" s="76"/>
      <c r="G214" s="76"/>
    </row>
    <row r="215">
      <c r="A215" s="76"/>
      <c r="B215" s="76"/>
      <c r="C215" s="76"/>
      <c r="D215" s="76"/>
      <c r="E215" s="76"/>
      <c r="F215" s="76"/>
      <c r="G215" s="76"/>
    </row>
    <row r="216">
      <c r="A216" s="76"/>
      <c r="B216" s="76"/>
      <c r="C216" s="76"/>
      <c r="D216" s="76"/>
      <c r="E216" s="76"/>
      <c r="F216" s="76"/>
      <c r="G216" s="76"/>
    </row>
    <row r="217">
      <c r="A217" s="76"/>
      <c r="B217" s="76"/>
      <c r="C217" s="76"/>
      <c r="D217" s="76"/>
      <c r="E217" s="76"/>
      <c r="F217" s="76"/>
      <c r="G217" s="76"/>
    </row>
    <row r="218">
      <c r="A218" s="76"/>
      <c r="B218" s="76"/>
      <c r="C218" s="76"/>
      <c r="D218" s="76"/>
      <c r="E218" s="76"/>
      <c r="F218" s="76"/>
      <c r="G218" s="76"/>
    </row>
    <row r="219">
      <c r="A219" s="76"/>
      <c r="B219" s="76"/>
      <c r="C219" s="76"/>
      <c r="D219" s="76"/>
      <c r="E219" s="76"/>
      <c r="F219" s="76"/>
      <c r="G219" s="76"/>
    </row>
    <row r="220">
      <c r="A220" s="76"/>
      <c r="B220" s="76"/>
      <c r="C220" s="76"/>
      <c r="D220" s="76"/>
      <c r="E220" s="76"/>
      <c r="F220" s="76"/>
      <c r="G220" s="76"/>
    </row>
    <row r="221">
      <c r="A221" s="76"/>
      <c r="B221" s="76"/>
      <c r="C221" s="76"/>
      <c r="D221" s="76"/>
      <c r="E221" s="76"/>
      <c r="F221" s="76"/>
      <c r="G221" s="76"/>
    </row>
    <row r="222">
      <c r="A222" s="76"/>
      <c r="B222" s="76"/>
      <c r="C222" s="76"/>
      <c r="D222" s="76"/>
      <c r="E222" s="76"/>
      <c r="F222" s="76"/>
      <c r="G222" s="76"/>
    </row>
    <row r="223">
      <c r="A223" s="76"/>
      <c r="B223" s="76"/>
      <c r="C223" s="76"/>
      <c r="D223" s="76"/>
      <c r="E223" s="76"/>
      <c r="F223" s="76"/>
      <c r="G223" s="76"/>
    </row>
    <row r="224">
      <c r="A224" s="76"/>
      <c r="B224" s="76"/>
      <c r="C224" s="76"/>
      <c r="D224" s="76"/>
      <c r="E224" s="76"/>
      <c r="F224" s="76"/>
      <c r="G224" s="76"/>
    </row>
    <row r="225">
      <c r="A225" s="76"/>
      <c r="B225" s="76"/>
      <c r="C225" s="76"/>
      <c r="D225" s="76"/>
      <c r="E225" s="76"/>
      <c r="F225" s="76"/>
      <c r="G225" s="76"/>
    </row>
    <row r="226">
      <c r="A226" s="76"/>
      <c r="B226" s="76"/>
      <c r="C226" s="76"/>
      <c r="D226" s="76"/>
      <c r="E226" s="76"/>
      <c r="F226" s="76"/>
      <c r="G226" s="76"/>
    </row>
    <row r="227">
      <c r="A227" s="76"/>
      <c r="B227" s="76"/>
      <c r="C227" s="76"/>
      <c r="D227" s="76"/>
      <c r="E227" s="76"/>
      <c r="F227" s="76"/>
      <c r="G227" s="76"/>
    </row>
    <row r="228">
      <c r="A228" s="76"/>
      <c r="B228" s="76"/>
      <c r="C228" s="76"/>
      <c r="D228" s="76"/>
      <c r="E228" s="76"/>
      <c r="F228" s="76"/>
      <c r="G228" s="76"/>
    </row>
    <row r="229">
      <c r="A229" s="76"/>
      <c r="B229" s="76"/>
      <c r="C229" s="76"/>
      <c r="D229" s="76"/>
      <c r="E229" s="76"/>
      <c r="F229" s="76"/>
      <c r="G229" s="76"/>
    </row>
    <row r="230">
      <c r="A230" s="76"/>
      <c r="B230" s="76"/>
      <c r="C230" s="76"/>
      <c r="D230" s="76"/>
      <c r="E230" s="76"/>
      <c r="F230" s="76"/>
      <c r="G230" s="76"/>
    </row>
    <row r="231">
      <c r="A231" s="76"/>
      <c r="B231" s="76"/>
      <c r="C231" s="76"/>
      <c r="D231" s="76"/>
      <c r="E231" s="76"/>
      <c r="F231" s="76"/>
      <c r="G231" s="76"/>
    </row>
    <row r="232">
      <c r="A232" s="76"/>
      <c r="B232" s="76"/>
      <c r="C232" s="76"/>
      <c r="D232" s="76"/>
      <c r="E232" s="76"/>
      <c r="F232" s="76"/>
      <c r="G232" s="76"/>
    </row>
    <row r="233">
      <c r="A233" s="76"/>
      <c r="B233" s="76"/>
      <c r="C233" s="76"/>
      <c r="D233" s="76"/>
      <c r="E233" s="76"/>
      <c r="F233" s="76"/>
      <c r="G233" s="76"/>
    </row>
    <row r="234">
      <c r="A234" s="76"/>
      <c r="B234" s="76"/>
      <c r="C234" s="76"/>
      <c r="D234" s="76"/>
      <c r="E234" s="76"/>
      <c r="F234" s="76"/>
      <c r="G234" s="76"/>
    </row>
    <row r="235">
      <c r="A235" s="76"/>
      <c r="B235" s="76"/>
      <c r="C235" s="76"/>
      <c r="D235" s="76"/>
      <c r="E235" s="76"/>
      <c r="F235" s="76"/>
      <c r="G235" s="76"/>
    </row>
    <row r="236">
      <c r="A236" s="76"/>
      <c r="B236" s="76"/>
      <c r="C236" s="76"/>
      <c r="D236" s="76"/>
      <c r="E236" s="76"/>
      <c r="F236" s="76"/>
      <c r="G236" s="76"/>
    </row>
    <row r="237">
      <c r="A237" s="76"/>
      <c r="B237" s="76"/>
      <c r="C237" s="76"/>
      <c r="D237" s="76"/>
      <c r="E237" s="76"/>
      <c r="F237" s="76"/>
      <c r="G237" s="76"/>
    </row>
    <row r="238">
      <c r="A238" s="76"/>
      <c r="B238" s="76"/>
      <c r="C238" s="76"/>
      <c r="D238" s="76"/>
      <c r="E238" s="76"/>
      <c r="F238" s="76"/>
      <c r="G238" s="76"/>
    </row>
    <row r="239">
      <c r="A239" s="76"/>
      <c r="B239" s="76"/>
      <c r="C239" s="76"/>
      <c r="D239" s="76"/>
      <c r="E239" s="76"/>
      <c r="F239" s="76"/>
      <c r="G239" s="76"/>
    </row>
    <row r="240">
      <c r="A240" s="76"/>
      <c r="B240" s="76"/>
      <c r="C240" s="76"/>
      <c r="D240" s="76"/>
      <c r="E240" s="76"/>
      <c r="F240" s="76"/>
      <c r="G240" s="76"/>
    </row>
    <row r="241">
      <c r="A241" s="76"/>
      <c r="B241" s="76"/>
      <c r="C241" s="76"/>
      <c r="D241" s="76"/>
      <c r="E241" s="76"/>
      <c r="F241" s="76"/>
      <c r="G241" s="76"/>
    </row>
    <row r="242">
      <c r="A242" s="76"/>
      <c r="B242" s="76"/>
      <c r="C242" s="76"/>
      <c r="D242" s="76"/>
      <c r="E242" s="76"/>
      <c r="F242" s="76"/>
      <c r="G242" s="76"/>
    </row>
    <row r="243">
      <c r="A243" s="76"/>
      <c r="B243" s="76"/>
      <c r="C243" s="76"/>
      <c r="D243" s="76"/>
      <c r="E243" s="76"/>
      <c r="F243" s="76"/>
      <c r="G243" s="76"/>
    </row>
    <row r="244">
      <c r="A244" s="76"/>
      <c r="B244" s="76"/>
      <c r="C244" s="76"/>
      <c r="D244" s="76"/>
      <c r="E244" s="76"/>
      <c r="F244" s="76"/>
      <c r="G244" s="76"/>
    </row>
    <row r="245">
      <c r="A245" s="76"/>
      <c r="B245" s="76"/>
      <c r="C245" s="76"/>
      <c r="D245" s="76"/>
      <c r="E245" s="76"/>
      <c r="F245" s="76"/>
      <c r="G245" s="76"/>
    </row>
    <row r="246">
      <c r="A246" s="76"/>
      <c r="B246" s="76"/>
      <c r="C246" s="76"/>
      <c r="D246" s="76"/>
      <c r="E246" s="76"/>
      <c r="F246" s="76"/>
      <c r="G246" s="76"/>
    </row>
    <row r="247">
      <c r="A247" s="76"/>
      <c r="B247" s="76"/>
      <c r="C247" s="76"/>
      <c r="D247" s="76"/>
      <c r="E247" s="76"/>
      <c r="F247" s="76"/>
      <c r="G247" s="76"/>
    </row>
    <row r="248">
      <c r="A248" s="76"/>
      <c r="B248" s="76"/>
      <c r="C248" s="76"/>
      <c r="D248" s="76"/>
      <c r="E248" s="76"/>
      <c r="F248" s="76"/>
      <c r="G248" s="76"/>
    </row>
    <row r="249">
      <c r="A249" s="76"/>
      <c r="B249" s="76"/>
      <c r="C249" s="76"/>
      <c r="D249" s="76"/>
      <c r="E249" s="76"/>
      <c r="F249" s="76"/>
      <c r="G249" s="76"/>
    </row>
    <row r="250">
      <c r="A250" s="76"/>
      <c r="B250" s="76"/>
      <c r="C250" s="76"/>
      <c r="D250" s="76"/>
      <c r="E250" s="76"/>
      <c r="F250" s="76"/>
      <c r="G250" s="76"/>
    </row>
    <row r="251">
      <c r="A251" s="76"/>
      <c r="B251" s="76"/>
      <c r="C251" s="76"/>
      <c r="D251" s="76"/>
      <c r="E251" s="76"/>
      <c r="F251" s="76"/>
      <c r="G251" s="76"/>
    </row>
    <row r="252">
      <c r="A252" s="76"/>
      <c r="B252" s="76"/>
      <c r="C252" s="76"/>
      <c r="D252" s="76"/>
      <c r="E252" s="76"/>
      <c r="F252" s="76"/>
      <c r="G252" s="76"/>
    </row>
    <row r="253">
      <c r="A253" s="76"/>
      <c r="B253" s="76"/>
      <c r="C253" s="76"/>
      <c r="D253" s="76"/>
      <c r="E253" s="76"/>
      <c r="F253" s="76"/>
      <c r="G253" s="76"/>
    </row>
    <row r="254">
      <c r="A254" s="76"/>
      <c r="B254" s="76"/>
      <c r="C254" s="76"/>
      <c r="D254" s="76"/>
      <c r="E254" s="76"/>
      <c r="F254" s="76"/>
      <c r="G254" s="76"/>
    </row>
    <row r="255">
      <c r="A255" s="76"/>
      <c r="B255" s="76"/>
      <c r="C255" s="76"/>
      <c r="D255" s="76"/>
      <c r="E255" s="76"/>
      <c r="F255" s="76"/>
      <c r="G255" s="76"/>
    </row>
    <row r="256">
      <c r="A256" s="76"/>
      <c r="B256" s="76"/>
      <c r="C256" s="76"/>
      <c r="D256" s="76"/>
      <c r="E256" s="76"/>
      <c r="F256" s="76"/>
      <c r="G256" s="76"/>
    </row>
    <row r="257">
      <c r="A257" s="76"/>
      <c r="B257" s="76"/>
      <c r="C257" s="76"/>
      <c r="D257" s="76"/>
      <c r="E257" s="76"/>
      <c r="F257" s="76"/>
      <c r="G257" s="76"/>
    </row>
    <row r="258">
      <c r="A258" s="76"/>
      <c r="B258" s="76"/>
      <c r="C258" s="76"/>
      <c r="D258" s="76"/>
      <c r="E258" s="76"/>
      <c r="F258" s="76"/>
      <c r="G258" s="76"/>
    </row>
    <row r="259">
      <c r="A259" s="76"/>
      <c r="B259" s="76"/>
      <c r="C259" s="76"/>
      <c r="D259" s="76"/>
      <c r="E259" s="76"/>
      <c r="F259" s="76"/>
      <c r="G259" s="76"/>
    </row>
    <row r="260">
      <c r="A260" s="76"/>
      <c r="B260" s="76"/>
      <c r="C260" s="76"/>
      <c r="D260" s="76"/>
      <c r="E260" s="76"/>
      <c r="F260" s="76"/>
      <c r="G260" s="76"/>
    </row>
    <row r="261">
      <c r="A261" s="76"/>
      <c r="B261" s="76"/>
      <c r="C261" s="76"/>
      <c r="D261" s="76"/>
      <c r="E261" s="76"/>
      <c r="F261" s="76"/>
      <c r="G261" s="76"/>
    </row>
    <row r="262">
      <c r="A262" s="76"/>
      <c r="B262" s="76"/>
      <c r="C262" s="76"/>
      <c r="D262" s="76"/>
      <c r="E262" s="76"/>
      <c r="F262" s="76"/>
      <c r="G262" s="76"/>
    </row>
    <row r="263">
      <c r="A263" s="76"/>
      <c r="B263" s="76"/>
      <c r="C263" s="76"/>
      <c r="D263" s="76"/>
      <c r="E263" s="76"/>
      <c r="F263" s="76"/>
      <c r="G263" s="76"/>
    </row>
    <row r="264">
      <c r="A264" s="76"/>
      <c r="B264" s="76"/>
      <c r="C264" s="76"/>
      <c r="D264" s="76"/>
      <c r="E264" s="76"/>
      <c r="F264" s="76"/>
      <c r="G264" s="76"/>
    </row>
    <row r="265">
      <c r="A265" s="76"/>
      <c r="B265" s="76"/>
      <c r="C265" s="76"/>
      <c r="D265" s="76"/>
      <c r="E265" s="76"/>
      <c r="F265" s="76"/>
      <c r="G265" s="76"/>
    </row>
    <row r="266">
      <c r="A266" s="76"/>
      <c r="B266" s="76"/>
      <c r="C266" s="76"/>
      <c r="D266" s="76"/>
      <c r="E266" s="76"/>
      <c r="F266" s="76"/>
      <c r="G266" s="76"/>
    </row>
    <row r="267">
      <c r="A267" s="76"/>
      <c r="B267" s="76"/>
      <c r="C267" s="76"/>
      <c r="D267" s="76"/>
      <c r="E267" s="76"/>
      <c r="F267" s="76"/>
      <c r="G267" s="76"/>
    </row>
    <row r="268">
      <c r="A268" s="76"/>
      <c r="B268" s="76"/>
      <c r="C268" s="76"/>
      <c r="D268" s="76"/>
      <c r="E268" s="76"/>
      <c r="F268" s="76"/>
      <c r="G268" s="76"/>
    </row>
    <row r="269">
      <c r="A269" s="76"/>
      <c r="B269" s="76"/>
      <c r="C269" s="76"/>
      <c r="D269" s="76"/>
      <c r="E269" s="76"/>
      <c r="F269" s="76"/>
      <c r="G269" s="76"/>
    </row>
    <row r="270">
      <c r="A270" s="76"/>
      <c r="B270" s="76"/>
      <c r="C270" s="76"/>
      <c r="D270" s="76"/>
      <c r="E270" s="76"/>
      <c r="F270" s="76"/>
      <c r="G270" s="76"/>
    </row>
    <row r="271">
      <c r="A271" s="76"/>
      <c r="B271" s="76"/>
      <c r="C271" s="76"/>
      <c r="D271" s="76"/>
      <c r="E271" s="76"/>
      <c r="F271" s="76"/>
      <c r="G271" s="76"/>
    </row>
    <row r="272">
      <c r="A272" s="76"/>
      <c r="B272" s="76"/>
      <c r="C272" s="76"/>
      <c r="D272" s="76"/>
      <c r="E272" s="76"/>
      <c r="F272" s="76"/>
      <c r="G272" s="76"/>
    </row>
    <row r="273">
      <c r="A273" s="76"/>
      <c r="B273" s="76"/>
      <c r="C273" s="76"/>
      <c r="D273" s="76"/>
      <c r="E273" s="76"/>
      <c r="F273" s="76"/>
      <c r="G273" s="76"/>
    </row>
    <row r="274">
      <c r="A274" s="76"/>
      <c r="B274" s="76"/>
      <c r="C274" s="76"/>
      <c r="D274" s="76"/>
      <c r="E274" s="76"/>
      <c r="F274" s="76"/>
      <c r="G274" s="76"/>
    </row>
    <row r="275">
      <c r="A275" s="76"/>
      <c r="B275" s="76"/>
      <c r="C275" s="76"/>
      <c r="D275" s="76"/>
      <c r="E275" s="76"/>
      <c r="F275" s="76"/>
      <c r="G275" s="76"/>
    </row>
    <row r="276">
      <c r="A276" s="76"/>
      <c r="B276" s="76"/>
      <c r="C276" s="76"/>
      <c r="D276" s="76"/>
      <c r="E276" s="76"/>
      <c r="F276" s="76"/>
      <c r="G276" s="76"/>
    </row>
    <row r="277">
      <c r="A277" s="76"/>
      <c r="B277" s="76"/>
      <c r="C277" s="76"/>
      <c r="D277" s="76"/>
      <c r="E277" s="76"/>
      <c r="F277" s="76"/>
      <c r="G277" s="76"/>
    </row>
    <row r="278">
      <c r="A278" s="76"/>
      <c r="B278" s="76"/>
      <c r="C278" s="76"/>
      <c r="D278" s="76"/>
      <c r="E278" s="76"/>
      <c r="F278" s="76"/>
      <c r="G278" s="76"/>
    </row>
    <row r="279">
      <c r="A279" s="76"/>
      <c r="B279" s="76"/>
      <c r="C279" s="76"/>
      <c r="D279" s="76"/>
      <c r="E279" s="76"/>
      <c r="F279" s="76"/>
      <c r="G279" s="76"/>
    </row>
    <row r="280">
      <c r="A280" s="76"/>
      <c r="B280" s="76"/>
      <c r="C280" s="76"/>
      <c r="D280" s="76"/>
      <c r="E280" s="76"/>
      <c r="F280" s="76"/>
      <c r="G280" s="76"/>
    </row>
    <row r="281">
      <c r="A281" s="76"/>
      <c r="B281" s="76"/>
      <c r="C281" s="76"/>
      <c r="D281" s="76"/>
      <c r="E281" s="76"/>
      <c r="F281" s="76"/>
      <c r="G281" s="76"/>
    </row>
    <row r="282">
      <c r="A282" s="76"/>
      <c r="B282" s="76"/>
      <c r="C282" s="76"/>
      <c r="D282" s="76"/>
      <c r="E282" s="76"/>
      <c r="F282" s="76"/>
      <c r="G282" s="76"/>
    </row>
    <row r="283">
      <c r="A283" s="76"/>
      <c r="B283" s="76"/>
      <c r="C283" s="76"/>
      <c r="D283" s="76"/>
      <c r="E283" s="76"/>
      <c r="F283" s="76"/>
      <c r="G283" s="76"/>
    </row>
    <row r="284">
      <c r="A284" s="76"/>
      <c r="B284" s="76"/>
      <c r="C284" s="76"/>
      <c r="D284" s="76"/>
      <c r="E284" s="76"/>
      <c r="F284" s="76"/>
      <c r="G284" s="76"/>
    </row>
    <row r="285">
      <c r="A285" s="76"/>
      <c r="B285" s="76"/>
      <c r="C285" s="76"/>
      <c r="D285" s="76"/>
      <c r="E285" s="76"/>
      <c r="F285" s="76"/>
      <c r="G285" s="76"/>
    </row>
    <row r="286">
      <c r="A286" s="76"/>
      <c r="B286" s="76"/>
      <c r="C286" s="76"/>
      <c r="D286" s="76"/>
      <c r="E286" s="76"/>
      <c r="F286" s="76"/>
      <c r="G286" s="76"/>
    </row>
    <row r="287">
      <c r="A287" s="76"/>
      <c r="B287" s="76"/>
      <c r="C287" s="76"/>
      <c r="D287" s="76"/>
      <c r="E287" s="76"/>
      <c r="F287" s="76"/>
      <c r="G287" s="76"/>
    </row>
    <row r="288">
      <c r="A288" s="76"/>
      <c r="B288" s="76"/>
      <c r="C288" s="76"/>
      <c r="D288" s="76"/>
      <c r="E288" s="76"/>
      <c r="F288" s="76"/>
      <c r="G288" s="76"/>
    </row>
    <row r="289">
      <c r="A289" s="76"/>
      <c r="B289" s="76"/>
      <c r="C289" s="76"/>
      <c r="D289" s="76"/>
      <c r="E289" s="76"/>
      <c r="F289" s="76"/>
      <c r="G289" s="76"/>
    </row>
    <row r="290">
      <c r="A290" s="76"/>
      <c r="B290" s="76"/>
      <c r="C290" s="76"/>
      <c r="D290" s="76"/>
      <c r="E290" s="76"/>
      <c r="F290" s="76"/>
      <c r="G290" s="76"/>
    </row>
    <row r="291">
      <c r="A291" s="76"/>
      <c r="B291" s="76"/>
      <c r="C291" s="76"/>
      <c r="D291" s="76"/>
      <c r="E291" s="76"/>
      <c r="F291" s="76"/>
      <c r="G291" s="76"/>
    </row>
    <row r="292">
      <c r="A292" s="76"/>
      <c r="B292" s="76"/>
      <c r="C292" s="76"/>
      <c r="D292" s="76"/>
      <c r="E292" s="76"/>
      <c r="F292" s="76"/>
      <c r="G292" s="76"/>
    </row>
    <row r="293">
      <c r="A293" s="76"/>
      <c r="B293" s="76"/>
      <c r="C293" s="76"/>
      <c r="D293" s="76"/>
      <c r="E293" s="76"/>
      <c r="F293" s="76"/>
      <c r="G293" s="76"/>
    </row>
    <row r="294">
      <c r="A294" s="76"/>
      <c r="B294" s="76"/>
      <c r="C294" s="76"/>
      <c r="D294" s="76"/>
      <c r="E294" s="76"/>
      <c r="F294" s="76"/>
      <c r="G294" s="76"/>
    </row>
    <row r="295">
      <c r="A295" s="76"/>
      <c r="B295" s="76"/>
      <c r="C295" s="76"/>
      <c r="D295" s="76"/>
      <c r="E295" s="76"/>
      <c r="F295" s="76"/>
      <c r="G295" s="76"/>
    </row>
    <row r="296">
      <c r="A296" s="76"/>
      <c r="B296" s="76"/>
      <c r="C296" s="76"/>
      <c r="D296" s="76"/>
      <c r="E296" s="76"/>
      <c r="F296" s="76"/>
      <c r="G296" s="76"/>
    </row>
    <row r="297">
      <c r="A297" s="76"/>
      <c r="B297" s="76"/>
      <c r="C297" s="76"/>
      <c r="D297" s="76"/>
      <c r="E297" s="76"/>
      <c r="F297" s="76"/>
      <c r="G297" s="76"/>
    </row>
    <row r="298">
      <c r="A298" s="76"/>
      <c r="B298" s="76"/>
      <c r="C298" s="76"/>
      <c r="D298" s="76"/>
      <c r="E298" s="76"/>
      <c r="F298" s="76"/>
      <c r="G298" s="76"/>
    </row>
    <row r="299">
      <c r="A299" s="76"/>
      <c r="B299" s="76"/>
      <c r="C299" s="76"/>
      <c r="D299" s="76"/>
      <c r="E299" s="76"/>
      <c r="F299" s="76"/>
      <c r="G299" s="76"/>
    </row>
    <row r="300">
      <c r="A300" s="76"/>
      <c r="B300" s="76"/>
      <c r="C300" s="76"/>
      <c r="D300" s="76"/>
      <c r="E300" s="76"/>
      <c r="F300" s="76"/>
      <c r="G300" s="76"/>
    </row>
    <row r="301">
      <c r="A301" s="76"/>
      <c r="B301" s="76"/>
      <c r="C301" s="76"/>
      <c r="D301" s="76"/>
      <c r="E301" s="76"/>
      <c r="F301" s="76"/>
      <c r="G301" s="76"/>
    </row>
    <row r="302">
      <c r="A302" s="76"/>
      <c r="B302" s="76"/>
      <c r="C302" s="76"/>
      <c r="D302" s="76"/>
      <c r="E302" s="76"/>
      <c r="F302" s="76"/>
      <c r="G302" s="76"/>
    </row>
    <row r="303">
      <c r="A303" s="76"/>
      <c r="B303" s="76"/>
      <c r="C303" s="76"/>
      <c r="D303" s="76"/>
      <c r="E303" s="76"/>
      <c r="F303" s="76"/>
      <c r="G303" s="76"/>
    </row>
    <row r="304">
      <c r="A304" s="76"/>
      <c r="B304" s="76"/>
      <c r="C304" s="76"/>
      <c r="D304" s="76"/>
      <c r="E304" s="76"/>
      <c r="F304" s="76"/>
      <c r="G304" s="76"/>
    </row>
    <row r="305">
      <c r="A305" s="76"/>
      <c r="B305" s="76"/>
      <c r="C305" s="76"/>
      <c r="D305" s="76"/>
      <c r="E305" s="76"/>
      <c r="F305" s="76"/>
      <c r="G305" s="76"/>
    </row>
    <row r="306">
      <c r="A306" s="76"/>
      <c r="B306" s="76"/>
      <c r="C306" s="76"/>
      <c r="D306" s="76"/>
      <c r="E306" s="76"/>
      <c r="F306" s="76"/>
      <c r="G306" s="76"/>
    </row>
    <row r="307">
      <c r="A307" s="76"/>
      <c r="B307" s="76"/>
      <c r="C307" s="76"/>
      <c r="D307" s="76"/>
      <c r="E307" s="76"/>
      <c r="F307" s="76"/>
      <c r="G307" s="76"/>
    </row>
    <row r="308">
      <c r="A308" s="76"/>
      <c r="B308" s="76"/>
      <c r="C308" s="76"/>
      <c r="D308" s="76"/>
      <c r="E308" s="76"/>
      <c r="F308" s="76"/>
      <c r="G308" s="76"/>
    </row>
    <row r="309">
      <c r="A309" s="76"/>
      <c r="B309" s="76"/>
      <c r="C309" s="76"/>
      <c r="D309" s="76"/>
      <c r="E309" s="76"/>
      <c r="F309" s="76"/>
      <c r="G309" s="76"/>
    </row>
    <row r="310">
      <c r="A310" s="76"/>
      <c r="B310" s="76"/>
      <c r="C310" s="76"/>
      <c r="D310" s="76"/>
      <c r="E310" s="76"/>
      <c r="F310" s="76"/>
      <c r="G310" s="76"/>
    </row>
    <row r="311">
      <c r="A311" s="76"/>
      <c r="B311" s="76"/>
      <c r="C311" s="76"/>
      <c r="D311" s="76"/>
      <c r="E311" s="76"/>
      <c r="F311" s="76"/>
      <c r="G311" s="76"/>
    </row>
    <row r="312">
      <c r="A312" s="76"/>
      <c r="B312" s="76"/>
      <c r="C312" s="76"/>
      <c r="D312" s="76"/>
      <c r="E312" s="76"/>
      <c r="F312" s="76"/>
      <c r="G312" s="76"/>
    </row>
    <row r="313">
      <c r="A313" s="76"/>
      <c r="B313" s="76"/>
      <c r="C313" s="76"/>
      <c r="D313" s="76"/>
      <c r="E313" s="76"/>
      <c r="F313" s="76"/>
      <c r="G313" s="76"/>
    </row>
    <row r="314">
      <c r="A314" s="76"/>
      <c r="B314" s="76"/>
      <c r="C314" s="76"/>
      <c r="D314" s="76"/>
      <c r="E314" s="76"/>
      <c r="F314" s="76"/>
      <c r="G314" s="76"/>
    </row>
    <row r="315">
      <c r="A315" s="76"/>
      <c r="B315" s="76"/>
      <c r="C315" s="76"/>
      <c r="D315" s="76"/>
      <c r="E315" s="76"/>
      <c r="F315" s="76"/>
      <c r="G315" s="76"/>
    </row>
    <row r="316">
      <c r="A316" s="76"/>
      <c r="B316" s="76"/>
      <c r="C316" s="76"/>
      <c r="D316" s="76"/>
      <c r="E316" s="76"/>
      <c r="F316" s="76"/>
      <c r="G316" s="76"/>
    </row>
    <row r="317">
      <c r="A317" s="76"/>
      <c r="B317" s="76"/>
      <c r="C317" s="76"/>
      <c r="D317" s="76"/>
      <c r="E317" s="76"/>
      <c r="F317" s="76"/>
      <c r="G317" s="76"/>
    </row>
    <row r="318">
      <c r="A318" s="76"/>
      <c r="B318" s="76"/>
      <c r="C318" s="76"/>
      <c r="D318" s="76"/>
      <c r="E318" s="76"/>
      <c r="F318" s="76"/>
      <c r="G318" s="76"/>
    </row>
    <row r="319">
      <c r="A319" s="76"/>
      <c r="B319" s="76"/>
      <c r="C319" s="76"/>
      <c r="D319" s="76"/>
      <c r="E319" s="76"/>
      <c r="F319" s="76"/>
      <c r="G319" s="76"/>
    </row>
    <row r="320">
      <c r="A320" s="76"/>
      <c r="B320" s="76"/>
      <c r="C320" s="76"/>
      <c r="D320" s="76"/>
      <c r="E320" s="76"/>
      <c r="F320" s="76"/>
      <c r="G320" s="76"/>
    </row>
    <row r="321">
      <c r="A321" s="76"/>
      <c r="B321" s="76"/>
      <c r="C321" s="76"/>
      <c r="D321" s="76"/>
      <c r="E321" s="76"/>
      <c r="F321" s="76"/>
      <c r="G321" s="76"/>
    </row>
    <row r="322">
      <c r="A322" s="76"/>
      <c r="B322" s="76"/>
      <c r="C322" s="76"/>
      <c r="D322" s="76"/>
      <c r="E322" s="76"/>
      <c r="F322" s="76"/>
      <c r="G322" s="76"/>
    </row>
    <row r="323">
      <c r="A323" s="76"/>
      <c r="B323" s="76"/>
      <c r="C323" s="76"/>
      <c r="D323" s="76"/>
      <c r="E323" s="76"/>
      <c r="F323" s="76"/>
      <c r="G323" s="76"/>
    </row>
    <row r="324">
      <c r="A324" s="76"/>
      <c r="B324" s="76"/>
      <c r="C324" s="76"/>
      <c r="D324" s="76"/>
      <c r="E324" s="76"/>
      <c r="F324" s="76"/>
      <c r="G324" s="76"/>
    </row>
    <row r="325">
      <c r="A325" s="76"/>
      <c r="B325" s="76"/>
      <c r="C325" s="76"/>
      <c r="D325" s="76"/>
      <c r="E325" s="76"/>
      <c r="F325" s="76"/>
      <c r="G325" s="76"/>
    </row>
    <row r="326">
      <c r="A326" s="76"/>
      <c r="B326" s="76"/>
      <c r="C326" s="76"/>
      <c r="D326" s="76"/>
      <c r="E326" s="76"/>
      <c r="F326" s="76"/>
      <c r="G326" s="76"/>
    </row>
    <row r="327">
      <c r="A327" s="76"/>
      <c r="B327" s="76"/>
      <c r="C327" s="76"/>
      <c r="D327" s="76"/>
      <c r="E327" s="76"/>
      <c r="F327" s="76"/>
      <c r="G327" s="76"/>
    </row>
    <row r="328">
      <c r="A328" s="76"/>
      <c r="B328" s="76"/>
      <c r="C328" s="76"/>
      <c r="D328" s="76"/>
      <c r="E328" s="76"/>
      <c r="F328" s="76"/>
      <c r="G328" s="76"/>
    </row>
    <row r="329">
      <c r="A329" s="76"/>
      <c r="B329" s="76"/>
      <c r="C329" s="76"/>
      <c r="D329" s="76"/>
      <c r="E329" s="76"/>
      <c r="F329" s="76"/>
      <c r="G329" s="76"/>
    </row>
    <row r="330">
      <c r="A330" s="76"/>
      <c r="B330" s="76"/>
      <c r="C330" s="76"/>
      <c r="D330" s="76"/>
      <c r="E330" s="76"/>
      <c r="F330" s="76"/>
      <c r="G330" s="76"/>
    </row>
    <row r="331">
      <c r="A331" s="76"/>
      <c r="B331" s="76"/>
      <c r="C331" s="76"/>
      <c r="D331" s="76"/>
      <c r="E331" s="76"/>
      <c r="F331" s="76"/>
      <c r="G331" s="76"/>
    </row>
    <row r="332">
      <c r="A332" s="76"/>
      <c r="B332" s="76"/>
      <c r="C332" s="76"/>
      <c r="D332" s="76"/>
      <c r="E332" s="76"/>
      <c r="F332" s="76"/>
      <c r="G332" s="76"/>
    </row>
    <row r="333">
      <c r="A333" s="76"/>
      <c r="B333" s="76"/>
      <c r="C333" s="76"/>
      <c r="D333" s="76"/>
      <c r="E333" s="76"/>
      <c r="F333" s="76"/>
      <c r="G333" s="76"/>
    </row>
    <row r="334">
      <c r="A334" s="76"/>
      <c r="B334" s="76"/>
      <c r="C334" s="76"/>
      <c r="D334" s="76"/>
      <c r="E334" s="76"/>
      <c r="F334" s="76"/>
      <c r="G334" s="76"/>
    </row>
    <row r="335">
      <c r="A335" s="76"/>
      <c r="B335" s="76"/>
      <c r="C335" s="76"/>
      <c r="D335" s="76"/>
      <c r="E335" s="76"/>
      <c r="F335" s="76"/>
      <c r="G335" s="76"/>
    </row>
    <row r="336">
      <c r="A336" s="76"/>
      <c r="B336" s="76"/>
      <c r="C336" s="76"/>
      <c r="D336" s="76"/>
      <c r="E336" s="76"/>
      <c r="F336" s="76"/>
      <c r="G336" s="76"/>
    </row>
    <row r="337">
      <c r="A337" s="76"/>
      <c r="B337" s="76"/>
      <c r="C337" s="76"/>
      <c r="D337" s="76"/>
      <c r="E337" s="76"/>
      <c r="F337" s="76"/>
      <c r="G337" s="76"/>
    </row>
    <row r="338">
      <c r="A338" s="76"/>
      <c r="B338" s="76"/>
      <c r="C338" s="76"/>
      <c r="D338" s="76"/>
      <c r="E338" s="76"/>
      <c r="F338" s="76"/>
      <c r="G338" s="76"/>
    </row>
    <row r="339">
      <c r="A339" s="76"/>
      <c r="B339" s="76"/>
      <c r="C339" s="76"/>
      <c r="D339" s="76"/>
      <c r="E339" s="76"/>
      <c r="F339" s="76"/>
      <c r="G339" s="76"/>
    </row>
    <row r="340">
      <c r="A340" s="76"/>
      <c r="B340" s="76"/>
      <c r="C340" s="76"/>
      <c r="D340" s="76"/>
      <c r="E340" s="76"/>
      <c r="F340" s="76"/>
      <c r="G340" s="76"/>
    </row>
    <row r="341">
      <c r="A341" s="76"/>
      <c r="B341" s="76"/>
      <c r="C341" s="76"/>
      <c r="D341" s="76"/>
      <c r="E341" s="76"/>
      <c r="F341" s="76"/>
      <c r="G341" s="76"/>
    </row>
    <row r="342">
      <c r="A342" s="76"/>
      <c r="B342" s="76"/>
      <c r="C342" s="76"/>
      <c r="D342" s="76"/>
      <c r="E342" s="76"/>
      <c r="F342" s="76"/>
      <c r="G342" s="76"/>
    </row>
    <row r="343">
      <c r="A343" s="76"/>
      <c r="B343" s="76"/>
      <c r="C343" s="76"/>
      <c r="D343" s="76"/>
      <c r="E343" s="76"/>
      <c r="F343" s="76"/>
      <c r="G343" s="76"/>
    </row>
    <row r="344">
      <c r="A344" s="76"/>
      <c r="B344" s="76"/>
      <c r="C344" s="76"/>
      <c r="D344" s="76"/>
      <c r="E344" s="76"/>
      <c r="F344" s="76"/>
      <c r="G344" s="76"/>
    </row>
    <row r="345">
      <c r="A345" s="76"/>
      <c r="B345" s="76"/>
      <c r="C345" s="76"/>
      <c r="D345" s="76"/>
      <c r="E345" s="76"/>
      <c r="F345" s="76"/>
      <c r="G345" s="76"/>
    </row>
    <row r="346">
      <c r="A346" s="76"/>
      <c r="B346" s="76"/>
      <c r="C346" s="76"/>
      <c r="D346" s="76"/>
      <c r="E346" s="76"/>
      <c r="F346" s="76"/>
      <c r="G346" s="76"/>
    </row>
    <row r="347">
      <c r="A347" s="76"/>
      <c r="B347" s="76"/>
      <c r="C347" s="76"/>
      <c r="D347" s="76"/>
      <c r="E347" s="76"/>
      <c r="F347" s="76"/>
      <c r="G347" s="76"/>
    </row>
    <row r="348">
      <c r="A348" s="76"/>
      <c r="B348" s="76"/>
      <c r="C348" s="76"/>
      <c r="D348" s="76"/>
      <c r="E348" s="76"/>
      <c r="F348" s="76"/>
      <c r="G348" s="76"/>
    </row>
    <row r="349">
      <c r="A349" s="76"/>
      <c r="B349" s="76"/>
      <c r="C349" s="76"/>
      <c r="D349" s="76"/>
      <c r="E349" s="76"/>
      <c r="F349" s="76"/>
      <c r="G349" s="76"/>
    </row>
    <row r="350">
      <c r="A350" s="76"/>
      <c r="B350" s="76"/>
      <c r="C350" s="76"/>
      <c r="D350" s="76"/>
      <c r="E350" s="76"/>
      <c r="F350" s="76"/>
      <c r="G350" s="76"/>
    </row>
    <row r="351">
      <c r="A351" s="76"/>
      <c r="B351" s="76"/>
      <c r="C351" s="76"/>
      <c r="D351" s="76"/>
      <c r="E351" s="76"/>
      <c r="F351" s="76"/>
      <c r="G351" s="76"/>
    </row>
    <row r="352">
      <c r="A352" s="76"/>
      <c r="B352" s="76"/>
      <c r="C352" s="76"/>
      <c r="D352" s="76"/>
      <c r="E352" s="76"/>
      <c r="F352" s="76"/>
      <c r="G352" s="76"/>
    </row>
    <row r="353">
      <c r="A353" s="76"/>
      <c r="B353" s="76"/>
      <c r="C353" s="76"/>
      <c r="D353" s="76"/>
      <c r="E353" s="76"/>
      <c r="F353" s="76"/>
      <c r="G353" s="76"/>
    </row>
    <row r="354">
      <c r="A354" s="76"/>
      <c r="B354" s="76"/>
      <c r="C354" s="76"/>
      <c r="D354" s="76"/>
      <c r="E354" s="76"/>
      <c r="F354" s="76"/>
      <c r="G354" s="76"/>
    </row>
    <row r="355">
      <c r="A355" s="76"/>
      <c r="B355" s="76"/>
      <c r="C355" s="76"/>
      <c r="D355" s="76"/>
      <c r="E355" s="76"/>
      <c r="F355" s="76"/>
      <c r="G355" s="76"/>
    </row>
    <row r="356">
      <c r="A356" s="76"/>
      <c r="B356" s="76"/>
      <c r="C356" s="76"/>
      <c r="D356" s="76"/>
      <c r="E356" s="76"/>
      <c r="F356" s="76"/>
      <c r="G356" s="76"/>
    </row>
    <row r="357">
      <c r="A357" s="76"/>
      <c r="B357" s="76"/>
      <c r="C357" s="76"/>
      <c r="D357" s="76"/>
      <c r="E357" s="76"/>
      <c r="F357" s="76"/>
      <c r="G357" s="76"/>
    </row>
    <row r="358">
      <c r="A358" s="76"/>
      <c r="B358" s="76"/>
      <c r="C358" s="76"/>
      <c r="D358" s="76"/>
      <c r="E358" s="76"/>
      <c r="F358" s="76"/>
      <c r="G358" s="76"/>
    </row>
    <row r="359">
      <c r="A359" s="76"/>
      <c r="B359" s="76"/>
      <c r="C359" s="76"/>
      <c r="D359" s="76"/>
      <c r="E359" s="76"/>
      <c r="F359" s="76"/>
      <c r="G359" s="76"/>
    </row>
    <row r="360">
      <c r="A360" s="76"/>
      <c r="B360" s="76"/>
      <c r="C360" s="76"/>
      <c r="D360" s="76"/>
      <c r="E360" s="76"/>
      <c r="F360" s="76"/>
      <c r="G360" s="76"/>
    </row>
    <row r="361">
      <c r="A361" s="76"/>
      <c r="B361" s="76"/>
      <c r="C361" s="76"/>
      <c r="D361" s="76"/>
      <c r="E361" s="76"/>
      <c r="F361" s="76"/>
      <c r="G361" s="76"/>
    </row>
    <row r="362">
      <c r="A362" s="76"/>
      <c r="B362" s="76"/>
      <c r="C362" s="76"/>
      <c r="D362" s="76"/>
      <c r="E362" s="76"/>
      <c r="F362" s="76"/>
      <c r="G362" s="76"/>
    </row>
    <row r="363">
      <c r="A363" s="76"/>
      <c r="B363" s="76"/>
      <c r="C363" s="76"/>
      <c r="D363" s="76"/>
      <c r="E363" s="76"/>
      <c r="F363" s="76"/>
      <c r="G363" s="76"/>
    </row>
    <row r="364">
      <c r="A364" s="76"/>
      <c r="B364" s="76"/>
      <c r="C364" s="76"/>
      <c r="D364" s="76"/>
      <c r="E364" s="76"/>
      <c r="F364" s="76"/>
      <c r="G364" s="76"/>
    </row>
    <row r="365">
      <c r="A365" s="76"/>
      <c r="B365" s="76"/>
      <c r="C365" s="76"/>
      <c r="D365" s="76"/>
      <c r="E365" s="76"/>
      <c r="F365" s="76"/>
      <c r="G365" s="76"/>
    </row>
    <row r="366">
      <c r="A366" s="76"/>
      <c r="B366" s="76"/>
      <c r="C366" s="76"/>
      <c r="D366" s="76"/>
      <c r="E366" s="76"/>
      <c r="F366" s="76"/>
      <c r="G366" s="76"/>
    </row>
    <row r="367">
      <c r="A367" s="76"/>
      <c r="B367" s="76"/>
      <c r="C367" s="76"/>
      <c r="D367" s="76"/>
      <c r="E367" s="76"/>
      <c r="F367" s="76"/>
      <c r="G367" s="76"/>
    </row>
    <row r="368">
      <c r="A368" s="76"/>
      <c r="B368" s="76"/>
      <c r="C368" s="76"/>
      <c r="D368" s="76"/>
      <c r="E368" s="76"/>
      <c r="F368" s="76"/>
      <c r="G368" s="76"/>
    </row>
    <row r="369">
      <c r="A369" s="76"/>
      <c r="B369" s="76"/>
      <c r="C369" s="76"/>
      <c r="D369" s="76"/>
      <c r="E369" s="76"/>
      <c r="F369" s="76"/>
      <c r="G369" s="76"/>
    </row>
    <row r="370">
      <c r="A370" s="76"/>
      <c r="B370" s="76"/>
      <c r="C370" s="76"/>
      <c r="D370" s="76"/>
      <c r="E370" s="76"/>
      <c r="F370" s="76"/>
      <c r="G370" s="76"/>
    </row>
    <row r="371">
      <c r="A371" s="76"/>
      <c r="B371" s="76"/>
      <c r="C371" s="76"/>
      <c r="D371" s="76"/>
      <c r="E371" s="76"/>
      <c r="F371" s="76"/>
      <c r="G371" s="76"/>
    </row>
    <row r="372">
      <c r="A372" s="76"/>
      <c r="B372" s="76"/>
      <c r="C372" s="76"/>
      <c r="D372" s="76"/>
      <c r="E372" s="76"/>
      <c r="F372" s="76"/>
      <c r="G372" s="76"/>
    </row>
    <row r="373">
      <c r="A373" s="76"/>
      <c r="B373" s="76"/>
      <c r="C373" s="76"/>
      <c r="D373" s="76"/>
      <c r="E373" s="76"/>
      <c r="F373" s="76"/>
      <c r="G373" s="76"/>
    </row>
    <row r="374">
      <c r="A374" s="76"/>
      <c r="B374" s="76"/>
      <c r="C374" s="76"/>
      <c r="D374" s="76"/>
      <c r="E374" s="76"/>
      <c r="F374" s="76"/>
      <c r="G374" s="76"/>
    </row>
    <row r="375">
      <c r="A375" s="76"/>
      <c r="B375" s="76"/>
      <c r="C375" s="76"/>
      <c r="D375" s="76"/>
      <c r="E375" s="76"/>
      <c r="F375" s="76"/>
      <c r="G375" s="76"/>
    </row>
    <row r="376">
      <c r="A376" s="76"/>
      <c r="B376" s="76"/>
      <c r="C376" s="76"/>
      <c r="D376" s="76"/>
      <c r="E376" s="76"/>
      <c r="F376" s="76"/>
      <c r="G376" s="76"/>
    </row>
    <row r="377">
      <c r="A377" s="76"/>
      <c r="B377" s="76"/>
      <c r="C377" s="76"/>
      <c r="D377" s="76"/>
      <c r="E377" s="76"/>
      <c r="F377" s="76"/>
      <c r="G377" s="76"/>
    </row>
    <row r="378">
      <c r="A378" s="76"/>
      <c r="B378" s="76"/>
      <c r="C378" s="76"/>
      <c r="D378" s="76"/>
      <c r="E378" s="76"/>
      <c r="F378" s="76"/>
      <c r="G378" s="76"/>
    </row>
    <row r="379">
      <c r="A379" s="76"/>
      <c r="B379" s="76"/>
      <c r="C379" s="76"/>
      <c r="D379" s="76"/>
      <c r="E379" s="76"/>
      <c r="F379" s="76"/>
      <c r="G379" s="76"/>
    </row>
    <row r="380">
      <c r="A380" s="76"/>
      <c r="B380" s="76"/>
      <c r="C380" s="76"/>
      <c r="D380" s="76"/>
      <c r="E380" s="76"/>
      <c r="F380" s="76"/>
      <c r="G380" s="76"/>
    </row>
    <row r="381">
      <c r="A381" s="76"/>
      <c r="B381" s="76"/>
      <c r="C381" s="76"/>
      <c r="D381" s="76"/>
      <c r="E381" s="76"/>
      <c r="F381" s="76"/>
      <c r="G381" s="76"/>
    </row>
    <row r="382">
      <c r="A382" s="76"/>
      <c r="B382" s="76"/>
      <c r="C382" s="76"/>
      <c r="D382" s="76"/>
      <c r="E382" s="76"/>
      <c r="F382" s="76"/>
      <c r="G382" s="76"/>
    </row>
    <row r="383">
      <c r="A383" s="76"/>
      <c r="B383" s="76"/>
      <c r="C383" s="76"/>
      <c r="D383" s="76"/>
      <c r="E383" s="76"/>
      <c r="F383" s="76"/>
      <c r="G383" s="76"/>
    </row>
    <row r="384">
      <c r="A384" s="76"/>
      <c r="B384" s="76"/>
      <c r="C384" s="76"/>
      <c r="D384" s="76"/>
      <c r="E384" s="76"/>
      <c r="F384" s="76"/>
      <c r="G384" s="76"/>
    </row>
    <row r="385">
      <c r="A385" s="76"/>
      <c r="B385" s="76"/>
      <c r="C385" s="76"/>
      <c r="D385" s="76"/>
      <c r="E385" s="76"/>
      <c r="F385" s="76"/>
      <c r="G385" s="76"/>
    </row>
    <row r="386">
      <c r="A386" s="76"/>
      <c r="B386" s="76"/>
      <c r="C386" s="76"/>
      <c r="D386" s="76"/>
      <c r="E386" s="76"/>
      <c r="F386" s="76"/>
      <c r="G386" s="76"/>
    </row>
    <row r="387">
      <c r="A387" s="76"/>
      <c r="B387" s="76"/>
      <c r="C387" s="76"/>
      <c r="D387" s="76"/>
      <c r="E387" s="76"/>
      <c r="F387" s="76"/>
      <c r="G387" s="76"/>
    </row>
    <row r="388">
      <c r="A388" s="76"/>
      <c r="B388" s="76"/>
      <c r="C388" s="76"/>
      <c r="D388" s="76"/>
      <c r="E388" s="76"/>
      <c r="F388" s="76"/>
      <c r="G388" s="76"/>
    </row>
    <row r="389">
      <c r="A389" s="76"/>
      <c r="B389" s="76"/>
      <c r="C389" s="76"/>
      <c r="D389" s="76"/>
      <c r="E389" s="76"/>
      <c r="F389" s="76"/>
      <c r="G389" s="76"/>
    </row>
    <row r="390">
      <c r="A390" s="76"/>
      <c r="B390" s="76"/>
      <c r="C390" s="76"/>
      <c r="D390" s="76"/>
      <c r="E390" s="76"/>
      <c r="F390" s="76"/>
      <c r="G390" s="76"/>
    </row>
    <row r="391">
      <c r="A391" s="76"/>
      <c r="B391" s="76"/>
      <c r="C391" s="76"/>
      <c r="D391" s="76"/>
      <c r="E391" s="76"/>
      <c r="F391" s="76"/>
      <c r="G391" s="76"/>
    </row>
    <row r="392">
      <c r="A392" s="76"/>
      <c r="B392" s="76"/>
      <c r="C392" s="76"/>
      <c r="D392" s="76"/>
      <c r="E392" s="76"/>
      <c r="F392" s="76"/>
      <c r="G392" s="76"/>
    </row>
    <row r="393">
      <c r="A393" s="76"/>
      <c r="B393" s="76"/>
      <c r="C393" s="76"/>
      <c r="D393" s="76"/>
      <c r="E393" s="76"/>
      <c r="F393" s="76"/>
      <c r="G393" s="76"/>
    </row>
    <row r="394">
      <c r="A394" s="76"/>
      <c r="B394" s="76"/>
      <c r="C394" s="76"/>
      <c r="D394" s="76"/>
      <c r="E394" s="76"/>
      <c r="F394" s="76"/>
      <c r="G394" s="76"/>
    </row>
    <row r="395">
      <c r="A395" s="76"/>
      <c r="B395" s="76"/>
      <c r="C395" s="76"/>
      <c r="D395" s="76"/>
      <c r="E395" s="76"/>
      <c r="F395" s="76"/>
      <c r="G395" s="76"/>
    </row>
    <row r="396">
      <c r="A396" s="76"/>
      <c r="B396" s="76"/>
      <c r="C396" s="76"/>
      <c r="D396" s="76"/>
      <c r="E396" s="76"/>
      <c r="F396" s="76"/>
      <c r="G396" s="76"/>
    </row>
    <row r="397">
      <c r="A397" s="76"/>
      <c r="B397" s="76"/>
      <c r="C397" s="76"/>
      <c r="D397" s="76"/>
      <c r="E397" s="76"/>
      <c r="F397" s="76"/>
      <c r="G397" s="76"/>
    </row>
    <row r="398">
      <c r="A398" s="76"/>
      <c r="B398" s="76"/>
      <c r="C398" s="76"/>
      <c r="D398" s="76"/>
      <c r="E398" s="76"/>
      <c r="F398" s="76"/>
      <c r="G398" s="76"/>
    </row>
    <row r="399">
      <c r="A399" s="76"/>
      <c r="B399" s="76"/>
      <c r="C399" s="76"/>
      <c r="D399" s="76"/>
      <c r="E399" s="76"/>
      <c r="F399" s="76"/>
      <c r="G399" s="76"/>
    </row>
    <row r="400">
      <c r="A400" s="76"/>
      <c r="B400" s="76"/>
      <c r="C400" s="76"/>
      <c r="D400" s="76"/>
      <c r="E400" s="76"/>
      <c r="F400" s="76"/>
      <c r="G400" s="76"/>
    </row>
    <row r="401">
      <c r="A401" s="76"/>
      <c r="B401" s="76"/>
      <c r="C401" s="76"/>
      <c r="D401" s="76"/>
      <c r="E401" s="76"/>
      <c r="F401" s="76"/>
      <c r="G401" s="76"/>
    </row>
    <row r="402">
      <c r="A402" s="76"/>
      <c r="B402" s="76"/>
      <c r="C402" s="76"/>
      <c r="D402" s="76"/>
      <c r="E402" s="76"/>
      <c r="F402" s="76"/>
      <c r="G402" s="76"/>
    </row>
    <row r="403">
      <c r="A403" s="76"/>
      <c r="B403" s="76"/>
      <c r="C403" s="76"/>
      <c r="D403" s="76"/>
      <c r="E403" s="76"/>
      <c r="F403" s="76"/>
      <c r="G403" s="76"/>
    </row>
    <row r="404">
      <c r="A404" s="76"/>
      <c r="B404" s="76"/>
      <c r="C404" s="76"/>
      <c r="D404" s="76"/>
      <c r="E404" s="76"/>
      <c r="F404" s="76"/>
      <c r="G404" s="76"/>
    </row>
    <row r="405">
      <c r="A405" s="76"/>
      <c r="B405" s="76"/>
      <c r="C405" s="76"/>
      <c r="D405" s="76"/>
      <c r="E405" s="76"/>
      <c r="F405" s="76"/>
      <c r="G405" s="76"/>
    </row>
    <row r="406">
      <c r="A406" s="76"/>
      <c r="B406" s="76"/>
      <c r="C406" s="76"/>
      <c r="D406" s="76"/>
      <c r="E406" s="76"/>
      <c r="F406" s="76"/>
      <c r="G406" s="76"/>
    </row>
    <row r="407">
      <c r="A407" s="76"/>
      <c r="B407" s="76"/>
      <c r="C407" s="76"/>
      <c r="D407" s="76"/>
      <c r="E407" s="76"/>
      <c r="F407" s="76"/>
      <c r="G407" s="76"/>
    </row>
    <row r="408">
      <c r="A408" s="76"/>
      <c r="B408" s="76"/>
      <c r="C408" s="76"/>
      <c r="D408" s="76"/>
      <c r="E408" s="76"/>
      <c r="F408" s="76"/>
      <c r="G408" s="76"/>
    </row>
    <row r="409">
      <c r="A409" s="76"/>
      <c r="B409" s="76"/>
      <c r="C409" s="76"/>
      <c r="D409" s="76"/>
      <c r="E409" s="76"/>
      <c r="F409" s="76"/>
      <c r="G409" s="76"/>
    </row>
    <row r="410">
      <c r="A410" s="76"/>
      <c r="B410" s="76"/>
      <c r="C410" s="76"/>
      <c r="D410" s="76"/>
      <c r="E410" s="76"/>
      <c r="F410" s="76"/>
      <c r="G410" s="76"/>
    </row>
    <row r="411">
      <c r="A411" s="76"/>
      <c r="B411" s="76"/>
      <c r="C411" s="76"/>
      <c r="D411" s="76"/>
      <c r="E411" s="76"/>
      <c r="F411" s="76"/>
      <c r="G411" s="76"/>
    </row>
    <row r="412">
      <c r="A412" s="76"/>
      <c r="B412" s="76"/>
      <c r="C412" s="76"/>
      <c r="D412" s="76"/>
      <c r="E412" s="76"/>
      <c r="F412" s="76"/>
      <c r="G412" s="76"/>
    </row>
    <row r="413">
      <c r="A413" s="76"/>
      <c r="B413" s="76"/>
      <c r="C413" s="76"/>
      <c r="D413" s="76"/>
      <c r="E413" s="76"/>
      <c r="F413" s="76"/>
      <c r="G413" s="76"/>
    </row>
    <row r="414">
      <c r="A414" s="76"/>
      <c r="B414" s="76"/>
      <c r="C414" s="76"/>
      <c r="D414" s="76"/>
      <c r="E414" s="76"/>
      <c r="F414" s="76"/>
      <c r="G414" s="76"/>
    </row>
    <row r="415">
      <c r="A415" s="76"/>
      <c r="B415" s="76"/>
      <c r="C415" s="76"/>
      <c r="D415" s="76"/>
      <c r="E415" s="76"/>
      <c r="F415" s="76"/>
      <c r="G415" s="76"/>
    </row>
    <row r="416">
      <c r="A416" s="76"/>
      <c r="B416" s="76"/>
      <c r="C416" s="76"/>
      <c r="D416" s="76"/>
      <c r="E416" s="76"/>
      <c r="F416" s="76"/>
      <c r="G416" s="76"/>
    </row>
    <row r="417">
      <c r="A417" s="76"/>
      <c r="B417" s="76"/>
      <c r="C417" s="76"/>
      <c r="D417" s="76"/>
      <c r="E417" s="76"/>
      <c r="F417" s="76"/>
      <c r="G417" s="76"/>
    </row>
    <row r="418">
      <c r="A418" s="76"/>
      <c r="B418" s="76"/>
      <c r="C418" s="76"/>
      <c r="D418" s="76"/>
      <c r="E418" s="76"/>
      <c r="F418" s="76"/>
      <c r="G418" s="76"/>
    </row>
    <row r="419">
      <c r="A419" s="76"/>
      <c r="B419" s="76"/>
      <c r="C419" s="76"/>
      <c r="D419" s="76"/>
      <c r="E419" s="76"/>
      <c r="F419" s="76"/>
      <c r="G419" s="76"/>
    </row>
    <row r="420">
      <c r="A420" s="76"/>
      <c r="B420" s="76"/>
      <c r="C420" s="76"/>
      <c r="D420" s="76"/>
      <c r="E420" s="76"/>
      <c r="F420" s="76"/>
      <c r="G420" s="76"/>
    </row>
    <row r="421">
      <c r="A421" s="76"/>
      <c r="B421" s="76"/>
      <c r="C421" s="76"/>
      <c r="D421" s="76"/>
      <c r="E421" s="76"/>
      <c r="F421" s="76"/>
      <c r="G421" s="76"/>
    </row>
    <row r="422">
      <c r="A422" s="76"/>
      <c r="B422" s="76"/>
      <c r="C422" s="76"/>
      <c r="D422" s="76"/>
      <c r="E422" s="76"/>
      <c r="F422" s="76"/>
      <c r="G422" s="76"/>
    </row>
    <row r="423">
      <c r="A423" s="76"/>
      <c r="B423" s="76"/>
      <c r="C423" s="76"/>
      <c r="D423" s="76"/>
      <c r="E423" s="76"/>
      <c r="F423" s="76"/>
      <c r="G423" s="76"/>
    </row>
    <row r="424">
      <c r="A424" s="76"/>
      <c r="B424" s="76"/>
      <c r="C424" s="76"/>
      <c r="D424" s="76"/>
      <c r="E424" s="76"/>
      <c r="F424" s="76"/>
      <c r="G424" s="76"/>
    </row>
    <row r="425">
      <c r="A425" s="76"/>
      <c r="B425" s="76"/>
      <c r="C425" s="76"/>
      <c r="D425" s="76"/>
      <c r="E425" s="76"/>
      <c r="F425" s="76"/>
      <c r="G425" s="76"/>
    </row>
    <row r="426">
      <c r="A426" s="76"/>
      <c r="B426" s="76"/>
      <c r="C426" s="76"/>
      <c r="D426" s="76"/>
      <c r="E426" s="76"/>
      <c r="F426" s="76"/>
      <c r="G426" s="76"/>
    </row>
    <row r="427">
      <c r="A427" s="76"/>
      <c r="B427" s="76"/>
      <c r="C427" s="76"/>
      <c r="D427" s="76"/>
      <c r="E427" s="76"/>
      <c r="F427" s="76"/>
      <c r="G427" s="76"/>
    </row>
    <row r="428">
      <c r="A428" s="76"/>
      <c r="B428" s="76"/>
      <c r="C428" s="76"/>
      <c r="D428" s="76"/>
      <c r="E428" s="76"/>
      <c r="F428" s="76"/>
      <c r="G428" s="76"/>
    </row>
    <row r="429">
      <c r="A429" s="76"/>
      <c r="B429" s="76"/>
      <c r="C429" s="76"/>
      <c r="D429" s="76"/>
      <c r="E429" s="76"/>
      <c r="F429" s="76"/>
      <c r="G429" s="76"/>
    </row>
    <row r="430">
      <c r="A430" s="76"/>
      <c r="B430" s="76"/>
      <c r="C430" s="76"/>
      <c r="D430" s="76"/>
      <c r="E430" s="76"/>
      <c r="F430" s="76"/>
      <c r="G430" s="76"/>
    </row>
    <row r="431">
      <c r="A431" s="76"/>
      <c r="B431" s="76"/>
      <c r="C431" s="76"/>
      <c r="D431" s="76"/>
      <c r="E431" s="76"/>
      <c r="F431" s="76"/>
      <c r="G431" s="76"/>
    </row>
    <row r="432">
      <c r="A432" s="76"/>
      <c r="B432" s="76"/>
      <c r="C432" s="76"/>
      <c r="D432" s="76"/>
      <c r="E432" s="76"/>
      <c r="F432" s="76"/>
      <c r="G432" s="76"/>
    </row>
    <row r="433">
      <c r="A433" s="76"/>
      <c r="B433" s="76"/>
      <c r="C433" s="76"/>
      <c r="D433" s="76"/>
      <c r="E433" s="76"/>
      <c r="F433" s="76"/>
      <c r="G433" s="76"/>
    </row>
    <row r="434">
      <c r="A434" s="76"/>
      <c r="B434" s="76"/>
      <c r="C434" s="76"/>
      <c r="D434" s="76"/>
      <c r="E434" s="76"/>
      <c r="F434" s="76"/>
      <c r="G434" s="76"/>
    </row>
    <row r="435">
      <c r="A435" s="76"/>
      <c r="B435" s="76"/>
      <c r="C435" s="76"/>
      <c r="D435" s="76"/>
      <c r="E435" s="76"/>
      <c r="F435" s="76"/>
      <c r="G435" s="76"/>
    </row>
    <row r="436">
      <c r="A436" s="76"/>
      <c r="B436" s="76"/>
      <c r="C436" s="76"/>
      <c r="D436" s="76"/>
      <c r="E436" s="76"/>
      <c r="F436" s="76"/>
      <c r="G436" s="76"/>
    </row>
    <row r="437">
      <c r="A437" s="76"/>
      <c r="B437" s="76"/>
      <c r="C437" s="76"/>
      <c r="D437" s="76"/>
      <c r="E437" s="76"/>
      <c r="F437" s="76"/>
      <c r="G437" s="76"/>
    </row>
    <row r="438">
      <c r="A438" s="76"/>
      <c r="B438" s="76"/>
      <c r="C438" s="76"/>
      <c r="D438" s="76"/>
      <c r="E438" s="76"/>
      <c r="F438" s="76"/>
      <c r="G438" s="76"/>
    </row>
    <row r="439">
      <c r="A439" s="76"/>
      <c r="B439" s="76"/>
      <c r="C439" s="76"/>
      <c r="D439" s="76"/>
      <c r="E439" s="76"/>
      <c r="F439" s="76"/>
      <c r="G439" s="76"/>
    </row>
    <row r="440">
      <c r="A440" s="76"/>
      <c r="B440" s="76"/>
      <c r="C440" s="76"/>
      <c r="D440" s="76"/>
      <c r="E440" s="76"/>
      <c r="F440" s="76"/>
      <c r="G440" s="76"/>
    </row>
    <row r="441">
      <c r="A441" s="76"/>
      <c r="B441" s="76"/>
      <c r="C441" s="76"/>
      <c r="D441" s="76"/>
      <c r="E441" s="76"/>
      <c r="F441" s="76"/>
      <c r="G441" s="76"/>
    </row>
    <row r="442">
      <c r="A442" s="76"/>
      <c r="B442" s="76"/>
      <c r="C442" s="76"/>
      <c r="D442" s="76"/>
      <c r="E442" s="76"/>
      <c r="F442" s="76"/>
      <c r="G442" s="76"/>
    </row>
    <row r="443">
      <c r="A443" s="76"/>
      <c r="B443" s="76"/>
      <c r="C443" s="76"/>
      <c r="D443" s="76"/>
      <c r="E443" s="76"/>
      <c r="F443" s="76"/>
      <c r="G443" s="76"/>
    </row>
    <row r="444">
      <c r="A444" s="76"/>
      <c r="B444" s="76"/>
      <c r="C444" s="76"/>
      <c r="D444" s="76"/>
      <c r="E444" s="76"/>
      <c r="F444" s="76"/>
      <c r="G444" s="76"/>
    </row>
    <row r="445">
      <c r="A445" s="76"/>
      <c r="B445" s="76"/>
      <c r="C445" s="76"/>
      <c r="D445" s="76"/>
      <c r="E445" s="76"/>
      <c r="F445" s="76"/>
      <c r="G445" s="76"/>
    </row>
    <row r="446">
      <c r="A446" s="76"/>
      <c r="B446" s="76"/>
      <c r="C446" s="76"/>
      <c r="D446" s="76"/>
      <c r="E446" s="76"/>
      <c r="F446" s="76"/>
      <c r="G446" s="76"/>
    </row>
    <row r="447">
      <c r="A447" s="76"/>
      <c r="B447" s="76"/>
      <c r="C447" s="76"/>
      <c r="D447" s="76"/>
      <c r="E447" s="76"/>
      <c r="F447" s="76"/>
      <c r="G447" s="76"/>
    </row>
    <row r="448">
      <c r="A448" s="76"/>
      <c r="B448" s="76"/>
      <c r="C448" s="76"/>
      <c r="D448" s="76"/>
      <c r="E448" s="76"/>
      <c r="F448" s="76"/>
      <c r="G448" s="76"/>
    </row>
    <row r="449">
      <c r="A449" s="76"/>
      <c r="B449" s="76"/>
      <c r="C449" s="76"/>
      <c r="D449" s="76"/>
      <c r="E449" s="76"/>
      <c r="F449" s="76"/>
      <c r="G449" s="76"/>
    </row>
    <row r="450">
      <c r="A450" s="76"/>
      <c r="B450" s="76"/>
      <c r="C450" s="76"/>
      <c r="D450" s="76"/>
      <c r="E450" s="76"/>
      <c r="F450" s="76"/>
      <c r="G450" s="76"/>
    </row>
    <row r="451">
      <c r="A451" s="76"/>
      <c r="B451" s="76"/>
      <c r="C451" s="76"/>
      <c r="D451" s="76"/>
      <c r="E451" s="76"/>
      <c r="F451" s="76"/>
      <c r="G451" s="76"/>
    </row>
    <row r="452">
      <c r="A452" s="76"/>
      <c r="B452" s="76"/>
      <c r="C452" s="76"/>
      <c r="D452" s="76"/>
      <c r="E452" s="76"/>
      <c r="F452" s="76"/>
      <c r="G452" s="76"/>
    </row>
    <row r="453">
      <c r="A453" s="76"/>
      <c r="B453" s="76"/>
      <c r="C453" s="76"/>
      <c r="D453" s="76"/>
      <c r="E453" s="76"/>
      <c r="F453" s="76"/>
      <c r="G453" s="76"/>
    </row>
    <row r="454">
      <c r="A454" s="76"/>
      <c r="B454" s="76"/>
      <c r="C454" s="76"/>
      <c r="D454" s="76"/>
      <c r="E454" s="76"/>
      <c r="F454" s="76"/>
      <c r="G454" s="76"/>
    </row>
    <row r="455">
      <c r="A455" s="76"/>
      <c r="B455" s="76"/>
      <c r="C455" s="76"/>
      <c r="D455" s="76"/>
      <c r="E455" s="76"/>
      <c r="F455" s="76"/>
      <c r="G455" s="76"/>
    </row>
    <row r="456">
      <c r="A456" s="76"/>
      <c r="B456" s="76"/>
      <c r="C456" s="76"/>
      <c r="D456" s="76"/>
      <c r="E456" s="76"/>
      <c r="F456" s="76"/>
      <c r="G456" s="76"/>
    </row>
    <row r="457">
      <c r="A457" s="76"/>
      <c r="B457" s="76"/>
      <c r="C457" s="76"/>
      <c r="D457" s="76"/>
      <c r="E457" s="76"/>
      <c r="F457" s="76"/>
      <c r="G457" s="76"/>
    </row>
    <row r="458">
      <c r="A458" s="76"/>
      <c r="B458" s="76"/>
      <c r="C458" s="76"/>
      <c r="D458" s="76"/>
      <c r="E458" s="76"/>
      <c r="F458" s="76"/>
      <c r="G458" s="76"/>
    </row>
    <row r="459">
      <c r="A459" s="76"/>
      <c r="B459" s="76"/>
      <c r="C459" s="76"/>
      <c r="D459" s="76"/>
      <c r="E459" s="76"/>
      <c r="F459" s="76"/>
      <c r="G459" s="76"/>
    </row>
    <row r="460">
      <c r="A460" s="76"/>
      <c r="B460" s="76"/>
      <c r="C460" s="76"/>
      <c r="D460" s="76"/>
      <c r="E460" s="76"/>
      <c r="F460" s="76"/>
      <c r="G460" s="76"/>
    </row>
    <row r="461">
      <c r="A461" s="76"/>
      <c r="B461" s="76"/>
      <c r="C461" s="76"/>
      <c r="D461" s="76"/>
      <c r="E461" s="76"/>
      <c r="F461" s="76"/>
      <c r="G461" s="76"/>
    </row>
    <row r="462">
      <c r="A462" s="76"/>
      <c r="B462" s="76"/>
      <c r="C462" s="76"/>
      <c r="D462" s="76"/>
      <c r="E462" s="76"/>
      <c r="F462" s="76"/>
      <c r="G462" s="76"/>
    </row>
    <row r="463">
      <c r="A463" s="76"/>
      <c r="B463" s="76"/>
      <c r="C463" s="76"/>
      <c r="D463" s="76"/>
      <c r="E463" s="76"/>
      <c r="F463" s="76"/>
      <c r="G463" s="76"/>
    </row>
    <row r="464">
      <c r="A464" s="76"/>
      <c r="B464" s="76"/>
      <c r="C464" s="76"/>
      <c r="D464" s="76"/>
      <c r="E464" s="76"/>
      <c r="F464" s="76"/>
      <c r="G464" s="76"/>
    </row>
    <row r="465">
      <c r="A465" s="76"/>
      <c r="B465" s="76"/>
      <c r="C465" s="76"/>
      <c r="D465" s="76"/>
      <c r="E465" s="76"/>
      <c r="F465" s="76"/>
      <c r="G465" s="76"/>
    </row>
    <row r="466">
      <c r="A466" s="76"/>
      <c r="B466" s="76"/>
      <c r="C466" s="76"/>
      <c r="D466" s="76"/>
      <c r="E466" s="76"/>
      <c r="F466" s="76"/>
      <c r="G466" s="76"/>
    </row>
    <row r="467">
      <c r="A467" s="76"/>
      <c r="B467" s="76"/>
      <c r="C467" s="76"/>
      <c r="D467" s="76"/>
      <c r="E467" s="76"/>
      <c r="F467" s="76"/>
      <c r="G467" s="76"/>
    </row>
    <row r="468">
      <c r="A468" s="76"/>
      <c r="B468" s="76"/>
      <c r="C468" s="76"/>
      <c r="D468" s="76"/>
      <c r="E468" s="76"/>
      <c r="F468" s="76"/>
      <c r="G468" s="76"/>
    </row>
    <row r="469">
      <c r="A469" s="76"/>
      <c r="B469" s="76"/>
      <c r="C469" s="76"/>
      <c r="D469" s="76"/>
      <c r="E469" s="76"/>
      <c r="F469" s="76"/>
      <c r="G469" s="76"/>
    </row>
    <row r="470">
      <c r="A470" s="76"/>
      <c r="B470" s="76"/>
      <c r="C470" s="76"/>
      <c r="D470" s="76"/>
      <c r="E470" s="76"/>
      <c r="F470" s="76"/>
      <c r="G470" s="76"/>
    </row>
    <row r="471">
      <c r="A471" s="76"/>
      <c r="B471" s="76"/>
      <c r="C471" s="76"/>
      <c r="D471" s="76"/>
      <c r="E471" s="76"/>
      <c r="F471" s="76"/>
      <c r="G471" s="76"/>
    </row>
    <row r="472">
      <c r="A472" s="76"/>
      <c r="B472" s="76"/>
      <c r="C472" s="76"/>
      <c r="D472" s="76"/>
      <c r="E472" s="76"/>
      <c r="F472" s="76"/>
      <c r="G472" s="76"/>
    </row>
    <row r="473">
      <c r="A473" s="76"/>
      <c r="B473" s="76"/>
      <c r="C473" s="76"/>
      <c r="D473" s="76"/>
      <c r="E473" s="76"/>
      <c r="F473" s="76"/>
      <c r="G473" s="76"/>
    </row>
    <row r="474">
      <c r="A474" s="76"/>
      <c r="B474" s="76"/>
      <c r="C474" s="76"/>
      <c r="D474" s="76"/>
      <c r="E474" s="76"/>
      <c r="F474" s="76"/>
      <c r="G474" s="76"/>
    </row>
    <row r="475">
      <c r="A475" s="76"/>
      <c r="B475" s="76"/>
      <c r="C475" s="76"/>
      <c r="D475" s="76"/>
      <c r="E475" s="76"/>
      <c r="F475" s="76"/>
      <c r="G475" s="76"/>
    </row>
    <row r="476">
      <c r="A476" s="76"/>
      <c r="B476" s="76"/>
      <c r="C476" s="76"/>
      <c r="D476" s="76"/>
      <c r="E476" s="76"/>
      <c r="F476" s="76"/>
      <c r="G476" s="76"/>
    </row>
    <row r="477">
      <c r="A477" s="76"/>
      <c r="B477" s="76"/>
      <c r="C477" s="76"/>
      <c r="D477" s="76"/>
      <c r="E477" s="76"/>
      <c r="F477" s="76"/>
      <c r="G477" s="76"/>
    </row>
    <row r="478">
      <c r="A478" s="76"/>
      <c r="B478" s="76"/>
      <c r="C478" s="76"/>
      <c r="D478" s="76"/>
      <c r="E478" s="76"/>
      <c r="F478" s="76"/>
      <c r="G478" s="76"/>
    </row>
    <row r="479">
      <c r="A479" s="76"/>
      <c r="B479" s="76"/>
      <c r="C479" s="76"/>
      <c r="D479" s="76"/>
      <c r="E479" s="76"/>
      <c r="F479" s="76"/>
      <c r="G479" s="76"/>
    </row>
    <row r="480">
      <c r="A480" s="76"/>
      <c r="B480" s="76"/>
      <c r="C480" s="76"/>
      <c r="D480" s="76"/>
      <c r="E480" s="76"/>
      <c r="F480" s="76"/>
      <c r="G480" s="76"/>
    </row>
    <row r="481">
      <c r="A481" s="76"/>
      <c r="B481" s="76"/>
      <c r="C481" s="76"/>
      <c r="D481" s="76"/>
      <c r="E481" s="76"/>
      <c r="F481" s="76"/>
      <c r="G481" s="76"/>
    </row>
    <row r="482">
      <c r="A482" s="76"/>
      <c r="B482" s="76"/>
      <c r="C482" s="76"/>
      <c r="D482" s="76"/>
      <c r="E482" s="76"/>
      <c r="F482" s="76"/>
      <c r="G482" s="76"/>
    </row>
    <row r="483">
      <c r="A483" s="76"/>
      <c r="B483" s="76"/>
      <c r="C483" s="76"/>
      <c r="D483" s="76"/>
      <c r="E483" s="76"/>
      <c r="F483" s="76"/>
      <c r="G483" s="76"/>
    </row>
    <row r="484">
      <c r="A484" s="76"/>
      <c r="B484" s="76"/>
      <c r="C484" s="76"/>
      <c r="D484" s="76"/>
      <c r="E484" s="76"/>
      <c r="F484" s="76"/>
      <c r="G484" s="76"/>
    </row>
    <row r="485">
      <c r="A485" s="76"/>
      <c r="B485" s="76"/>
      <c r="C485" s="76"/>
      <c r="D485" s="76"/>
      <c r="E485" s="76"/>
      <c r="F485" s="76"/>
      <c r="G485" s="76"/>
    </row>
    <row r="486">
      <c r="A486" s="76"/>
      <c r="B486" s="76"/>
      <c r="C486" s="76"/>
      <c r="D486" s="76"/>
      <c r="E486" s="76"/>
      <c r="F486" s="76"/>
      <c r="G486" s="76"/>
    </row>
    <row r="487">
      <c r="A487" s="76"/>
      <c r="B487" s="76"/>
      <c r="C487" s="76"/>
      <c r="D487" s="76"/>
      <c r="E487" s="76"/>
      <c r="F487" s="76"/>
      <c r="G487" s="76"/>
    </row>
    <row r="488">
      <c r="A488" s="76"/>
      <c r="B488" s="76"/>
      <c r="C488" s="76"/>
      <c r="D488" s="76"/>
      <c r="E488" s="76"/>
      <c r="F488" s="76"/>
      <c r="G488" s="76"/>
    </row>
    <row r="489">
      <c r="A489" s="76"/>
      <c r="B489" s="76"/>
      <c r="C489" s="76"/>
      <c r="D489" s="76"/>
      <c r="E489" s="76"/>
      <c r="F489" s="76"/>
      <c r="G489" s="76"/>
    </row>
    <row r="490">
      <c r="A490" s="76"/>
      <c r="B490" s="76"/>
      <c r="C490" s="76"/>
      <c r="D490" s="76"/>
      <c r="E490" s="76"/>
      <c r="F490" s="76"/>
      <c r="G490" s="76"/>
    </row>
    <row r="491">
      <c r="A491" s="76"/>
      <c r="B491" s="76"/>
      <c r="C491" s="76"/>
      <c r="D491" s="76"/>
      <c r="E491" s="76"/>
      <c r="F491" s="76"/>
      <c r="G491" s="76"/>
    </row>
    <row r="492">
      <c r="A492" s="76"/>
      <c r="B492" s="76"/>
      <c r="C492" s="76"/>
      <c r="D492" s="76"/>
      <c r="E492" s="76"/>
      <c r="F492" s="76"/>
      <c r="G492" s="76"/>
    </row>
    <row r="493">
      <c r="A493" s="76"/>
      <c r="B493" s="76"/>
      <c r="C493" s="76"/>
      <c r="D493" s="76"/>
      <c r="E493" s="76"/>
      <c r="F493" s="76"/>
      <c r="G493" s="76"/>
    </row>
    <row r="494">
      <c r="A494" s="76"/>
      <c r="B494" s="76"/>
      <c r="C494" s="76"/>
      <c r="D494" s="76"/>
      <c r="E494" s="76"/>
      <c r="F494" s="76"/>
      <c r="G494" s="76"/>
    </row>
    <row r="495">
      <c r="A495" s="76"/>
      <c r="B495" s="76"/>
      <c r="C495" s="76"/>
      <c r="D495" s="76"/>
      <c r="E495" s="76"/>
      <c r="F495" s="76"/>
      <c r="G495" s="76"/>
    </row>
    <row r="496">
      <c r="A496" s="76"/>
      <c r="B496" s="76"/>
      <c r="C496" s="76"/>
      <c r="D496" s="76"/>
      <c r="E496" s="76"/>
      <c r="F496" s="76"/>
      <c r="G496" s="76"/>
    </row>
    <row r="497">
      <c r="A497" s="76"/>
      <c r="B497" s="76"/>
      <c r="C497" s="76"/>
      <c r="D497" s="76"/>
      <c r="E497" s="76"/>
      <c r="F497" s="76"/>
      <c r="G497" s="76"/>
    </row>
    <row r="498">
      <c r="A498" s="76"/>
      <c r="B498" s="76"/>
      <c r="C498" s="76"/>
      <c r="D498" s="76"/>
      <c r="E498" s="76"/>
      <c r="F498" s="76"/>
      <c r="G498" s="76"/>
    </row>
    <row r="499">
      <c r="A499" s="76"/>
      <c r="B499" s="76"/>
      <c r="C499" s="76"/>
      <c r="D499" s="76"/>
      <c r="E499" s="76"/>
      <c r="F499" s="76"/>
      <c r="G499" s="76"/>
    </row>
    <row r="500">
      <c r="A500" s="76"/>
      <c r="B500" s="76"/>
      <c r="C500" s="76"/>
      <c r="D500" s="76"/>
      <c r="E500" s="76"/>
      <c r="F500" s="76"/>
      <c r="G500" s="76"/>
    </row>
    <row r="501">
      <c r="A501" s="76"/>
      <c r="B501" s="76"/>
      <c r="C501" s="76"/>
      <c r="D501" s="76"/>
      <c r="E501" s="76"/>
      <c r="F501" s="76"/>
      <c r="G501" s="76"/>
    </row>
    <row r="502">
      <c r="A502" s="76"/>
      <c r="B502" s="76"/>
      <c r="C502" s="76"/>
      <c r="D502" s="76"/>
      <c r="E502" s="76"/>
      <c r="F502" s="76"/>
      <c r="G502" s="76"/>
    </row>
    <row r="503">
      <c r="A503" s="76"/>
      <c r="B503" s="76"/>
      <c r="C503" s="76"/>
      <c r="D503" s="76"/>
      <c r="E503" s="76"/>
      <c r="F503" s="76"/>
      <c r="G503" s="76"/>
    </row>
    <row r="504">
      <c r="A504" s="76"/>
      <c r="B504" s="76"/>
      <c r="C504" s="76"/>
      <c r="D504" s="76"/>
      <c r="E504" s="76"/>
      <c r="F504" s="76"/>
      <c r="G504" s="76"/>
    </row>
    <row r="505">
      <c r="A505" s="76"/>
      <c r="B505" s="76"/>
      <c r="C505" s="76"/>
      <c r="D505" s="76"/>
      <c r="E505" s="76"/>
      <c r="F505" s="76"/>
      <c r="G505" s="76"/>
    </row>
    <row r="506">
      <c r="A506" s="76"/>
      <c r="B506" s="76"/>
      <c r="C506" s="76"/>
      <c r="D506" s="76"/>
      <c r="E506" s="76"/>
      <c r="F506" s="76"/>
      <c r="G506" s="76"/>
    </row>
    <row r="507">
      <c r="A507" s="76"/>
      <c r="B507" s="76"/>
      <c r="C507" s="76"/>
      <c r="D507" s="76"/>
      <c r="E507" s="76"/>
      <c r="F507" s="76"/>
      <c r="G507" s="76"/>
    </row>
    <row r="508">
      <c r="A508" s="76"/>
      <c r="B508" s="76"/>
      <c r="C508" s="76"/>
      <c r="D508" s="76"/>
      <c r="E508" s="76"/>
      <c r="F508" s="76"/>
      <c r="G508" s="76"/>
    </row>
    <row r="509">
      <c r="A509" s="76"/>
      <c r="B509" s="76"/>
      <c r="C509" s="76"/>
      <c r="D509" s="76"/>
      <c r="E509" s="76"/>
      <c r="F509" s="76"/>
      <c r="G509" s="76"/>
    </row>
    <row r="510">
      <c r="A510" s="76"/>
      <c r="B510" s="76"/>
      <c r="C510" s="76"/>
      <c r="D510" s="76"/>
      <c r="E510" s="76"/>
      <c r="F510" s="76"/>
      <c r="G510" s="76"/>
    </row>
    <row r="511">
      <c r="A511" s="76"/>
      <c r="B511" s="76"/>
      <c r="C511" s="76"/>
      <c r="D511" s="76"/>
      <c r="E511" s="76"/>
      <c r="F511" s="76"/>
      <c r="G511" s="76"/>
    </row>
    <row r="512">
      <c r="A512" s="76"/>
      <c r="B512" s="76"/>
      <c r="C512" s="76"/>
      <c r="D512" s="76"/>
      <c r="E512" s="76"/>
      <c r="F512" s="76"/>
      <c r="G512" s="76"/>
    </row>
    <row r="513">
      <c r="A513" s="76"/>
      <c r="B513" s="76"/>
      <c r="C513" s="76"/>
      <c r="D513" s="76"/>
      <c r="E513" s="76"/>
      <c r="F513" s="76"/>
      <c r="G513" s="76"/>
    </row>
    <row r="514">
      <c r="A514" s="76"/>
      <c r="B514" s="76"/>
      <c r="C514" s="76"/>
      <c r="D514" s="76"/>
      <c r="E514" s="76"/>
      <c r="F514" s="76"/>
      <c r="G514" s="76"/>
    </row>
    <row r="515">
      <c r="A515" s="76"/>
      <c r="B515" s="76"/>
      <c r="C515" s="76"/>
      <c r="D515" s="76"/>
      <c r="E515" s="76"/>
      <c r="F515" s="76"/>
      <c r="G515" s="76"/>
    </row>
    <row r="516">
      <c r="A516" s="76"/>
      <c r="B516" s="76"/>
      <c r="C516" s="76"/>
      <c r="D516" s="76"/>
      <c r="E516" s="76"/>
      <c r="F516" s="76"/>
      <c r="G516" s="76"/>
    </row>
    <row r="517">
      <c r="A517" s="76"/>
      <c r="B517" s="76"/>
      <c r="C517" s="76"/>
      <c r="D517" s="76"/>
      <c r="E517" s="76"/>
      <c r="F517" s="76"/>
      <c r="G517" s="76"/>
    </row>
    <row r="518">
      <c r="A518" s="76"/>
      <c r="B518" s="76"/>
      <c r="C518" s="76"/>
      <c r="D518" s="76"/>
      <c r="E518" s="76"/>
      <c r="F518" s="76"/>
      <c r="G518" s="76"/>
    </row>
    <row r="519">
      <c r="A519" s="76"/>
      <c r="B519" s="76"/>
      <c r="C519" s="76"/>
      <c r="D519" s="76"/>
      <c r="E519" s="76"/>
      <c r="F519" s="76"/>
      <c r="G519" s="76"/>
    </row>
    <row r="520">
      <c r="A520" s="76"/>
      <c r="B520" s="76"/>
      <c r="C520" s="76"/>
      <c r="D520" s="76"/>
      <c r="E520" s="76"/>
      <c r="F520" s="76"/>
      <c r="G520" s="76"/>
    </row>
    <row r="521">
      <c r="A521" s="76"/>
      <c r="B521" s="76"/>
      <c r="C521" s="76"/>
      <c r="D521" s="76"/>
      <c r="E521" s="76"/>
      <c r="F521" s="76"/>
      <c r="G521" s="76"/>
    </row>
    <row r="522">
      <c r="A522" s="76"/>
      <c r="B522" s="76"/>
      <c r="C522" s="76"/>
      <c r="D522" s="76"/>
      <c r="E522" s="76"/>
      <c r="F522" s="76"/>
      <c r="G522" s="76"/>
    </row>
    <row r="523">
      <c r="A523" s="76"/>
      <c r="B523" s="76"/>
      <c r="C523" s="76"/>
      <c r="D523" s="76"/>
      <c r="E523" s="76"/>
      <c r="F523" s="76"/>
      <c r="G523" s="76"/>
    </row>
    <row r="524">
      <c r="A524" s="76"/>
      <c r="B524" s="76"/>
      <c r="C524" s="76"/>
      <c r="D524" s="76"/>
      <c r="E524" s="76"/>
      <c r="F524" s="76"/>
      <c r="G524" s="76"/>
    </row>
    <row r="525">
      <c r="A525" s="76"/>
      <c r="B525" s="76"/>
      <c r="C525" s="76"/>
      <c r="D525" s="76"/>
      <c r="E525" s="76"/>
      <c r="F525" s="76"/>
      <c r="G525" s="76"/>
    </row>
    <row r="526">
      <c r="A526" s="76"/>
      <c r="B526" s="76"/>
      <c r="C526" s="76"/>
      <c r="D526" s="76"/>
      <c r="E526" s="76"/>
      <c r="F526" s="76"/>
      <c r="G526" s="76"/>
    </row>
    <row r="527">
      <c r="A527" s="76"/>
      <c r="B527" s="76"/>
      <c r="C527" s="76"/>
      <c r="D527" s="76"/>
      <c r="E527" s="76"/>
      <c r="F527" s="76"/>
      <c r="G527" s="76"/>
    </row>
    <row r="528">
      <c r="A528" s="76"/>
      <c r="B528" s="76"/>
      <c r="C528" s="76"/>
      <c r="D528" s="76"/>
      <c r="E528" s="76"/>
      <c r="F528" s="76"/>
      <c r="G528" s="76"/>
    </row>
    <row r="529">
      <c r="A529" s="76"/>
      <c r="B529" s="76"/>
      <c r="C529" s="76"/>
      <c r="D529" s="76"/>
      <c r="E529" s="76"/>
      <c r="F529" s="76"/>
      <c r="G529" s="76"/>
    </row>
    <row r="530">
      <c r="A530" s="76"/>
      <c r="B530" s="76"/>
      <c r="C530" s="76"/>
      <c r="D530" s="76"/>
      <c r="E530" s="76"/>
      <c r="F530" s="76"/>
      <c r="G530" s="76"/>
    </row>
    <row r="531">
      <c r="A531" s="76"/>
      <c r="B531" s="76"/>
      <c r="C531" s="76"/>
      <c r="D531" s="76"/>
      <c r="E531" s="76"/>
      <c r="F531" s="76"/>
      <c r="G531" s="76"/>
    </row>
    <row r="532">
      <c r="A532" s="76"/>
      <c r="B532" s="76"/>
      <c r="C532" s="76"/>
      <c r="D532" s="76"/>
      <c r="E532" s="76"/>
      <c r="F532" s="76"/>
      <c r="G532" s="76"/>
    </row>
    <row r="533">
      <c r="A533" s="76"/>
      <c r="B533" s="76"/>
      <c r="C533" s="76"/>
      <c r="D533" s="76"/>
      <c r="E533" s="76"/>
      <c r="F533" s="76"/>
      <c r="G533" s="76"/>
    </row>
    <row r="534">
      <c r="A534" s="76"/>
      <c r="B534" s="76"/>
      <c r="C534" s="76"/>
      <c r="D534" s="76"/>
      <c r="E534" s="76"/>
      <c r="F534" s="76"/>
      <c r="G534" s="76"/>
    </row>
    <row r="535">
      <c r="A535" s="76"/>
      <c r="B535" s="76"/>
      <c r="C535" s="76"/>
      <c r="D535" s="76"/>
      <c r="E535" s="76"/>
      <c r="F535" s="76"/>
      <c r="G535" s="76"/>
    </row>
    <row r="536">
      <c r="A536" s="76"/>
      <c r="B536" s="76"/>
      <c r="C536" s="76"/>
      <c r="D536" s="76"/>
      <c r="E536" s="76"/>
      <c r="F536" s="76"/>
      <c r="G536" s="76"/>
    </row>
    <row r="537">
      <c r="A537" s="76"/>
      <c r="B537" s="76"/>
      <c r="C537" s="76"/>
      <c r="D537" s="76"/>
      <c r="E537" s="76"/>
      <c r="F537" s="76"/>
      <c r="G537" s="76"/>
    </row>
    <row r="538">
      <c r="A538" s="76"/>
      <c r="B538" s="76"/>
      <c r="C538" s="76"/>
      <c r="D538" s="76"/>
      <c r="E538" s="76"/>
      <c r="F538" s="76"/>
      <c r="G538" s="76"/>
    </row>
    <row r="539">
      <c r="A539" s="76"/>
      <c r="B539" s="76"/>
      <c r="C539" s="76"/>
      <c r="D539" s="76"/>
      <c r="E539" s="76"/>
      <c r="F539" s="76"/>
      <c r="G539" s="76"/>
    </row>
    <row r="540">
      <c r="A540" s="76"/>
      <c r="B540" s="76"/>
      <c r="C540" s="76"/>
      <c r="D540" s="76"/>
      <c r="E540" s="76"/>
      <c r="F540" s="76"/>
      <c r="G540" s="76"/>
    </row>
    <row r="541">
      <c r="A541" s="76"/>
      <c r="B541" s="76"/>
      <c r="C541" s="76"/>
      <c r="D541" s="76"/>
      <c r="E541" s="76"/>
      <c r="F541" s="76"/>
      <c r="G541" s="76"/>
    </row>
    <row r="542">
      <c r="A542" s="76"/>
      <c r="B542" s="76"/>
      <c r="C542" s="76"/>
      <c r="D542" s="76"/>
      <c r="E542" s="76"/>
      <c r="F542" s="76"/>
      <c r="G542" s="76"/>
    </row>
    <row r="543">
      <c r="A543" s="76"/>
      <c r="B543" s="76"/>
      <c r="C543" s="76"/>
      <c r="D543" s="76"/>
      <c r="E543" s="76"/>
      <c r="F543" s="76"/>
      <c r="G543" s="76"/>
    </row>
    <row r="544">
      <c r="A544" s="76"/>
      <c r="B544" s="76"/>
      <c r="C544" s="76"/>
      <c r="D544" s="76"/>
      <c r="E544" s="76"/>
      <c r="F544" s="76"/>
      <c r="G544" s="76"/>
    </row>
    <row r="545">
      <c r="A545" s="76"/>
      <c r="B545" s="76"/>
      <c r="C545" s="76"/>
      <c r="D545" s="76"/>
      <c r="E545" s="76"/>
      <c r="F545" s="76"/>
      <c r="G545" s="76"/>
    </row>
    <row r="546">
      <c r="A546" s="76"/>
      <c r="B546" s="76"/>
      <c r="C546" s="76"/>
      <c r="D546" s="76"/>
      <c r="E546" s="76"/>
      <c r="F546" s="76"/>
      <c r="G546" s="76"/>
    </row>
    <row r="547">
      <c r="A547" s="76"/>
      <c r="B547" s="76"/>
      <c r="C547" s="76"/>
      <c r="D547" s="76"/>
      <c r="E547" s="76"/>
      <c r="F547" s="76"/>
      <c r="G547" s="76"/>
    </row>
    <row r="548">
      <c r="A548" s="76"/>
      <c r="B548" s="76"/>
      <c r="C548" s="76"/>
      <c r="D548" s="76"/>
      <c r="E548" s="76"/>
      <c r="F548" s="76"/>
      <c r="G548" s="76"/>
    </row>
    <row r="549">
      <c r="A549" s="76"/>
      <c r="B549" s="76"/>
      <c r="C549" s="76"/>
      <c r="D549" s="76"/>
      <c r="E549" s="76"/>
      <c r="F549" s="76"/>
      <c r="G549" s="76"/>
    </row>
    <row r="550">
      <c r="A550" s="76"/>
      <c r="B550" s="76"/>
      <c r="C550" s="76"/>
      <c r="D550" s="76"/>
      <c r="E550" s="76"/>
      <c r="F550" s="76"/>
      <c r="G550" s="76"/>
    </row>
    <row r="551">
      <c r="A551" s="76"/>
      <c r="B551" s="76"/>
      <c r="C551" s="76"/>
      <c r="D551" s="76"/>
      <c r="E551" s="76"/>
      <c r="F551" s="76"/>
      <c r="G551" s="76"/>
    </row>
    <row r="552">
      <c r="A552" s="76"/>
      <c r="B552" s="76"/>
      <c r="C552" s="76"/>
      <c r="D552" s="76"/>
      <c r="E552" s="76"/>
      <c r="F552" s="76"/>
      <c r="G552" s="76"/>
    </row>
    <row r="553">
      <c r="A553" s="76"/>
      <c r="B553" s="76"/>
      <c r="C553" s="76"/>
      <c r="D553" s="76"/>
      <c r="E553" s="76"/>
      <c r="F553" s="76"/>
      <c r="G553" s="76"/>
    </row>
    <row r="554">
      <c r="A554" s="76"/>
      <c r="B554" s="76"/>
      <c r="C554" s="76"/>
      <c r="D554" s="76"/>
      <c r="E554" s="76"/>
      <c r="F554" s="76"/>
      <c r="G554" s="76"/>
    </row>
    <row r="555">
      <c r="A555" s="76"/>
      <c r="B555" s="76"/>
      <c r="C555" s="76"/>
      <c r="D555" s="76"/>
      <c r="E555" s="76"/>
      <c r="F555" s="76"/>
      <c r="G555" s="76"/>
    </row>
    <row r="556">
      <c r="A556" s="76"/>
      <c r="B556" s="76"/>
      <c r="C556" s="76"/>
      <c r="D556" s="76"/>
      <c r="E556" s="76"/>
      <c r="F556" s="76"/>
      <c r="G556" s="76"/>
    </row>
    <row r="557">
      <c r="A557" s="76"/>
      <c r="B557" s="76"/>
      <c r="C557" s="76"/>
      <c r="D557" s="76"/>
      <c r="E557" s="76"/>
      <c r="F557" s="76"/>
      <c r="G557" s="76"/>
    </row>
    <row r="558">
      <c r="A558" s="76"/>
      <c r="B558" s="76"/>
      <c r="C558" s="76"/>
      <c r="D558" s="76"/>
      <c r="E558" s="76"/>
      <c r="F558" s="76"/>
      <c r="G558" s="76"/>
    </row>
    <row r="559">
      <c r="A559" s="76"/>
      <c r="B559" s="76"/>
      <c r="C559" s="76"/>
      <c r="D559" s="76"/>
      <c r="E559" s="76"/>
      <c r="F559" s="76"/>
      <c r="G559" s="76"/>
    </row>
    <row r="560">
      <c r="A560" s="76"/>
      <c r="B560" s="76"/>
      <c r="C560" s="76"/>
      <c r="D560" s="76"/>
      <c r="E560" s="76"/>
      <c r="F560" s="76"/>
      <c r="G560" s="76"/>
    </row>
    <row r="561">
      <c r="A561" s="76"/>
      <c r="B561" s="76"/>
      <c r="C561" s="76"/>
      <c r="D561" s="76"/>
      <c r="E561" s="76"/>
      <c r="F561" s="76"/>
      <c r="G561" s="76"/>
    </row>
    <row r="562">
      <c r="A562" s="76"/>
      <c r="B562" s="76"/>
      <c r="C562" s="76"/>
      <c r="D562" s="76"/>
      <c r="E562" s="76"/>
      <c r="F562" s="76"/>
      <c r="G562" s="76"/>
    </row>
    <row r="563">
      <c r="A563" s="76"/>
      <c r="B563" s="76"/>
      <c r="C563" s="76"/>
      <c r="D563" s="76"/>
      <c r="E563" s="76"/>
      <c r="F563" s="76"/>
      <c r="G563" s="76"/>
    </row>
    <row r="564">
      <c r="A564" s="76"/>
      <c r="B564" s="76"/>
      <c r="C564" s="76"/>
      <c r="D564" s="76"/>
      <c r="E564" s="76"/>
      <c r="F564" s="76"/>
      <c r="G564" s="76"/>
    </row>
    <row r="565">
      <c r="A565" s="76"/>
      <c r="B565" s="76"/>
      <c r="C565" s="76"/>
      <c r="D565" s="76"/>
      <c r="E565" s="76"/>
      <c r="F565" s="76"/>
      <c r="G565" s="76"/>
    </row>
    <row r="566">
      <c r="A566" s="76"/>
      <c r="B566" s="76"/>
      <c r="C566" s="76"/>
      <c r="D566" s="76"/>
      <c r="E566" s="76"/>
      <c r="F566" s="76"/>
      <c r="G566" s="76"/>
    </row>
    <row r="567">
      <c r="A567" s="76"/>
      <c r="B567" s="76"/>
      <c r="C567" s="76"/>
      <c r="D567" s="76"/>
      <c r="E567" s="76"/>
      <c r="F567" s="76"/>
      <c r="G567" s="76"/>
    </row>
    <row r="568">
      <c r="A568" s="76"/>
      <c r="B568" s="76"/>
      <c r="C568" s="76"/>
      <c r="D568" s="76"/>
      <c r="E568" s="76"/>
      <c r="F568" s="76"/>
      <c r="G568" s="76"/>
    </row>
    <row r="569">
      <c r="A569" s="76"/>
      <c r="B569" s="76"/>
      <c r="C569" s="76"/>
      <c r="D569" s="76"/>
      <c r="E569" s="76"/>
      <c r="F569" s="76"/>
      <c r="G569" s="76"/>
    </row>
    <row r="570">
      <c r="A570" s="76"/>
      <c r="B570" s="76"/>
      <c r="C570" s="76"/>
      <c r="D570" s="76"/>
      <c r="E570" s="76"/>
      <c r="F570" s="76"/>
      <c r="G570" s="76"/>
    </row>
    <row r="571">
      <c r="A571" s="76"/>
      <c r="B571" s="76"/>
      <c r="C571" s="76"/>
      <c r="D571" s="76"/>
      <c r="E571" s="76"/>
      <c r="F571" s="76"/>
      <c r="G571" s="76"/>
    </row>
    <row r="572">
      <c r="A572" s="76"/>
      <c r="B572" s="76"/>
      <c r="C572" s="76"/>
      <c r="D572" s="76"/>
      <c r="E572" s="76"/>
      <c r="F572" s="76"/>
      <c r="G572" s="76"/>
    </row>
    <row r="573">
      <c r="A573" s="76"/>
      <c r="B573" s="76"/>
      <c r="C573" s="76"/>
      <c r="D573" s="76"/>
      <c r="E573" s="76"/>
      <c r="F573" s="76"/>
      <c r="G573" s="76"/>
    </row>
    <row r="574">
      <c r="A574" s="76"/>
      <c r="B574" s="76"/>
      <c r="C574" s="76"/>
      <c r="D574" s="76"/>
      <c r="E574" s="76"/>
      <c r="F574" s="76"/>
      <c r="G574" s="76"/>
    </row>
    <row r="575">
      <c r="A575" s="76"/>
      <c r="B575" s="76"/>
      <c r="C575" s="76"/>
      <c r="D575" s="76"/>
      <c r="E575" s="76"/>
      <c r="F575" s="76"/>
      <c r="G575" s="76"/>
    </row>
    <row r="576">
      <c r="A576" s="76"/>
      <c r="B576" s="76"/>
      <c r="C576" s="76"/>
      <c r="D576" s="76"/>
      <c r="E576" s="76"/>
      <c r="F576" s="76"/>
      <c r="G576" s="76"/>
    </row>
    <row r="577">
      <c r="A577" s="76"/>
      <c r="B577" s="76"/>
      <c r="C577" s="76"/>
      <c r="D577" s="76"/>
      <c r="E577" s="76"/>
      <c r="F577" s="76"/>
      <c r="G577" s="76"/>
    </row>
    <row r="578">
      <c r="A578" s="76"/>
      <c r="B578" s="76"/>
      <c r="C578" s="76"/>
      <c r="D578" s="76"/>
      <c r="E578" s="76"/>
      <c r="F578" s="76"/>
      <c r="G578" s="76"/>
    </row>
    <row r="579">
      <c r="A579" s="76"/>
      <c r="B579" s="76"/>
      <c r="C579" s="76"/>
      <c r="D579" s="76"/>
      <c r="E579" s="76"/>
      <c r="F579" s="76"/>
      <c r="G579" s="76"/>
    </row>
    <row r="580">
      <c r="A580" s="76"/>
      <c r="B580" s="76"/>
      <c r="C580" s="76"/>
      <c r="D580" s="76"/>
      <c r="E580" s="76"/>
      <c r="F580" s="76"/>
      <c r="G580" s="76"/>
    </row>
    <row r="581">
      <c r="A581" s="76"/>
      <c r="B581" s="76"/>
      <c r="C581" s="76"/>
      <c r="D581" s="76"/>
      <c r="E581" s="76"/>
      <c r="F581" s="76"/>
      <c r="G581" s="76"/>
    </row>
    <row r="582">
      <c r="A582" s="76"/>
      <c r="B582" s="76"/>
      <c r="C582" s="76"/>
      <c r="D582" s="76"/>
      <c r="E582" s="76"/>
      <c r="F582" s="76"/>
      <c r="G582" s="76"/>
    </row>
    <row r="583">
      <c r="A583" s="76"/>
      <c r="B583" s="76"/>
      <c r="C583" s="76"/>
      <c r="D583" s="76"/>
      <c r="E583" s="76"/>
      <c r="F583" s="76"/>
      <c r="G583" s="76"/>
    </row>
    <row r="584">
      <c r="A584" s="76"/>
      <c r="B584" s="76"/>
      <c r="C584" s="76"/>
      <c r="D584" s="76"/>
      <c r="E584" s="76"/>
      <c r="F584" s="76"/>
      <c r="G584" s="76"/>
    </row>
    <row r="585">
      <c r="A585" s="76"/>
      <c r="B585" s="76"/>
      <c r="C585" s="76"/>
      <c r="D585" s="76"/>
      <c r="E585" s="76"/>
      <c r="F585" s="76"/>
      <c r="G585" s="76"/>
    </row>
    <row r="586">
      <c r="A586" s="76"/>
      <c r="B586" s="76"/>
      <c r="C586" s="76"/>
      <c r="D586" s="76"/>
      <c r="E586" s="76"/>
      <c r="F586" s="76"/>
      <c r="G586" s="76"/>
    </row>
    <row r="587">
      <c r="A587" s="76"/>
      <c r="B587" s="76"/>
      <c r="C587" s="76"/>
      <c r="D587" s="76"/>
      <c r="E587" s="76"/>
      <c r="F587" s="76"/>
      <c r="G587" s="76"/>
    </row>
    <row r="588">
      <c r="A588" s="76"/>
      <c r="B588" s="76"/>
      <c r="C588" s="76"/>
      <c r="D588" s="76"/>
      <c r="E588" s="76"/>
      <c r="F588" s="76"/>
      <c r="G588" s="76"/>
    </row>
    <row r="589">
      <c r="A589" s="76"/>
      <c r="B589" s="76"/>
      <c r="C589" s="76"/>
      <c r="D589" s="76"/>
      <c r="E589" s="76"/>
      <c r="F589" s="76"/>
      <c r="G589" s="76"/>
    </row>
    <row r="590">
      <c r="A590" s="76"/>
      <c r="B590" s="76"/>
      <c r="C590" s="76"/>
      <c r="D590" s="76"/>
      <c r="E590" s="76"/>
      <c r="F590" s="76"/>
      <c r="G590" s="76"/>
    </row>
    <row r="591">
      <c r="A591" s="76"/>
      <c r="B591" s="76"/>
      <c r="C591" s="76"/>
      <c r="D591" s="76"/>
      <c r="E591" s="76"/>
      <c r="F591" s="76"/>
      <c r="G591" s="76"/>
    </row>
    <row r="592">
      <c r="A592" s="76"/>
      <c r="B592" s="76"/>
      <c r="C592" s="76"/>
      <c r="D592" s="76"/>
      <c r="E592" s="76"/>
      <c r="F592" s="76"/>
      <c r="G592" s="76"/>
    </row>
    <row r="593">
      <c r="A593" s="76"/>
      <c r="B593" s="76"/>
      <c r="C593" s="76"/>
      <c r="D593" s="76"/>
      <c r="E593" s="76"/>
      <c r="F593" s="76"/>
      <c r="G593" s="76"/>
    </row>
    <row r="594">
      <c r="A594" s="76"/>
      <c r="B594" s="76"/>
      <c r="C594" s="76"/>
      <c r="D594" s="76"/>
      <c r="E594" s="76"/>
      <c r="F594" s="76"/>
      <c r="G594" s="76"/>
    </row>
    <row r="595">
      <c r="A595" s="76"/>
      <c r="B595" s="76"/>
      <c r="C595" s="76"/>
      <c r="D595" s="76"/>
      <c r="E595" s="76"/>
      <c r="F595" s="76"/>
      <c r="G595" s="76"/>
    </row>
    <row r="596">
      <c r="A596" s="76"/>
      <c r="B596" s="76"/>
      <c r="C596" s="76"/>
      <c r="D596" s="76"/>
      <c r="E596" s="76"/>
      <c r="F596" s="76"/>
      <c r="G596" s="76"/>
    </row>
    <row r="597">
      <c r="A597" s="76"/>
      <c r="B597" s="76"/>
      <c r="C597" s="76"/>
      <c r="D597" s="76"/>
      <c r="E597" s="76"/>
      <c r="F597" s="76"/>
      <c r="G597" s="76"/>
    </row>
    <row r="598">
      <c r="A598" s="76"/>
      <c r="B598" s="76"/>
      <c r="C598" s="76"/>
      <c r="D598" s="76"/>
      <c r="E598" s="76"/>
      <c r="F598" s="76"/>
      <c r="G598" s="76"/>
    </row>
    <row r="599">
      <c r="A599" s="76"/>
      <c r="B599" s="76"/>
      <c r="C599" s="76"/>
      <c r="D599" s="76"/>
      <c r="E599" s="76"/>
      <c r="F599" s="76"/>
      <c r="G599" s="76"/>
    </row>
    <row r="600">
      <c r="A600" s="76"/>
      <c r="B600" s="76"/>
      <c r="C600" s="76"/>
      <c r="D600" s="76"/>
      <c r="E600" s="76"/>
      <c r="F600" s="76"/>
      <c r="G600" s="76"/>
    </row>
    <row r="601">
      <c r="A601" s="76"/>
      <c r="B601" s="76"/>
      <c r="C601" s="76"/>
      <c r="D601" s="76"/>
      <c r="E601" s="76"/>
      <c r="F601" s="76"/>
      <c r="G601" s="76"/>
    </row>
    <row r="602">
      <c r="A602" s="76"/>
      <c r="B602" s="76"/>
      <c r="C602" s="76"/>
      <c r="D602" s="76"/>
      <c r="E602" s="76"/>
      <c r="F602" s="76"/>
      <c r="G602" s="76"/>
    </row>
    <row r="603">
      <c r="A603" s="76"/>
      <c r="B603" s="76"/>
      <c r="C603" s="76"/>
      <c r="D603" s="76"/>
      <c r="E603" s="76"/>
      <c r="F603" s="76"/>
      <c r="G603" s="76"/>
    </row>
    <row r="604">
      <c r="A604" s="76"/>
      <c r="B604" s="76"/>
      <c r="C604" s="76"/>
      <c r="D604" s="76"/>
      <c r="E604" s="76"/>
      <c r="F604" s="76"/>
      <c r="G604" s="76"/>
    </row>
    <row r="605">
      <c r="A605" s="76"/>
      <c r="B605" s="76"/>
      <c r="C605" s="76"/>
      <c r="D605" s="76"/>
      <c r="E605" s="76"/>
      <c r="F605" s="76"/>
      <c r="G605" s="76"/>
    </row>
    <row r="606">
      <c r="A606" s="76"/>
      <c r="B606" s="76"/>
      <c r="C606" s="76"/>
      <c r="D606" s="76"/>
      <c r="E606" s="76"/>
      <c r="F606" s="76"/>
      <c r="G606" s="76"/>
    </row>
    <row r="607">
      <c r="A607" s="76"/>
      <c r="B607" s="76"/>
      <c r="C607" s="76"/>
      <c r="D607" s="76"/>
      <c r="E607" s="76"/>
      <c r="F607" s="76"/>
      <c r="G607" s="76"/>
    </row>
    <row r="608">
      <c r="A608" s="76"/>
      <c r="B608" s="76"/>
      <c r="C608" s="76"/>
      <c r="D608" s="76"/>
      <c r="E608" s="76"/>
      <c r="F608" s="76"/>
      <c r="G608" s="76"/>
    </row>
    <row r="609">
      <c r="A609" s="76"/>
      <c r="B609" s="76"/>
      <c r="C609" s="76"/>
      <c r="D609" s="76"/>
      <c r="E609" s="76"/>
      <c r="F609" s="76"/>
      <c r="G609" s="76"/>
    </row>
    <row r="610">
      <c r="A610" s="76"/>
      <c r="B610" s="76"/>
      <c r="C610" s="76"/>
      <c r="D610" s="76"/>
      <c r="E610" s="76"/>
      <c r="F610" s="76"/>
      <c r="G610" s="76"/>
    </row>
    <row r="611">
      <c r="A611" s="76"/>
      <c r="B611" s="76"/>
      <c r="C611" s="76"/>
      <c r="D611" s="76"/>
      <c r="E611" s="76"/>
      <c r="F611" s="76"/>
      <c r="G611" s="76"/>
    </row>
    <row r="612">
      <c r="A612" s="76"/>
      <c r="B612" s="76"/>
      <c r="C612" s="76"/>
      <c r="D612" s="76"/>
      <c r="E612" s="76"/>
      <c r="F612" s="76"/>
      <c r="G612" s="76"/>
    </row>
    <row r="613">
      <c r="A613" s="76"/>
      <c r="B613" s="76"/>
      <c r="C613" s="76"/>
      <c r="D613" s="76"/>
      <c r="E613" s="76"/>
      <c r="F613" s="76"/>
      <c r="G613" s="76"/>
    </row>
    <row r="614">
      <c r="A614" s="76"/>
      <c r="B614" s="76"/>
      <c r="C614" s="76"/>
      <c r="D614" s="76"/>
      <c r="E614" s="76"/>
      <c r="F614" s="76"/>
      <c r="G614" s="76"/>
    </row>
    <row r="615">
      <c r="A615" s="76"/>
      <c r="B615" s="76"/>
      <c r="C615" s="76"/>
      <c r="D615" s="76"/>
      <c r="E615" s="76"/>
      <c r="F615" s="76"/>
      <c r="G615" s="76"/>
    </row>
    <row r="616">
      <c r="A616" s="76"/>
      <c r="B616" s="76"/>
      <c r="C616" s="76"/>
      <c r="D616" s="76"/>
      <c r="E616" s="76"/>
      <c r="F616" s="76"/>
      <c r="G616" s="76"/>
    </row>
    <row r="617">
      <c r="A617" s="76"/>
      <c r="B617" s="76"/>
      <c r="C617" s="76"/>
      <c r="D617" s="76"/>
      <c r="E617" s="76"/>
      <c r="F617" s="76"/>
      <c r="G617" s="76"/>
    </row>
    <row r="618">
      <c r="A618" s="76"/>
      <c r="B618" s="76"/>
      <c r="C618" s="76"/>
      <c r="D618" s="76"/>
      <c r="E618" s="76"/>
      <c r="F618" s="76"/>
      <c r="G618" s="76"/>
    </row>
    <row r="619">
      <c r="A619" s="76"/>
      <c r="B619" s="76"/>
      <c r="C619" s="76"/>
      <c r="D619" s="76"/>
      <c r="E619" s="76"/>
      <c r="F619" s="76"/>
      <c r="G619" s="76"/>
    </row>
    <row r="620">
      <c r="A620" s="76"/>
      <c r="B620" s="76"/>
      <c r="C620" s="76"/>
      <c r="D620" s="76"/>
      <c r="E620" s="76"/>
      <c r="F620" s="76"/>
      <c r="G620" s="76"/>
    </row>
    <row r="621">
      <c r="A621" s="76"/>
      <c r="B621" s="76"/>
      <c r="C621" s="76"/>
      <c r="D621" s="76"/>
      <c r="E621" s="76"/>
      <c r="F621" s="76"/>
      <c r="G621" s="76"/>
    </row>
    <row r="622">
      <c r="A622" s="76"/>
      <c r="B622" s="76"/>
      <c r="C622" s="76"/>
      <c r="D622" s="76"/>
      <c r="E622" s="76"/>
      <c r="F622" s="76"/>
      <c r="G622" s="76"/>
    </row>
    <row r="623">
      <c r="A623" s="76"/>
      <c r="B623" s="76"/>
      <c r="C623" s="76"/>
      <c r="D623" s="76"/>
      <c r="E623" s="76"/>
      <c r="F623" s="76"/>
      <c r="G623" s="76"/>
    </row>
    <row r="624">
      <c r="A624" s="76"/>
      <c r="B624" s="76"/>
      <c r="C624" s="76"/>
      <c r="D624" s="76"/>
      <c r="E624" s="76"/>
      <c r="F624" s="76"/>
      <c r="G624" s="76"/>
    </row>
    <row r="625">
      <c r="A625" s="76"/>
      <c r="B625" s="76"/>
      <c r="C625" s="76"/>
      <c r="D625" s="76"/>
      <c r="E625" s="76"/>
      <c r="F625" s="76"/>
      <c r="G625" s="76"/>
    </row>
    <row r="626">
      <c r="A626" s="76"/>
      <c r="B626" s="76"/>
      <c r="C626" s="76"/>
      <c r="D626" s="76"/>
      <c r="E626" s="76"/>
      <c r="F626" s="76"/>
      <c r="G626" s="76"/>
    </row>
    <row r="627">
      <c r="A627" s="76"/>
      <c r="B627" s="76"/>
      <c r="C627" s="76"/>
      <c r="D627" s="76"/>
      <c r="E627" s="76"/>
      <c r="F627" s="76"/>
      <c r="G627" s="76"/>
    </row>
    <row r="628">
      <c r="A628" s="76"/>
      <c r="B628" s="76"/>
      <c r="C628" s="76"/>
      <c r="D628" s="76"/>
      <c r="E628" s="76"/>
      <c r="F628" s="76"/>
      <c r="G628" s="76"/>
    </row>
    <row r="629">
      <c r="A629" s="76"/>
      <c r="B629" s="76"/>
      <c r="C629" s="76"/>
      <c r="D629" s="76"/>
      <c r="E629" s="76"/>
      <c r="F629" s="76"/>
      <c r="G629" s="76"/>
    </row>
    <row r="630">
      <c r="A630" s="76"/>
      <c r="B630" s="76"/>
      <c r="C630" s="76"/>
      <c r="D630" s="76"/>
      <c r="E630" s="76"/>
      <c r="F630" s="76"/>
      <c r="G630" s="76"/>
    </row>
    <row r="631">
      <c r="A631" s="76"/>
      <c r="B631" s="76"/>
      <c r="C631" s="76"/>
      <c r="D631" s="76"/>
      <c r="E631" s="76"/>
      <c r="F631" s="76"/>
      <c r="G631" s="76"/>
    </row>
    <row r="632">
      <c r="A632" s="76"/>
      <c r="B632" s="76"/>
      <c r="C632" s="76"/>
      <c r="D632" s="76"/>
      <c r="E632" s="76"/>
      <c r="F632" s="76"/>
      <c r="G632" s="76"/>
    </row>
    <row r="633">
      <c r="A633" s="76"/>
      <c r="B633" s="76"/>
      <c r="C633" s="76"/>
      <c r="D633" s="76"/>
      <c r="E633" s="76"/>
      <c r="F633" s="76"/>
      <c r="G633" s="76"/>
    </row>
    <row r="634">
      <c r="A634" s="76"/>
      <c r="B634" s="76"/>
      <c r="C634" s="76"/>
      <c r="D634" s="76"/>
      <c r="E634" s="76"/>
      <c r="F634" s="76"/>
      <c r="G634" s="76"/>
    </row>
    <row r="635">
      <c r="A635" s="76"/>
      <c r="B635" s="76"/>
      <c r="C635" s="76"/>
      <c r="D635" s="76"/>
      <c r="E635" s="76"/>
      <c r="F635" s="76"/>
      <c r="G635" s="76"/>
    </row>
    <row r="636">
      <c r="A636" s="76"/>
      <c r="B636" s="76"/>
      <c r="C636" s="76"/>
      <c r="D636" s="76"/>
      <c r="E636" s="76"/>
      <c r="F636" s="76"/>
      <c r="G636" s="76"/>
    </row>
    <row r="637">
      <c r="A637" s="76"/>
      <c r="B637" s="76"/>
      <c r="C637" s="76"/>
      <c r="D637" s="76"/>
      <c r="E637" s="76"/>
      <c r="F637" s="76"/>
      <c r="G637" s="76"/>
    </row>
    <row r="638">
      <c r="A638" s="76"/>
      <c r="B638" s="76"/>
      <c r="C638" s="76"/>
      <c r="D638" s="76"/>
      <c r="E638" s="76"/>
      <c r="F638" s="76"/>
      <c r="G638" s="76"/>
    </row>
    <row r="639">
      <c r="A639" s="76"/>
      <c r="B639" s="76"/>
      <c r="C639" s="76"/>
      <c r="D639" s="76"/>
      <c r="E639" s="76"/>
      <c r="F639" s="76"/>
      <c r="G639" s="76"/>
    </row>
    <row r="640">
      <c r="A640" s="76"/>
      <c r="B640" s="76"/>
      <c r="C640" s="76"/>
      <c r="D640" s="76"/>
      <c r="E640" s="76"/>
      <c r="F640" s="76"/>
      <c r="G640" s="76"/>
    </row>
    <row r="641">
      <c r="A641" s="76"/>
      <c r="B641" s="76"/>
      <c r="C641" s="76"/>
      <c r="D641" s="76"/>
      <c r="E641" s="76"/>
      <c r="F641" s="76"/>
      <c r="G641" s="76"/>
    </row>
    <row r="642">
      <c r="A642" s="76"/>
      <c r="B642" s="76"/>
      <c r="C642" s="76"/>
      <c r="D642" s="76"/>
      <c r="E642" s="76"/>
      <c r="F642" s="76"/>
      <c r="G642" s="76"/>
    </row>
    <row r="643">
      <c r="A643" s="76"/>
      <c r="B643" s="76"/>
      <c r="C643" s="76"/>
      <c r="D643" s="76"/>
      <c r="E643" s="76"/>
      <c r="F643" s="76"/>
      <c r="G643" s="76"/>
    </row>
    <row r="644">
      <c r="A644" s="76"/>
      <c r="B644" s="76"/>
      <c r="C644" s="76"/>
      <c r="D644" s="76"/>
      <c r="E644" s="76"/>
      <c r="F644" s="76"/>
      <c r="G644" s="76"/>
    </row>
    <row r="645">
      <c r="A645" s="76"/>
      <c r="B645" s="76"/>
      <c r="C645" s="76"/>
      <c r="D645" s="76"/>
      <c r="E645" s="76"/>
      <c r="F645" s="76"/>
      <c r="G645" s="76"/>
    </row>
    <row r="646">
      <c r="A646" s="76"/>
      <c r="B646" s="76"/>
      <c r="C646" s="76"/>
      <c r="D646" s="76"/>
      <c r="E646" s="76"/>
      <c r="F646" s="76"/>
      <c r="G646" s="76"/>
    </row>
    <row r="647">
      <c r="A647" s="76"/>
      <c r="B647" s="76"/>
      <c r="C647" s="76"/>
      <c r="D647" s="76"/>
      <c r="E647" s="76"/>
      <c r="F647" s="76"/>
      <c r="G647" s="76"/>
    </row>
    <row r="648">
      <c r="A648" s="76"/>
      <c r="B648" s="76"/>
      <c r="C648" s="76"/>
      <c r="D648" s="76"/>
      <c r="E648" s="76"/>
      <c r="F648" s="76"/>
      <c r="G648" s="76"/>
    </row>
    <row r="649">
      <c r="A649" s="76"/>
      <c r="B649" s="76"/>
      <c r="C649" s="76"/>
      <c r="D649" s="76"/>
      <c r="E649" s="76"/>
      <c r="F649" s="76"/>
      <c r="G649" s="76"/>
    </row>
    <row r="650">
      <c r="A650" s="76"/>
      <c r="B650" s="76"/>
      <c r="C650" s="76"/>
      <c r="D650" s="76"/>
      <c r="E650" s="76"/>
      <c r="F650" s="76"/>
      <c r="G650" s="76"/>
    </row>
    <row r="651">
      <c r="A651" s="76"/>
      <c r="B651" s="76"/>
      <c r="C651" s="76"/>
      <c r="D651" s="76"/>
      <c r="E651" s="76"/>
      <c r="F651" s="76"/>
      <c r="G651" s="76"/>
    </row>
    <row r="652">
      <c r="A652" s="76"/>
      <c r="B652" s="76"/>
      <c r="C652" s="76"/>
      <c r="D652" s="76"/>
      <c r="E652" s="76"/>
      <c r="F652" s="76"/>
      <c r="G652" s="76"/>
    </row>
    <row r="653">
      <c r="A653" s="76"/>
      <c r="B653" s="76"/>
      <c r="C653" s="76"/>
      <c r="D653" s="76"/>
      <c r="E653" s="76"/>
      <c r="F653" s="76"/>
      <c r="G653" s="76"/>
    </row>
    <row r="654">
      <c r="A654" s="76"/>
      <c r="B654" s="76"/>
      <c r="C654" s="76"/>
      <c r="D654" s="76"/>
      <c r="E654" s="76"/>
      <c r="F654" s="76"/>
      <c r="G654" s="76"/>
    </row>
    <row r="655">
      <c r="A655" s="76"/>
      <c r="B655" s="76"/>
      <c r="C655" s="76"/>
      <c r="D655" s="76"/>
      <c r="E655" s="76"/>
      <c r="F655" s="76"/>
      <c r="G655" s="76"/>
    </row>
    <row r="656">
      <c r="A656" s="76"/>
      <c r="B656" s="76"/>
      <c r="C656" s="76"/>
      <c r="D656" s="76"/>
      <c r="E656" s="76"/>
      <c r="F656" s="76"/>
      <c r="G656" s="76"/>
    </row>
    <row r="657">
      <c r="A657" s="76"/>
      <c r="B657" s="76"/>
      <c r="C657" s="76"/>
      <c r="D657" s="76"/>
      <c r="E657" s="76"/>
      <c r="F657" s="76"/>
      <c r="G657" s="76"/>
    </row>
    <row r="658">
      <c r="A658" s="76"/>
      <c r="B658" s="76"/>
      <c r="C658" s="76"/>
      <c r="D658" s="76"/>
      <c r="E658" s="76"/>
      <c r="F658" s="76"/>
      <c r="G658" s="76"/>
    </row>
    <row r="659">
      <c r="A659" s="76"/>
      <c r="B659" s="76"/>
      <c r="C659" s="76"/>
      <c r="D659" s="76"/>
      <c r="E659" s="76"/>
      <c r="F659" s="76"/>
      <c r="G659" s="76"/>
    </row>
    <row r="660">
      <c r="A660" s="76"/>
      <c r="B660" s="76"/>
      <c r="C660" s="76"/>
      <c r="D660" s="76"/>
      <c r="E660" s="76"/>
      <c r="F660" s="76"/>
      <c r="G660" s="76"/>
    </row>
    <row r="661">
      <c r="A661" s="76"/>
      <c r="B661" s="76"/>
      <c r="C661" s="76"/>
      <c r="D661" s="76"/>
      <c r="E661" s="76"/>
      <c r="F661" s="76"/>
      <c r="G661" s="76"/>
    </row>
    <row r="662">
      <c r="A662" s="76"/>
      <c r="B662" s="76"/>
      <c r="C662" s="76"/>
      <c r="D662" s="76"/>
      <c r="E662" s="76"/>
      <c r="F662" s="76"/>
      <c r="G662" s="76"/>
    </row>
    <row r="663">
      <c r="A663" s="76"/>
      <c r="B663" s="76"/>
      <c r="C663" s="76"/>
      <c r="D663" s="76"/>
      <c r="E663" s="76"/>
      <c r="F663" s="76"/>
      <c r="G663" s="76"/>
    </row>
    <row r="664">
      <c r="A664" s="76"/>
      <c r="B664" s="76"/>
      <c r="C664" s="76"/>
      <c r="D664" s="76"/>
      <c r="E664" s="76"/>
      <c r="F664" s="76"/>
      <c r="G664" s="76"/>
    </row>
    <row r="665">
      <c r="A665" s="76"/>
      <c r="B665" s="76"/>
      <c r="C665" s="76"/>
      <c r="D665" s="76"/>
      <c r="E665" s="76"/>
      <c r="F665" s="76"/>
      <c r="G665" s="76"/>
    </row>
    <row r="666">
      <c r="A666" s="76"/>
      <c r="B666" s="76"/>
      <c r="C666" s="76"/>
      <c r="D666" s="76"/>
      <c r="E666" s="76"/>
      <c r="F666" s="76"/>
      <c r="G666" s="76"/>
    </row>
    <row r="667">
      <c r="A667" s="76"/>
      <c r="B667" s="76"/>
      <c r="C667" s="76"/>
      <c r="D667" s="76"/>
      <c r="E667" s="76"/>
      <c r="F667" s="76"/>
      <c r="G667" s="76"/>
    </row>
    <row r="668">
      <c r="A668" s="76"/>
      <c r="B668" s="76"/>
      <c r="C668" s="76"/>
      <c r="D668" s="76"/>
      <c r="E668" s="76"/>
      <c r="F668" s="76"/>
      <c r="G668" s="76"/>
    </row>
    <row r="669">
      <c r="A669" s="76"/>
      <c r="B669" s="76"/>
      <c r="C669" s="76"/>
      <c r="D669" s="76"/>
      <c r="E669" s="76"/>
      <c r="F669" s="76"/>
      <c r="G669" s="76"/>
    </row>
    <row r="670">
      <c r="A670" s="76"/>
      <c r="B670" s="76"/>
      <c r="C670" s="76"/>
      <c r="D670" s="76"/>
      <c r="E670" s="76"/>
      <c r="F670" s="76"/>
      <c r="G670" s="76"/>
    </row>
    <row r="671">
      <c r="A671" s="76"/>
      <c r="B671" s="76"/>
      <c r="C671" s="76"/>
      <c r="D671" s="76"/>
      <c r="E671" s="76"/>
      <c r="F671" s="76"/>
      <c r="G671" s="76"/>
    </row>
    <row r="672">
      <c r="A672" s="76"/>
      <c r="B672" s="76"/>
      <c r="C672" s="76"/>
      <c r="D672" s="76"/>
      <c r="E672" s="76"/>
      <c r="F672" s="76"/>
      <c r="G672" s="76"/>
    </row>
    <row r="673">
      <c r="A673" s="76"/>
      <c r="B673" s="76"/>
      <c r="C673" s="76"/>
      <c r="D673" s="76"/>
      <c r="E673" s="76"/>
      <c r="F673" s="76"/>
      <c r="G673" s="76"/>
    </row>
    <row r="674">
      <c r="A674" s="76"/>
      <c r="B674" s="76"/>
      <c r="C674" s="76"/>
      <c r="D674" s="76"/>
      <c r="E674" s="76"/>
      <c r="F674" s="76"/>
      <c r="G674" s="76"/>
    </row>
    <row r="675">
      <c r="A675" s="76"/>
      <c r="B675" s="76"/>
      <c r="C675" s="76"/>
      <c r="D675" s="76"/>
      <c r="E675" s="76"/>
      <c r="F675" s="76"/>
      <c r="G675" s="76"/>
    </row>
    <row r="676">
      <c r="A676" s="76"/>
      <c r="B676" s="76"/>
      <c r="C676" s="76"/>
      <c r="D676" s="76"/>
      <c r="E676" s="76"/>
      <c r="F676" s="76"/>
      <c r="G676" s="76"/>
    </row>
    <row r="677">
      <c r="A677" s="76"/>
      <c r="B677" s="76"/>
      <c r="C677" s="76"/>
      <c r="D677" s="76"/>
      <c r="E677" s="76"/>
      <c r="F677" s="76"/>
      <c r="G677" s="76"/>
    </row>
    <row r="678">
      <c r="A678" s="76"/>
      <c r="B678" s="76"/>
      <c r="C678" s="76"/>
      <c r="D678" s="76"/>
      <c r="E678" s="76"/>
      <c r="F678" s="76"/>
      <c r="G678" s="76"/>
    </row>
    <row r="679">
      <c r="A679" s="76"/>
      <c r="B679" s="76"/>
      <c r="C679" s="76"/>
      <c r="D679" s="76"/>
      <c r="E679" s="76"/>
      <c r="F679" s="76"/>
      <c r="G679" s="76"/>
    </row>
    <row r="680">
      <c r="A680" s="76"/>
      <c r="B680" s="76"/>
      <c r="C680" s="76"/>
      <c r="D680" s="76"/>
      <c r="E680" s="76"/>
      <c r="F680" s="76"/>
      <c r="G680" s="76"/>
    </row>
    <row r="681">
      <c r="A681" s="76"/>
      <c r="B681" s="76"/>
      <c r="C681" s="76"/>
      <c r="D681" s="76"/>
      <c r="E681" s="76"/>
      <c r="F681" s="76"/>
      <c r="G681" s="76"/>
    </row>
    <row r="682">
      <c r="A682" s="76"/>
      <c r="B682" s="76"/>
      <c r="C682" s="76"/>
      <c r="D682" s="76"/>
      <c r="E682" s="76"/>
      <c r="F682" s="76"/>
      <c r="G682" s="76"/>
    </row>
    <row r="683">
      <c r="A683" s="76"/>
      <c r="B683" s="76"/>
      <c r="C683" s="76"/>
      <c r="D683" s="76"/>
      <c r="E683" s="76"/>
      <c r="F683" s="76"/>
      <c r="G683" s="76"/>
    </row>
    <row r="684">
      <c r="A684" s="76"/>
      <c r="B684" s="76"/>
      <c r="C684" s="76"/>
      <c r="D684" s="76"/>
      <c r="E684" s="76"/>
      <c r="F684" s="76"/>
      <c r="G684" s="76"/>
    </row>
    <row r="685">
      <c r="A685" s="76"/>
      <c r="B685" s="76"/>
      <c r="C685" s="76"/>
      <c r="D685" s="76"/>
      <c r="E685" s="76"/>
      <c r="F685" s="76"/>
      <c r="G685" s="76"/>
    </row>
    <row r="686">
      <c r="A686" s="76"/>
      <c r="B686" s="76"/>
      <c r="C686" s="76"/>
      <c r="D686" s="76"/>
      <c r="E686" s="76"/>
      <c r="F686" s="76"/>
      <c r="G686" s="76"/>
    </row>
    <row r="687">
      <c r="A687" s="76"/>
      <c r="B687" s="76"/>
      <c r="C687" s="76"/>
      <c r="D687" s="76"/>
      <c r="E687" s="76"/>
      <c r="F687" s="76"/>
      <c r="G687" s="76"/>
    </row>
    <row r="688">
      <c r="A688" s="76"/>
      <c r="B688" s="76"/>
      <c r="C688" s="76"/>
      <c r="D688" s="76"/>
      <c r="E688" s="76"/>
      <c r="F688" s="76"/>
      <c r="G688" s="76"/>
    </row>
    <row r="689">
      <c r="A689" s="76"/>
      <c r="B689" s="76"/>
      <c r="C689" s="76"/>
      <c r="D689" s="76"/>
      <c r="E689" s="76"/>
      <c r="F689" s="76"/>
      <c r="G689" s="76"/>
    </row>
    <row r="690">
      <c r="A690" s="76"/>
      <c r="B690" s="76"/>
      <c r="C690" s="76"/>
      <c r="D690" s="76"/>
      <c r="E690" s="76"/>
      <c r="F690" s="76"/>
      <c r="G690" s="76"/>
    </row>
    <row r="691">
      <c r="A691" s="76"/>
      <c r="B691" s="76"/>
      <c r="C691" s="76"/>
      <c r="D691" s="76"/>
      <c r="E691" s="76"/>
      <c r="F691" s="76"/>
      <c r="G691" s="76"/>
    </row>
    <row r="692">
      <c r="A692" s="76"/>
      <c r="B692" s="76"/>
      <c r="C692" s="76"/>
      <c r="D692" s="76"/>
      <c r="E692" s="76"/>
      <c r="F692" s="76"/>
      <c r="G692" s="76"/>
    </row>
    <row r="693">
      <c r="A693" s="76"/>
      <c r="B693" s="76"/>
      <c r="C693" s="76"/>
      <c r="D693" s="76"/>
      <c r="E693" s="76"/>
      <c r="F693" s="76"/>
      <c r="G693" s="76"/>
    </row>
    <row r="694">
      <c r="A694" s="76"/>
      <c r="B694" s="76"/>
      <c r="C694" s="76"/>
      <c r="D694" s="76"/>
      <c r="E694" s="76"/>
      <c r="F694" s="76"/>
      <c r="G694" s="76"/>
    </row>
    <row r="695">
      <c r="A695" s="76"/>
      <c r="B695" s="76"/>
      <c r="C695" s="76"/>
      <c r="D695" s="76"/>
      <c r="E695" s="76"/>
      <c r="F695" s="76"/>
      <c r="G695" s="76"/>
    </row>
    <row r="696">
      <c r="A696" s="76"/>
      <c r="B696" s="76"/>
      <c r="C696" s="76"/>
      <c r="D696" s="76"/>
      <c r="E696" s="76"/>
      <c r="F696" s="76"/>
      <c r="G696" s="76"/>
    </row>
    <row r="697">
      <c r="A697" s="76"/>
      <c r="B697" s="76"/>
      <c r="C697" s="76"/>
      <c r="D697" s="76"/>
      <c r="E697" s="76"/>
      <c r="F697" s="76"/>
      <c r="G697" s="76"/>
    </row>
    <row r="698">
      <c r="A698" s="76"/>
      <c r="B698" s="76"/>
      <c r="C698" s="76"/>
      <c r="D698" s="76"/>
      <c r="E698" s="76"/>
      <c r="F698" s="76"/>
      <c r="G698" s="76"/>
    </row>
    <row r="699">
      <c r="A699" s="76"/>
      <c r="B699" s="76"/>
      <c r="C699" s="76"/>
      <c r="D699" s="76"/>
      <c r="E699" s="76"/>
      <c r="F699" s="76"/>
      <c r="G699" s="76"/>
    </row>
    <row r="700">
      <c r="A700" s="76"/>
      <c r="B700" s="76"/>
      <c r="C700" s="76"/>
      <c r="D700" s="76"/>
      <c r="E700" s="76"/>
      <c r="F700" s="76"/>
      <c r="G700" s="76"/>
    </row>
    <row r="701">
      <c r="A701" s="76"/>
      <c r="B701" s="76"/>
      <c r="C701" s="76"/>
      <c r="D701" s="76"/>
      <c r="E701" s="76"/>
      <c r="F701" s="76"/>
      <c r="G701" s="76"/>
    </row>
    <row r="702">
      <c r="A702" s="76"/>
      <c r="B702" s="76"/>
      <c r="C702" s="76"/>
      <c r="D702" s="76"/>
      <c r="E702" s="76"/>
      <c r="F702" s="76"/>
      <c r="G702" s="76"/>
    </row>
    <row r="703">
      <c r="A703" s="76"/>
      <c r="B703" s="76"/>
      <c r="C703" s="76"/>
      <c r="D703" s="76"/>
      <c r="E703" s="76"/>
      <c r="F703" s="76"/>
      <c r="G703" s="76"/>
    </row>
    <row r="704">
      <c r="A704" s="76"/>
      <c r="B704" s="76"/>
      <c r="C704" s="76"/>
      <c r="D704" s="76"/>
      <c r="E704" s="76"/>
      <c r="F704" s="76"/>
      <c r="G704" s="76"/>
    </row>
    <row r="705">
      <c r="A705" s="76"/>
      <c r="B705" s="76"/>
      <c r="C705" s="76"/>
      <c r="D705" s="76"/>
      <c r="E705" s="76"/>
      <c r="F705" s="76"/>
      <c r="G705" s="76"/>
    </row>
    <row r="706">
      <c r="A706" s="76"/>
      <c r="B706" s="76"/>
      <c r="C706" s="76"/>
      <c r="D706" s="76"/>
      <c r="E706" s="76"/>
      <c r="F706" s="76"/>
      <c r="G706" s="76"/>
    </row>
    <row r="707">
      <c r="A707" s="76"/>
      <c r="B707" s="76"/>
      <c r="C707" s="76"/>
      <c r="D707" s="76"/>
      <c r="E707" s="76"/>
      <c r="F707" s="76"/>
      <c r="G707" s="76"/>
    </row>
    <row r="708">
      <c r="A708" s="76"/>
      <c r="B708" s="76"/>
      <c r="C708" s="76"/>
      <c r="D708" s="76"/>
      <c r="E708" s="76"/>
      <c r="F708" s="76"/>
      <c r="G708" s="76"/>
    </row>
    <row r="709">
      <c r="A709" s="76"/>
      <c r="B709" s="76"/>
      <c r="C709" s="76"/>
      <c r="D709" s="76"/>
      <c r="E709" s="76"/>
      <c r="F709" s="76"/>
      <c r="G709" s="76"/>
    </row>
    <row r="710">
      <c r="A710" s="76"/>
      <c r="B710" s="76"/>
      <c r="C710" s="76"/>
      <c r="D710" s="76"/>
      <c r="E710" s="76"/>
      <c r="F710" s="76"/>
      <c r="G710" s="76"/>
    </row>
    <row r="711">
      <c r="A711" s="76"/>
      <c r="B711" s="76"/>
      <c r="C711" s="76"/>
      <c r="D711" s="76"/>
      <c r="E711" s="76"/>
      <c r="F711" s="76"/>
      <c r="G711" s="76"/>
    </row>
    <row r="712">
      <c r="A712" s="76"/>
      <c r="B712" s="76"/>
      <c r="C712" s="76"/>
      <c r="D712" s="76"/>
      <c r="E712" s="76"/>
      <c r="F712" s="76"/>
      <c r="G712" s="76"/>
    </row>
    <row r="713">
      <c r="A713" s="76"/>
      <c r="B713" s="76"/>
      <c r="C713" s="76"/>
      <c r="D713" s="76"/>
      <c r="E713" s="76"/>
      <c r="F713" s="76"/>
      <c r="G713" s="76"/>
    </row>
    <row r="714">
      <c r="A714" s="76"/>
      <c r="B714" s="76"/>
      <c r="C714" s="76"/>
      <c r="D714" s="76"/>
      <c r="E714" s="76"/>
      <c r="F714" s="76"/>
      <c r="G714" s="76"/>
    </row>
    <row r="715">
      <c r="A715" s="76"/>
      <c r="B715" s="76"/>
      <c r="C715" s="76"/>
      <c r="D715" s="76"/>
      <c r="E715" s="76"/>
      <c r="F715" s="76"/>
      <c r="G715" s="76"/>
    </row>
    <row r="716">
      <c r="A716" s="76"/>
      <c r="B716" s="76"/>
      <c r="C716" s="76"/>
      <c r="D716" s="76"/>
      <c r="E716" s="76"/>
      <c r="F716" s="76"/>
      <c r="G716" s="76"/>
    </row>
    <row r="717">
      <c r="A717" s="76"/>
      <c r="B717" s="76"/>
      <c r="C717" s="76"/>
      <c r="D717" s="76"/>
      <c r="E717" s="76"/>
      <c r="F717" s="76"/>
      <c r="G717" s="76"/>
    </row>
    <row r="718">
      <c r="A718" s="76"/>
      <c r="B718" s="76"/>
      <c r="C718" s="76"/>
      <c r="D718" s="76"/>
      <c r="E718" s="76"/>
      <c r="F718" s="76"/>
      <c r="G718" s="76"/>
    </row>
    <row r="719">
      <c r="A719" s="76"/>
      <c r="B719" s="76"/>
      <c r="C719" s="76"/>
      <c r="D719" s="76"/>
      <c r="E719" s="76"/>
      <c r="F719" s="76"/>
      <c r="G719" s="76"/>
    </row>
    <row r="720">
      <c r="A720" s="76"/>
      <c r="B720" s="76"/>
      <c r="C720" s="76"/>
      <c r="D720" s="76"/>
      <c r="E720" s="76"/>
      <c r="F720" s="76"/>
      <c r="G720" s="76"/>
    </row>
    <row r="721">
      <c r="A721" s="76"/>
      <c r="B721" s="76"/>
      <c r="C721" s="76"/>
      <c r="D721" s="76"/>
      <c r="E721" s="76"/>
      <c r="F721" s="76"/>
      <c r="G721" s="76"/>
    </row>
    <row r="722">
      <c r="A722" s="76"/>
      <c r="B722" s="76"/>
      <c r="C722" s="76"/>
      <c r="D722" s="76"/>
      <c r="E722" s="76"/>
      <c r="F722" s="76"/>
      <c r="G722" s="76"/>
    </row>
    <row r="723">
      <c r="A723" s="76"/>
      <c r="B723" s="76"/>
      <c r="C723" s="76"/>
      <c r="D723" s="76"/>
      <c r="E723" s="76"/>
      <c r="F723" s="76"/>
      <c r="G723" s="76"/>
    </row>
    <row r="724">
      <c r="A724" s="76"/>
      <c r="B724" s="76"/>
      <c r="C724" s="76"/>
      <c r="D724" s="76"/>
      <c r="E724" s="76"/>
      <c r="F724" s="76"/>
      <c r="G724" s="76"/>
    </row>
    <row r="725">
      <c r="A725" s="76"/>
      <c r="B725" s="76"/>
      <c r="C725" s="76"/>
      <c r="D725" s="76"/>
      <c r="E725" s="76"/>
      <c r="F725" s="76"/>
      <c r="G725" s="76"/>
    </row>
    <row r="726">
      <c r="A726" s="76"/>
      <c r="B726" s="76"/>
      <c r="C726" s="76"/>
      <c r="D726" s="76"/>
      <c r="E726" s="76"/>
      <c r="F726" s="76"/>
      <c r="G726" s="76"/>
    </row>
    <row r="727">
      <c r="A727" s="76"/>
      <c r="B727" s="76"/>
      <c r="C727" s="76"/>
      <c r="D727" s="76"/>
      <c r="E727" s="76"/>
      <c r="F727" s="76"/>
      <c r="G727" s="76"/>
    </row>
    <row r="728">
      <c r="A728" s="76"/>
      <c r="B728" s="76"/>
      <c r="C728" s="76"/>
      <c r="D728" s="76"/>
      <c r="E728" s="76"/>
      <c r="F728" s="76"/>
      <c r="G728" s="76"/>
    </row>
    <row r="729">
      <c r="A729" s="76"/>
      <c r="B729" s="76"/>
      <c r="C729" s="76"/>
      <c r="D729" s="76"/>
      <c r="E729" s="76"/>
      <c r="F729" s="76"/>
      <c r="G729" s="76"/>
    </row>
    <row r="730">
      <c r="A730" s="76"/>
      <c r="B730" s="76"/>
      <c r="C730" s="76"/>
      <c r="D730" s="76"/>
      <c r="E730" s="76"/>
      <c r="F730" s="76"/>
      <c r="G730" s="76"/>
    </row>
    <row r="731">
      <c r="A731" s="76"/>
      <c r="B731" s="76"/>
      <c r="C731" s="76"/>
      <c r="D731" s="76"/>
      <c r="E731" s="76"/>
      <c r="F731" s="76"/>
      <c r="G731" s="76"/>
    </row>
    <row r="732">
      <c r="A732" s="76"/>
      <c r="B732" s="76"/>
      <c r="C732" s="76"/>
      <c r="D732" s="76"/>
      <c r="E732" s="76"/>
      <c r="F732" s="76"/>
      <c r="G732" s="76"/>
    </row>
    <row r="733">
      <c r="A733" s="76"/>
      <c r="B733" s="76"/>
      <c r="C733" s="76"/>
      <c r="D733" s="76"/>
      <c r="E733" s="76"/>
      <c r="F733" s="76"/>
      <c r="G733" s="76"/>
    </row>
    <row r="734">
      <c r="A734" s="76"/>
      <c r="B734" s="76"/>
      <c r="C734" s="76"/>
      <c r="D734" s="76"/>
      <c r="E734" s="76"/>
      <c r="F734" s="76"/>
      <c r="G734" s="76"/>
    </row>
    <row r="735">
      <c r="A735" s="76"/>
      <c r="B735" s="76"/>
      <c r="C735" s="76"/>
      <c r="D735" s="76"/>
      <c r="E735" s="76"/>
      <c r="F735" s="76"/>
      <c r="G735" s="76"/>
    </row>
    <row r="736">
      <c r="A736" s="76"/>
      <c r="B736" s="76"/>
      <c r="C736" s="76"/>
      <c r="D736" s="76"/>
      <c r="E736" s="76"/>
      <c r="F736" s="76"/>
      <c r="G736" s="76"/>
    </row>
    <row r="737">
      <c r="A737" s="76"/>
      <c r="B737" s="76"/>
      <c r="C737" s="76"/>
      <c r="D737" s="76"/>
      <c r="E737" s="76"/>
      <c r="F737" s="76"/>
      <c r="G737" s="76"/>
    </row>
    <row r="738">
      <c r="A738" s="76"/>
      <c r="B738" s="76"/>
      <c r="C738" s="76"/>
      <c r="D738" s="76"/>
      <c r="E738" s="76"/>
      <c r="F738" s="76"/>
      <c r="G738" s="76"/>
    </row>
    <row r="739">
      <c r="A739" s="76"/>
      <c r="B739" s="76"/>
      <c r="C739" s="76"/>
      <c r="D739" s="76"/>
      <c r="E739" s="76"/>
      <c r="F739" s="76"/>
      <c r="G739" s="76"/>
    </row>
    <row r="740">
      <c r="A740" s="76"/>
      <c r="B740" s="76"/>
      <c r="C740" s="76"/>
      <c r="D740" s="76"/>
      <c r="E740" s="76"/>
      <c r="F740" s="76"/>
      <c r="G740" s="76"/>
    </row>
    <row r="741">
      <c r="A741" s="76"/>
      <c r="B741" s="76"/>
      <c r="C741" s="76"/>
      <c r="D741" s="76"/>
      <c r="E741" s="76"/>
      <c r="F741" s="76"/>
      <c r="G741" s="76"/>
    </row>
    <row r="742">
      <c r="A742" s="76"/>
      <c r="B742" s="76"/>
      <c r="C742" s="76"/>
      <c r="D742" s="76"/>
      <c r="E742" s="76"/>
      <c r="F742" s="76"/>
      <c r="G742" s="76"/>
    </row>
    <row r="743">
      <c r="A743" s="76"/>
      <c r="B743" s="76"/>
      <c r="C743" s="76"/>
      <c r="D743" s="76"/>
      <c r="E743" s="76"/>
      <c r="F743" s="76"/>
      <c r="G743" s="76"/>
    </row>
    <row r="744">
      <c r="A744" s="76"/>
      <c r="B744" s="76"/>
      <c r="C744" s="76"/>
      <c r="D744" s="76"/>
      <c r="E744" s="76"/>
      <c r="F744" s="76"/>
      <c r="G744" s="76"/>
    </row>
    <row r="745">
      <c r="A745" s="76"/>
      <c r="B745" s="76"/>
      <c r="C745" s="76"/>
      <c r="D745" s="76"/>
      <c r="E745" s="76"/>
      <c r="F745" s="76"/>
      <c r="G745" s="76"/>
    </row>
    <row r="746">
      <c r="A746" s="76"/>
      <c r="B746" s="76"/>
      <c r="C746" s="76"/>
      <c r="D746" s="76"/>
      <c r="E746" s="76"/>
      <c r="F746" s="76"/>
      <c r="G746" s="76"/>
    </row>
    <row r="747">
      <c r="A747" s="76"/>
      <c r="B747" s="76"/>
      <c r="C747" s="76"/>
      <c r="D747" s="76"/>
      <c r="E747" s="76"/>
      <c r="F747" s="76"/>
      <c r="G747" s="76"/>
    </row>
    <row r="748">
      <c r="A748" s="76"/>
      <c r="B748" s="76"/>
      <c r="C748" s="76"/>
      <c r="D748" s="76"/>
      <c r="E748" s="76"/>
      <c r="F748" s="76"/>
      <c r="G748" s="76"/>
    </row>
    <row r="749">
      <c r="A749" s="76"/>
      <c r="B749" s="76"/>
      <c r="C749" s="76"/>
      <c r="D749" s="76"/>
      <c r="E749" s="76"/>
      <c r="F749" s="76"/>
      <c r="G749" s="76"/>
    </row>
    <row r="750">
      <c r="A750" s="76"/>
      <c r="B750" s="76"/>
      <c r="C750" s="76"/>
      <c r="D750" s="76"/>
      <c r="E750" s="76"/>
      <c r="F750" s="76"/>
      <c r="G750" s="76"/>
    </row>
    <row r="751">
      <c r="A751" s="76"/>
      <c r="B751" s="76"/>
      <c r="C751" s="76"/>
      <c r="D751" s="76"/>
      <c r="E751" s="76"/>
      <c r="F751" s="76"/>
      <c r="G751" s="76"/>
    </row>
    <row r="752">
      <c r="A752" s="76"/>
      <c r="B752" s="76"/>
      <c r="C752" s="76"/>
      <c r="D752" s="76"/>
      <c r="E752" s="76"/>
      <c r="F752" s="76"/>
      <c r="G752" s="76"/>
    </row>
    <row r="753">
      <c r="A753" s="76"/>
      <c r="B753" s="76"/>
      <c r="C753" s="76"/>
      <c r="D753" s="76"/>
      <c r="E753" s="76"/>
      <c r="F753" s="76"/>
      <c r="G753" s="76"/>
    </row>
    <row r="754">
      <c r="A754" s="76"/>
      <c r="B754" s="76"/>
      <c r="C754" s="76"/>
      <c r="D754" s="76"/>
      <c r="E754" s="76"/>
      <c r="F754" s="76"/>
      <c r="G754" s="76"/>
    </row>
    <row r="755">
      <c r="A755" s="76"/>
      <c r="B755" s="76"/>
      <c r="C755" s="76"/>
      <c r="D755" s="76"/>
      <c r="E755" s="76"/>
      <c r="F755" s="76"/>
      <c r="G755" s="76"/>
    </row>
    <row r="756">
      <c r="A756" s="76"/>
      <c r="B756" s="76"/>
      <c r="C756" s="76"/>
      <c r="D756" s="76"/>
      <c r="E756" s="76"/>
      <c r="F756" s="76"/>
      <c r="G756" s="76"/>
    </row>
    <row r="757">
      <c r="A757" s="76"/>
      <c r="B757" s="76"/>
      <c r="C757" s="76"/>
      <c r="D757" s="76"/>
      <c r="E757" s="76"/>
      <c r="F757" s="76"/>
      <c r="G757" s="76"/>
    </row>
    <row r="758">
      <c r="A758" s="76"/>
      <c r="B758" s="76"/>
      <c r="C758" s="76"/>
      <c r="D758" s="76"/>
      <c r="E758" s="76"/>
      <c r="F758" s="76"/>
      <c r="G758" s="76"/>
    </row>
    <row r="759">
      <c r="A759" s="76"/>
      <c r="B759" s="76"/>
      <c r="C759" s="76"/>
      <c r="D759" s="76"/>
      <c r="E759" s="76"/>
      <c r="F759" s="76"/>
      <c r="G759" s="76"/>
    </row>
    <row r="760">
      <c r="A760" s="76"/>
      <c r="B760" s="76"/>
      <c r="C760" s="76"/>
      <c r="D760" s="76"/>
      <c r="E760" s="76"/>
      <c r="F760" s="76"/>
      <c r="G760" s="76"/>
    </row>
    <row r="761">
      <c r="A761" s="76"/>
      <c r="B761" s="76"/>
      <c r="C761" s="76"/>
      <c r="D761" s="76"/>
      <c r="E761" s="76"/>
      <c r="F761" s="76"/>
      <c r="G761" s="76"/>
    </row>
    <row r="762">
      <c r="A762" s="76"/>
      <c r="B762" s="76"/>
      <c r="C762" s="76"/>
      <c r="D762" s="76"/>
      <c r="E762" s="76"/>
      <c r="F762" s="76"/>
      <c r="G762" s="76"/>
    </row>
    <row r="763">
      <c r="A763" s="76"/>
      <c r="B763" s="76"/>
      <c r="C763" s="76"/>
      <c r="D763" s="76"/>
      <c r="E763" s="76"/>
      <c r="F763" s="76"/>
      <c r="G763" s="76"/>
    </row>
    <row r="764">
      <c r="A764" s="76"/>
      <c r="B764" s="76"/>
      <c r="C764" s="76"/>
      <c r="D764" s="76"/>
      <c r="E764" s="76"/>
      <c r="F764" s="76"/>
      <c r="G764" s="76"/>
    </row>
    <row r="765">
      <c r="A765" s="76"/>
      <c r="B765" s="76"/>
      <c r="C765" s="76"/>
      <c r="D765" s="76"/>
      <c r="E765" s="76"/>
      <c r="F765" s="76"/>
      <c r="G765" s="76"/>
    </row>
    <row r="766">
      <c r="A766" s="76"/>
      <c r="B766" s="76"/>
      <c r="C766" s="76"/>
      <c r="D766" s="76"/>
      <c r="E766" s="76"/>
      <c r="F766" s="76"/>
      <c r="G766" s="76"/>
    </row>
    <row r="767">
      <c r="A767" s="76"/>
      <c r="B767" s="76"/>
      <c r="C767" s="76"/>
      <c r="D767" s="76"/>
      <c r="E767" s="76"/>
      <c r="F767" s="76"/>
      <c r="G767" s="76"/>
    </row>
    <row r="768">
      <c r="A768" s="76"/>
      <c r="B768" s="76"/>
      <c r="C768" s="76"/>
      <c r="D768" s="76"/>
      <c r="E768" s="76"/>
      <c r="F768" s="76"/>
      <c r="G768" s="76"/>
    </row>
    <row r="769">
      <c r="A769" s="76"/>
      <c r="B769" s="76"/>
      <c r="C769" s="76"/>
      <c r="D769" s="76"/>
      <c r="E769" s="76"/>
      <c r="F769" s="76"/>
      <c r="G769" s="76"/>
    </row>
    <row r="770">
      <c r="A770" s="76"/>
      <c r="B770" s="76"/>
      <c r="C770" s="76"/>
      <c r="D770" s="76"/>
      <c r="E770" s="76"/>
      <c r="F770" s="76"/>
      <c r="G770" s="76"/>
    </row>
    <row r="771">
      <c r="A771" s="76"/>
      <c r="B771" s="76"/>
      <c r="C771" s="76"/>
      <c r="D771" s="76"/>
      <c r="E771" s="76"/>
      <c r="F771" s="76"/>
      <c r="G771" s="76"/>
    </row>
    <row r="772">
      <c r="A772" s="76"/>
      <c r="B772" s="76"/>
      <c r="C772" s="76"/>
      <c r="D772" s="76"/>
      <c r="E772" s="76"/>
      <c r="F772" s="76"/>
      <c r="G772" s="76"/>
    </row>
    <row r="773">
      <c r="A773" s="76"/>
      <c r="B773" s="76"/>
      <c r="C773" s="76"/>
      <c r="D773" s="76"/>
      <c r="E773" s="76"/>
      <c r="F773" s="76"/>
      <c r="G773" s="76"/>
    </row>
    <row r="774">
      <c r="A774" s="76"/>
      <c r="B774" s="76"/>
      <c r="C774" s="76"/>
      <c r="D774" s="76"/>
      <c r="E774" s="76"/>
      <c r="F774" s="76"/>
      <c r="G774" s="76"/>
    </row>
    <row r="775">
      <c r="A775" s="76"/>
      <c r="B775" s="76"/>
      <c r="C775" s="76"/>
      <c r="D775" s="76"/>
      <c r="E775" s="76"/>
      <c r="F775" s="76"/>
      <c r="G775" s="76"/>
    </row>
    <row r="776">
      <c r="A776" s="76"/>
      <c r="B776" s="76"/>
      <c r="C776" s="76"/>
      <c r="D776" s="76"/>
      <c r="E776" s="76"/>
      <c r="F776" s="76"/>
      <c r="G776" s="76"/>
    </row>
    <row r="777">
      <c r="A777" s="76"/>
      <c r="B777" s="76"/>
      <c r="C777" s="76"/>
      <c r="D777" s="76"/>
      <c r="E777" s="76"/>
      <c r="F777" s="76"/>
      <c r="G777" s="76"/>
    </row>
    <row r="778">
      <c r="A778" s="76"/>
      <c r="B778" s="76"/>
      <c r="C778" s="76"/>
      <c r="D778" s="76"/>
      <c r="E778" s="76"/>
      <c r="F778" s="76"/>
      <c r="G778" s="76"/>
    </row>
    <row r="779">
      <c r="A779" s="76"/>
      <c r="B779" s="76"/>
      <c r="C779" s="76"/>
      <c r="D779" s="76"/>
      <c r="E779" s="76"/>
      <c r="F779" s="76"/>
      <c r="G779" s="76"/>
    </row>
    <row r="780">
      <c r="A780" s="76"/>
      <c r="B780" s="76"/>
      <c r="C780" s="76"/>
      <c r="D780" s="76"/>
      <c r="E780" s="76"/>
      <c r="F780" s="76"/>
      <c r="G780" s="76"/>
    </row>
    <row r="781">
      <c r="A781" s="76"/>
      <c r="B781" s="76"/>
      <c r="C781" s="76"/>
      <c r="D781" s="76"/>
      <c r="E781" s="76"/>
      <c r="F781" s="76"/>
      <c r="G781" s="76"/>
    </row>
    <row r="782">
      <c r="A782" s="76"/>
      <c r="B782" s="76"/>
      <c r="C782" s="76"/>
      <c r="D782" s="76"/>
      <c r="E782" s="76"/>
      <c r="F782" s="76"/>
      <c r="G782" s="76"/>
    </row>
    <row r="783">
      <c r="A783" s="76"/>
      <c r="B783" s="76"/>
      <c r="C783" s="76"/>
      <c r="D783" s="76"/>
      <c r="E783" s="76"/>
      <c r="F783" s="76"/>
      <c r="G783" s="76"/>
    </row>
    <row r="784">
      <c r="A784" s="76"/>
      <c r="B784" s="76"/>
      <c r="C784" s="76"/>
      <c r="D784" s="76"/>
      <c r="E784" s="76"/>
      <c r="F784" s="76"/>
      <c r="G784" s="76"/>
    </row>
    <row r="785">
      <c r="A785" s="76"/>
      <c r="B785" s="76"/>
      <c r="C785" s="76"/>
      <c r="D785" s="76"/>
      <c r="E785" s="76"/>
      <c r="F785" s="76"/>
      <c r="G785" s="76"/>
    </row>
    <row r="786">
      <c r="A786" s="76"/>
      <c r="B786" s="76"/>
      <c r="C786" s="76"/>
      <c r="D786" s="76"/>
      <c r="E786" s="76"/>
      <c r="F786" s="76"/>
      <c r="G786" s="76"/>
    </row>
    <row r="787">
      <c r="A787" s="76"/>
      <c r="B787" s="76"/>
      <c r="C787" s="76"/>
      <c r="D787" s="76"/>
      <c r="E787" s="76"/>
      <c r="F787" s="76"/>
      <c r="G787" s="76"/>
    </row>
    <row r="788">
      <c r="A788" s="76"/>
      <c r="B788" s="76"/>
      <c r="C788" s="76"/>
      <c r="D788" s="76"/>
      <c r="E788" s="76"/>
      <c r="F788" s="76"/>
      <c r="G788" s="76"/>
    </row>
    <row r="789">
      <c r="A789" s="76"/>
      <c r="B789" s="76"/>
      <c r="C789" s="76"/>
      <c r="D789" s="76"/>
      <c r="E789" s="76"/>
      <c r="F789" s="76"/>
      <c r="G789" s="76"/>
    </row>
    <row r="790">
      <c r="A790" s="76"/>
      <c r="B790" s="76"/>
      <c r="C790" s="76"/>
      <c r="D790" s="76"/>
      <c r="E790" s="76"/>
      <c r="F790" s="76"/>
      <c r="G790" s="76"/>
    </row>
    <row r="791">
      <c r="A791" s="76"/>
      <c r="B791" s="76"/>
      <c r="C791" s="76"/>
      <c r="D791" s="76"/>
      <c r="E791" s="76"/>
      <c r="F791" s="76"/>
      <c r="G791" s="76"/>
    </row>
    <row r="792">
      <c r="A792" s="76"/>
      <c r="B792" s="76"/>
      <c r="C792" s="76"/>
      <c r="D792" s="76"/>
      <c r="E792" s="76"/>
      <c r="F792" s="76"/>
      <c r="G792" s="76"/>
    </row>
    <row r="793">
      <c r="A793" s="76"/>
      <c r="B793" s="76"/>
      <c r="C793" s="76"/>
      <c r="D793" s="76"/>
      <c r="E793" s="76"/>
      <c r="F793" s="76"/>
      <c r="G793" s="76"/>
    </row>
    <row r="794">
      <c r="A794" s="76"/>
      <c r="B794" s="76"/>
      <c r="C794" s="76"/>
      <c r="D794" s="76"/>
      <c r="E794" s="76"/>
      <c r="F794" s="76"/>
      <c r="G794" s="76"/>
    </row>
    <row r="795">
      <c r="A795" s="76"/>
      <c r="B795" s="76"/>
      <c r="C795" s="76"/>
      <c r="D795" s="76"/>
      <c r="E795" s="76"/>
      <c r="F795" s="76"/>
      <c r="G795" s="76"/>
    </row>
    <row r="796">
      <c r="A796" s="76"/>
      <c r="B796" s="76"/>
      <c r="C796" s="76"/>
      <c r="D796" s="76"/>
      <c r="E796" s="76"/>
      <c r="F796" s="76"/>
      <c r="G796" s="76"/>
    </row>
    <row r="797">
      <c r="A797" s="76"/>
      <c r="B797" s="76"/>
      <c r="C797" s="76"/>
      <c r="D797" s="76"/>
      <c r="E797" s="76"/>
      <c r="F797" s="76"/>
      <c r="G797" s="76"/>
    </row>
    <row r="798">
      <c r="A798" s="76"/>
      <c r="B798" s="76"/>
      <c r="C798" s="76"/>
      <c r="D798" s="76"/>
      <c r="E798" s="76"/>
      <c r="F798" s="76"/>
      <c r="G798" s="76"/>
    </row>
    <row r="799">
      <c r="A799" s="76"/>
      <c r="B799" s="76"/>
      <c r="C799" s="76"/>
      <c r="D799" s="76"/>
      <c r="E799" s="76"/>
      <c r="F799" s="76"/>
      <c r="G799" s="76"/>
    </row>
    <row r="800">
      <c r="A800" s="76"/>
      <c r="B800" s="76"/>
      <c r="C800" s="76"/>
      <c r="D800" s="76"/>
      <c r="E800" s="76"/>
      <c r="F800" s="76"/>
      <c r="G800" s="76"/>
    </row>
    <row r="801">
      <c r="A801" s="76"/>
      <c r="B801" s="76"/>
      <c r="C801" s="76"/>
      <c r="D801" s="76"/>
      <c r="E801" s="76"/>
      <c r="F801" s="76"/>
      <c r="G801" s="76"/>
    </row>
    <row r="802">
      <c r="A802" s="76"/>
      <c r="B802" s="76"/>
      <c r="C802" s="76"/>
      <c r="D802" s="76"/>
      <c r="E802" s="76"/>
      <c r="F802" s="76"/>
      <c r="G802" s="76"/>
    </row>
    <row r="803">
      <c r="A803" s="76"/>
      <c r="B803" s="76"/>
      <c r="C803" s="76"/>
      <c r="D803" s="76"/>
      <c r="E803" s="76"/>
      <c r="F803" s="76"/>
      <c r="G803" s="76"/>
    </row>
    <row r="804">
      <c r="A804" s="76"/>
      <c r="B804" s="76"/>
      <c r="C804" s="76"/>
      <c r="D804" s="76"/>
      <c r="E804" s="76"/>
      <c r="F804" s="76"/>
      <c r="G804" s="76"/>
    </row>
    <row r="805">
      <c r="A805" s="76"/>
      <c r="B805" s="76"/>
      <c r="C805" s="76"/>
      <c r="D805" s="76"/>
      <c r="E805" s="76"/>
      <c r="F805" s="76"/>
      <c r="G805" s="76"/>
    </row>
    <row r="806">
      <c r="A806" s="76"/>
      <c r="B806" s="76"/>
      <c r="C806" s="76"/>
      <c r="D806" s="76"/>
      <c r="E806" s="76"/>
      <c r="F806" s="76"/>
      <c r="G806" s="76"/>
    </row>
    <row r="807">
      <c r="A807" s="76"/>
      <c r="B807" s="76"/>
      <c r="C807" s="76"/>
      <c r="D807" s="76"/>
      <c r="E807" s="76"/>
      <c r="F807" s="76"/>
      <c r="G807" s="76"/>
    </row>
    <row r="808">
      <c r="A808" s="76"/>
      <c r="B808" s="76"/>
      <c r="C808" s="76"/>
      <c r="D808" s="76"/>
      <c r="E808" s="76"/>
      <c r="F808" s="76"/>
      <c r="G808" s="76"/>
    </row>
    <row r="809">
      <c r="A809" s="76"/>
      <c r="B809" s="76"/>
      <c r="C809" s="76"/>
      <c r="D809" s="76"/>
      <c r="E809" s="76"/>
      <c r="F809" s="76"/>
      <c r="G809" s="76"/>
    </row>
    <row r="810">
      <c r="A810" s="76"/>
      <c r="B810" s="76"/>
      <c r="C810" s="76"/>
      <c r="D810" s="76"/>
      <c r="E810" s="76"/>
      <c r="F810" s="76"/>
      <c r="G810" s="76"/>
    </row>
    <row r="811">
      <c r="A811" s="76"/>
      <c r="B811" s="76"/>
      <c r="C811" s="76"/>
      <c r="D811" s="76"/>
      <c r="E811" s="76"/>
      <c r="F811" s="76"/>
      <c r="G811" s="76"/>
    </row>
    <row r="812">
      <c r="A812" s="76"/>
      <c r="B812" s="76"/>
      <c r="C812" s="76"/>
      <c r="D812" s="76"/>
      <c r="E812" s="76"/>
      <c r="F812" s="76"/>
      <c r="G812" s="76"/>
    </row>
    <row r="813">
      <c r="A813" s="76"/>
      <c r="B813" s="76"/>
      <c r="C813" s="76"/>
      <c r="D813" s="76"/>
      <c r="E813" s="76"/>
      <c r="F813" s="76"/>
      <c r="G813" s="76"/>
    </row>
    <row r="814">
      <c r="A814" s="76"/>
      <c r="B814" s="76"/>
      <c r="C814" s="76"/>
      <c r="D814" s="76"/>
      <c r="E814" s="76"/>
      <c r="F814" s="76"/>
      <c r="G814" s="76"/>
    </row>
    <row r="815">
      <c r="A815" s="76"/>
      <c r="B815" s="76"/>
      <c r="C815" s="76"/>
      <c r="D815" s="76"/>
      <c r="E815" s="76"/>
      <c r="F815" s="76"/>
      <c r="G815" s="76"/>
    </row>
    <row r="816">
      <c r="A816" s="76"/>
      <c r="B816" s="76"/>
      <c r="C816" s="76"/>
      <c r="D816" s="76"/>
      <c r="E816" s="76"/>
      <c r="F816" s="76"/>
      <c r="G816" s="76"/>
    </row>
    <row r="817">
      <c r="A817" s="76"/>
      <c r="B817" s="76"/>
      <c r="C817" s="76"/>
      <c r="D817" s="76"/>
      <c r="E817" s="76"/>
      <c r="F817" s="76"/>
      <c r="G817" s="76"/>
    </row>
    <row r="818">
      <c r="A818" s="76"/>
      <c r="B818" s="76"/>
      <c r="C818" s="76"/>
      <c r="D818" s="76"/>
      <c r="E818" s="76"/>
      <c r="F818" s="76"/>
      <c r="G818" s="76"/>
    </row>
    <row r="819">
      <c r="A819" s="76"/>
      <c r="B819" s="76"/>
      <c r="C819" s="76"/>
      <c r="D819" s="76"/>
      <c r="E819" s="76"/>
      <c r="F819" s="76"/>
      <c r="G819" s="76"/>
    </row>
    <row r="820">
      <c r="A820" s="76"/>
      <c r="B820" s="76"/>
      <c r="C820" s="76"/>
      <c r="D820" s="76"/>
      <c r="E820" s="76"/>
      <c r="F820" s="76"/>
      <c r="G820" s="76"/>
    </row>
    <row r="821">
      <c r="A821" s="76"/>
      <c r="B821" s="76"/>
      <c r="C821" s="76"/>
      <c r="D821" s="76"/>
      <c r="E821" s="76"/>
      <c r="F821" s="76"/>
      <c r="G821" s="76"/>
    </row>
    <row r="822">
      <c r="A822" s="76"/>
      <c r="B822" s="76"/>
      <c r="C822" s="76"/>
      <c r="D822" s="76"/>
      <c r="E822" s="76"/>
      <c r="F822" s="76"/>
      <c r="G822" s="76"/>
    </row>
    <row r="823">
      <c r="A823" s="76"/>
      <c r="B823" s="76"/>
      <c r="C823" s="76"/>
      <c r="D823" s="76"/>
      <c r="E823" s="76"/>
      <c r="F823" s="76"/>
      <c r="G823" s="76"/>
    </row>
    <row r="824">
      <c r="A824" s="76"/>
      <c r="B824" s="76"/>
      <c r="C824" s="76"/>
      <c r="D824" s="76"/>
      <c r="E824" s="76"/>
      <c r="F824" s="76"/>
      <c r="G824" s="76"/>
    </row>
    <row r="825">
      <c r="A825" s="76"/>
      <c r="B825" s="76"/>
      <c r="C825" s="76"/>
      <c r="D825" s="76"/>
      <c r="E825" s="76"/>
      <c r="F825" s="76"/>
      <c r="G825" s="76"/>
    </row>
    <row r="826">
      <c r="A826" s="76"/>
      <c r="B826" s="76"/>
      <c r="C826" s="76"/>
      <c r="D826" s="76"/>
      <c r="E826" s="76"/>
      <c r="F826" s="76"/>
      <c r="G826" s="76"/>
    </row>
    <row r="827">
      <c r="A827" s="76"/>
      <c r="B827" s="76"/>
      <c r="C827" s="76"/>
      <c r="D827" s="76"/>
      <c r="E827" s="76"/>
      <c r="F827" s="76"/>
      <c r="G827" s="76"/>
    </row>
    <row r="828">
      <c r="A828" s="76"/>
      <c r="B828" s="76"/>
      <c r="C828" s="76"/>
      <c r="D828" s="76"/>
      <c r="E828" s="76"/>
      <c r="F828" s="76"/>
      <c r="G828" s="76"/>
    </row>
    <row r="829">
      <c r="A829" s="76"/>
      <c r="B829" s="76"/>
      <c r="C829" s="76"/>
      <c r="D829" s="76"/>
      <c r="E829" s="76"/>
      <c r="F829" s="76"/>
      <c r="G829" s="76"/>
    </row>
    <row r="830">
      <c r="A830" s="76"/>
      <c r="B830" s="76"/>
      <c r="C830" s="76"/>
      <c r="D830" s="76"/>
      <c r="E830" s="76"/>
      <c r="F830" s="76"/>
      <c r="G830" s="76"/>
    </row>
    <row r="831">
      <c r="A831" s="76"/>
      <c r="B831" s="76"/>
      <c r="C831" s="76"/>
      <c r="D831" s="76"/>
      <c r="E831" s="76"/>
      <c r="F831" s="76"/>
      <c r="G831" s="76"/>
    </row>
    <row r="832">
      <c r="A832" s="76"/>
      <c r="B832" s="76"/>
      <c r="C832" s="76"/>
      <c r="D832" s="76"/>
      <c r="E832" s="76"/>
      <c r="F832" s="76"/>
      <c r="G832" s="76"/>
    </row>
    <row r="833">
      <c r="A833" s="76"/>
      <c r="B833" s="76"/>
      <c r="C833" s="76"/>
      <c r="D833" s="76"/>
      <c r="E833" s="76"/>
      <c r="F833" s="76"/>
      <c r="G833" s="76"/>
    </row>
    <row r="834">
      <c r="A834" s="76"/>
      <c r="B834" s="76"/>
      <c r="C834" s="76"/>
      <c r="D834" s="76"/>
      <c r="E834" s="76"/>
      <c r="F834" s="76"/>
      <c r="G834" s="76"/>
    </row>
    <row r="835">
      <c r="A835" s="76"/>
      <c r="B835" s="76"/>
      <c r="C835" s="76"/>
      <c r="D835" s="76"/>
      <c r="E835" s="76"/>
      <c r="F835" s="76"/>
      <c r="G835" s="76"/>
    </row>
    <row r="836">
      <c r="A836" s="76"/>
      <c r="B836" s="76"/>
      <c r="C836" s="76"/>
      <c r="D836" s="76"/>
      <c r="E836" s="76"/>
      <c r="F836" s="76"/>
      <c r="G836" s="76"/>
    </row>
    <row r="837">
      <c r="A837" s="76"/>
      <c r="B837" s="76"/>
      <c r="C837" s="76"/>
      <c r="D837" s="76"/>
      <c r="E837" s="76"/>
      <c r="F837" s="76"/>
      <c r="G837" s="76"/>
    </row>
    <row r="838">
      <c r="A838" s="76"/>
      <c r="B838" s="76"/>
      <c r="C838" s="76"/>
      <c r="D838" s="76"/>
      <c r="E838" s="76"/>
      <c r="F838" s="76"/>
      <c r="G838" s="76"/>
    </row>
    <row r="839">
      <c r="A839" s="76"/>
      <c r="B839" s="76"/>
      <c r="C839" s="76"/>
      <c r="D839" s="76"/>
      <c r="E839" s="76"/>
      <c r="F839" s="76"/>
      <c r="G839" s="76"/>
    </row>
    <row r="840">
      <c r="A840" s="76"/>
      <c r="B840" s="76"/>
      <c r="C840" s="76"/>
      <c r="D840" s="76"/>
      <c r="E840" s="76"/>
      <c r="F840" s="76"/>
      <c r="G840" s="76"/>
    </row>
    <row r="841">
      <c r="A841" s="76"/>
      <c r="B841" s="76"/>
      <c r="C841" s="76"/>
      <c r="D841" s="76"/>
      <c r="E841" s="76"/>
      <c r="F841" s="76"/>
      <c r="G841" s="76"/>
    </row>
    <row r="842">
      <c r="A842" s="76"/>
      <c r="B842" s="76"/>
      <c r="C842" s="76"/>
      <c r="D842" s="76"/>
      <c r="E842" s="76"/>
      <c r="F842" s="76"/>
      <c r="G842" s="76"/>
    </row>
    <row r="843">
      <c r="A843" s="76"/>
      <c r="B843" s="76"/>
      <c r="C843" s="76"/>
      <c r="D843" s="76"/>
      <c r="E843" s="76"/>
      <c r="F843" s="76"/>
      <c r="G843" s="76"/>
    </row>
    <row r="844">
      <c r="A844" s="76"/>
      <c r="B844" s="76"/>
      <c r="C844" s="76"/>
      <c r="D844" s="76"/>
      <c r="E844" s="76"/>
      <c r="F844" s="76"/>
      <c r="G844" s="76"/>
    </row>
    <row r="845">
      <c r="A845" s="76"/>
      <c r="B845" s="76"/>
      <c r="C845" s="76"/>
      <c r="D845" s="76"/>
      <c r="E845" s="76"/>
      <c r="F845" s="76"/>
      <c r="G845" s="76"/>
    </row>
    <row r="846">
      <c r="A846" s="76"/>
      <c r="B846" s="76"/>
      <c r="C846" s="76"/>
      <c r="D846" s="76"/>
      <c r="E846" s="76"/>
      <c r="F846" s="76"/>
      <c r="G846" s="76"/>
    </row>
    <row r="847">
      <c r="A847" s="76"/>
      <c r="B847" s="76"/>
      <c r="C847" s="76"/>
      <c r="D847" s="76"/>
      <c r="E847" s="76"/>
      <c r="F847" s="76"/>
      <c r="G847" s="76"/>
    </row>
    <row r="848">
      <c r="A848" s="76"/>
      <c r="B848" s="76"/>
      <c r="C848" s="76"/>
      <c r="D848" s="76"/>
      <c r="E848" s="76"/>
      <c r="F848" s="76"/>
      <c r="G848" s="76"/>
    </row>
    <row r="849">
      <c r="A849" s="76"/>
      <c r="B849" s="76"/>
      <c r="C849" s="76"/>
      <c r="D849" s="76"/>
      <c r="E849" s="76"/>
      <c r="F849" s="76"/>
      <c r="G849" s="76"/>
    </row>
    <row r="850">
      <c r="A850" s="76"/>
      <c r="B850" s="76"/>
      <c r="C850" s="76"/>
      <c r="D850" s="76"/>
      <c r="E850" s="76"/>
      <c r="F850" s="76"/>
      <c r="G850" s="76"/>
    </row>
    <row r="851">
      <c r="A851" s="76"/>
      <c r="B851" s="76"/>
      <c r="C851" s="76"/>
      <c r="D851" s="76"/>
      <c r="E851" s="76"/>
      <c r="F851" s="76"/>
      <c r="G851" s="76"/>
    </row>
    <row r="852">
      <c r="A852" s="76"/>
      <c r="B852" s="76"/>
      <c r="C852" s="76"/>
      <c r="D852" s="76"/>
      <c r="E852" s="76"/>
      <c r="F852" s="76"/>
      <c r="G852" s="76"/>
    </row>
    <row r="853">
      <c r="A853" s="76"/>
      <c r="B853" s="76"/>
      <c r="C853" s="76"/>
      <c r="D853" s="76"/>
      <c r="E853" s="76"/>
      <c r="F853" s="76"/>
      <c r="G853" s="76"/>
    </row>
    <row r="854">
      <c r="A854" s="76"/>
      <c r="B854" s="76"/>
      <c r="C854" s="76"/>
      <c r="D854" s="76"/>
      <c r="E854" s="76"/>
      <c r="F854" s="76"/>
      <c r="G854" s="76"/>
    </row>
    <row r="855">
      <c r="A855" s="76"/>
      <c r="B855" s="76"/>
      <c r="C855" s="76"/>
      <c r="D855" s="76"/>
      <c r="E855" s="76"/>
      <c r="F855" s="76"/>
      <c r="G855" s="76"/>
    </row>
    <row r="856">
      <c r="A856" s="76"/>
      <c r="B856" s="76"/>
      <c r="C856" s="76"/>
      <c r="D856" s="76"/>
      <c r="E856" s="76"/>
      <c r="F856" s="76"/>
      <c r="G856" s="76"/>
    </row>
    <row r="857">
      <c r="A857" s="76"/>
      <c r="B857" s="76"/>
      <c r="C857" s="76"/>
      <c r="D857" s="76"/>
      <c r="E857" s="76"/>
      <c r="F857" s="76"/>
      <c r="G857" s="76"/>
    </row>
    <row r="858">
      <c r="A858" s="76"/>
      <c r="B858" s="76"/>
      <c r="C858" s="76"/>
      <c r="D858" s="76"/>
      <c r="E858" s="76"/>
      <c r="F858" s="76"/>
      <c r="G858" s="76"/>
    </row>
    <row r="859">
      <c r="A859" s="76"/>
      <c r="B859" s="76"/>
      <c r="C859" s="76"/>
      <c r="D859" s="76"/>
      <c r="E859" s="76"/>
      <c r="F859" s="76"/>
      <c r="G859" s="76"/>
    </row>
    <row r="860">
      <c r="A860" s="76"/>
      <c r="B860" s="76"/>
      <c r="C860" s="76"/>
      <c r="D860" s="76"/>
      <c r="E860" s="76"/>
      <c r="F860" s="76"/>
      <c r="G860" s="76"/>
    </row>
    <row r="861">
      <c r="A861" s="76"/>
      <c r="B861" s="76"/>
      <c r="C861" s="76"/>
      <c r="D861" s="76"/>
      <c r="E861" s="76"/>
      <c r="F861" s="76"/>
      <c r="G861" s="76"/>
    </row>
    <row r="862">
      <c r="A862" s="76"/>
      <c r="B862" s="76"/>
      <c r="C862" s="76"/>
      <c r="D862" s="76"/>
      <c r="E862" s="76"/>
      <c r="F862" s="76"/>
      <c r="G862" s="76"/>
    </row>
    <row r="863">
      <c r="A863" s="76"/>
      <c r="B863" s="76"/>
      <c r="C863" s="76"/>
      <c r="D863" s="76"/>
      <c r="E863" s="76"/>
      <c r="F863" s="76"/>
      <c r="G863" s="76"/>
    </row>
    <row r="864">
      <c r="A864" s="76"/>
      <c r="B864" s="76"/>
      <c r="C864" s="76"/>
      <c r="D864" s="76"/>
      <c r="E864" s="76"/>
      <c r="F864" s="76"/>
      <c r="G864" s="76"/>
    </row>
    <row r="865">
      <c r="A865" s="76"/>
      <c r="B865" s="76"/>
      <c r="C865" s="76"/>
      <c r="D865" s="76"/>
      <c r="E865" s="76"/>
      <c r="F865" s="76"/>
      <c r="G865" s="76"/>
    </row>
    <row r="866">
      <c r="A866" s="76"/>
      <c r="B866" s="76"/>
      <c r="C866" s="76"/>
      <c r="D866" s="76"/>
      <c r="E866" s="76"/>
      <c r="F866" s="76"/>
      <c r="G866" s="76"/>
    </row>
    <row r="867">
      <c r="A867" s="76"/>
      <c r="B867" s="76"/>
      <c r="C867" s="76"/>
      <c r="D867" s="76"/>
      <c r="E867" s="76"/>
      <c r="F867" s="76"/>
      <c r="G867" s="76"/>
    </row>
    <row r="868">
      <c r="A868" s="76"/>
      <c r="B868" s="76"/>
      <c r="C868" s="76"/>
      <c r="D868" s="76"/>
      <c r="E868" s="76"/>
      <c r="F868" s="76"/>
      <c r="G868" s="76"/>
    </row>
    <row r="869">
      <c r="A869" s="76"/>
      <c r="B869" s="76"/>
      <c r="C869" s="76"/>
      <c r="D869" s="76"/>
      <c r="E869" s="76"/>
      <c r="F869" s="76"/>
      <c r="G869" s="76"/>
    </row>
    <row r="870">
      <c r="A870" s="76"/>
      <c r="B870" s="76"/>
      <c r="C870" s="76"/>
      <c r="D870" s="76"/>
      <c r="E870" s="76"/>
      <c r="F870" s="76"/>
      <c r="G870" s="76"/>
    </row>
    <row r="871">
      <c r="A871" s="76"/>
      <c r="B871" s="76"/>
      <c r="C871" s="76"/>
      <c r="D871" s="76"/>
      <c r="E871" s="76"/>
      <c r="F871" s="76"/>
      <c r="G871" s="76"/>
    </row>
    <row r="872">
      <c r="A872" s="76"/>
      <c r="B872" s="76"/>
      <c r="C872" s="76"/>
      <c r="D872" s="76"/>
      <c r="E872" s="76"/>
      <c r="F872" s="76"/>
      <c r="G872" s="76"/>
    </row>
    <row r="873">
      <c r="A873" s="76"/>
      <c r="B873" s="76"/>
      <c r="C873" s="76"/>
      <c r="D873" s="76"/>
      <c r="E873" s="76"/>
      <c r="F873" s="76"/>
      <c r="G873" s="76"/>
    </row>
    <row r="874">
      <c r="A874" s="76"/>
      <c r="B874" s="76"/>
      <c r="C874" s="76"/>
      <c r="D874" s="76"/>
      <c r="E874" s="76"/>
      <c r="F874" s="76"/>
      <c r="G874" s="76"/>
    </row>
    <row r="875">
      <c r="A875" s="76"/>
      <c r="B875" s="76"/>
      <c r="C875" s="76"/>
      <c r="D875" s="76"/>
      <c r="E875" s="76"/>
      <c r="F875" s="76"/>
      <c r="G875" s="76"/>
    </row>
    <row r="876">
      <c r="A876" s="76"/>
      <c r="B876" s="76"/>
      <c r="C876" s="76"/>
      <c r="D876" s="76"/>
      <c r="E876" s="76"/>
      <c r="F876" s="76"/>
      <c r="G876" s="76"/>
    </row>
    <row r="877">
      <c r="A877" s="76"/>
      <c r="B877" s="76"/>
      <c r="C877" s="76"/>
      <c r="D877" s="76"/>
      <c r="E877" s="76"/>
      <c r="F877" s="76"/>
      <c r="G877" s="76"/>
    </row>
    <row r="878">
      <c r="A878" s="76"/>
      <c r="B878" s="76"/>
      <c r="C878" s="76"/>
      <c r="D878" s="76"/>
      <c r="E878" s="76"/>
      <c r="F878" s="76"/>
      <c r="G878" s="76"/>
    </row>
    <row r="879">
      <c r="A879" s="76"/>
      <c r="B879" s="76"/>
      <c r="C879" s="76"/>
      <c r="D879" s="76"/>
      <c r="E879" s="76"/>
      <c r="F879" s="76"/>
      <c r="G879" s="76"/>
    </row>
    <row r="880">
      <c r="A880" s="76"/>
      <c r="B880" s="76"/>
      <c r="C880" s="76"/>
      <c r="D880" s="76"/>
      <c r="E880" s="76"/>
      <c r="F880" s="76"/>
      <c r="G880" s="76"/>
    </row>
    <row r="881">
      <c r="A881" s="76"/>
      <c r="B881" s="76"/>
      <c r="C881" s="76"/>
      <c r="D881" s="76"/>
      <c r="E881" s="76"/>
      <c r="F881" s="76"/>
      <c r="G881" s="76"/>
    </row>
    <row r="882">
      <c r="A882" s="76"/>
      <c r="B882" s="76"/>
      <c r="C882" s="76"/>
      <c r="D882" s="76"/>
      <c r="E882" s="76"/>
      <c r="F882" s="76"/>
      <c r="G882" s="76"/>
    </row>
    <row r="883">
      <c r="A883" s="76"/>
      <c r="B883" s="76"/>
      <c r="C883" s="76"/>
      <c r="D883" s="76"/>
      <c r="E883" s="76"/>
      <c r="F883" s="76"/>
      <c r="G883" s="76"/>
    </row>
    <row r="884">
      <c r="A884" s="76"/>
      <c r="B884" s="76"/>
      <c r="C884" s="76"/>
      <c r="D884" s="76"/>
      <c r="E884" s="76"/>
      <c r="F884" s="76"/>
      <c r="G884" s="76"/>
    </row>
    <row r="885">
      <c r="A885" s="76"/>
      <c r="B885" s="76"/>
      <c r="C885" s="76"/>
      <c r="D885" s="76"/>
      <c r="E885" s="76"/>
      <c r="F885" s="76"/>
      <c r="G885" s="76"/>
    </row>
    <row r="886">
      <c r="A886" s="76"/>
      <c r="B886" s="76"/>
      <c r="C886" s="76"/>
      <c r="D886" s="76"/>
      <c r="E886" s="76"/>
      <c r="F886" s="76"/>
      <c r="G886" s="76"/>
    </row>
    <row r="887">
      <c r="A887" s="76"/>
      <c r="B887" s="76"/>
      <c r="C887" s="76"/>
      <c r="D887" s="76"/>
      <c r="E887" s="76"/>
      <c r="F887" s="76"/>
      <c r="G887" s="76"/>
    </row>
    <row r="888">
      <c r="A888" s="76"/>
      <c r="B888" s="76"/>
      <c r="C888" s="76"/>
      <c r="D888" s="76"/>
      <c r="E888" s="76"/>
      <c r="F888" s="76"/>
      <c r="G888" s="76"/>
    </row>
    <row r="889">
      <c r="A889" s="76"/>
      <c r="B889" s="76"/>
      <c r="C889" s="76"/>
      <c r="D889" s="76"/>
      <c r="E889" s="76"/>
      <c r="F889" s="76"/>
      <c r="G889" s="76"/>
    </row>
    <row r="890">
      <c r="A890" s="76"/>
      <c r="B890" s="76"/>
      <c r="C890" s="76"/>
      <c r="D890" s="76"/>
      <c r="E890" s="76"/>
      <c r="F890" s="76"/>
      <c r="G890" s="76"/>
    </row>
    <row r="891">
      <c r="A891" s="76"/>
      <c r="B891" s="76"/>
      <c r="C891" s="76"/>
      <c r="D891" s="76"/>
      <c r="E891" s="76"/>
      <c r="F891" s="76"/>
      <c r="G891" s="76"/>
    </row>
    <row r="892">
      <c r="A892" s="76"/>
      <c r="B892" s="76"/>
      <c r="C892" s="76"/>
      <c r="D892" s="76"/>
      <c r="E892" s="76"/>
      <c r="F892" s="76"/>
      <c r="G892" s="76"/>
    </row>
    <row r="893">
      <c r="A893" s="76"/>
      <c r="B893" s="76"/>
      <c r="C893" s="76"/>
      <c r="D893" s="76"/>
      <c r="E893" s="76"/>
      <c r="F893" s="76"/>
      <c r="G893" s="76"/>
    </row>
    <row r="894">
      <c r="A894" s="76"/>
      <c r="B894" s="76"/>
      <c r="C894" s="76"/>
      <c r="D894" s="76"/>
      <c r="E894" s="76"/>
      <c r="F894" s="76"/>
      <c r="G894" s="76"/>
    </row>
    <row r="895">
      <c r="A895" s="76"/>
      <c r="B895" s="76"/>
      <c r="C895" s="76"/>
      <c r="D895" s="76"/>
      <c r="E895" s="76"/>
      <c r="F895" s="76"/>
      <c r="G895" s="76"/>
    </row>
    <row r="896">
      <c r="A896" s="76"/>
      <c r="B896" s="76"/>
      <c r="C896" s="76"/>
      <c r="D896" s="76"/>
      <c r="E896" s="76"/>
      <c r="F896" s="76"/>
      <c r="G896" s="76"/>
    </row>
    <row r="897">
      <c r="A897" s="76"/>
      <c r="B897" s="76"/>
      <c r="C897" s="76"/>
      <c r="D897" s="76"/>
      <c r="E897" s="76"/>
      <c r="F897" s="76"/>
      <c r="G897" s="76"/>
    </row>
    <row r="898">
      <c r="A898" s="76"/>
      <c r="B898" s="76"/>
      <c r="C898" s="76"/>
      <c r="D898" s="76"/>
      <c r="E898" s="76"/>
      <c r="F898" s="76"/>
      <c r="G898" s="76"/>
    </row>
    <row r="899">
      <c r="A899" s="76"/>
      <c r="B899" s="76"/>
      <c r="C899" s="76"/>
      <c r="D899" s="76"/>
      <c r="E899" s="76"/>
      <c r="F899" s="76"/>
      <c r="G899" s="76"/>
    </row>
    <row r="900">
      <c r="A900" s="76"/>
      <c r="B900" s="76"/>
      <c r="C900" s="76"/>
      <c r="D900" s="76"/>
      <c r="E900" s="76"/>
      <c r="F900" s="76"/>
      <c r="G900" s="76"/>
    </row>
    <row r="901">
      <c r="A901" s="76"/>
      <c r="B901" s="76"/>
      <c r="C901" s="76"/>
      <c r="D901" s="76"/>
      <c r="E901" s="76"/>
      <c r="F901" s="76"/>
      <c r="G901" s="76"/>
    </row>
    <row r="902">
      <c r="A902" s="76"/>
      <c r="B902" s="76"/>
      <c r="C902" s="76"/>
      <c r="D902" s="76"/>
      <c r="E902" s="76"/>
      <c r="F902" s="76"/>
      <c r="G902" s="76"/>
    </row>
    <row r="903">
      <c r="A903" s="76"/>
      <c r="B903" s="76"/>
      <c r="C903" s="76"/>
      <c r="D903" s="76"/>
      <c r="E903" s="76"/>
      <c r="F903" s="76"/>
      <c r="G903" s="76"/>
    </row>
    <row r="904">
      <c r="A904" s="76"/>
      <c r="B904" s="76"/>
      <c r="C904" s="76"/>
      <c r="D904" s="76"/>
      <c r="E904" s="76"/>
      <c r="F904" s="76"/>
      <c r="G904" s="76"/>
    </row>
    <row r="905">
      <c r="A905" s="76"/>
      <c r="B905" s="76"/>
      <c r="C905" s="76"/>
      <c r="D905" s="76"/>
      <c r="E905" s="76"/>
      <c r="F905" s="76"/>
      <c r="G905" s="76"/>
    </row>
    <row r="906">
      <c r="A906" s="76"/>
      <c r="B906" s="76"/>
      <c r="C906" s="76"/>
      <c r="D906" s="76"/>
      <c r="E906" s="76"/>
      <c r="F906" s="76"/>
      <c r="G906" s="76"/>
    </row>
    <row r="907">
      <c r="A907" s="76"/>
      <c r="B907" s="76"/>
      <c r="C907" s="76"/>
      <c r="D907" s="76"/>
      <c r="E907" s="76"/>
      <c r="F907" s="76"/>
      <c r="G907" s="76"/>
    </row>
    <row r="908">
      <c r="A908" s="76"/>
      <c r="B908" s="76"/>
      <c r="C908" s="76"/>
      <c r="D908" s="76"/>
      <c r="E908" s="76"/>
      <c r="F908" s="76"/>
      <c r="G908" s="76"/>
    </row>
    <row r="909">
      <c r="A909" s="76"/>
      <c r="B909" s="76"/>
      <c r="C909" s="76"/>
      <c r="D909" s="76"/>
      <c r="E909" s="76"/>
      <c r="F909" s="76"/>
      <c r="G909" s="76"/>
    </row>
    <row r="910">
      <c r="A910" s="76"/>
      <c r="B910" s="76"/>
      <c r="C910" s="76"/>
      <c r="D910" s="76"/>
      <c r="E910" s="76"/>
      <c r="F910" s="76"/>
      <c r="G910" s="76"/>
    </row>
    <row r="911">
      <c r="A911" s="76"/>
      <c r="B911" s="76"/>
      <c r="C911" s="76"/>
      <c r="D911" s="76"/>
      <c r="E911" s="76"/>
      <c r="F911" s="76"/>
      <c r="G911" s="76"/>
    </row>
    <row r="912">
      <c r="A912" s="76"/>
      <c r="B912" s="76"/>
      <c r="C912" s="76"/>
      <c r="D912" s="76"/>
      <c r="E912" s="76"/>
      <c r="F912" s="76"/>
      <c r="G912" s="76"/>
    </row>
    <row r="913">
      <c r="A913" s="76"/>
      <c r="B913" s="76"/>
      <c r="C913" s="76"/>
      <c r="D913" s="76"/>
      <c r="E913" s="76"/>
      <c r="F913" s="76"/>
      <c r="G913" s="76"/>
    </row>
    <row r="914">
      <c r="A914" s="76"/>
      <c r="B914" s="76"/>
      <c r="C914" s="76"/>
      <c r="D914" s="76"/>
      <c r="E914" s="76"/>
      <c r="F914" s="76"/>
      <c r="G914" s="76"/>
    </row>
    <row r="915">
      <c r="A915" s="76"/>
      <c r="B915" s="76"/>
      <c r="C915" s="76"/>
      <c r="D915" s="76"/>
      <c r="E915" s="76"/>
      <c r="F915" s="76"/>
      <c r="G915" s="76"/>
    </row>
    <row r="916">
      <c r="A916" s="76"/>
      <c r="B916" s="76"/>
      <c r="C916" s="76"/>
      <c r="D916" s="76"/>
      <c r="E916" s="76"/>
      <c r="F916" s="76"/>
      <c r="G916" s="76"/>
    </row>
    <row r="917">
      <c r="A917" s="76"/>
      <c r="B917" s="76"/>
      <c r="C917" s="76"/>
      <c r="D917" s="76"/>
      <c r="E917" s="76"/>
      <c r="F917" s="76"/>
      <c r="G917" s="76"/>
    </row>
    <row r="918">
      <c r="A918" s="76"/>
      <c r="B918" s="76"/>
      <c r="C918" s="76"/>
      <c r="D918" s="76"/>
      <c r="E918" s="76"/>
      <c r="F918" s="76"/>
      <c r="G918" s="76"/>
    </row>
    <row r="919">
      <c r="A919" s="76"/>
      <c r="B919" s="76"/>
      <c r="C919" s="76"/>
      <c r="D919" s="76"/>
      <c r="E919" s="76"/>
      <c r="F919" s="76"/>
      <c r="G919" s="76"/>
    </row>
    <row r="920">
      <c r="A920" s="76"/>
      <c r="B920" s="76"/>
      <c r="C920" s="76"/>
      <c r="D920" s="76"/>
      <c r="E920" s="76"/>
      <c r="F920" s="76"/>
      <c r="G920" s="76"/>
    </row>
    <row r="921">
      <c r="A921" s="76"/>
      <c r="B921" s="76"/>
      <c r="C921" s="76"/>
      <c r="D921" s="76"/>
      <c r="E921" s="76"/>
      <c r="F921" s="76"/>
      <c r="G921" s="76"/>
    </row>
    <row r="922">
      <c r="A922" s="76"/>
      <c r="B922" s="76"/>
      <c r="C922" s="76"/>
      <c r="D922" s="76"/>
      <c r="E922" s="76"/>
      <c r="F922" s="76"/>
      <c r="G922" s="76"/>
    </row>
    <row r="923">
      <c r="A923" s="76"/>
      <c r="B923" s="76"/>
      <c r="C923" s="76"/>
      <c r="D923" s="76"/>
      <c r="E923" s="76"/>
      <c r="F923" s="76"/>
      <c r="G923" s="76"/>
    </row>
    <row r="924">
      <c r="A924" s="76"/>
      <c r="B924" s="76"/>
      <c r="C924" s="76"/>
      <c r="D924" s="76"/>
      <c r="E924" s="76"/>
      <c r="F924" s="76"/>
      <c r="G924" s="76"/>
    </row>
    <row r="925">
      <c r="A925" s="76"/>
      <c r="B925" s="76"/>
      <c r="C925" s="76"/>
      <c r="D925" s="76"/>
      <c r="E925" s="76"/>
      <c r="F925" s="76"/>
      <c r="G925" s="76"/>
    </row>
    <row r="926">
      <c r="A926" s="76"/>
      <c r="B926" s="76"/>
      <c r="C926" s="76"/>
      <c r="D926" s="76"/>
      <c r="E926" s="76"/>
      <c r="F926" s="76"/>
      <c r="G926" s="76"/>
    </row>
    <row r="927">
      <c r="A927" s="76"/>
      <c r="B927" s="76"/>
      <c r="C927" s="76"/>
      <c r="D927" s="76"/>
      <c r="E927" s="76"/>
      <c r="F927" s="76"/>
      <c r="G927" s="76"/>
    </row>
    <row r="928">
      <c r="A928" s="76"/>
      <c r="B928" s="76"/>
      <c r="C928" s="76"/>
      <c r="D928" s="76"/>
      <c r="E928" s="76"/>
      <c r="F928" s="76"/>
      <c r="G928" s="76"/>
    </row>
    <row r="929">
      <c r="A929" s="76"/>
      <c r="B929" s="76"/>
      <c r="C929" s="76"/>
      <c r="D929" s="76"/>
      <c r="E929" s="76"/>
      <c r="F929" s="76"/>
      <c r="G929" s="76"/>
    </row>
    <row r="930">
      <c r="A930" s="76"/>
      <c r="B930" s="76"/>
      <c r="C930" s="76"/>
      <c r="D930" s="76"/>
      <c r="E930" s="76"/>
      <c r="F930" s="76"/>
      <c r="G930" s="76"/>
    </row>
    <row r="931">
      <c r="A931" s="76"/>
      <c r="B931" s="76"/>
      <c r="C931" s="76"/>
      <c r="D931" s="76"/>
      <c r="E931" s="76"/>
      <c r="F931" s="76"/>
      <c r="G931" s="76"/>
    </row>
    <row r="932">
      <c r="A932" s="76"/>
      <c r="B932" s="76"/>
      <c r="C932" s="76"/>
      <c r="D932" s="76"/>
      <c r="E932" s="76"/>
      <c r="F932" s="76"/>
      <c r="G932" s="76"/>
    </row>
    <row r="933">
      <c r="A933" s="76"/>
      <c r="B933" s="76"/>
      <c r="C933" s="76"/>
      <c r="D933" s="76"/>
      <c r="E933" s="76"/>
      <c r="F933" s="76"/>
      <c r="G933" s="76"/>
    </row>
    <row r="934">
      <c r="A934" s="76"/>
      <c r="B934" s="76"/>
      <c r="C934" s="76"/>
      <c r="D934" s="76"/>
      <c r="E934" s="76"/>
      <c r="F934" s="76"/>
      <c r="G934" s="76"/>
    </row>
    <row r="935">
      <c r="A935" s="76"/>
      <c r="B935" s="76"/>
      <c r="C935" s="76"/>
      <c r="D935" s="76"/>
      <c r="E935" s="76"/>
      <c r="F935" s="76"/>
      <c r="G935" s="76"/>
    </row>
    <row r="936">
      <c r="A936" s="76"/>
      <c r="B936" s="76"/>
      <c r="C936" s="76"/>
      <c r="D936" s="76"/>
      <c r="E936" s="76"/>
      <c r="F936" s="76"/>
      <c r="G936" s="76"/>
    </row>
    <row r="937">
      <c r="A937" s="76"/>
      <c r="B937" s="76"/>
      <c r="C937" s="76"/>
      <c r="D937" s="76"/>
      <c r="E937" s="76"/>
      <c r="F937" s="76"/>
      <c r="G937" s="76"/>
    </row>
    <row r="938">
      <c r="A938" s="76"/>
      <c r="B938" s="76"/>
      <c r="C938" s="76"/>
      <c r="D938" s="76"/>
      <c r="E938" s="76"/>
      <c r="F938" s="76"/>
      <c r="G938" s="76"/>
    </row>
    <row r="939">
      <c r="A939" s="76"/>
      <c r="B939" s="76"/>
      <c r="C939" s="76"/>
      <c r="D939" s="76"/>
      <c r="E939" s="76"/>
      <c r="F939" s="76"/>
      <c r="G939" s="76"/>
    </row>
    <row r="940">
      <c r="A940" s="76"/>
      <c r="B940" s="76"/>
      <c r="C940" s="76"/>
      <c r="D940" s="76"/>
      <c r="E940" s="76"/>
      <c r="F940" s="76"/>
      <c r="G940" s="76"/>
    </row>
    <row r="941">
      <c r="A941" s="76"/>
      <c r="B941" s="76"/>
      <c r="C941" s="76"/>
      <c r="D941" s="76"/>
      <c r="E941" s="76"/>
      <c r="F941" s="76"/>
      <c r="G941" s="76"/>
    </row>
    <row r="942">
      <c r="A942" s="76"/>
      <c r="B942" s="76"/>
      <c r="C942" s="76"/>
      <c r="D942" s="76"/>
      <c r="E942" s="76"/>
      <c r="F942" s="76"/>
      <c r="G942" s="76"/>
    </row>
    <row r="943">
      <c r="A943" s="76"/>
      <c r="B943" s="76"/>
      <c r="C943" s="76"/>
      <c r="D943" s="76"/>
      <c r="E943" s="76"/>
      <c r="F943" s="76"/>
      <c r="G943" s="76"/>
    </row>
    <row r="944">
      <c r="A944" s="76"/>
      <c r="B944" s="76"/>
      <c r="C944" s="76"/>
      <c r="D944" s="76"/>
      <c r="E944" s="76"/>
      <c r="F944" s="76"/>
      <c r="G944" s="76"/>
    </row>
    <row r="945">
      <c r="A945" s="76"/>
      <c r="B945" s="76"/>
      <c r="C945" s="76"/>
      <c r="D945" s="76"/>
      <c r="E945" s="76"/>
      <c r="F945" s="76"/>
      <c r="G945" s="76"/>
    </row>
    <row r="946">
      <c r="A946" s="76"/>
      <c r="B946" s="76"/>
      <c r="C946" s="76"/>
      <c r="D946" s="76"/>
      <c r="E946" s="76"/>
      <c r="F946" s="76"/>
      <c r="G946" s="76"/>
    </row>
    <row r="947">
      <c r="A947" s="76"/>
      <c r="B947" s="76"/>
      <c r="C947" s="76"/>
      <c r="D947" s="76"/>
      <c r="E947" s="76"/>
      <c r="F947" s="76"/>
      <c r="G947" s="76"/>
    </row>
    <row r="948">
      <c r="A948" s="76"/>
      <c r="B948" s="76"/>
      <c r="C948" s="76"/>
      <c r="D948" s="76"/>
      <c r="E948" s="76"/>
      <c r="F948" s="76"/>
      <c r="G948" s="76"/>
    </row>
    <row r="949">
      <c r="A949" s="76"/>
      <c r="B949" s="76"/>
      <c r="C949" s="76"/>
      <c r="D949" s="76"/>
      <c r="E949" s="76"/>
      <c r="F949" s="76"/>
      <c r="G949" s="76"/>
    </row>
    <row r="950">
      <c r="A950" s="76"/>
      <c r="B950" s="76"/>
      <c r="C950" s="76"/>
      <c r="D950" s="76"/>
      <c r="E950" s="76"/>
      <c r="F950" s="76"/>
      <c r="G950" s="76"/>
    </row>
    <row r="951">
      <c r="A951" s="76"/>
      <c r="B951" s="76"/>
      <c r="C951" s="76"/>
      <c r="D951" s="76"/>
      <c r="E951" s="76"/>
      <c r="F951" s="76"/>
      <c r="G951" s="76"/>
    </row>
    <row r="952">
      <c r="A952" s="76"/>
      <c r="B952" s="76"/>
      <c r="C952" s="76"/>
      <c r="D952" s="76"/>
      <c r="E952" s="76"/>
      <c r="F952" s="76"/>
      <c r="G952" s="76"/>
    </row>
    <row r="953">
      <c r="A953" s="76"/>
      <c r="B953" s="76"/>
      <c r="C953" s="76"/>
      <c r="D953" s="76"/>
      <c r="E953" s="76"/>
      <c r="F953" s="76"/>
      <c r="G953" s="76"/>
    </row>
    <row r="954">
      <c r="A954" s="76"/>
      <c r="B954" s="76"/>
      <c r="C954" s="76"/>
      <c r="D954" s="76"/>
      <c r="E954" s="76"/>
      <c r="F954" s="76"/>
      <c r="G954" s="76"/>
    </row>
    <row r="955">
      <c r="A955" s="76"/>
      <c r="B955" s="76"/>
      <c r="C955" s="76"/>
      <c r="D955" s="76"/>
      <c r="E955" s="76"/>
      <c r="F955" s="76"/>
      <c r="G955" s="76"/>
    </row>
    <row r="956">
      <c r="A956" s="76"/>
      <c r="B956" s="76"/>
      <c r="C956" s="76"/>
      <c r="D956" s="76"/>
      <c r="E956" s="76"/>
      <c r="F956" s="76"/>
      <c r="G956" s="76"/>
    </row>
    <row r="957">
      <c r="A957" s="76"/>
      <c r="B957" s="76"/>
      <c r="C957" s="76"/>
      <c r="D957" s="76"/>
      <c r="E957" s="76"/>
      <c r="F957" s="76"/>
      <c r="G957" s="76"/>
    </row>
    <row r="958">
      <c r="A958" s="76"/>
      <c r="B958" s="76"/>
      <c r="C958" s="76"/>
      <c r="D958" s="76"/>
      <c r="E958" s="76"/>
      <c r="F958" s="76"/>
      <c r="G958" s="76"/>
    </row>
    <row r="959">
      <c r="A959" s="76"/>
      <c r="B959" s="76"/>
      <c r="C959" s="76"/>
      <c r="D959" s="76"/>
      <c r="E959" s="76"/>
      <c r="F959" s="76"/>
      <c r="G959" s="76"/>
    </row>
    <row r="960">
      <c r="A960" s="76"/>
      <c r="B960" s="76"/>
      <c r="C960" s="76"/>
      <c r="D960" s="76"/>
      <c r="E960" s="76"/>
      <c r="F960" s="76"/>
      <c r="G960" s="76"/>
    </row>
    <row r="961">
      <c r="A961" s="76"/>
      <c r="B961" s="76"/>
      <c r="C961" s="76"/>
      <c r="D961" s="76"/>
      <c r="E961" s="76"/>
      <c r="F961" s="76"/>
      <c r="G961" s="76"/>
    </row>
    <row r="962">
      <c r="A962" s="76"/>
      <c r="B962" s="76"/>
      <c r="C962" s="76"/>
      <c r="D962" s="76"/>
      <c r="E962" s="76"/>
      <c r="F962" s="76"/>
      <c r="G962" s="76"/>
    </row>
    <row r="963">
      <c r="A963" s="76"/>
      <c r="B963" s="76"/>
      <c r="C963" s="76"/>
      <c r="D963" s="76"/>
      <c r="E963" s="76"/>
      <c r="F963" s="76"/>
      <c r="G963" s="76"/>
    </row>
    <row r="964">
      <c r="A964" s="76"/>
      <c r="B964" s="76"/>
      <c r="C964" s="76"/>
      <c r="D964" s="76"/>
      <c r="E964" s="76"/>
      <c r="F964" s="76"/>
      <c r="G964" s="76"/>
    </row>
    <row r="965">
      <c r="A965" s="76"/>
      <c r="B965" s="76"/>
      <c r="C965" s="76"/>
      <c r="D965" s="76"/>
      <c r="E965" s="76"/>
      <c r="F965" s="76"/>
      <c r="G965" s="76"/>
    </row>
    <row r="966">
      <c r="A966" s="76"/>
      <c r="B966" s="76"/>
      <c r="C966" s="76"/>
      <c r="D966" s="76"/>
      <c r="E966" s="76"/>
      <c r="F966" s="76"/>
      <c r="G966" s="76"/>
    </row>
    <row r="967">
      <c r="A967" s="76"/>
      <c r="B967" s="76"/>
      <c r="C967" s="76"/>
      <c r="D967" s="76"/>
      <c r="E967" s="76"/>
      <c r="F967" s="76"/>
      <c r="G967" s="76"/>
    </row>
    <row r="968">
      <c r="A968" s="76"/>
      <c r="B968" s="76"/>
      <c r="C968" s="76"/>
      <c r="D968" s="76"/>
      <c r="E968" s="76"/>
      <c r="F968" s="76"/>
      <c r="G968" s="76"/>
    </row>
    <row r="969">
      <c r="A969" s="76"/>
      <c r="B969" s="76"/>
      <c r="C969" s="76"/>
      <c r="D969" s="76"/>
      <c r="E969" s="76"/>
      <c r="F969" s="76"/>
      <c r="G969" s="76"/>
    </row>
    <row r="970">
      <c r="A970" s="76"/>
      <c r="B970" s="76"/>
      <c r="C970" s="76"/>
      <c r="D970" s="76"/>
      <c r="E970" s="76"/>
      <c r="F970" s="76"/>
      <c r="G970" s="76"/>
    </row>
    <row r="971">
      <c r="A971" s="76"/>
      <c r="B971" s="76"/>
      <c r="C971" s="76"/>
      <c r="D971" s="76"/>
      <c r="E971" s="76"/>
      <c r="F971" s="76"/>
      <c r="G971" s="76"/>
    </row>
    <row r="972">
      <c r="A972" s="76"/>
      <c r="B972" s="76"/>
      <c r="C972" s="76"/>
      <c r="D972" s="76"/>
      <c r="E972" s="76"/>
      <c r="F972" s="76"/>
      <c r="G972" s="76"/>
    </row>
    <row r="973">
      <c r="A973" s="76"/>
      <c r="B973" s="76"/>
      <c r="C973" s="76"/>
      <c r="D973" s="76"/>
      <c r="E973" s="76"/>
      <c r="F973" s="76"/>
      <c r="G973" s="76"/>
    </row>
    <row r="974">
      <c r="A974" s="76"/>
      <c r="B974" s="76"/>
      <c r="C974" s="76"/>
      <c r="D974" s="76"/>
      <c r="E974" s="76"/>
      <c r="F974" s="76"/>
      <c r="G974" s="76"/>
    </row>
    <row r="975">
      <c r="A975" s="76"/>
      <c r="B975" s="76"/>
      <c r="C975" s="76"/>
      <c r="D975" s="76"/>
      <c r="E975" s="76"/>
      <c r="F975" s="76"/>
      <c r="G975" s="76"/>
    </row>
    <row r="976">
      <c r="A976" s="76"/>
      <c r="B976" s="76"/>
      <c r="C976" s="76"/>
      <c r="D976" s="76"/>
      <c r="E976" s="76"/>
      <c r="F976" s="76"/>
      <c r="G976" s="76"/>
    </row>
    <row r="977">
      <c r="A977" s="76"/>
      <c r="B977" s="76"/>
      <c r="C977" s="76"/>
      <c r="D977" s="76"/>
      <c r="E977" s="76"/>
      <c r="F977" s="76"/>
      <c r="G977" s="76"/>
    </row>
    <row r="978">
      <c r="A978" s="76"/>
      <c r="B978" s="76"/>
      <c r="C978" s="76"/>
      <c r="D978" s="76"/>
      <c r="E978" s="76"/>
      <c r="F978" s="76"/>
      <c r="G978" s="76"/>
    </row>
    <row r="979">
      <c r="A979" s="76"/>
      <c r="B979" s="76"/>
      <c r="C979" s="76"/>
      <c r="D979" s="76"/>
      <c r="E979" s="76"/>
      <c r="F979" s="76"/>
      <c r="G979" s="76"/>
    </row>
    <row r="980">
      <c r="A980" s="76"/>
      <c r="B980" s="76"/>
      <c r="C980" s="76"/>
      <c r="D980" s="76"/>
      <c r="E980" s="76"/>
      <c r="F980" s="76"/>
      <c r="G980" s="76"/>
    </row>
    <row r="981">
      <c r="A981" s="76"/>
      <c r="B981" s="76"/>
      <c r="C981" s="76"/>
      <c r="D981" s="76"/>
      <c r="E981" s="76"/>
      <c r="F981" s="76"/>
      <c r="G981" s="76"/>
    </row>
    <row r="982">
      <c r="A982" s="76"/>
      <c r="B982" s="76"/>
      <c r="C982" s="76"/>
      <c r="D982" s="76"/>
      <c r="E982" s="76"/>
      <c r="F982" s="76"/>
      <c r="G982" s="76"/>
    </row>
    <row r="983">
      <c r="A983" s="76"/>
      <c r="B983" s="76"/>
      <c r="C983" s="76"/>
      <c r="D983" s="76"/>
      <c r="E983" s="76"/>
      <c r="F983" s="76"/>
      <c r="G983" s="76"/>
    </row>
    <row r="984">
      <c r="A984" s="76"/>
      <c r="B984" s="76"/>
      <c r="C984" s="76"/>
      <c r="D984" s="76"/>
      <c r="E984" s="76"/>
      <c r="F984" s="76"/>
      <c r="G984" s="76"/>
    </row>
    <row r="985">
      <c r="A985" s="76"/>
      <c r="B985" s="76"/>
      <c r="C985" s="76"/>
      <c r="D985" s="76"/>
      <c r="E985" s="76"/>
      <c r="F985" s="76"/>
      <c r="G985" s="76"/>
    </row>
    <row r="986">
      <c r="A986" s="76"/>
      <c r="B986" s="76"/>
      <c r="C986" s="76"/>
      <c r="D986" s="76"/>
      <c r="E986" s="76"/>
      <c r="F986" s="76"/>
      <c r="G986" s="76"/>
    </row>
    <row r="987">
      <c r="A987" s="76"/>
      <c r="B987" s="76"/>
      <c r="C987" s="76"/>
      <c r="D987" s="76"/>
      <c r="E987" s="76"/>
      <c r="F987" s="76"/>
      <c r="G987" s="76"/>
    </row>
    <row r="988">
      <c r="A988" s="76"/>
      <c r="B988" s="76"/>
      <c r="C988" s="76"/>
      <c r="D988" s="76"/>
      <c r="E988" s="76"/>
      <c r="F988" s="76"/>
      <c r="G988" s="76"/>
    </row>
    <row r="989">
      <c r="A989" s="76"/>
      <c r="B989" s="76"/>
      <c r="C989" s="76"/>
      <c r="D989" s="76"/>
      <c r="E989" s="76"/>
      <c r="F989" s="76"/>
      <c r="G989" s="76"/>
    </row>
    <row r="990">
      <c r="A990" s="76"/>
      <c r="B990" s="76"/>
      <c r="C990" s="76"/>
      <c r="D990" s="76"/>
      <c r="E990" s="76"/>
      <c r="F990" s="76"/>
      <c r="G990" s="76"/>
    </row>
    <row r="991">
      <c r="A991" s="76"/>
      <c r="B991" s="76"/>
      <c r="C991" s="76"/>
      <c r="D991" s="76"/>
      <c r="E991" s="76"/>
      <c r="F991" s="76"/>
      <c r="G991" s="76"/>
    </row>
    <row r="992">
      <c r="A992" s="76"/>
      <c r="B992" s="76"/>
      <c r="C992" s="76"/>
      <c r="D992" s="76"/>
      <c r="E992" s="76"/>
      <c r="F992" s="76"/>
      <c r="G992" s="76"/>
    </row>
    <row r="993">
      <c r="A993" s="76"/>
      <c r="B993" s="76"/>
      <c r="C993" s="76"/>
      <c r="D993" s="76"/>
      <c r="E993" s="76"/>
      <c r="F993" s="76"/>
      <c r="G993" s="76"/>
    </row>
    <row r="994">
      <c r="A994" s="76"/>
      <c r="B994" s="76"/>
      <c r="C994" s="76"/>
      <c r="D994" s="76"/>
      <c r="E994" s="76"/>
      <c r="F994" s="76"/>
      <c r="G994" s="76"/>
    </row>
    <row r="995">
      <c r="A995" s="76"/>
      <c r="B995" s="76"/>
      <c r="C995" s="76"/>
      <c r="D995" s="76"/>
      <c r="E995" s="76"/>
      <c r="F995" s="76"/>
      <c r="G995" s="76"/>
    </row>
    <row r="996">
      <c r="A996" s="76"/>
      <c r="B996" s="76"/>
      <c r="C996" s="76"/>
      <c r="D996" s="76"/>
      <c r="E996" s="76"/>
      <c r="F996" s="76"/>
      <c r="G996" s="76"/>
    </row>
    <row r="997">
      <c r="A997" s="76"/>
      <c r="B997" s="76"/>
      <c r="C997" s="76"/>
      <c r="D997" s="76"/>
      <c r="E997" s="76"/>
      <c r="F997" s="76"/>
      <c r="G997" s="76"/>
    </row>
    <row r="998">
      <c r="A998" s="76"/>
      <c r="B998" s="76"/>
      <c r="C998" s="76"/>
      <c r="D998" s="76"/>
      <c r="E998" s="76"/>
      <c r="F998" s="76"/>
      <c r="G998" s="76"/>
    </row>
    <row r="999">
      <c r="A999" s="76"/>
      <c r="B999" s="76"/>
      <c r="C999" s="76"/>
      <c r="D999" s="76"/>
      <c r="E999" s="76"/>
      <c r="F999" s="76"/>
      <c r="G999" s="76"/>
    </row>
    <row r="1000">
      <c r="A1000" s="76"/>
      <c r="B1000" s="76"/>
      <c r="C1000" s="76"/>
      <c r="D1000" s="76"/>
      <c r="E1000" s="76"/>
      <c r="F1000" s="76"/>
      <c r="G1000" s="76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32.38"/>
    <col customWidth="1" min="3" max="3" width="47.75"/>
    <col customWidth="1" min="4" max="4" width="22.13"/>
    <col customWidth="1" min="5" max="5" width="22.88"/>
    <col customWidth="1" min="6" max="6" width="15.25"/>
  </cols>
  <sheetData>
    <row r="1" ht="22.5" customHeight="1">
      <c r="A1" s="113" t="s">
        <v>1418</v>
      </c>
      <c r="B1" s="113" t="s">
        <v>12</v>
      </c>
      <c r="C1" s="113" t="s">
        <v>1419</v>
      </c>
      <c r="D1" s="113" t="s">
        <v>1401</v>
      </c>
      <c r="E1" s="113" t="s">
        <v>1402</v>
      </c>
      <c r="F1" s="113" t="s">
        <v>1420</v>
      </c>
    </row>
    <row r="2" ht="22.5" customHeight="1">
      <c r="A2" s="117" t="s">
        <v>1421</v>
      </c>
      <c r="B2" s="117" t="s">
        <v>634</v>
      </c>
      <c r="C2" s="117"/>
      <c r="D2" s="117"/>
      <c r="E2" s="117"/>
      <c r="F2" s="140" t="s">
        <v>1422</v>
      </c>
    </row>
    <row r="3" ht="22.5" customHeight="1">
      <c r="A3" s="117" t="s">
        <v>1423</v>
      </c>
      <c r="B3" s="117" t="s">
        <v>93</v>
      </c>
      <c r="C3" s="117"/>
      <c r="D3" s="117"/>
      <c r="E3" s="117"/>
      <c r="F3" s="141"/>
    </row>
    <row r="4" ht="22.5" customHeight="1">
      <c r="A4" s="117" t="s">
        <v>1424</v>
      </c>
      <c r="B4" s="117" t="s">
        <v>212</v>
      </c>
      <c r="C4" s="117"/>
      <c r="D4" s="117"/>
      <c r="E4" s="119"/>
      <c r="F4" s="141"/>
    </row>
    <row r="5" ht="22.5" customHeight="1">
      <c r="A5" s="117" t="s">
        <v>1425</v>
      </c>
      <c r="B5" s="117" t="s">
        <v>700</v>
      </c>
      <c r="C5" s="117"/>
      <c r="D5" s="119"/>
      <c r="E5" s="119"/>
      <c r="F5" s="141"/>
    </row>
    <row r="6" ht="22.5" customHeight="1">
      <c r="A6" s="117" t="s">
        <v>1426</v>
      </c>
      <c r="B6" s="117" t="s">
        <v>693</v>
      </c>
      <c r="C6" s="117"/>
      <c r="D6" s="119"/>
      <c r="E6" s="119"/>
      <c r="F6" s="141"/>
    </row>
    <row r="7" ht="22.5" customHeight="1">
      <c r="A7" s="117" t="s">
        <v>1427</v>
      </c>
      <c r="B7" s="117" t="s">
        <v>71</v>
      </c>
      <c r="C7" s="117"/>
      <c r="D7" s="119"/>
      <c r="E7" s="119"/>
      <c r="F7" s="141"/>
    </row>
    <row r="8" ht="22.5" customHeight="1">
      <c r="A8" s="117" t="s">
        <v>1428</v>
      </c>
      <c r="B8" s="117" t="s">
        <v>30</v>
      </c>
      <c r="C8" s="117"/>
      <c r="D8" s="119"/>
      <c r="E8" s="119"/>
      <c r="F8" s="141"/>
    </row>
    <row r="9" ht="22.5" customHeight="1">
      <c r="A9" s="117" t="s">
        <v>1429</v>
      </c>
      <c r="B9" s="117" t="s">
        <v>85</v>
      </c>
      <c r="C9" s="117"/>
      <c r="D9" s="119"/>
      <c r="E9" s="119"/>
      <c r="F9" s="141"/>
    </row>
    <row r="10" ht="22.5" customHeight="1">
      <c r="A10" s="117" t="s">
        <v>1430</v>
      </c>
      <c r="B10" s="117" t="s">
        <v>98</v>
      </c>
      <c r="C10" s="119"/>
      <c r="D10" s="119"/>
      <c r="E10" s="119"/>
      <c r="F10" s="141"/>
    </row>
    <row r="11" ht="22.5" customHeight="1">
      <c r="A11" s="117" t="s">
        <v>1431</v>
      </c>
      <c r="B11" s="117" t="s">
        <v>141</v>
      </c>
      <c r="C11" s="117"/>
      <c r="D11" s="119"/>
      <c r="E11" s="119"/>
      <c r="F11" s="141"/>
    </row>
    <row r="12" ht="22.5" customHeight="1">
      <c r="A12" s="117" t="s">
        <v>1432</v>
      </c>
      <c r="B12" s="117" t="s">
        <v>219</v>
      </c>
      <c r="C12" s="117"/>
      <c r="D12" s="119"/>
      <c r="E12" s="119"/>
      <c r="F12" s="141"/>
    </row>
    <row r="13" ht="22.5" customHeight="1">
      <c r="A13" s="117" t="s">
        <v>1433</v>
      </c>
      <c r="B13" s="117" t="s">
        <v>148</v>
      </c>
      <c r="C13" s="117"/>
      <c r="D13" s="119"/>
      <c r="E13" s="119"/>
      <c r="F13" s="141"/>
    </row>
    <row r="14" ht="22.5" customHeight="1">
      <c r="A14" s="117" t="s">
        <v>1434</v>
      </c>
      <c r="B14" s="117" t="s">
        <v>264</v>
      </c>
      <c r="C14" s="117"/>
      <c r="D14" s="119"/>
      <c r="E14" s="119"/>
      <c r="F14" s="141"/>
    </row>
    <row r="15" ht="22.5" customHeight="1">
      <c r="A15" s="117" t="s">
        <v>1435</v>
      </c>
      <c r="B15" s="117" t="s">
        <v>258</v>
      </c>
      <c r="C15" s="117"/>
      <c r="D15" s="119"/>
      <c r="E15" s="119"/>
      <c r="F15" s="141"/>
    </row>
    <row r="16" ht="22.5" customHeight="1">
      <c r="A16" s="117" t="s">
        <v>1436</v>
      </c>
      <c r="B16" s="117" t="s">
        <v>281</v>
      </c>
      <c r="C16" s="117"/>
      <c r="D16" s="119"/>
      <c r="E16" s="119"/>
      <c r="F16" s="141"/>
    </row>
    <row r="17" ht="22.5" customHeight="1">
      <c r="A17" s="117" t="s">
        <v>1437</v>
      </c>
      <c r="B17" s="117" t="s">
        <v>272</v>
      </c>
      <c r="C17" s="117"/>
      <c r="D17" s="119"/>
      <c r="E17" s="119"/>
      <c r="F17" s="141"/>
    </row>
    <row r="18" ht="22.5" customHeight="1">
      <c r="A18" s="117" t="s">
        <v>1438</v>
      </c>
      <c r="B18" s="117" t="s">
        <v>314</v>
      </c>
      <c r="C18" s="117"/>
      <c r="D18" s="119"/>
      <c r="E18" s="119"/>
      <c r="F18" s="141"/>
    </row>
    <row r="19" ht="22.5" customHeight="1">
      <c r="A19" s="117" t="s">
        <v>1439</v>
      </c>
      <c r="B19" s="117" t="s">
        <v>333</v>
      </c>
      <c r="C19" s="117"/>
      <c r="D19" s="119"/>
      <c r="E19" s="119"/>
      <c r="F19" s="141"/>
    </row>
    <row r="20" ht="22.5" customHeight="1">
      <c r="A20" s="138" t="s">
        <v>1440</v>
      </c>
      <c r="B20" s="138" t="s">
        <v>389</v>
      </c>
      <c r="C20" s="138"/>
      <c r="D20" s="139"/>
      <c r="E20" s="139"/>
      <c r="F20" s="142"/>
    </row>
    <row r="21" ht="22.5" customHeight="1">
      <c r="A21" s="138" t="s">
        <v>1441</v>
      </c>
      <c r="B21" s="138" t="s">
        <v>370</v>
      </c>
      <c r="C21" s="138"/>
      <c r="D21" s="139"/>
      <c r="E21" s="139"/>
      <c r="F21" s="142"/>
    </row>
    <row r="22" ht="22.5" customHeight="1">
      <c r="A22" s="138" t="s">
        <v>1442</v>
      </c>
      <c r="B22" s="138" t="s">
        <v>350</v>
      </c>
      <c r="C22" s="138"/>
      <c r="D22" s="139"/>
      <c r="E22" s="139"/>
      <c r="F22" s="142"/>
    </row>
    <row r="23" ht="22.5" customHeight="1">
      <c r="A23" s="138" t="s">
        <v>1443</v>
      </c>
      <c r="B23" s="138" t="s">
        <v>339</v>
      </c>
      <c r="C23" s="138"/>
      <c r="D23" s="139"/>
      <c r="E23" s="139"/>
      <c r="F23" s="142"/>
    </row>
    <row r="24" ht="22.5" customHeight="1">
      <c r="A24" s="138" t="s">
        <v>1444</v>
      </c>
      <c r="B24" s="138" t="s">
        <v>396</v>
      </c>
      <c r="C24" s="138"/>
      <c r="D24" s="139"/>
      <c r="E24" s="139"/>
      <c r="F24" s="142"/>
    </row>
    <row r="25" ht="22.5" customHeight="1">
      <c r="A25" s="138" t="s">
        <v>1446</v>
      </c>
      <c r="B25" s="138" t="s">
        <v>451</v>
      </c>
      <c r="C25" s="138"/>
      <c r="D25" s="139"/>
      <c r="E25" s="139"/>
      <c r="F25" s="142"/>
    </row>
    <row r="26" ht="22.5" customHeight="1">
      <c r="A26" s="138" t="s">
        <v>1447</v>
      </c>
      <c r="B26" s="138" t="s">
        <v>440</v>
      </c>
      <c r="C26" s="138"/>
      <c r="D26" s="139"/>
      <c r="E26" s="139"/>
      <c r="F26" s="142"/>
    </row>
    <row r="27" ht="22.5" customHeight="1">
      <c r="A27" s="138" t="s">
        <v>1448</v>
      </c>
      <c r="B27" s="138" t="s">
        <v>464</v>
      </c>
      <c r="C27" s="138"/>
      <c r="D27" s="139"/>
      <c r="E27" s="139"/>
      <c r="F27" s="142"/>
    </row>
    <row r="28" ht="22.5" customHeight="1">
      <c r="A28" s="138" t="s">
        <v>1449</v>
      </c>
      <c r="B28" s="138" t="s">
        <v>457</v>
      </c>
      <c r="C28" s="138"/>
      <c r="D28" s="139"/>
      <c r="E28" s="139"/>
      <c r="F28" s="142"/>
    </row>
    <row r="29" ht="22.5" customHeight="1">
      <c r="A29" s="138" t="s">
        <v>1450</v>
      </c>
      <c r="B29" s="138" t="s">
        <v>1451</v>
      </c>
      <c r="C29" s="138"/>
      <c r="D29" s="139"/>
      <c r="E29" s="139"/>
      <c r="F29" s="142"/>
    </row>
    <row r="30" ht="22.5" customHeight="1">
      <c r="A30" s="138" t="s">
        <v>1452</v>
      </c>
      <c r="B30" s="138" t="s">
        <v>509</v>
      </c>
      <c r="C30" s="138"/>
      <c r="D30" s="139"/>
      <c r="E30" s="139"/>
      <c r="F30" s="142"/>
    </row>
    <row r="31" ht="22.5" customHeight="1">
      <c r="A31" s="138" t="s">
        <v>1453</v>
      </c>
      <c r="B31" s="138" t="s">
        <v>588</v>
      </c>
      <c r="C31" s="138"/>
      <c r="D31" s="139"/>
      <c r="E31" s="139"/>
      <c r="F31" s="142"/>
    </row>
    <row r="32" ht="22.5" customHeight="1">
      <c r="A32" s="138" t="s">
        <v>1454</v>
      </c>
      <c r="B32" s="138" t="s">
        <v>577</v>
      </c>
      <c r="C32" s="138"/>
      <c r="D32" s="139"/>
      <c r="E32" s="139"/>
      <c r="F32" s="142"/>
    </row>
    <row r="33" ht="22.5" customHeight="1">
      <c r="A33" s="138" t="s">
        <v>1455</v>
      </c>
      <c r="B33" s="138" t="s">
        <v>598</v>
      </c>
      <c r="C33" s="138"/>
      <c r="D33" s="139"/>
      <c r="E33" s="139"/>
      <c r="F33" s="142"/>
    </row>
    <row r="34" ht="22.5" customHeight="1">
      <c r="A34" s="138" t="s">
        <v>1456</v>
      </c>
      <c r="B34" s="138" t="s">
        <v>621</v>
      </c>
      <c r="C34" s="138"/>
      <c r="D34" s="139"/>
      <c r="E34" s="139"/>
      <c r="F34" s="142"/>
    </row>
    <row r="35" ht="22.5" customHeight="1">
      <c r="A35" s="138" t="s">
        <v>1457</v>
      </c>
      <c r="B35" s="138" t="s">
        <v>1262</v>
      </c>
      <c r="C35" s="138"/>
      <c r="D35" s="139"/>
      <c r="E35" s="139"/>
      <c r="F35" s="142"/>
    </row>
    <row r="36" ht="22.5" customHeight="1">
      <c r="A36" s="138" t="s">
        <v>1458</v>
      </c>
      <c r="B36" s="138" t="s">
        <v>1215</v>
      </c>
      <c r="C36" s="138"/>
      <c r="D36" s="139"/>
      <c r="E36" s="139"/>
      <c r="F36" s="142"/>
    </row>
    <row r="37" ht="22.5" customHeight="1">
      <c r="A37" s="138" t="s">
        <v>1459</v>
      </c>
      <c r="B37" s="138" t="s">
        <v>1278</v>
      </c>
      <c r="C37" s="138"/>
      <c r="D37" s="139"/>
      <c r="E37" s="139"/>
      <c r="F37" s="142"/>
    </row>
    <row r="38" ht="22.5" customHeight="1">
      <c r="A38" s="138" t="s">
        <v>1462</v>
      </c>
      <c r="B38" s="138" t="s">
        <v>1281</v>
      </c>
      <c r="C38" s="138"/>
      <c r="D38" s="139"/>
      <c r="E38" s="139"/>
      <c r="F38" s="142"/>
    </row>
    <row r="39" ht="22.5" customHeight="1">
      <c r="A39" s="138" t="s">
        <v>1463</v>
      </c>
      <c r="B39" s="138" t="s">
        <v>1283</v>
      </c>
      <c r="C39" s="138"/>
      <c r="D39" s="139"/>
      <c r="E39" s="139"/>
      <c r="F39" s="142"/>
    </row>
    <row r="40" ht="22.5" customHeight="1">
      <c r="A40" s="138" t="s">
        <v>1464</v>
      </c>
      <c r="B40" s="138" t="s">
        <v>1295</v>
      </c>
      <c r="C40" s="138"/>
      <c r="D40" s="139"/>
      <c r="E40" s="139"/>
      <c r="F40" s="142"/>
    </row>
    <row r="41" ht="22.5" customHeight="1">
      <c r="A41" s="138" t="s">
        <v>1466</v>
      </c>
      <c r="B41" s="138" t="s">
        <v>1301</v>
      </c>
      <c r="C41" s="138"/>
      <c r="D41" s="139"/>
      <c r="E41" s="139"/>
      <c r="F41" s="142"/>
    </row>
    <row r="42" ht="22.5" customHeight="1">
      <c r="A42" s="138" t="s">
        <v>1471</v>
      </c>
      <c r="B42" s="138" t="s">
        <v>1306</v>
      </c>
      <c r="C42" s="138"/>
      <c r="D42" s="139"/>
      <c r="E42" s="139"/>
      <c r="F42" s="142"/>
    </row>
    <row r="43" ht="22.5" customHeight="1">
      <c r="A43" s="138" t="s">
        <v>1472</v>
      </c>
      <c r="B43" s="138" t="s">
        <v>1309</v>
      </c>
      <c r="C43" s="138"/>
      <c r="D43" s="139"/>
      <c r="E43" s="139"/>
      <c r="F43" s="142"/>
    </row>
    <row r="44" ht="22.5" customHeight="1">
      <c r="A44" s="138" t="s">
        <v>1473</v>
      </c>
      <c r="B44" s="138" t="s">
        <v>1311</v>
      </c>
      <c r="C44" s="138"/>
      <c r="D44" s="139"/>
      <c r="E44" s="139"/>
      <c r="F44" s="142"/>
    </row>
    <row r="45" ht="22.5" customHeight="1">
      <c r="A45" s="138" t="s">
        <v>1476</v>
      </c>
      <c r="B45" s="138" t="s">
        <v>1316</v>
      </c>
      <c r="C45" s="138"/>
      <c r="D45" s="139"/>
      <c r="E45" s="139"/>
      <c r="F45" s="142"/>
    </row>
    <row r="46" ht="22.5" customHeight="1">
      <c r="A46" s="138" t="s">
        <v>1477</v>
      </c>
      <c r="B46" s="138" t="s">
        <v>1318</v>
      </c>
      <c r="C46" s="138"/>
      <c r="D46" s="139"/>
      <c r="E46" s="139"/>
      <c r="F46" s="142"/>
    </row>
    <row r="47" ht="22.5" customHeight="1">
      <c r="A47" s="138" t="s">
        <v>1480</v>
      </c>
      <c r="B47" s="138" t="s">
        <v>1321</v>
      </c>
      <c r="C47" s="138"/>
      <c r="D47" s="139"/>
      <c r="E47" s="139"/>
      <c r="F47" s="142"/>
    </row>
    <row r="48" ht="22.5" customHeight="1">
      <c r="A48" s="138" t="s">
        <v>1482</v>
      </c>
      <c r="B48" s="138" t="s">
        <v>1324</v>
      </c>
      <c r="C48" s="138"/>
      <c r="D48" s="139"/>
      <c r="E48" s="139"/>
      <c r="F48" s="142"/>
    </row>
    <row r="49" ht="22.5" customHeight="1">
      <c r="A49" s="138" t="s">
        <v>1484</v>
      </c>
      <c r="B49" s="138" t="s">
        <v>1328</v>
      </c>
      <c r="C49" s="138"/>
      <c r="D49" s="139"/>
      <c r="E49" s="139"/>
      <c r="F49" s="142"/>
    </row>
    <row r="50" ht="22.5" customHeight="1">
      <c r="A50" s="138" t="s">
        <v>1486</v>
      </c>
      <c r="B50" s="138" t="s">
        <v>1334</v>
      </c>
      <c r="C50" s="138"/>
      <c r="D50" s="139"/>
      <c r="E50" s="139"/>
      <c r="F50" s="142"/>
    </row>
    <row r="51" ht="22.5" customHeight="1">
      <c r="A51" s="138" t="s">
        <v>1488</v>
      </c>
      <c r="B51" s="138" t="s">
        <v>1338</v>
      </c>
      <c r="C51" s="138"/>
      <c r="D51" s="139"/>
      <c r="E51" s="139"/>
      <c r="F51" s="142"/>
    </row>
    <row r="52" ht="22.5" customHeight="1">
      <c r="A52" s="138" t="s">
        <v>1490</v>
      </c>
      <c r="B52" s="138" t="s">
        <v>1341</v>
      </c>
      <c r="C52" s="138"/>
      <c r="D52" s="139"/>
      <c r="E52" s="139"/>
      <c r="F52" s="142"/>
    </row>
    <row r="53" ht="22.5" customHeight="1">
      <c r="A53" s="138" t="s">
        <v>1493</v>
      </c>
      <c r="B53" s="138" t="s">
        <v>1343</v>
      </c>
      <c r="C53" s="138"/>
      <c r="D53" s="139"/>
      <c r="E53" s="139"/>
      <c r="F53" s="142"/>
    </row>
    <row r="54" ht="22.5" customHeight="1">
      <c r="A54" s="138" t="s">
        <v>1497</v>
      </c>
      <c r="B54" s="138" t="s">
        <v>1349</v>
      </c>
      <c r="C54" s="138"/>
      <c r="D54" s="139"/>
      <c r="E54" s="139"/>
      <c r="F54" s="142"/>
    </row>
    <row r="55" ht="22.5" customHeight="1">
      <c r="A55" s="138" t="s">
        <v>1498</v>
      </c>
      <c r="B55" s="138" t="s">
        <v>1354</v>
      </c>
      <c r="C55" s="138"/>
      <c r="D55" s="139"/>
      <c r="E55" s="139"/>
      <c r="F55" s="142"/>
    </row>
    <row r="56" ht="22.5" customHeight="1">
      <c r="A56" s="138" t="s">
        <v>1499</v>
      </c>
      <c r="B56" s="138" t="s">
        <v>1356</v>
      </c>
      <c r="C56" s="138"/>
      <c r="D56" s="139"/>
      <c r="E56" s="139"/>
      <c r="F56" s="142"/>
    </row>
    <row r="57" ht="22.5" customHeight="1">
      <c r="A57" s="138" t="s">
        <v>1500</v>
      </c>
      <c r="B57" s="138" t="s">
        <v>1358</v>
      </c>
      <c r="C57" s="138"/>
      <c r="D57" s="139"/>
      <c r="E57" s="139"/>
      <c r="F57" s="142"/>
    </row>
    <row r="58" ht="22.5" customHeight="1">
      <c r="A58" s="138" t="s">
        <v>1501</v>
      </c>
      <c r="B58" s="138" t="s">
        <v>1361</v>
      </c>
      <c r="C58" s="138"/>
      <c r="D58" s="139"/>
      <c r="E58" s="139"/>
      <c r="F58" s="142"/>
    </row>
    <row r="59" ht="22.5" customHeight="1">
      <c r="A59" s="138" t="s">
        <v>1502</v>
      </c>
      <c r="B59" s="138" t="s">
        <v>1365</v>
      </c>
      <c r="C59" s="138"/>
      <c r="D59" s="139"/>
      <c r="E59" s="139"/>
      <c r="F59" s="142"/>
    </row>
    <row r="60" ht="22.5" customHeight="1">
      <c r="A60" s="138" t="s">
        <v>1503</v>
      </c>
      <c r="B60" s="138" t="s">
        <v>1368</v>
      </c>
      <c r="C60" s="138"/>
      <c r="D60" s="139"/>
      <c r="E60" s="139"/>
      <c r="F60" s="142"/>
    </row>
    <row r="61" ht="22.5" customHeight="1">
      <c r="A61" s="138" t="s">
        <v>1504</v>
      </c>
      <c r="B61" s="138" t="s">
        <v>1371</v>
      </c>
      <c r="C61" s="138"/>
      <c r="D61" s="139"/>
      <c r="E61" s="139"/>
      <c r="F61" s="142"/>
    </row>
    <row r="62" ht="22.5" customHeight="1">
      <c r="A62" s="138" t="s">
        <v>1505</v>
      </c>
      <c r="B62" s="138" t="s">
        <v>1373</v>
      </c>
      <c r="C62" s="138"/>
      <c r="D62" s="139"/>
      <c r="E62" s="139"/>
      <c r="F62" s="142"/>
    </row>
    <row r="63" ht="22.5" customHeight="1">
      <c r="A63" s="138" t="s">
        <v>1507</v>
      </c>
      <c r="B63" s="138" t="s">
        <v>1508</v>
      </c>
      <c r="C63" s="138"/>
      <c r="D63" s="139"/>
      <c r="E63" s="139"/>
      <c r="F63" s="142"/>
    </row>
    <row r="64" ht="22.5" customHeight="1">
      <c r="A64" s="138" t="s">
        <v>1509</v>
      </c>
      <c r="B64" s="138" t="s">
        <v>1240</v>
      </c>
      <c r="C64" s="138"/>
      <c r="D64" s="139"/>
      <c r="E64" s="139"/>
      <c r="F64" s="142"/>
    </row>
    <row r="65" ht="22.5" customHeight="1">
      <c r="A65" s="138" t="s">
        <v>1510</v>
      </c>
      <c r="B65" s="138" t="s">
        <v>1210</v>
      </c>
      <c r="C65" s="138" t="s">
        <v>1511</v>
      </c>
      <c r="D65" s="139"/>
      <c r="E65" s="139"/>
      <c r="F65" s="142" t="s">
        <v>1512</v>
      </c>
    </row>
    <row r="66" ht="22.5" customHeight="1">
      <c r="A66" s="138" t="s">
        <v>1513</v>
      </c>
      <c r="B66" s="138" t="s">
        <v>498</v>
      </c>
      <c r="C66" s="138"/>
      <c r="D66" s="139"/>
      <c r="E66" s="139"/>
      <c r="F66" s="142"/>
    </row>
    <row r="67" ht="22.5" customHeight="1">
      <c r="A67" s="138" t="s">
        <v>1514</v>
      </c>
      <c r="B67" s="138" t="s">
        <v>711</v>
      </c>
      <c r="C67" s="138"/>
      <c r="D67" s="139"/>
      <c r="E67" s="139"/>
      <c r="F67" s="142"/>
    </row>
    <row r="68" ht="22.5" customHeight="1">
      <c r="A68" s="138" t="s">
        <v>1515</v>
      </c>
      <c r="B68" s="138" t="s">
        <v>1208</v>
      </c>
      <c r="C68" s="138"/>
      <c r="D68" s="139"/>
      <c r="E68" s="139"/>
      <c r="F68" s="142"/>
    </row>
    <row r="69" ht="22.5" customHeight="1">
      <c r="A69" s="138" t="s">
        <v>1516</v>
      </c>
      <c r="B69" s="138" t="s">
        <v>1258</v>
      </c>
      <c r="C69" s="138"/>
      <c r="D69" s="139"/>
      <c r="E69" s="139"/>
      <c r="F69" s="142"/>
    </row>
    <row r="70" ht="22.5" customHeight="1">
      <c r="A70" s="138" t="s">
        <v>1517</v>
      </c>
      <c r="B70" s="138" t="s">
        <v>1287</v>
      </c>
      <c r="C70" s="138"/>
      <c r="D70" s="139"/>
      <c r="E70" s="139"/>
      <c r="F70" s="142"/>
    </row>
    <row r="71" ht="22.5" customHeight="1">
      <c r="A71" s="138" t="s">
        <v>1518</v>
      </c>
      <c r="B71" s="138" t="s">
        <v>1304</v>
      </c>
      <c r="C71" s="138"/>
      <c r="D71" s="139"/>
      <c r="E71" s="139"/>
      <c r="F71" s="142"/>
    </row>
    <row r="72" ht="22.5" customHeight="1">
      <c r="A72" s="138" t="s">
        <v>1519</v>
      </c>
      <c r="B72" s="138" t="s">
        <v>1479</v>
      </c>
      <c r="C72" s="138"/>
      <c r="D72" s="139"/>
      <c r="E72" s="139"/>
      <c r="F72" s="142"/>
    </row>
    <row r="73" ht="22.5" customHeight="1">
      <c r="A73" s="138" t="s">
        <v>1520</v>
      </c>
      <c r="B73" s="138" t="s">
        <v>1521</v>
      </c>
      <c r="C73" s="138"/>
      <c r="D73" s="139"/>
      <c r="E73" s="139"/>
      <c r="F73" s="142"/>
    </row>
    <row r="74" ht="22.5" customHeight="1">
      <c r="A74" s="138" t="s">
        <v>1522</v>
      </c>
      <c r="B74" s="138" t="s">
        <v>1523</v>
      </c>
      <c r="C74" s="138"/>
      <c r="D74" s="139"/>
      <c r="E74" s="139"/>
      <c r="F74" s="142"/>
    </row>
    <row r="75" ht="22.5" customHeight="1">
      <c r="A75" s="138" t="s">
        <v>1524</v>
      </c>
      <c r="B75" s="138" t="s">
        <v>1525</v>
      </c>
      <c r="C75" s="138"/>
      <c r="D75" s="139"/>
      <c r="E75" s="139"/>
      <c r="F75" s="142"/>
    </row>
    <row r="76" ht="22.5" customHeight="1">
      <c r="A76" s="138" t="s">
        <v>1526</v>
      </c>
      <c r="B76" s="138" t="s">
        <v>1527</v>
      </c>
      <c r="C76" s="138"/>
      <c r="D76" s="139"/>
      <c r="E76" s="139"/>
      <c r="F76" s="142"/>
    </row>
    <row r="77" ht="22.5" customHeight="1">
      <c r="A77" s="138" t="s">
        <v>1528</v>
      </c>
      <c r="B77" s="138" t="s">
        <v>1529</v>
      </c>
      <c r="C77" s="138"/>
      <c r="D77" s="139"/>
      <c r="E77" s="139"/>
      <c r="F77" s="142"/>
    </row>
    <row r="78" ht="22.5" customHeight="1">
      <c r="A78" s="138" t="s">
        <v>1530</v>
      </c>
      <c r="B78" s="138" t="s">
        <v>1531</v>
      </c>
      <c r="C78" s="138"/>
      <c r="D78" s="139"/>
      <c r="E78" s="139"/>
      <c r="F78" s="142"/>
    </row>
    <row r="79" ht="22.5" customHeight="1">
      <c r="A79" s="138" t="s">
        <v>1532</v>
      </c>
      <c r="B79" s="138" t="s">
        <v>1533</v>
      </c>
      <c r="C79" s="138"/>
      <c r="D79" s="139"/>
      <c r="E79" s="139"/>
      <c r="F79" s="142"/>
    </row>
    <row r="80" ht="22.5" customHeight="1">
      <c r="A80" s="138" t="s">
        <v>1534</v>
      </c>
      <c r="B80" s="138" t="s">
        <v>1535</v>
      </c>
      <c r="C80" s="138"/>
      <c r="D80" s="139"/>
      <c r="E80" s="139"/>
      <c r="F80" s="142"/>
    </row>
    <row r="81" ht="22.5" customHeight="1">
      <c r="A81" s="138" t="s">
        <v>1536</v>
      </c>
      <c r="B81" s="138" t="s">
        <v>1537</v>
      </c>
      <c r="C81" s="138"/>
      <c r="D81" s="139"/>
      <c r="E81" s="139"/>
      <c r="F81" s="142"/>
    </row>
    <row r="82" ht="22.5" customHeight="1">
      <c r="A82" s="138" t="s">
        <v>1538</v>
      </c>
      <c r="B82" s="138" t="s">
        <v>1539</v>
      </c>
      <c r="C82" s="138"/>
      <c r="D82" s="139"/>
      <c r="E82" s="139"/>
      <c r="F82" s="142"/>
    </row>
    <row r="83" ht="22.5" customHeight="1">
      <c r="A83" s="138" t="s">
        <v>1540</v>
      </c>
      <c r="B83" s="138" t="s">
        <v>1541</v>
      </c>
      <c r="C83" s="138"/>
      <c r="D83" s="139"/>
      <c r="E83" s="139"/>
      <c r="F83" s="142"/>
    </row>
    <row r="84" ht="22.5" customHeight="1">
      <c r="A84" s="138" t="s">
        <v>1542</v>
      </c>
      <c r="B84" s="138" t="s">
        <v>1543</v>
      </c>
      <c r="C84" s="138"/>
      <c r="D84" s="139"/>
      <c r="E84" s="139"/>
      <c r="F84" s="142"/>
    </row>
    <row r="85" ht="22.5" customHeight="1">
      <c r="A85" s="138" t="s">
        <v>1544</v>
      </c>
      <c r="B85" s="138" t="s">
        <v>1545</v>
      </c>
      <c r="C85" s="138"/>
      <c r="D85" s="139"/>
      <c r="E85" s="139"/>
      <c r="F85" s="142"/>
    </row>
    <row r="86" ht="22.5" customHeight="1">
      <c r="A86" s="138" t="s">
        <v>1546</v>
      </c>
      <c r="B86" s="138" t="s">
        <v>1547</v>
      </c>
      <c r="C86" s="138"/>
      <c r="D86" s="139"/>
      <c r="E86" s="139"/>
      <c r="F86" s="142"/>
    </row>
    <row r="87" ht="22.5" customHeight="1">
      <c r="A87" s="138" t="s">
        <v>1548</v>
      </c>
      <c r="B87" s="138" t="s">
        <v>1549</v>
      </c>
      <c r="C87" s="138"/>
      <c r="D87" s="139"/>
      <c r="E87" s="139"/>
      <c r="F87" s="142"/>
    </row>
    <row r="88" ht="22.5" customHeight="1">
      <c r="A88" s="138" t="s">
        <v>1550</v>
      </c>
      <c r="B88" s="138" t="s">
        <v>1551</v>
      </c>
      <c r="C88" s="138"/>
      <c r="D88" s="139"/>
      <c r="E88" s="139"/>
      <c r="F88" s="142"/>
    </row>
    <row r="89" ht="22.5" customHeight="1">
      <c r="A89" s="138" t="s">
        <v>1552</v>
      </c>
      <c r="B89" s="138" t="s">
        <v>1553</v>
      </c>
      <c r="C89" s="138"/>
      <c r="D89" s="139"/>
      <c r="E89" s="139"/>
      <c r="F89" s="142"/>
    </row>
    <row r="90" ht="22.5" customHeight="1">
      <c r="A90" s="138" t="s">
        <v>1554</v>
      </c>
      <c r="B90" s="138" t="s">
        <v>1555</v>
      </c>
      <c r="C90" s="138"/>
      <c r="D90" s="139"/>
      <c r="E90" s="139"/>
      <c r="F90" s="142"/>
    </row>
    <row r="91" ht="22.5" customHeight="1">
      <c r="A91" s="138" t="s">
        <v>1556</v>
      </c>
      <c r="B91" s="138" t="s">
        <v>1557</v>
      </c>
      <c r="C91" s="138"/>
      <c r="D91" s="139"/>
      <c r="E91" s="139"/>
      <c r="F91" s="142"/>
    </row>
    <row r="92" ht="22.5" customHeight="1">
      <c r="A92" s="138" t="s">
        <v>1558</v>
      </c>
      <c r="B92" s="138" t="s">
        <v>1559</v>
      </c>
      <c r="C92" s="138"/>
      <c r="D92" s="139"/>
      <c r="E92" s="139"/>
      <c r="F92" s="142"/>
    </row>
    <row r="93" ht="22.5" customHeight="1">
      <c r="A93" s="138" t="s">
        <v>1560</v>
      </c>
      <c r="B93" s="138" t="s">
        <v>1561</v>
      </c>
      <c r="C93" s="138"/>
      <c r="D93" s="139"/>
      <c r="E93" s="139"/>
      <c r="F93" s="142"/>
    </row>
    <row r="94" ht="22.5" customHeight="1">
      <c r="A94" s="138" t="s">
        <v>1562</v>
      </c>
      <c r="B94" s="138" t="s">
        <v>1563</v>
      </c>
      <c r="C94" s="138"/>
      <c r="D94" s="139"/>
      <c r="E94" s="139"/>
      <c r="F94" s="142"/>
    </row>
    <row r="95" ht="22.5" customHeight="1">
      <c r="A95" s="138" t="s">
        <v>1564</v>
      </c>
      <c r="B95" s="138" t="s">
        <v>1565</v>
      </c>
      <c r="C95" s="138"/>
      <c r="D95" s="139"/>
      <c r="E95" s="139"/>
      <c r="F95" s="142"/>
    </row>
    <row r="96" ht="22.5" customHeight="1">
      <c r="A96" s="138" t="s">
        <v>1566</v>
      </c>
      <c r="B96" s="138" t="s">
        <v>1567</v>
      </c>
      <c r="C96" s="138"/>
      <c r="D96" s="139"/>
      <c r="E96" s="139"/>
      <c r="F96" s="142"/>
    </row>
    <row r="97" ht="22.5" customHeight="1">
      <c r="A97" s="138"/>
      <c r="B97" s="138" t="s">
        <v>1568</v>
      </c>
      <c r="C97" s="138"/>
      <c r="D97" s="139"/>
      <c r="E97" s="139"/>
      <c r="F97" s="142"/>
    </row>
    <row r="98" ht="22.5" customHeight="1">
      <c r="A98" s="138"/>
      <c r="B98" s="138" t="s">
        <v>1569</v>
      </c>
      <c r="C98" s="138"/>
      <c r="D98" s="139"/>
      <c r="E98" s="139"/>
      <c r="F98" s="142"/>
    </row>
    <row r="99" ht="22.5" customHeight="1">
      <c r="A99" s="138"/>
      <c r="B99" s="138" t="s">
        <v>1570</v>
      </c>
      <c r="C99" s="138"/>
      <c r="D99" s="139"/>
      <c r="E99" s="139"/>
      <c r="F99" s="142"/>
    </row>
    <row r="100" ht="22.5" customHeight="1">
      <c r="A100" s="138"/>
      <c r="B100" s="138" t="s">
        <v>1571</v>
      </c>
      <c r="C100" s="138"/>
      <c r="D100" s="139"/>
      <c r="E100" s="139"/>
      <c r="F100" s="142"/>
    </row>
    <row r="101" ht="22.5" customHeight="1">
      <c r="A101" s="138"/>
      <c r="B101" s="138" t="s">
        <v>1572</v>
      </c>
      <c r="C101" s="138"/>
      <c r="D101" s="139"/>
      <c r="E101" s="139"/>
      <c r="F101" s="142"/>
    </row>
    <row r="102" ht="22.5" customHeight="1">
      <c r="A102" s="138"/>
      <c r="B102" s="138" t="s">
        <v>1568</v>
      </c>
      <c r="C102" s="138"/>
      <c r="D102" s="139"/>
      <c r="E102" s="139"/>
      <c r="F102" s="142"/>
    </row>
    <row r="103" ht="22.5" customHeight="1">
      <c r="A103" s="138"/>
      <c r="B103" s="138" t="s">
        <v>1573</v>
      </c>
      <c r="C103" s="138"/>
      <c r="D103" s="139"/>
      <c r="E103" s="139"/>
      <c r="F103" s="142"/>
    </row>
    <row r="104" ht="22.5" customHeight="1">
      <c r="A104" s="138" t="s">
        <v>1574</v>
      </c>
      <c r="B104" s="138" t="s">
        <v>1575</v>
      </c>
      <c r="C104" s="138"/>
      <c r="D104" s="139"/>
      <c r="E104" s="139"/>
      <c r="F104" s="142"/>
    </row>
    <row r="105" ht="22.5" customHeight="1">
      <c r="A105" s="138" t="s">
        <v>1576</v>
      </c>
      <c r="B105" s="138" t="s">
        <v>1577</v>
      </c>
      <c r="C105" s="138"/>
      <c r="D105" s="139"/>
      <c r="E105" s="139"/>
      <c r="F105" s="142"/>
    </row>
    <row r="106" ht="22.5" customHeight="1">
      <c r="A106" s="138" t="s">
        <v>1578</v>
      </c>
      <c r="B106" s="138" t="s">
        <v>1579</v>
      </c>
      <c r="C106" s="138"/>
      <c r="D106" s="139"/>
      <c r="E106" s="139"/>
      <c r="F106" s="142"/>
    </row>
    <row r="107" ht="22.5" customHeight="1">
      <c r="A107" s="138" t="s">
        <v>1580</v>
      </c>
      <c r="B107" s="138" t="s">
        <v>1581</v>
      </c>
      <c r="C107" s="138"/>
      <c r="D107" s="139"/>
      <c r="E107" s="139"/>
      <c r="F107" s="142"/>
    </row>
    <row r="108" ht="22.5" customHeight="1">
      <c r="A108" s="138" t="s">
        <v>1582</v>
      </c>
      <c r="B108" s="138" t="s">
        <v>1583</v>
      </c>
      <c r="C108" s="138"/>
      <c r="D108" s="139"/>
      <c r="E108" s="139"/>
      <c r="F108" s="142"/>
    </row>
    <row r="109" ht="22.5" customHeight="1">
      <c r="A109" s="138" t="s">
        <v>1584</v>
      </c>
      <c r="B109" s="138" t="s">
        <v>1585</v>
      </c>
      <c r="C109" s="138"/>
      <c r="D109" s="139"/>
      <c r="E109" s="139"/>
      <c r="F109" s="142"/>
    </row>
    <row r="110" ht="22.5" customHeight="1">
      <c r="A110" s="138" t="s">
        <v>1586</v>
      </c>
      <c r="B110" s="138" t="s">
        <v>1587</v>
      </c>
      <c r="C110" s="138"/>
      <c r="D110" s="139"/>
      <c r="E110" s="139"/>
      <c r="F110" s="142"/>
    </row>
    <row r="111" ht="22.5" customHeight="1">
      <c r="A111" s="138" t="s">
        <v>1589</v>
      </c>
      <c r="B111" s="138" t="s">
        <v>1590</v>
      </c>
      <c r="C111" s="138"/>
      <c r="D111" s="139"/>
      <c r="E111" s="139"/>
      <c r="F111" s="142"/>
    </row>
    <row r="112" ht="22.5" customHeight="1">
      <c r="A112" s="138" t="s">
        <v>1595</v>
      </c>
      <c r="B112" s="138" t="s">
        <v>1597</v>
      </c>
      <c r="C112" s="138"/>
      <c r="D112" s="139"/>
      <c r="E112" s="139"/>
      <c r="F112" s="142"/>
    </row>
    <row r="113" ht="22.5" customHeight="1">
      <c r="A113" s="138" t="s">
        <v>1598</v>
      </c>
      <c r="B113" s="138" t="s">
        <v>1599</v>
      </c>
      <c r="C113" s="138"/>
      <c r="D113" s="139"/>
      <c r="E113" s="139"/>
      <c r="F113" s="142"/>
    </row>
    <row r="114" ht="22.5" customHeight="1">
      <c r="A114" s="138" t="s">
        <v>1600</v>
      </c>
      <c r="B114" s="138" t="s">
        <v>1601</v>
      </c>
      <c r="C114" s="138"/>
      <c r="D114" s="139"/>
      <c r="E114" s="139"/>
      <c r="F114" s="142"/>
    </row>
    <row r="115" ht="22.5" customHeight="1">
      <c r="A115" s="138" t="s">
        <v>1602</v>
      </c>
      <c r="B115" s="138" t="s">
        <v>1603</v>
      </c>
      <c r="C115" s="138"/>
      <c r="D115" s="139"/>
      <c r="E115" s="139"/>
      <c r="F115" s="142"/>
    </row>
    <row r="116">
      <c r="A116" s="76"/>
      <c r="B116" s="76"/>
      <c r="C116" s="76"/>
      <c r="D116" s="76"/>
      <c r="E116" s="76"/>
      <c r="F116" s="76"/>
    </row>
    <row r="117">
      <c r="A117" s="76"/>
      <c r="B117" s="76"/>
      <c r="C117" s="76"/>
      <c r="D117" s="76"/>
      <c r="E117" s="76"/>
      <c r="F117" s="76"/>
    </row>
    <row r="118">
      <c r="A118" s="76"/>
      <c r="B118" s="76"/>
      <c r="C118" s="76"/>
      <c r="D118" s="76"/>
      <c r="E118" s="76"/>
      <c r="F118" s="76"/>
    </row>
    <row r="119">
      <c r="A119" s="76"/>
      <c r="B119" s="76"/>
      <c r="C119" s="76"/>
      <c r="D119" s="76"/>
      <c r="E119" s="76"/>
      <c r="F119" s="76"/>
    </row>
    <row r="120">
      <c r="A120" s="76"/>
      <c r="B120" s="76"/>
      <c r="C120" s="76"/>
      <c r="D120" s="76"/>
      <c r="E120" s="76"/>
      <c r="F120" s="76"/>
    </row>
    <row r="121">
      <c r="A121" s="76"/>
      <c r="B121" s="76"/>
      <c r="C121" s="76"/>
      <c r="D121" s="76"/>
      <c r="E121" s="76"/>
      <c r="F121" s="76"/>
    </row>
    <row r="122">
      <c r="A122" s="76"/>
      <c r="B122" s="76"/>
      <c r="C122" s="76"/>
      <c r="D122" s="76"/>
      <c r="E122" s="76"/>
      <c r="F122" s="76"/>
    </row>
    <row r="123">
      <c r="A123" s="76"/>
      <c r="B123" s="76"/>
      <c r="C123" s="76"/>
      <c r="D123" s="76"/>
      <c r="E123" s="76"/>
      <c r="F123" s="76"/>
    </row>
    <row r="124">
      <c r="A124" s="76"/>
      <c r="B124" s="76"/>
      <c r="C124" s="76"/>
      <c r="D124" s="76"/>
      <c r="E124" s="76"/>
      <c r="F124" s="76"/>
    </row>
    <row r="125">
      <c r="A125" s="76"/>
      <c r="B125" s="76"/>
      <c r="C125" s="76"/>
      <c r="D125" s="76"/>
      <c r="E125" s="76"/>
      <c r="F125" s="76"/>
    </row>
    <row r="126">
      <c r="A126" s="76"/>
      <c r="B126" s="76"/>
      <c r="C126" s="76"/>
      <c r="D126" s="76"/>
      <c r="E126" s="76"/>
      <c r="F126" s="76"/>
    </row>
    <row r="127">
      <c r="A127" s="76"/>
      <c r="B127" s="76"/>
      <c r="C127" s="76"/>
      <c r="D127" s="76"/>
      <c r="E127" s="76"/>
      <c r="F127" s="76"/>
    </row>
    <row r="128">
      <c r="A128" s="76"/>
      <c r="B128" s="76"/>
      <c r="C128" s="76"/>
      <c r="D128" s="76"/>
      <c r="E128" s="76"/>
      <c r="F128" s="76"/>
    </row>
    <row r="129">
      <c r="A129" s="76"/>
      <c r="B129" s="76"/>
      <c r="C129" s="76"/>
      <c r="D129" s="76"/>
      <c r="E129" s="76"/>
      <c r="F129" s="76"/>
    </row>
    <row r="130">
      <c r="A130" s="76"/>
      <c r="B130" s="76"/>
      <c r="C130" s="76"/>
      <c r="D130" s="76"/>
      <c r="E130" s="76"/>
      <c r="F130" s="76"/>
    </row>
    <row r="131">
      <c r="A131" s="76"/>
      <c r="B131" s="76"/>
      <c r="C131" s="76"/>
      <c r="D131" s="76"/>
      <c r="E131" s="76"/>
      <c r="F131" s="76"/>
    </row>
    <row r="132">
      <c r="A132" s="76"/>
      <c r="B132" s="76"/>
      <c r="C132" s="76"/>
      <c r="D132" s="76"/>
      <c r="E132" s="76"/>
      <c r="F132" s="76"/>
    </row>
    <row r="133">
      <c r="A133" s="76"/>
      <c r="B133" s="76"/>
      <c r="C133" s="76"/>
      <c r="D133" s="76"/>
      <c r="E133" s="76"/>
      <c r="F133" s="76"/>
    </row>
    <row r="134">
      <c r="A134" s="76"/>
      <c r="B134" s="76"/>
      <c r="C134" s="76"/>
      <c r="D134" s="76"/>
      <c r="E134" s="76"/>
      <c r="F134" s="76"/>
    </row>
    <row r="135">
      <c r="A135" s="76"/>
      <c r="B135" s="76"/>
      <c r="C135" s="76"/>
      <c r="D135" s="76"/>
      <c r="E135" s="76"/>
      <c r="F135" s="76"/>
    </row>
    <row r="136">
      <c r="A136" s="76"/>
      <c r="B136" s="76"/>
      <c r="C136" s="76"/>
      <c r="D136" s="76"/>
      <c r="E136" s="76"/>
      <c r="F136" s="76"/>
    </row>
    <row r="137">
      <c r="A137" s="76"/>
      <c r="B137" s="76"/>
      <c r="C137" s="76"/>
      <c r="D137" s="76"/>
      <c r="E137" s="76"/>
      <c r="F137" s="76"/>
    </row>
    <row r="138">
      <c r="A138" s="76"/>
      <c r="B138" s="76"/>
      <c r="C138" s="76"/>
      <c r="D138" s="76"/>
      <c r="E138" s="76"/>
      <c r="F138" s="76"/>
    </row>
    <row r="139">
      <c r="A139" s="76"/>
      <c r="B139" s="76"/>
      <c r="C139" s="76"/>
      <c r="D139" s="76"/>
      <c r="E139" s="76"/>
      <c r="F139" s="76"/>
    </row>
    <row r="140">
      <c r="A140" s="76"/>
      <c r="B140" s="76"/>
      <c r="C140" s="76"/>
      <c r="D140" s="76"/>
      <c r="E140" s="76"/>
      <c r="F140" s="76"/>
    </row>
    <row r="141">
      <c r="A141" s="76"/>
      <c r="B141" s="76"/>
      <c r="C141" s="76"/>
      <c r="D141" s="76"/>
      <c r="E141" s="76"/>
      <c r="F141" s="76"/>
    </row>
    <row r="142">
      <c r="A142" s="76"/>
      <c r="B142" s="76"/>
      <c r="C142" s="76"/>
      <c r="D142" s="76"/>
      <c r="E142" s="76"/>
      <c r="F142" s="76"/>
    </row>
    <row r="143">
      <c r="A143" s="76"/>
      <c r="B143" s="76"/>
      <c r="C143" s="76"/>
      <c r="D143" s="76"/>
      <c r="E143" s="76"/>
      <c r="F143" s="76"/>
    </row>
    <row r="144">
      <c r="A144" s="76"/>
      <c r="B144" s="76"/>
      <c r="C144" s="76"/>
      <c r="D144" s="76"/>
      <c r="E144" s="76"/>
      <c r="F144" s="76"/>
    </row>
    <row r="145">
      <c r="A145" s="76"/>
      <c r="B145" s="76"/>
      <c r="C145" s="76"/>
      <c r="D145" s="76"/>
      <c r="E145" s="76"/>
      <c r="F145" s="76"/>
    </row>
    <row r="146">
      <c r="A146" s="76"/>
      <c r="B146" s="76"/>
      <c r="C146" s="76"/>
      <c r="D146" s="76"/>
      <c r="E146" s="76"/>
      <c r="F146" s="76"/>
    </row>
    <row r="147">
      <c r="A147" s="76"/>
      <c r="B147" s="76"/>
      <c r="C147" s="76"/>
      <c r="D147" s="76"/>
      <c r="E147" s="76"/>
      <c r="F147" s="76"/>
    </row>
    <row r="148">
      <c r="A148" s="76"/>
      <c r="B148" s="76"/>
      <c r="C148" s="76"/>
      <c r="D148" s="76"/>
      <c r="E148" s="76"/>
      <c r="F148" s="76"/>
    </row>
    <row r="149">
      <c r="A149" s="76"/>
      <c r="B149" s="76"/>
      <c r="C149" s="76"/>
      <c r="D149" s="76"/>
      <c r="E149" s="76"/>
      <c r="F149" s="76"/>
    </row>
    <row r="150">
      <c r="A150" s="76"/>
      <c r="B150" s="76"/>
      <c r="C150" s="76"/>
      <c r="D150" s="76"/>
      <c r="E150" s="76"/>
      <c r="F150" s="76"/>
    </row>
    <row r="151">
      <c r="A151" s="76"/>
      <c r="B151" s="76"/>
      <c r="C151" s="76"/>
      <c r="D151" s="76"/>
      <c r="E151" s="76"/>
      <c r="F151" s="76"/>
    </row>
    <row r="152">
      <c r="A152" s="76"/>
      <c r="B152" s="76"/>
      <c r="C152" s="76"/>
      <c r="D152" s="76"/>
      <c r="E152" s="76"/>
      <c r="F152" s="76"/>
    </row>
    <row r="153">
      <c r="A153" s="76"/>
      <c r="B153" s="76"/>
      <c r="C153" s="76"/>
      <c r="D153" s="76"/>
      <c r="E153" s="76"/>
      <c r="F153" s="76"/>
    </row>
    <row r="154">
      <c r="A154" s="76"/>
      <c r="B154" s="76"/>
      <c r="C154" s="76"/>
      <c r="D154" s="76"/>
      <c r="E154" s="76"/>
      <c r="F154" s="76"/>
    </row>
    <row r="155">
      <c r="A155" s="76"/>
      <c r="B155" s="76"/>
      <c r="C155" s="76"/>
      <c r="D155" s="76"/>
      <c r="E155" s="76"/>
      <c r="F155" s="76"/>
    </row>
    <row r="156">
      <c r="A156" s="76"/>
      <c r="B156" s="76"/>
      <c r="C156" s="76"/>
      <c r="D156" s="76"/>
      <c r="E156" s="76"/>
      <c r="F156" s="76"/>
    </row>
    <row r="157">
      <c r="A157" s="76"/>
      <c r="B157" s="76"/>
      <c r="C157" s="76"/>
      <c r="D157" s="76"/>
      <c r="E157" s="76"/>
      <c r="F157" s="76"/>
    </row>
    <row r="158">
      <c r="A158" s="76"/>
      <c r="B158" s="76"/>
      <c r="C158" s="76"/>
      <c r="D158" s="76"/>
      <c r="E158" s="76"/>
      <c r="F158" s="76"/>
    </row>
    <row r="159">
      <c r="A159" s="76"/>
      <c r="B159" s="76"/>
      <c r="C159" s="76"/>
      <c r="D159" s="76"/>
      <c r="E159" s="76"/>
      <c r="F159" s="76"/>
    </row>
    <row r="160">
      <c r="A160" s="76"/>
      <c r="B160" s="76"/>
      <c r="C160" s="76"/>
      <c r="D160" s="76"/>
      <c r="E160" s="76"/>
      <c r="F160" s="76"/>
    </row>
    <row r="161">
      <c r="A161" s="76"/>
      <c r="B161" s="76"/>
      <c r="C161" s="76"/>
      <c r="D161" s="76"/>
      <c r="E161" s="76"/>
      <c r="F161" s="76"/>
    </row>
    <row r="162">
      <c r="A162" s="76"/>
      <c r="B162" s="76"/>
      <c r="C162" s="76"/>
      <c r="D162" s="76"/>
      <c r="E162" s="76"/>
      <c r="F162" s="76"/>
    </row>
    <row r="163">
      <c r="A163" s="76"/>
      <c r="B163" s="76"/>
      <c r="C163" s="76"/>
      <c r="D163" s="76"/>
      <c r="E163" s="76"/>
      <c r="F163" s="76"/>
    </row>
    <row r="164">
      <c r="A164" s="76"/>
      <c r="B164" s="76"/>
      <c r="C164" s="76"/>
      <c r="D164" s="76"/>
      <c r="E164" s="76"/>
      <c r="F164" s="76"/>
    </row>
    <row r="165">
      <c r="A165" s="76"/>
      <c r="B165" s="76"/>
      <c r="C165" s="76"/>
      <c r="D165" s="76"/>
      <c r="E165" s="76"/>
      <c r="F165" s="76"/>
    </row>
    <row r="166">
      <c r="A166" s="76"/>
      <c r="B166" s="76"/>
      <c r="C166" s="76"/>
      <c r="D166" s="76"/>
      <c r="E166" s="76"/>
      <c r="F166" s="76"/>
    </row>
    <row r="167">
      <c r="A167" s="76"/>
      <c r="B167" s="76"/>
      <c r="C167" s="76"/>
      <c r="D167" s="76"/>
      <c r="E167" s="76"/>
      <c r="F167" s="76"/>
    </row>
    <row r="168">
      <c r="A168" s="76"/>
      <c r="B168" s="76"/>
      <c r="C168" s="76"/>
      <c r="D168" s="76"/>
      <c r="E168" s="76"/>
      <c r="F168" s="76"/>
    </row>
    <row r="169">
      <c r="A169" s="76"/>
      <c r="B169" s="76"/>
      <c r="C169" s="76"/>
      <c r="D169" s="76"/>
      <c r="E169" s="76"/>
      <c r="F169" s="76"/>
    </row>
    <row r="170">
      <c r="A170" s="76"/>
      <c r="B170" s="76"/>
      <c r="C170" s="76"/>
      <c r="D170" s="76"/>
      <c r="E170" s="76"/>
      <c r="F170" s="76"/>
    </row>
    <row r="171">
      <c r="A171" s="76"/>
      <c r="B171" s="76"/>
      <c r="C171" s="76"/>
      <c r="D171" s="76"/>
      <c r="E171" s="76"/>
      <c r="F171" s="76"/>
    </row>
    <row r="172">
      <c r="A172" s="76"/>
      <c r="B172" s="76"/>
      <c r="C172" s="76"/>
      <c r="D172" s="76"/>
      <c r="E172" s="76"/>
      <c r="F172" s="76"/>
    </row>
    <row r="173">
      <c r="A173" s="76"/>
      <c r="B173" s="76"/>
      <c r="C173" s="76"/>
      <c r="D173" s="76"/>
      <c r="E173" s="76"/>
      <c r="F173" s="76"/>
    </row>
    <row r="174">
      <c r="A174" s="76"/>
      <c r="B174" s="76"/>
      <c r="C174" s="76"/>
      <c r="D174" s="76"/>
      <c r="E174" s="76"/>
      <c r="F174" s="76"/>
    </row>
    <row r="175">
      <c r="A175" s="76"/>
      <c r="B175" s="76"/>
      <c r="C175" s="76"/>
      <c r="D175" s="76"/>
      <c r="E175" s="76"/>
      <c r="F175" s="76"/>
    </row>
    <row r="176">
      <c r="A176" s="76"/>
      <c r="B176" s="76"/>
      <c r="C176" s="76"/>
      <c r="D176" s="76"/>
      <c r="E176" s="76"/>
      <c r="F176" s="76"/>
    </row>
    <row r="177">
      <c r="A177" s="76"/>
      <c r="B177" s="76"/>
      <c r="C177" s="76"/>
      <c r="D177" s="76"/>
      <c r="E177" s="76"/>
      <c r="F177" s="76"/>
    </row>
    <row r="178">
      <c r="A178" s="76"/>
      <c r="B178" s="76"/>
      <c r="C178" s="76"/>
      <c r="D178" s="76"/>
      <c r="E178" s="76"/>
      <c r="F178" s="76"/>
    </row>
    <row r="179">
      <c r="A179" s="76"/>
      <c r="B179" s="76"/>
      <c r="C179" s="76"/>
      <c r="D179" s="76"/>
      <c r="E179" s="76"/>
      <c r="F179" s="76"/>
    </row>
    <row r="180">
      <c r="A180" s="76"/>
      <c r="B180" s="76"/>
      <c r="C180" s="76"/>
      <c r="D180" s="76"/>
      <c r="E180" s="76"/>
      <c r="F180" s="76"/>
    </row>
    <row r="181">
      <c r="A181" s="76"/>
      <c r="B181" s="76"/>
      <c r="C181" s="76"/>
      <c r="D181" s="76"/>
      <c r="E181" s="76"/>
      <c r="F181" s="76"/>
    </row>
    <row r="182">
      <c r="A182" s="76"/>
      <c r="B182" s="76"/>
      <c r="C182" s="76"/>
      <c r="D182" s="76"/>
      <c r="E182" s="76"/>
      <c r="F182" s="76"/>
    </row>
    <row r="183">
      <c r="A183" s="76"/>
      <c r="B183" s="76"/>
      <c r="C183" s="76"/>
      <c r="D183" s="76"/>
      <c r="E183" s="76"/>
      <c r="F183" s="76"/>
    </row>
    <row r="184">
      <c r="A184" s="76"/>
      <c r="B184" s="76"/>
      <c r="C184" s="76"/>
      <c r="D184" s="76"/>
      <c r="E184" s="76"/>
      <c r="F184" s="76"/>
    </row>
    <row r="185">
      <c r="A185" s="76"/>
      <c r="B185" s="76"/>
      <c r="C185" s="76"/>
      <c r="D185" s="76"/>
      <c r="E185" s="76"/>
      <c r="F185" s="76"/>
    </row>
    <row r="186">
      <c r="A186" s="76"/>
      <c r="B186" s="76"/>
      <c r="C186" s="76"/>
      <c r="D186" s="76"/>
      <c r="E186" s="76"/>
      <c r="F186" s="76"/>
    </row>
    <row r="187">
      <c r="A187" s="76"/>
      <c r="B187" s="76"/>
      <c r="C187" s="76"/>
      <c r="D187" s="76"/>
      <c r="E187" s="76"/>
      <c r="F187" s="76"/>
    </row>
    <row r="188">
      <c r="A188" s="76"/>
      <c r="B188" s="76"/>
      <c r="C188" s="76"/>
      <c r="D188" s="76"/>
      <c r="E188" s="76"/>
      <c r="F188" s="76"/>
    </row>
    <row r="189">
      <c r="A189" s="76"/>
      <c r="B189" s="76"/>
      <c r="C189" s="76"/>
      <c r="D189" s="76"/>
      <c r="E189" s="76"/>
      <c r="F189" s="76"/>
    </row>
    <row r="190">
      <c r="A190" s="76"/>
      <c r="B190" s="76"/>
      <c r="C190" s="76"/>
      <c r="D190" s="76"/>
      <c r="E190" s="76"/>
      <c r="F190" s="76"/>
    </row>
    <row r="191">
      <c r="A191" s="76"/>
      <c r="B191" s="76"/>
      <c r="C191" s="76"/>
      <c r="D191" s="76"/>
      <c r="E191" s="76"/>
      <c r="F191" s="76"/>
    </row>
    <row r="192">
      <c r="A192" s="76"/>
      <c r="B192" s="76"/>
      <c r="C192" s="76"/>
      <c r="D192" s="76"/>
      <c r="E192" s="76"/>
      <c r="F192" s="76"/>
    </row>
    <row r="193">
      <c r="A193" s="76"/>
      <c r="B193" s="76"/>
      <c r="C193" s="76"/>
      <c r="D193" s="76"/>
      <c r="E193" s="76"/>
      <c r="F193" s="76"/>
    </row>
    <row r="194">
      <c r="A194" s="76"/>
      <c r="B194" s="76"/>
      <c r="C194" s="76"/>
      <c r="D194" s="76"/>
      <c r="E194" s="76"/>
      <c r="F194" s="76"/>
    </row>
    <row r="195">
      <c r="A195" s="76"/>
      <c r="B195" s="76"/>
      <c r="C195" s="76"/>
      <c r="D195" s="76"/>
      <c r="E195" s="76"/>
      <c r="F195" s="76"/>
    </row>
    <row r="196">
      <c r="A196" s="76"/>
      <c r="B196" s="76"/>
      <c r="C196" s="76"/>
      <c r="D196" s="76"/>
      <c r="E196" s="76"/>
      <c r="F196" s="76"/>
    </row>
    <row r="197">
      <c r="A197" s="76"/>
      <c r="B197" s="76"/>
      <c r="C197" s="76"/>
      <c r="D197" s="76"/>
      <c r="E197" s="76"/>
      <c r="F197" s="76"/>
    </row>
    <row r="198">
      <c r="A198" s="76"/>
      <c r="B198" s="76"/>
      <c r="C198" s="76"/>
      <c r="D198" s="76"/>
      <c r="E198" s="76"/>
      <c r="F198" s="76"/>
    </row>
    <row r="199">
      <c r="A199" s="76"/>
      <c r="B199" s="76"/>
      <c r="C199" s="76"/>
      <c r="D199" s="76"/>
      <c r="E199" s="76"/>
      <c r="F199" s="76"/>
    </row>
    <row r="200">
      <c r="A200" s="76"/>
      <c r="B200" s="76"/>
      <c r="C200" s="76"/>
      <c r="D200" s="76"/>
      <c r="E200" s="76"/>
      <c r="F200" s="76"/>
    </row>
    <row r="201">
      <c r="A201" s="76"/>
      <c r="B201" s="76"/>
      <c r="C201" s="76"/>
      <c r="D201" s="76"/>
      <c r="E201" s="76"/>
      <c r="F201" s="76"/>
    </row>
    <row r="202">
      <c r="A202" s="76"/>
      <c r="B202" s="76"/>
      <c r="C202" s="76"/>
      <c r="D202" s="76"/>
      <c r="E202" s="76"/>
      <c r="F202" s="76"/>
    </row>
    <row r="203">
      <c r="A203" s="76"/>
      <c r="B203" s="76"/>
      <c r="C203" s="76"/>
      <c r="D203" s="76"/>
      <c r="E203" s="76"/>
      <c r="F203" s="76"/>
    </row>
    <row r="204">
      <c r="A204" s="76"/>
      <c r="B204" s="76"/>
      <c r="C204" s="76"/>
      <c r="D204" s="76"/>
      <c r="E204" s="76"/>
      <c r="F204" s="76"/>
    </row>
    <row r="205">
      <c r="A205" s="76"/>
      <c r="B205" s="76"/>
      <c r="C205" s="76"/>
      <c r="D205" s="76"/>
      <c r="E205" s="76"/>
      <c r="F205" s="76"/>
    </row>
    <row r="206">
      <c r="A206" s="76"/>
      <c r="B206" s="76"/>
      <c r="C206" s="76"/>
      <c r="D206" s="76"/>
      <c r="E206" s="76"/>
      <c r="F206" s="76"/>
    </row>
    <row r="207">
      <c r="A207" s="76"/>
      <c r="B207" s="76"/>
      <c r="C207" s="76"/>
      <c r="D207" s="76"/>
      <c r="E207" s="76"/>
      <c r="F207" s="76"/>
    </row>
    <row r="208">
      <c r="A208" s="76"/>
      <c r="B208" s="76"/>
      <c r="C208" s="76"/>
      <c r="D208" s="76"/>
      <c r="E208" s="76"/>
      <c r="F208" s="76"/>
    </row>
    <row r="209">
      <c r="A209" s="76"/>
      <c r="B209" s="76"/>
      <c r="C209" s="76"/>
      <c r="D209" s="76"/>
      <c r="E209" s="76"/>
      <c r="F209" s="76"/>
    </row>
    <row r="210">
      <c r="A210" s="76"/>
      <c r="B210" s="76"/>
      <c r="C210" s="76"/>
      <c r="D210" s="76"/>
      <c r="E210" s="76"/>
      <c r="F210" s="76"/>
    </row>
    <row r="211">
      <c r="A211" s="76"/>
      <c r="B211" s="76"/>
      <c r="C211" s="76"/>
      <c r="D211" s="76"/>
      <c r="E211" s="76"/>
      <c r="F211" s="76"/>
    </row>
    <row r="212">
      <c r="A212" s="76"/>
      <c r="B212" s="76"/>
      <c r="C212" s="76"/>
      <c r="D212" s="76"/>
      <c r="E212" s="76"/>
      <c r="F212" s="76"/>
    </row>
    <row r="213">
      <c r="A213" s="76"/>
      <c r="B213" s="76"/>
      <c r="C213" s="76"/>
      <c r="D213" s="76"/>
      <c r="E213" s="76"/>
      <c r="F213" s="76"/>
    </row>
    <row r="214">
      <c r="A214" s="76"/>
      <c r="B214" s="76"/>
      <c r="C214" s="76"/>
      <c r="D214" s="76"/>
      <c r="E214" s="76"/>
      <c r="F214" s="76"/>
    </row>
    <row r="215">
      <c r="A215" s="76"/>
      <c r="B215" s="76"/>
      <c r="C215" s="76"/>
      <c r="D215" s="76"/>
      <c r="E215" s="76"/>
      <c r="F215" s="76"/>
    </row>
    <row r="216">
      <c r="A216" s="76"/>
      <c r="B216" s="76"/>
      <c r="C216" s="76"/>
      <c r="D216" s="76"/>
      <c r="E216" s="76"/>
      <c r="F216" s="76"/>
    </row>
    <row r="217">
      <c r="A217" s="76"/>
      <c r="B217" s="76"/>
      <c r="C217" s="76"/>
      <c r="D217" s="76"/>
      <c r="E217" s="76"/>
      <c r="F217" s="76"/>
    </row>
    <row r="218">
      <c r="A218" s="76"/>
      <c r="B218" s="76"/>
      <c r="C218" s="76"/>
      <c r="D218" s="76"/>
      <c r="E218" s="76"/>
      <c r="F218" s="76"/>
    </row>
    <row r="219">
      <c r="A219" s="76"/>
      <c r="B219" s="76"/>
      <c r="C219" s="76"/>
      <c r="D219" s="76"/>
      <c r="E219" s="76"/>
      <c r="F219" s="76"/>
    </row>
    <row r="220">
      <c r="A220" s="76"/>
      <c r="B220" s="76"/>
      <c r="C220" s="76"/>
      <c r="D220" s="76"/>
      <c r="E220" s="76"/>
      <c r="F220" s="76"/>
    </row>
    <row r="221">
      <c r="A221" s="76"/>
      <c r="B221" s="76"/>
      <c r="C221" s="76"/>
      <c r="D221" s="76"/>
      <c r="E221" s="76"/>
      <c r="F221" s="76"/>
    </row>
    <row r="222">
      <c r="A222" s="76"/>
      <c r="B222" s="76"/>
      <c r="C222" s="76"/>
      <c r="D222" s="76"/>
      <c r="E222" s="76"/>
      <c r="F222" s="76"/>
    </row>
    <row r="223">
      <c r="A223" s="76"/>
      <c r="B223" s="76"/>
      <c r="C223" s="76"/>
      <c r="D223" s="76"/>
      <c r="E223" s="76"/>
      <c r="F223" s="76"/>
    </row>
    <row r="224">
      <c r="A224" s="76"/>
      <c r="B224" s="76"/>
      <c r="C224" s="76"/>
      <c r="D224" s="76"/>
      <c r="E224" s="76"/>
      <c r="F224" s="76"/>
    </row>
    <row r="225">
      <c r="A225" s="76"/>
      <c r="B225" s="76"/>
      <c r="C225" s="76"/>
      <c r="D225" s="76"/>
      <c r="E225" s="76"/>
      <c r="F225" s="76"/>
    </row>
    <row r="226">
      <c r="A226" s="76"/>
      <c r="B226" s="76"/>
      <c r="C226" s="76"/>
      <c r="D226" s="76"/>
      <c r="E226" s="76"/>
      <c r="F226" s="76"/>
    </row>
    <row r="227">
      <c r="A227" s="76"/>
      <c r="B227" s="76"/>
      <c r="C227" s="76"/>
      <c r="D227" s="76"/>
      <c r="E227" s="76"/>
      <c r="F227" s="76"/>
    </row>
    <row r="228">
      <c r="A228" s="76"/>
      <c r="B228" s="76"/>
      <c r="C228" s="76"/>
      <c r="D228" s="76"/>
      <c r="E228" s="76"/>
      <c r="F228" s="76"/>
    </row>
    <row r="229">
      <c r="A229" s="76"/>
      <c r="B229" s="76"/>
      <c r="C229" s="76"/>
      <c r="D229" s="76"/>
      <c r="E229" s="76"/>
      <c r="F229" s="76"/>
    </row>
    <row r="230">
      <c r="A230" s="76"/>
      <c r="B230" s="76"/>
      <c r="C230" s="76"/>
      <c r="D230" s="76"/>
      <c r="E230" s="76"/>
      <c r="F230" s="76"/>
    </row>
    <row r="231">
      <c r="A231" s="76"/>
      <c r="B231" s="76"/>
      <c r="C231" s="76"/>
      <c r="D231" s="76"/>
      <c r="E231" s="76"/>
      <c r="F231" s="76"/>
    </row>
    <row r="232">
      <c r="A232" s="76"/>
      <c r="B232" s="76"/>
      <c r="C232" s="76"/>
      <c r="D232" s="76"/>
      <c r="E232" s="76"/>
      <c r="F232" s="76"/>
    </row>
    <row r="233">
      <c r="A233" s="76"/>
      <c r="B233" s="76"/>
      <c r="C233" s="76"/>
      <c r="D233" s="76"/>
      <c r="E233" s="76"/>
      <c r="F233" s="76"/>
    </row>
    <row r="234">
      <c r="A234" s="76"/>
      <c r="B234" s="76"/>
      <c r="C234" s="76"/>
      <c r="D234" s="76"/>
      <c r="E234" s="76"/>
      <c r="F234" s="76"/>
    </row>
    <row r="235">
      <c r="A235" s="76"/>
      <c r="B235" s="76"/>
      <c r="C235" s="76"/>
      <c r="D235" s="76"/>
      <c r="E235" s="76"/>
      <c r="F235" s="76"/>
    </row>
    <row r="236">
      <c r="A236" s="76"/>
      <c r="B236" s="76"/>
      <c r="C236" s="76"/>
      <c r="D236" s="76"/>
      <c r="E236" s="76"/>
      <c r="F236" s="76"/>
    </row>
    <row r="237">
      <c r="A237" s="76"/>
      <c r="B237" s="76"/>
      <c r="C237" s="76"/>
      <c r="D237" s="76"/>
      <c r="E237" s="76"/>
      <c r="F237" s="76"/>
    </row>
    <row r="238">
      <c r="A238" s="76"/>
      <c r="B238" s="76"/>
      <c r="C238" s="76"/>
      <c r="D238" s="76"/>
      <c r="E238" s="76"/>
      <c r="F238" s="76"/>
    </row>
    <row r="239">
      <c r="A239" s="76"/>
      <c r="B239" s="76"/>
      <c r="C239" s="76"/>
      <c r="D239" s="76"/>
      <c r="E239" s="76"/>
      <c r="F239" s="76"/>
    </row>
    <row r="240">
      <c r="A240" s="76"/>
      <c r="B240" s="76"/>
      <c r="C240" s="76"/>
      <c r="D240" s="76"/>
      <c r="E240" s="76"/>
      <c r="F240" s="76"/>
    </row>
    <row r="241">
      <c r="A241" s="76"/>
      <c r="B241" s="76"/>
      <c r="C241" s="76"/>
      <c r="D241" s="76"/>
      <c r="E241" s="76"/>
      <c r="F241" s="76"/>
    </row>
    <row r="242">
      <c r="A242" s="76"/>
      <c r="B242" s="76"/>
      <c r="C242" s="76"/>
      <c r="D242" s="76"/>
      <c r="E242" s="76"/>
      <c r="F242" s="76"/>
    </row>
    <row r="243">
      <c r="A243" s="76"/>
      <c r="B243" s="76"/>
      <c r="C243" s="76"/>
      <c r="D243" s="76"/>
      <c r="E243" s="76"/>
      <c r="F243" s="76"/>
    </row>
    <row r="244">
      <c r="A244" s="76"/>
      <c r="B244" s="76"/>
      <c r="C244" s="76"/>
      <c r="D244" s="76"/>
      <c r="E244" s="76"/>
      <c r="F244" s="76"/>
    </row>
    <row r="245">
      <c r="A245" s="76"/>
      <c r="B245" s="76"/>
      <c r="C245" s="76"/>
      <c r="D245" s="76"/>
      <c r="E245" s="76"/>
      <c r="F245" s="76"/>
    </row>
    <row r="246">
      <c r="A246" s="76"/>
      <c r="B246" s="76"/>
      <c r="C246" s="76"/>
      <c r="D246" s="76"/>
      <c r="E246" s="76"/>
      <c r="F246" s="76"/>
    </row>
    <row r="247">
      <c r="A247" s="76"/>
      <c r="B247" s="76"/>
      <c r="C247" s="76"/>
      <c r="D247" s="76"/>
      <c r="E247" s="76"/>
      <c r="F247" s="76"/>
    </row>
    <row r="248">
      <c r="A248" s="76"/>
      <c r="B248" s="76"/>
      <c r="C248" s="76"/>
      <c r="D248" s="76"/>
      <c r="E248" s="76"/>
      <c r="F248" s="76"/>
    </row>
    <row r="249">
      <c r="A249" s="76"/>
      <c r="B249" s="76"/>
      <c r="C249" s="76"/>
      <c r="D249" s="76"/>
      <c r="E249" s="76"/>
      <c r="F249" s="76"/>
    </row>
    <row r="250">
      <c r="A250" s="76"/>
      <c r="B250" s="76"/>
      <c r="C250" s="76"/>
      <c r="D250" s="76"/>
      <c r="E250" s="76"/>
      <c r="F250" s="76"/>
    </row>
    <row r="251">
      <c r="A251" s="76"/>
      <c r="B251" s="76"/>
      <c r="C251" s="76"/>
      <c r="D251" s="76"/>
      <c r="E251" s="76"/>
      <c r="F251" s="76"/>
    </row>
    <row r="252">
      <c r="A252" s="76"/>
      <c r="B252" s="76"/>
      <c r="C252" s="76"/>
      <c r="D252" s="76"/>
      <c r="E252" s="76"/>
      <c r="F252" s="76"/>
    </row>
    <row r="253">
      <c r="A253" s="76"/>
      <c r="B253" s="76"/>
      <c r="C253" s="76"/>
      <c r="D253" s="76"/>
      <c r="E253" s="76"/>
      <c r="F253" s="76"/>
    </row>
    <row r="254">
      <c r="A254" s="76"/>
      <c r="B254" s="76"/>
      <c r="C254" s="76"/>
      <c r="D254" s="76"/>
      <c r="E254" s="76"/>
      <c r="F254" s="76"/>
    </row>
    <row r="255">
      <c r="A255" s="76"/>
      <c r="B255" s="76"/>
      <c r="C255" s="76"/>
      <c r="D255" s="76"/>
      <c r="E255" s="76"/>
      <c r="F255" s="76"/>
    </row>
    <row r="256">
      <c r="A256" s="76"/>
      <c r="B256" s="76"/>
      <c r="C256" s="76"/>
      <c r="D256" s="76"/>
      <c r="E256" s="76"/>
      <c r="F256" s="76"/>
    </row>
    <row r="257">
      <c r="A257" s="76"/>
      <c r="B257" s="76"/>
      <c r="C257" s="76"/>
      <c r="D257" s="76"/>
      <c r="E257" s="76"/>
      <c r="F257" s="76"/>
    </row>
    <row r="258">
      <c r="A258" s="76"/>
      <c r="B258" s="76"/>
      <c r="C258" s="76"/>
      <c r="D258" s="76"/>
      <c r="E258" s="76"/>
      <c r="F258" s="76"/>
    </row>
    <row r="259">
      <c r="A259" s="76"/>
      <c r="B259" s="76"/>
      <c r="C259" s="76"/>
      <c r="D259" s="76"/>
      <c r="E259" s="76"/>
      <c r="F259" s="76"/>
    </row>
    <row r="260">
      <c r="A260" s="76"/>
      <c r="B260" s="76"/>
      <c r="C260" s="76"/>
      <c r="D260" s="76"/>
      <c r="E260" s="76"/>
      <c r="F260" s="76"/>
    </row>
    <row r="261">
      <c r="A261" s="76"/>
      <c r="B261" s="76"/>
      <c r="C261" s="76"/>
      <c r="D261" s="76"/>
      <c r="E261" s="76"/>
      <c r="F261" s="76"/>
    </row>
    <row r="262">
      <c r="A262" s="76"/>
      <c r="B262" s="76"/>
      <c r="C262" s="76"/>
      <c r="D262" s="76"/>
      <c r="E262" s="76"/>
      <c r="F262" s="76"/>
    </row>
    <row r="263">
      <c r="A263" s="76"/>
      <c r="B263" s="76"/>
      <c r="C263" s="76"/>
      <c r="D263" s="76"/>
      <c r="E263" s="76"/>
      <c r="F263" s="76"/>
    </row>
    <row r="264">
      <c r="A264" s="76"/>
      <c r="B264" s="76"/>
      <c r="C264" s="76"/>
      <c r="D264" s="76"/>
      <c r="E264" s="76"/>
      <c r="F264" s="76"/>
    </row>
    <row r="265">
      <c r="A265" s="76"/>
      <c r="B265" s="76"/>
      <c r="C265" s="76"/>
      <c r="D265" s="76"/>
      <c r="E265" s="76"/>
      <c r="F265" s="76"/>
    </row>
    <row r="266">
      <c r="A266" s="76"/>
      <c r="B266" s="76"/>
      <c r="C266" s="76"/>
      <c r="D266" s="76"/>
      <c r="E266" s="76"/>
      <c r="F266" s="76"/>
    </row>
    <row r="267">
      <c r="A267" s="76"/>
      <c r="B267" s="76"/>
      <c r="C267" s="76"/>
      <c r="D267" s="76"/>
      <c r="E267" s="76"/>
      <c r="F267" s="76"/>
    </row>
    <row r="268">
      <c r="A268" s="76"/>
      <c r="B268" s="76"/>
      <c r="C268" s="76"/>
      <c r="D268" s="76"/>
      <c r="E268" s="76"/>
      <c r="F268" s="76"/>
    </row>
    <row r="269">
      <c r="A269" s="76"/>
      <c r="B269" s="76"/>
      <c r="C269" s="76"/>
      <c r="D269" s="76"/>
      <c r="E269" s="76"/>
      <c r="F269" s="76"/>
    </row>
    <row r="270">
      <c r="A270" s="76"/>
      <c r="B270" s="76"/>
      <c r="C270" s="76"/>
      <c r="D270" s="76"/>
      <c r="E270" s="76"/>
      <c r="F270" s="76"/>
    </row>
    <row r="271">
      <c r="A271" s="76"/>
      <c r="B271" s="76"/>
      <c r="C271" s="76"/>
      <c r="D271" s="76"/>
      <c r="E271" s="76"/>
      <c r="F271" s="76"/>
    </row>
    <row r="272">
      <c r="A272" s="76"/>
      <c r="B272" s="76"/>
      <c r="C272" s="76"/>
      <c r="D272" s="76"/>
      <c r="E272" s="76"/>
      <c r="F272" s="76"/>
    </row>
    <row r="273">
      <c r="A273" s="76"/>
      <c r="B273" s="76"/>
      <c r="C273" s="76"/>
      <c r="D273" s="76"/>
      <c r="E273" s="76"/>
      <c r="F273" s="76"/>
    </row>
    <row r="274">
      <c r="A274" s="76"/>
      <c r="B274" s="76"/>
      <c r="C274" s="76"/>
      <c r="D274" s="76"/>
      <c r="E274" s="76"/>
      <c r="F274" s="76"/>
    </row>
    <row r="275">
      <c r="A275" s="76"/>
      <c r="B275" s="76"/>
      <c r="C275" s="76"/>
      <c r="D275" s="76"/>
      <c r="E275" s="76"/>
      <c r="F275" s="76"/>
    </row>
    <row r="276">
      <c r="A276" s="76"/>
      <c r="B276" s="76"/>
      <c r="C276" s="76"/>
      <c r="D276" s="76"/>
      <c r="E276" s="76"/>
      <c r="F276" s="76"/>
    </row>
    <row r="277">
      <c r="A277" s="76"/>
      <c r="B277" s="76"/>
      <c r="C277" s="76"/>
      <c r="D277" s="76"/>
      <c r="E277" s="76"/>
      <c r="F277" s="76"/>
    </row>
    <row r="278">
      <c r="A278" s="76"/>
      <c r="B278" s="76"/>
      <c r="C278" s="76"/>
      <c r="D278" s="76"/>
      <c r="E278" s="76"/>
      <c r="F278" s="76"/>
    </row>
    <row r="279">
      <c r="A279" s="76"/>
      <c r="B279" s="76"/>
      <c r="C279" s="76"/>
      <c r="D279" s="76"/>
      <c r="E279" s="76"/>
      <c r="F279" s="76"/>
    </row>
    <row r="280">
      <c r="A280" s="76"/>
      <c r="B280" s="76"/>
      <c r="C280" s="76"/>
      <c r="D280" s="76"/>
      <c r="E280" s="76"/>
      <c r="F280" s="76"/>
    </row>
    <row r="281">
      <c r="A281" s="76"/>
      <c r="B281" s="76"/>
      <c r="C281" s="76"/>
      <c r="D281" s="76"/>
      <c r="E281" s="76"/>
      <c r="F281" s="76"/>
    </row>
    <row r="282">
      <c r="A282" s="76"/>
      <c r="B282" s="76"/>
      <c r="C282" s="76"/>
      <c r="D282" s="76"/>
      <c r="E282" s="76"/>
      <c r="F282" s="76"/>
    </row>
    <row r="283">
      <c r="A283" s="76"/>
      <c r="B283" s="76"/>
      <c r="C283" s="76"/>
      <c r="D283" s="76"/>
      <c r="E283" s="76"/>
      <c r="F283" s="76"/>
    </row>
    <row r="284">
      <c r="A284" s="76"/>
      <c r="B284" s="76"/>
      <c r="C284" s="76"/>
      <c r="D284" s="76"/>
      <c r="E284" s="76"/>
      <c r="F284" s="76"/>
    </row>
    <row r="285">
      <c r="A285" s="76"/>
      <c r="B285" s="76"/>
      <c r="C285" s="76"/>
      <c r="D285" s="76"/>
      <c r="E285" s="76"/>
      <c r="F285" s="76"/>
    </row>
    <row r="286">
      <c r="A286" s="76"/>
      <c r="B286" s="76"/>
      <c r="C286" s="76"/>
      <c r="D286" s="76"/>
      <c r="E286" s="76"/>
      <c r="F286" s="76"/>
    </row>
    <row r="287">
      <c r="A287" s="76"/>
      <c r="B287" s="76"/>
      <c r="C287" s="76"/>
      <c r="D287" s="76"/>
      <c r="E287" s="76"/>
      <c r="F287" s="76"/>
    </row>
    <row r="288">
      <c r="A288" s="76"/>
      <c r="B288" s="76"/>
      <c r="C288" s="76"/>
      <c r="D288" s="76"/>
      <c r="E288" s="76"/>
      <c r="F288" s="76"/>
    </row>
    <row r="289">
      <c r="A289" s="76"/>
      <c r="B289" s="76"/>
      <c r="C289" s="76"/>
      <c r="D289" s="76"/>
      <c r="E289" s="76"/>
      <c r="F289" s="76"/>
    </row>
    <row r="290">
      <c r="A290" s="76"/>
      <c r="B290" s="76"/>
      <c r="C290" s="76"/>
      <c r="D290" s="76"/>
      <c r="E290" s="76"/>
      <c r="F290" s="76"/>
    </row>
    <row r="291">
      <c r="A291" s="76"/>
      <c r="B291" s="76"/>
      <c r="C291" s="76"/>
      <c r="D291" s="76"/>
      <c r="E291" s="76"/>
      <c r="F291" s="76"/>
    </row>
    <row r="292">
      <c r="A292" s="76"/>
      <c r="B292" s="76"/>
      <c r="C292" s="76"/>
      <c r="D292" s="76"/>
      <c r="E292" s="76"/>
      <c r="F292" s="76"/>
    </row>
    <row r="293">
      <c r="A293" s="76"/>
      <c r="B293" s="76"/>
      <c r="C293" s="76"/>
      <c r="D293" s="76"/>
      <c r="E293" s="76"/>
      <c r="F293" s="76"/>
    </row>
    <row r="294">
      <c r="A294" s="76"/>
      <c r="B294" s="76"/>
      <c r="C294" s="76"/>
      <c r="D294" s="76"/>
      <c r="E294" s="76"/>
      <c r="F294" s="76"/>
    </row>
    <row r="295">
      <c r="A295" s="76"/>
      <c r="B295" s="76"/>
      <c r="C295" s="76"/>
      <c r="D295" s="76"/>
      <c r="E295" s="76"/>
      <c r="F295" s="76"/>
    </row>
    <row r="296">
      <c r="A296" s="76"/>
      <c r="B296" s="76"/>
      <c r="C296" s="76"/>
      <c r="D296" s="76"/>
      <c r="E296" s="76"/>
      <c r="F296" s="76"/>
    </row>
    <row r="297">
      <c r="A297" s="76"/>
      <c r="B297" s="76"/>
      <c r="C297" s="76"/>
      <c r="D297" s="76"/>
      <c r="E297" s="76"/>
      <c r="F297" s="76"/>
    </row>
    <row r="298">
      <c r="A298" s="76"/>
      <c r="B298" s="76"/>
      <c r="C298" s="76"/>
      <c r="D298" s="76"/>
      <c r="E298" s="76"/>
      <c r="F298" s="76"/>
    </row>
    <row r="299">
      <c r="A299" s="76"/>
      <c r="B299" s="76"/>
      <c r="C299" s="76"/>
      <c r="D299" s="76"/>
      <c r="E299" s="76"/>
      <c r="F299" s="76"/>
    </row>
    <row r="300">
      <c r="A300" s="76"/>
      <c r="B300" s="76"/>
      <c r="C300" s="76"/>
      <c r="D300" s="76"/>
      <c r="E300" s="76"/>
      <c r="F300" s="76"/>
    </row>
    <row r="301">
      <c r="A301" s="76"/>
      <c r="B301" s="76"/>
      <c r="C301" s="76"/>
      <c r="D301" s="76"/>
      <c r="E301" s="76"/>
      <c r="F301" s="76"/>
    </row>
    <row r="302">
      <c r="A302" s="76"/>
      <c r="B302" s="76"/>
      <c r="C302" s="76"/>
      <c r="D302" s="76"/>
      <c r="E302" s="76"/>
      <c r="F302" s="76"/>
    </row>
    <row r="303">
      <c r="A303" s="76"/>
      <c r="B303" s="76"/>
      <c r="C303" s="76"/>
      <c r="D303" s="76"/>
      <c r="E303" s="76"/>
      <c r="F303" s="76"/>
    </row>
    <row r="304">
      <c r="A304" s="76"/>
      <c r="B304" s="76"/>
      <c r="C304" s="76"/>
      <c r="D304" s="76"/>
      <c r="E304" s="76"/>
      <c r="F304" s="76"/>
    </row>
    <row r="305">
      <c r="A305" s="76"/>
      <c r="B305" s="76"/>
      <c r="C305" s="76"/>
      <c r="D305" s="76"/>
      <c r="E305" s="76"/>
      <c r="F305" s="76"/>
    </row>
    <row r="306">
      <c r="A306" s="76"/>
      <c r="B306" s="76"/>
      <c r="C306" s="76"/>
      <c r="D306" s="76"/>
      <c r="E306" s="76"/>
      <c r="F306" s="76"/>
    </row>
    <row r="307">
      <c r="A307" s="76"/>
      <c r="B307" s="76"/>
      <c r="C307" s="76"/>
      <c r="D307" s="76"/>
      <c r="E307" s="76"/>
      <c r="F307" s="76"/>
    </row>
    <row r="308">
      <c r="A308" s="76"/>
      <c r="B308" s="76"/>
      <c r="C308" s="76"/>
      <c r="D308" s="76"/>
      <c r="E308" s="76"/>
      <c r="F308" s="76"/>
    </row>
    <row r="309">
      <c r="A309" s="76"/>
      <c r="B309" s="76"/>
      <c r="C309" s="76"/>
      <c r="D309" s="76"/>
      <c r="E309" s="76"/>
      <c r="F309" s="76"/>
    </row>
    <row r="310">
      <c r="A310" s="76"/>
      <c r="B310" s="76"/>
      <c r="C310" s="76"/>
      <c r="D310" s="76"/>
      <c r="E310" s="76"/>
      <c r="F310" s="76"/>
    </row>
    <row r="311">
      <c r="A311" s="76"/>
      <c r="B311" s="76"/>
      <c r="C311" s="76"/>
      <c r="D311" s="76"/>
      <c r="E311" s="76"/>
      <c r="F311" s="76"/>
    </row>
    <row r="312">
      <c r="A312" s="76"/>
      <c r="B312" s="76"/>
      <c r="C312" s="76"/>
      <c r="D312" s="76"/>
      <c r="E312" s="76"/>
      <c r="F312" s="76"/>
    </row>
    <row r="313">
      <c r="A313" s="76"/>
      <c r="B313" s="76"/>
      <c r="C313" s="76"/>
      <c r="D313" s="76"/>
      <c r="E313" s="76"/>
      <c r="F313" s="76"/>
    </row>
    <row r="314">
      <c r="A314" s="76"/>
      <c r="B314" s="76"/>
      <c r="C314" s="76"/>
      <c r="D314" s="76"/>
      <c r="E314" s="76"/>
      <c r="F314" s="76"/>
    </row>
    <row r="315">
      <c r="A315" s="76"/>
      <c r="B315" s="76"/>
      <c r="C315" s="76"/>
      <c r="D315" s="76"/>
      <c r="E315" s="76"/>
      <c r="F315" s="76"/>
    </row>
    <row r="316">
      <c r="A316" s="76"/>
      <c r="B316" s="76"/>
      <c r="C316" s="76"/>
      <c r="D316" s="76"/>
      <c r="E316" s="76"/>
      <c r="F316" s="76"/>
    </row>
    <row r="317">
      <c r="A317" s="76"/>
      <c r="B317" s="76"/>
      <c r="C317" s="76"/>
      <c r="D317" s="76"/>
      <c r="E317" s="76"/>
      <c r="F317" s="76"/>
    </row>
    <row r="318">
      <c r="A318" s="76"/>
      <c r="B318" s="76"/>
      <c r="C318" s="76"/>
      <c r="D318" s="76"/>
      <c r="E318" s="76"/>
      <c r="F318" s="76"/>
    </row>
    <row r="319">
      <c r="A319" s="76"/>
      <c r="B319" s="76"/>
      <c r="C319" s="76"/>
      <c r="D319" s="76"/>
      <c r="E319" s="76"/>
      <c r="F319" s="76"/>
    </row>
    <row r="320">
      <c r="A320" s="76"/>
      <c r="B320" s="76"/>
      <c r="C320" s="76"/>
      <c r="D320" s="76"/>
      <c r="E320" s="76"/>
      <c r="F320" s="76"/>
    </row>
    <row r="321">
      <c r="A321" s="76"/>
      <c r="B321" s="76"/>
      <c r="C321" s="76"/>
      <c r="D321" s="76"/>
      <c r="E321" s="76"/>
      <c r="F321" s="76"/>
    </row>
    <row r="322">
      <c r="A322" s="76"/>
      <c r="B322" s="76"/>
      <c r="C322" s="76"/>
      <c r="D322" s="76"/>
      <c r="E322" s="76"/>
      <c r="F322" s="76"/>
    </row>
    <row r="323">
      <c r="A323" s="76"/>
      <c r="B323" s="76"/>
      <c r="C323" s="76"/>
      <c r="D323" s="76"/>
      <c r="E323" s="76"/>
      <c r="F323" s="76"/>
    </row>
    <row r="324">
      <c r="A324" s="76"/>
      <c r="B324" s="76"/>
      <c r="C324" s="76"/>
      <c r="D324" s="76"/>
      <c r="E324" s="76"/>
      <c r="F324" s="76"/>
    </row>
    <row r="325">
      <c r="A325" s="76"/>
      <c r="B325" s="76"/>
      <c r="C325" s="76"/>
      <c r="D325" s="76"/>
      <c r="E325" s="76"/>
      <c r="F325" s="76"/>
    </row>
    <row r="326">
      <c r="A326" s="76"/>
      <c r="B326" s="76"/>
      <c r="C326" s="76"/>
      <c r="D326" s="76"/>
      <c r="E326" s="76"/>
      <c r="F326" s="76"/>
    </row>
    <row r="327">
      <c r="A327" s="76"/>
      <c r="B327" s="76"/>
      <c r="C327" s="76"/>
      <c r="D327" s="76"/>
      <c r="E327" s="76"/>
      <c r="F327" s="76"/>
    </row>
    <row r="328">
      <c r="A328" s="76"/>
      <c r="B328" s="76"/>
      <c r="C328" s="76"/>
      <c r="D328" s="76"/>
      <c r="E328" s="76"/>
      <c r="F328" s="76"/>
    </row>
    <row r="329">
      <c r="A329" s="76"/>
      <c r="B329" s="76"/>
      <c r="C329" s="76"/>
      <c r="D329" s="76"/>
      <c r="E329" s="76"/>
      <c r="F329" s="76"/>
    </row>
    <row r="330">
      <c r="A330" s="76"/>
      <c r="B330" s="76"/>
      <c r="C330" s="76"/>
      <c r="D330" s="76"/>
      <c r="E330" s="76"/>
      <c r="F330" s="76"/>
    </row>
    <row r="331">
      <c r="A331" s="76"/>
      <c r="B331" s="76"/>
      <c r="C331" s="76"/>
      <c r="D331" s="76"/>
      <c r="E331" s="76"/>
      <c r="F331" s="76"/>
    </row>
    <row r="332">
      <c r="A332" s="76"/>
      <c r="B332" s="76"/>
      <c r="C332" s="76"/>
      <c r="D332" s="76"/>
      <c r="E332" s="76"/>
      <c r="F332" s="76"/>
    </row>
    <row r="333">
      <c r="A333" s="76"/>
      <c r="B333" s="76"/>
      <c r="C333" s="76"/>
      <c r="D333" s="76"/>
      <c r="E333" s="76"/>
      <c r="F333" s="76"/>
    </row>
    <row r="334">
      <c r="A334" s="76"/>
      <c r="B334" s="76"/>
      <c r="C334" s="76"/>
      <c r="D334" s="76"/>
      <c r="E334" s="76"/>
      <c r="F334" s="76"/>
    </row>
    <row r="335">
      <c r="A335" s="76"/>
      <c r="B335" s="76"/>
      <c r="C335" s="76"/>
      <c r="D335" s="76"/>
      <c r="E335" s="76"/>
      <c r="F335" s="76"/>
    </row>
    <row r="336">
      <c r="A336" s="76"/>
      <c r="B336" s="76"/>
      <c r="C336" s="76"/>
      <c r="D336" s="76"/>
      <c r="E336" s="76"/>
      <c r="F336" s="76"/>
    </row>
    <row r="337">
      <c r="A337" s="76"/>
      <c r="B337" s="76"/>
      <c r="C337" s="76"/>
      <c r="D337" s="76"/>
      <c r="E337" s="76"/>
      <c r="F337" s="76"/>
    </row>
    <row r="338">
      <c r="A338" s="76"/>
      <c r="B338" s="76"/>
      <c r="C338" s="76"/>
      <c r="D338" s="76"/>
      <c r="E338" s="76"/>
      <c r="F338" s="76"/>
    </row>
    <row r="339">
      <c r="A339" s="76"/>
      <c r="B339" s="76"/>
      <c r="C339" s="76"/>
      <c r="D339" s="76"/>
      <c r="E339" s="76"/>
      <c r="F339" s="76"/>
    </row>
    <row r="340">
      <c r="A340" s="76"/>
      <c r="B340" s="76"/>
      <c r="C340" s="76"/>
      <c r="D340" s="76"/>
      <c r="E340" s="76"/>
      <c r="F340" s="76"/>
    </row>
    <row r="341">
      <c r="A341" s="76"/>
      <c r="B341" s="76"/>
      <c r="C341" s="76"/>
      <c r="D341" s="76"/>
      <c r="E341" s="76"/>
      <c r="F341" s="76"/>
    </row>
    <row r="342">
      <c r="A342" s="76"/>
      <c r="B342" s="76"/>
      <c r="C342" s="76"/>
      <c r="D342" s="76"/>
      <c r="E342" s="76"/>
      <c r="F342" s="76"/>
    </row>
    <row r="343">
      <c r="A343" s="76"/>
      <c r="B343" s="76"/>
      <c r="C343" s="76"/>
      <c r="D343" s="76"/>
      <c r="E343" s="76"/>
      <c r="F343" s="76"/>
    </row>
    <row r="344">
      <c r="A344" s="76"/>
      <c r="B344" s="76"/>
      <c r="C344" s="76"/>
      <c r="D344" s="76"/>
      <c r="E344" s="76"/>
      <c r="F344" s="76"/>
    </row>
    <row r="345">
      <c r="A345" s="76"/>
      <c r="B345" s="76"/>
      <c r="C345" s="76"/>
      <c r="D345" s="76"/>
      <c r="E345" s="76"/>
      <c r="F345" s="76"/>
    </row>
    <row r="346">
      <c r="A346" s="76"/>
      <c r="B346" s="76"/>
      <c r="C346" s="76"/>
      <c r="D346" s="76"/>
      <c r="E346" s="76"/>
      <c r="F346" s="76"/>
    </row>
    <row r="347">
      <c r="A347" s="76"/>
      <c r="B347" s="76"/>
      <c r="C347" s="76"/>
      <c r="D347" s="76"/>
      <c r="E347" s="76"/>
      <c r="F347" s="76"/>
    </row>
    <row r="348">
      <c r="A348" s="76"/>
      <c r="B348" s="76"/>
      <c r="C348" s="76"/>
      <c r="D348" s="76"/>
      <c r="E348" s="76"/>
      <c r="F348" s="76"/>
    </row>
    <row r="349">
      <c r="A349" s="76"/>
      <c r="B349" s="76"/>
      <c r="C349" s="76"/>
      <c r="D349" s="76"/>
      <c r="E349" s="76"/>
      <c r="F349" s="76"/>
    </row>
    <row r="350">
      <c r="A350" s="76"/>
      <c r="B350" s="76"/>
      <c r="C350" s="76"/>
      <c r="D350" s="76"/>
      <c r="E350" s="76"/>
      <c r="F350" s="76"/>
    </row>
    <row r="351">
      <c r="A351" s="76"/>
      <c r="B351" s="76"/>
      <c r="C351" s="76"/>
      <c r="D351" s="76"/>
      <c r="E351" s="76"/>
      <c r="F351" s="76"/>
    </row>
    <row r="352">
      <c r="A352" s="76"/>
      <c r="B352" s="76"/>
      <c r="C352" s="76"/>
      <c r="D352" s="76"/>
      <c r="E352" s="76"/>
      <c r="F352" s="76"/>
    </row>
    <row r="353">
      <c r="A353" s="76"/>
      <c r="B353" s="76"/>
      <c r="C353" s="76"/>
      <c r="D353" s="76"/>
      <c r="E353" s="76"/>
      <c r="F353" s="76"/>
    </row>
    <row r="354">
      <c r="A354" s="76"/>
      <c r="B354" s="76"/>
      <c r="C354" s="76"/>
      <c r="D354" s="76"/>
      <c r="E354" s="76"/>
      <c r="F354" s="76"/>
    </row>
    <row r="355">
      <c r="A355" s="76"/>
      <c r="B355" s="76"/>
      <c r="C355" s="76"/>
      <c r="D355" s="76"/>
      <c r="E355" s="76"/>
      <c r="F355" s="76"/>
    </row>
    <row r="356">
      <c r="A356" s="76"/>
      <c r="B356" s="76"/>
      <c r="C356" s="76"/>
      <c r="D356" s="76"/>
      <c r="E356" s="76"/>
      <c r="F356" s="76"/>
    </row>
    <row r="357">
      <c r="A357" s="76"/>
      <c r="B357" s="76"/>
      <c r="C357" s="76"/>
      <c r="D357" s="76"/>
      <c r="E357" s="76"/>
      <c r="F357" s="76"/>
    </row>
    <row r="358">
      <c r="A358" s="76"/>
      <c r="B358" s="76"/>
      <c r="C358" s="76"/>
      <c r="D358" s="76"/>
      <c r="E358" s="76"/>
      <c r="F358" s="76"/>
    </row>
    <row r="359">
      <c r="A359" s="76"/>
      <c r="B359" s="76"/>
      <c r="C359" s="76"/>
      <c r="D359" s="76"/>
      <c r="E359" s="76"/>
      <c r="F359" s="76"/>
    </row>
    <row r="360">
      <c r="A360" s="76"/>
      <c r="B360" s="76"/>
      <c r="C360" s="76"/>
      <c r="D360" s="76"/>
      <c r="E360" s="76"/>
      <c r="F360" s="76"/>
    </row>
    <row r="361">
      <c r="A361" s="76"/>
      <c r="B361" s="76"/>
      <c r="C361" s="76"/>
      <c r="D361" s="76"/>
      <c r="E361" s="76"/>
      <c r="F361" s="76"/>
    </row>
    <row r="362">
      <c r="A362" s="76"/>
      <c r="B362" s="76"/>
      <c r="C362" s="76"/>
      <c r="D362" s="76"/>
      <c r="E362" s="76"/>
      <c r="F362" s="76"/>
    </row>
    <row r="363">
      <c r="A363" s="76"/>
      <c r="B363" s="76"/>
      <c r="C363" s="76"/>
      <c r="D363" s="76"/>
      <c r="E363" s="76"/>
      <c r="F363" s="76"/>
    </row>
    <row r="364">
      <c r="A364" s="76"/>
      <c r="B364" s="76"/>
      <c r="C364" s="76"/>
      <c r="D364" s="76"/>
      <c r="E364" s="76"/>
      <c r="F364" s="76"/>
    </row>
    <row r="365">
      <c r="A365" s="76"/>
      <c r="B365" s="76"/>
      <c r="C365" s="76"/>
      <c r="D365" s="76"/>
      <c r="E365" s="76"/>
      <c r="F365" s="76"/>
    </row>
    <row r="366">
      <c r="A366" s="76"/>
      <c r="B366" s="76"/>
      <c r="C366" s="76"/>
      <c r="D366" s="76"/>
      <c r="E366" s="76"/>
      <c r="F366" s="76"/>
    </row>
    <row r="367">
      <c r="A367" s="76"/>
      <c r="B367" s="76"/>
      <c r="C367" s="76"/>
      <c r="D367" s="76"/>
      <c r="E367" s="76"/>
      <c r="F367" s="76"/>
    </row>
    <row r="368">
      <c r="A368" s="76"/>
      <c r="B368" s="76"/>
      <c r="C368" s="76"/>
      <c r="D368" s="76"/>
      <c r="E368" s="76"/>
      <c r="F368" s="76"/>
    </row>
    <row r="369">
      <c r="A369" s="76"/>
      <c r="B369" s="76"/>
      <c r="C369" s="76"/>
      <c r="D369" s="76"/>
      <c r="E369" s="76"/>
      <c r="F369" s="76"/>
    </row>
    <row r="370">
      <c r="A370" s="76"/>
      <c r="B370" s="76"/>
      <c r="C370" s="76"/>
      <c r="D370" s="76"/>
      <c r="E370" s="76"/>
      <c r="F370" s="76"/>
    </row>
    <row r="371">
      <c r="A371" s="76"/>
      <c r="B371" s="76"/>
      <c r="C371" s="76"/>
      <c r="D371" s="76"/>
      <c r="E371" s="76"/>
      <c r="F371" s="76"/>
    </row>
    <row r="372">
      <c r="A372" s="76"/>
      <c r="B372" s="76"/>
      <c r="C372" s="76"/>
      <c r="D372" s="76"/>
      <c r="E372" s="76"/>
      <c r="F372" s="76"/>
    </row>
    <row r="373">
      <c r="A373" s="76"/>
      <c r="B373" s="76"/>
      <c r="C373" s="76"/>
      <c r="D373" s="76"/>
      <c r="E373" s="76"/>
      <c r="F373" s="76"/>
    </row>
    <row r="374">
      <c r="A374" s="76"/>
      <c r="B374" s="76"/>
      <c r="C374" s="76"/>
      <c r="D374" s="76"/>
      <c r="E374" s="76"/>
      <c r="F374" s="76"/>
    </row>
    <row r="375">
      <c r="A375" s="76"/>
      <c r="B375" s="76"/>
      <c r="C375" s="76"/>
      <c r="D375" s="76"/>
      <c r="E375" s="76"/>
      <c r="F375" s="76"/>
    </row>
    <row r="376">
      <c r="A376" s="76"/>
      <c r="B376" s="76"/>
      <c r="C376" s="76"/>
      <c r="D376" s="76"/>
      <c r="E376" s="76"/>
      <c r="F376" s="76"/>
    </row>
    <row r="377">
      <c r="A377" s="76"/>
      <c r="B377" s="76"/>
      <c r="C377" s="76"/>
      <c r="D377" s="76"/>
      <c r="E377" s="76"/>
      <c r="F377" s="76"/>
    </row>
    <row r="378">
      <c r="A378" s="76"/>
      <c r="B378" s="76"/>
      <c r="C378" s="76"/>
      <c r="D378" s="76"/>
      <c r="E378" s="76"/>
      <c r="F378" s="76"/>
    </row>
    <row r="379">
      <c r="A379" s="76"/>
      <c r="B379" s="76"/>
      <c r="C379" s="76"/>
      <c r="D379" s="76"/>
      <c r="E379" s="76"/>
      <c r="F379" s="76"/>
    </row>
    <row r="380">
      <c r="A380" s="76"/>
      <c r="B380" s="76"/>
      <c r="C380" s="76"/>
      <c r="D380" s="76"/>
      <c r="E380" s="76"/>
      <c r="F380" s="76"/>
    </row>
    <row r="381">
      <c r="A381" s="76"/>
      <c r="B381" s="76"/>
      <c r="C381" s="76"/>
      <c r="D381" s="76"/>
      <c r="E381" s="76"/>
      <c r="F381" s="76"/>
    </row>
    <row r="382">
      <c r="A382" s="76"/>
      <c r="B382" s="76"/>
      <c r="C382" s="76"/>
      <c r="D382" s="76"/>
      <c r="E382" s="76"/>
      <c r="F382" s="76"/>
    </row>
    <row r="383">
      <c r="A383" s="76"/>
      <c r="B383" s="76"/>
      <c r="C383" s="76"/>
      <c r="D383" s="76"/>
      <c r="E383" s="76"/>
      <c r="F383" s="76"/>
    </row>
    <row r="384">
      <c r="A384" s="76"/>
      <c r="B384" s="76"/>
      <c r="C384" s="76"/>
      <c r="D384" s="76"/>
      <c r="E384" s="76"/>
      <c r="F384" s="76"/>
    </row>
    <row r="385">
      <c r="A385" s="76"/>
      <c r="B385" s="76"/>
      <c r="C385" s="76"/>
      <c r="D385" s="76"/>
      <c r="E385" s="76"/>
      <c r="F385" s="76"/>
    </row>
    <row r="386">
      <c r="A386" s="76"/>
      <c r="B386" s="76"/>
      <c r="C386" s="76"/>
      <c r="D386" s="76"/>
      <c r="E386" s="76"/>
      <c r="F386" s="76"/>
    </row>
    <row r="387">
      <c r="A387" s="76"/>
      <c r="B387" s="76"/>
      <c r="C387" s="76"/>
      <c r="D387" s="76"/>
      <c r="E387" s="76"/>
      <c r="F387" s="76"/>
    </row>
    <row r="388">
      <c r="A388" s="76"/>
      <c r="B388" s="76"/>
      <c r="C388" s="76"/>
      <c r="D388" s="76"/>
      <c r="E388" s="76"/>
      <c r="F388" s="76"/>
    </row>
    <row r="389">
      <c r="A389" s="76"/>
      <c r="B389" s="76"/>
      <c r="C389" s="76"/>
      <c r="D389" s="76"/>
      <c r="E389" s="76"/>
      <c r="F389" s="76"/>
    </row>
    <row r="390">
      <c r="A390" s="76"/>
      <c r="B390" s="76"/>
      <c r="C390" s="76"/>
      <c r="D390" s="76"/>
      <c r="E390" s="76"/>
      <c r="F390" s="76"/>
    </row>
    <row r="391">
      <c r="A391" s="76"/>
      <c r="B391" s="76"/>
      <c r="C391" s="76"/>
      <c r="D391" s="76"/>
      <c r="E391" s="76"/>
      <c r="F391" s="76"/>
    </row>
    <row r="392">
      <c r="A392" s="76"/>
      <c r="B392" s="76"/>
      <c r="C392" s="76"/>
      <c r="D392" s="76"/>
      <c r="E392" s="76"/>
      <c r="F392" s="76"/>
    </row>
    <row r="393">
      <c r="A393" s="76"/>
      <c r="B393" s="76"/>
      <c r="C393" s="76"/>
      <c r="D393" s="76"/>
      <c r="E393" s="76"/>
      <c r="F393" s="76"/>
    </row>
    <row r="394">
      <c r="A394" s="76"/>
      <c r="B394" s="76"/>
      <c r="C394" s="76"/>
      <c r="D394" s="76"/>
      <c r="E394" s="76"/>
      <c r="F394" s="76"/>
    </row>
    <row r="395">
      <c r="A395" s="76"/>
      <c r="B395" s="76"/>
      <c r="C395" s="76"/>
      <c r="D395" s="76"/>
      <c r="E395" s="76"/>
      <c r="F395" s="76"/>
    </row>
    <row r="396">
      <c r="A396" s="76"/>
      <c r="B396" s="76"/>
      <c r="C396" s="76"/>
      <c r="D396" s="76"/>
      <c r="E396" s="76"/>
      <c r="F396" s="76"/>
    </row>
    <row r="397">
      <c r="A397" s="76"/>
      <c r="B397" s="76"/>
      <c r="C397" s="76"/>
      <c r="D397" s="76"/>
      <c r="E397" s="76"/>
      <c r="F397" s="76"/>
    </row>
    <row r="398">
      <c r="A398" s="76"/>
      <c r="B398" s="76"/>
      <c r="C398" s="76"/>
      <c r="D398" s="76"/>
      <c r="E398" s="76"/>
      <c r="F398" s="76"/>
    </row>
    <row r="399">
      <c r="A399" s="76"/>
      <c r="B399" s="76"/>
      <c r="C399" s="76"/>
      <c r="D399" s="76"/>
      <c r="E399" s="76"/>
      <c r="F399" s="76"/>
    </row>
    <row r="400">
      <c r="A400" s="76"/>
      <c r="B400" s="76"/>
      <c r="C400" s="76"/>
      <c r="D400" s="76"/>
      <c r="E400" s="76"/>
      <c r="F400" s="76"/>
    </row>
    <row r="401">
      <c r="A401" s="76"/>
      <c r="B401" s="76"/>
      <c r="C401" s="76"/>
      <c r="D401" s="76"/>
      <c r="E401" s="76"/>
      <c r="F401" s="76"/>
    </row>
    <row r="402">
      <c r="A402" s="76"/>
      <c r="B402" s="76"/>
      <c r="C402" s="76"/>
      <c r="D402" s="76"/>
      <c r="E402" s="76"/>
      <c r="F402" s="76"/>
    </row>
    <row r="403">
      <c r="A403" s="76"/>
      <c r="B403" s="76"/>
      <c r="C403" s="76"/>
      <c r="D403" s="76"/>
      <c r="E403" s="76"/>
      <c r="F403" s="76"/>
    </row>
    <row r="404">
      <c r="A404" s="76"/>
      <c r="B404" s="76"/>
      <c r="C404" s="76"/>
      <c r="D404" s="76"/>
      <c r="E404" s="76"/>
      <c r="F404" s="76"/>
    </row>
    <row r="405">
      <c r="A405" s="76"/>
      <c r="B405" s="76"/>
      <c r="C405" s="76"/>
      <c r="D405" s="76"/>
      <c r="E405" s="76"/>
      <c r="F405" s="76"/>
    </row>
    <row r="406">
      <c r="A406" s="76"/>
      <c r="B406" s="76"/>
      <c r="C406" s="76"/>
      <c r="D406" s="76"/>
      <c r="E406" s="76"/>
      <c r="F406" s="76"/>
    </row>
    <row r="407">
      <c r="A407" s="76"/>
      <c r="B407" s="76"/>
      <c r="C407" s="76"/>
      <c r="D407" s="76"/>
      <c r="E407" s="76"/>
      <c r="F407" s="76"/>
    </row>
    <row r="408">
      <c r="A408" s="76"/>
      <c r="B408" s="76"/>
      <c r="C408" s="76"/>
      <c r="D408" s="76"/>
      <c r="E408" s="76"/>
      <c r="F408" s="76"/>
    </row>
    <row r="409">
      <c r="A409" s="76"/>
      <c r="B409" s="76"/>
      <c r="C409" s="76"/>
      <c r="D409" s="76"/>
      <c r="E409" s="76"/>
      <c r="F409" s="76"/>
    </row>
    <row r="410">
      <c r="A410" s="76"/>
      <c r="B410" s="76"/>
      <c r="C410" s="76"/>
      <c r="D410" s="76"/>
      <c r="E410" s="76"/>
      <c r="F410" s="76"/>
    </row>
    <row r="411">
      <c r="A411" s="76"/>
      <c r="B411" s="76"/>
      <c r="C411" s="76"/>
      <c r="D411" s="76"/>
      <c r="E411" s="76"/>
      <c r="F411" s="76"/>
    </row>
    <row r="412">
      <c r="A412" s="76"/>
      <c r="B412" s="76"/>
      <c r="C412" s="76"/>
      <c r="D412" s="76"/>
      <c r="E412" s="76"/>
      <c r="F412" s="76"/>
    </row>
    <row r="413">
      <c r="A413" s="76"/>
      <c r="B413" s="76"/>
      <c r="C413" s="76"/>
      <c r="D413" s="76"/>
      <c r="E413" s="76"/>
      <c r="F413" s="76"/>
    </row>
    <row r="414">
      <c r="A414" s="76"/>
      <c r="B414" s="76"/>
      <c r="C414" s="76"/>
      <c r="D414" s="76"/>
      <c r="E414" s="76"/>
      <c r="F414" s="76"/>
    </row>
    <row r="415">
      <c r="A415" s="76"/>
      <c r="B415" s="76"/>
      <c r="C415" s="76"/>
      <c r="D415" s="76"/>
      <c r="E415" s="76"/>
      <c r="F415" s="76"/>
    </row>
    <row r="416">
      <c r="A416" s="76"/>
      <c r="B416" s="76"/>
      <c r="C416" s="76"/>
      <c r="D416" s="76"/>
      <c r="E416" s="76"/>
      <c r="F416" s="76"/>
    </row>
    <row r="417">
      <c r="A417" s="76"/>
      <c r="B417" s="76"/>
      <c r="C417" s="76"/>
      <c r="D417" s="76"/>
      <c r="E417" s="76"/>
      <c r="F417" s="76"/>
    </row>
    <row r="418">
      <c r="A418" s="76"/>
      <c r="B418" s="76"/>
      <c r="C418" s="76"/>
      <c r="D418" s="76"/>
      <c r="E418" s="76"/>
      <c r="F418" s="76"/>
    </row>
    <row r="419">
      <c r="A419" s="76"/>
      <c r="B419" s="76"/>
      <c r="C419" s="76"/>
      <c r="D419" s="76"/>
      <c r="E419" s="76"/>
      <c r="F419" s="76"/>
    </row>
    <row r="420">
      <c r="A420" s="76"/>
      <c r="B420" s="76"/>
      <c r="C420" s="76"/>
      <c r="D420" s="76"/>
      <c r="E420" s="76"/>
      <c r="F420" s="76"/>
    </row>
    <row r="421">
      <c r="A421" s="76"/>
      <c r="B421" s="76"/>
      <c r="C421" s="76"/>
      <c r="D421" s="76"/>
      <c r="E421" s="76"/>
      <c r="F421" s="76"/>
    </row>
    <row r="422">
      <c r="A422" s="76"/>
      <c r="B422" s="76"/>
      <c r="C422" s="76"/>
      <c r="D422" s="76"/>
      <c r="E422" s="76"/>
      <c r="F422" s="76"/>
    </row>
    <row r="423">
      <c r="A423" s="76"/>
      <c r="B423" s="76"/>
      <c r="C423" s="76"/>
      <c r="D423" s="76"/>
      <c r="E423" s="76"/>
      <c r="F423" s="76"/>
    </row>
    <row r="424">
      <c r="A424" s="76"/>
      <c r="B424" s="76"/>
      <c r="C424" s="76"/>
      <c r="D424" s="76"/>
      <c r="E424" s="76"/>
      <c r="F424" s="76"/>
    </row>
    <row r="425">
      <c r="A425" s="76"/>
      <c r="B425" s="76"/>
      <c r="C425" s="76"/>
      <c r="D425" s="76"/>
      <c r="E425" s="76"/>
      <c r="F425" s="76"/>
    </row>
    <row r="426">
      <c r="A426" s="76"/>
      <c r="B426" s="76"/>
      <c r="C426" s="76"/>
      <c r="D426" s="76"/>
      <c r="E426" s="76"/>
      <c r="F426" s="76"/>
    </row>
    <row r="427">
      <c r="A427" s="76"/>
      <c r="B427" s="76"/>
      <c r="C427" s="76"/>
      <c r="D427" s="76"/>
      <c r="E427" s="76"/>
      <c r="F427" s="76"/>
    </row>
    <row r="428">
      <c r="A428" s="76"/>
      <c r="B428" s="76"/>
      <c r="C428" s="76"/>
      <c r="D428" s="76"/>
      <c r="E428" s="76"/>
      <c r="F428" s="76"/>
    </row>
    <row r="429">
      <c r="A429" s="76"/>
      <c r="B429" s="76"/>
      <c r="C429" s="76"/>
      <c r="D429" s="76"/>
      <c r="E429" s="76"/>
      <c r="F429" s="76"/>
    </row>
    <row r="430">
      <c r="A430" s="76"/>
      <c r="B430" s="76"/>
      <c r="C430" s="76"/>
      <c r="D430" s="76"/>
      <c r="E430" s="76"/>
      <c r="F430" s="76"/>
    </row>
    <row r="431">
      <c r="A431" s="76"/>
      <c r="B431" s="76"/>
      <c r="C431" s="76"/>
      <c r="D431" s="76"/>
      <c r="E431" s="76"/>
      <c r="F431" s="76"/>
    </row>
    <row r="432">
      <c r="A432" s="76"/>
      <c r="B432" s="76"/>
      <c r="C432" s="76"/>
      <c r="D432" s="76"/>
      <c r="E432" s="76"/>
      <c r="F432" s="76"/>
    </row>
    <row r="433">
      <c r="A433" s="76"/>
      <c r="B433" s="76"/>
      <c r="C433" s="76"/>
      <c r="D433" s="76"/>
      <c r="E433" s="76"/>
      <c r="F433" s="76"/>
    </row>
    <row r="434">
      <c r="A434" s="76"/>
      <c r="B434" s="76"/>
      <c r="C434" s="76"/>
      <c r="D434" s="76"/>
      <c r="E434" s="76"/>
      <c r="F434" s="76"/>
    </row>
    <row r="435">
      <c r="A435" s="76"/>
      <c r="B435" s="76"/>
      <c r="C435" s="76"/>
      <c r="D435" s="76"/>
      <c r="E435" s="76"/>
      <c r="F435" s="76"/>
    </row>
    <row r="436">
      <c r="A436" s="76"/>
      <c r="B436" s="76"/>
      <c r="C436" s="76"/>
      <c r="D436" s="76"/>
      <c r="E436" s="76"/>
      <c r="F436" s="76"/>
    </row>
    <row r="437">
      <c r="A437" s="76"/>
      <c r="B437" s="76"/>
      <c r="C437" s="76"/>
      <c r="D437" s="76"/>
      <c r="E437" s="76"/>
      <c r="F437" s="76"/>
    </row>
    <row r="438">
      <c r="A438" s="76"/>
      <c r="B438" s="76"/>
      <c r="C438" s="76"/>
      <c r="D438" s="76"/>
      <c r="E438" s="76"/>
      <c r="F438" s="76"/>
    </row>
    <row r="439">
      <c r="A439" s="76"/>
      <c r="B439" s="76"/>
      <c r="C439" s="76"/>
      <c r="D439" s="76"/>
      <c r="E439" s="76"/>
      <c r="F439" s="76"/>
    </row>
    <row r="440">
      <c r="A440" s="76"/>
      <c r="B440" s="76"/>
      <c r="C440" s="76"/>
      <c r="D440" s="76"/>
      <c r="E440" s="76"/>
      <c r="F440" s="76"/>
    </row>
    <row r="441">
      <c r="A441" s="76"/>
      <c r="B441" s="76"/>
      <c r="C441" s="76"/>
      <c r="D441" s="76"/>
      <c r="E441" s="76"/>
      <c r="F441" s="76"/>
    </row>
    <row r="442">
      <c r="A442" s="76"/>
      <c r="B442" s="76"/>
      <c r="C442" s="76"/>
      <c r="D442" s="76"/>
      <c r="E442" s="76"/>
      <c r="F442" s="76"/>
    </row>
    <row r="443">
      <c r="A443" s="76"/>
      <c r="B443" s="76"/>
      <c r="C443" s="76"/>
      <c r="D443" s="76"/>
      <c r="E443" s="76"/>
      <c r="F443" s="76"/>
    </row>
    <row r="444">
      <c r="A444" s="76"/>
      <c r="B444" s="76"/>
      <c r="C444" s="76"/>
      <c r="D444" s="76"/>
      <c r="E444" s="76"/>
      <c r="F444" s="76"/>
    </row>
    <row r="445">
      <c r="A445" s="76"/>
      <c r="B445" s="76"/>
      <c r="C445" s="76"/>
      <c r="D445" s="76"/>
      <c r="E445" s="76"/>
      <c r="F445" s="76"/>
    </row>
    <row r="446">
      <c r="A446" s="76"/>
      <c r="B446" s="76"/>
      <c r="C446" s="76"/>
      <c r="D446" s="76"/>
      <c r="E446" s="76"/>
      <c r="F446" s="76"/>
    </row>
    <row r="447">
      <c r="A447" s="76"/>
      <c r="B447" s="76"/>
      <c r="C447" s="76"/>
      <c r="D447" s="76"/>
      <c r="E447" s="76"/>
      <c r="F447" s="76"/>
    </row>
    <row r="448">
      <c r="A448" s="76"/>
      <c r="B448" s="76"/>
      <c r="C448" s="76"/>
      <c r="D448" s="76"/>
      <c r="E448" s="76"/>
      <c r="F448" s="76"/>
    </row>
    <row r="449">
      <c r="A449" s="76"/>
      <c r="B449" s="76"/>
      <c r="C449" s="76"/>
      <c r="D449" s="76"/>
      <c r="E449" s="76"/>
      <c r="F449" s="76"/>
    </row>
    <row r="450">
      <c r="A450" s="76"/>
      <c r="B450" s="76"/>
      <c r="C450" s="76"/>
      <c r="D450" s="76"/>
      <c r="E450" s="76"/>
      <c r="F450" s="76"/>
    </row>
    <row r="451">
      <c r="A451" s="76"/>
      <c r="B451" s="76"/>
      <c r="C451" s="76"/>
      <c r="D451" s="76"/>
      <c r="E451" s="76"/>
      <c r="F451" s="76"/>
    </row>
    <row r="452">
      <c r="A452" s="76"/>
      <c r="B452" s="76"/>
      <c r="C452" s="76"/>
      <c r="D452" s="76"/>
      <c r="E452" s="76"/>
      <c r="F452" s="76"/>
    </row>
    <row r="453">
      <c r="A453" s="76"/>
      <c r="B453" s="76"/>
      <c r="C453" s="76"/>
      <c r="D453" s="76"/>
      <c r="E453" s="76"/>
      <c r="F453" s="76"/>
    </row>
    <row r="454">
      <c r="A454" s="76"/>
      <c r="B454" s="76"/>
      <c r="C454" s="76"/>
      <c r="D454" s="76"/>
      <c r="E454" s="76"/>
      <c r="F454" s="76"/>
    </row>
    <row r="455">
      <c r="A455" s="76"/>
      <c r="B455" s="76"/>
      <c r="C455" s="76"/>
      <c r="D455" s="76"/>
      <c r="E455" s="76"/>
      <c r="F455" s="76"/>
    </row>
    <row r="456">
      <c r="A456" s="76"/>
      <c r="B456" s="76"/>
      <c r="C456" s="76"/>
      <c r="D456" s="76"/>
      <c r="E456" s="76"/>
      <c r="F456" s="76"/>
    </row>
    <row r="457">
      <c r="A457" s="76"/>
      <c r="B457" s="76"/>
      <c r="C457" s="76"/>
      <c r="D457" s="76"/>
      <c r="E457" s="76"/>
      <c r="F457" s="76"/>
    </row>
    <row r="458">
      <c r="A458" s="76"/>
      <c r="B458" s="76"/>
      <c r="C458" s="76"/>
      <c r="D458" s="76"/>
      <c r="E458" s="76"/>
      <c r="F458" s="76"/>
    </row>
    <row r="459">
      <c r="A459" s="76"/>
      <c r="B459" s="76"/>
      <c r="C459" s="76"/>
      <c r="D459" s="76"/>
      <c r="E459" s="76"/>
      <c r="F459" s="76"/>
    </row>
    <row r="460">
      <c r="A460" s="76"/>
      <c r="B460" s="76"/>
      <c r="C460" s="76"/>
      <c r="D460" s="76"/>
      <c r="E460" s="76"/>
      <c r="F460" s="76"/>
    </row>
    <row r="461">
      <c r="A461" s="76"/>
      <c r="B461" s="76"/>
      <c r="C461" s="76"/>
      <c r="D461" s="76"/>
      <c r="E461" s="76"/>
      <c r="F461" s="76"/>
    </row>
    <row r="462">
      <c r="A462" s="76"/>
      <c r="B462" s="76"/>
      <c r="C462" s="76"/>
      <c r="D462" s="76"/>
      <c r="E462" s="76"/>
      <c r="F462" s="76"/>
    </row>
    <row r="463">
      <c r="A463" s="76"/>
      <c r="B463" s="76"/>
      <c r="C463" s="76"/>
      <c r="D463" s="76"/>
      <c r="E463" s="76"/>
      <c r="F463" s="76"/>
    </row>
    <row r="464">
      <c r="A464" s="76"/>
      <c r="B464" s="76"/>
      <c r="C464" s="76"/>
      <c r="D464" s="76"/>
      <c r="E464" s="76"/>
      <c r="F464" s="76"/>
    </row>
    <row r="465">
      <c r="A465" s="76"/>
      <c r="B465" s="76"/>
      <c r="C465" s="76"/>
      <c r="D465" s="76"/>
      <c r="E465" s="76"/>
      <c r="F465" s="76"/>
    </row>
    <row r="466">
      <c r="A466" s="76"/>
      <c r="B466" s="76"/>
      <c r="C466" s="76"/>
      <c r="D466" s="76"/>
      <c r="E466" s="76"/>
      <c r="F466" s="76"/>
    </row>
    <row r="467">
      <c r="A467" s="76"/>
      <c r="B467" s="76"/>
      <c r="C467" s="76"/>
      <c r="D467" s="76"/>
      <c r="E467" s="76"/>
      <c r="F467" s="76"/>
    </row>
    <row r="468">
      <c r="A468" s="76"/>
      <c r="B468" s="76"/>
      <c r="C468" s="76"/>
      <c r="D468" s="76"/>
      <c r="E468" s="76"/>
      <c r="F468" s="76"/>
    </row>
    <row r="469">
      <c r="A469" s="76"/>
      <c r="B469" s="76"/>
      <c r="C469" s="76"/>
      <c r="D469" s="76"/>
      <c r="E469" s="76"/>
      <c r="F469" s="76"/>
    </row>
    <row r="470">
      <c r="A470" s="76"/>
      <c r="B470" s="76"/>
      <c r="C470" s="76"/>
      <c r="D470" s="76"/>
      <c r="E470" s="76"/>
      <c r="F470" s="76"/>
    </row>
    <row r="471">
      <c r="A471" s="76"/>
      <c r="B471" s="76"/>
      <c r="C471" s="76"/>
      <c r="D471" s="76"/>
      <c r="E471" s="76"/>
      <c r="F471" s="76"/>
    </row>
    <row r="472">
      <c r="A472" s="76"/>
      <c r="B472" s="76"/>
      <c r="C472" s="76"/>
      <c r="D472" s="76"/>
      <c r="E472" s="76"/>
      <c r="F472" s="76"/>
    </row>
    <row r="473">
      <c r="A473" s="76"/>
      <c r="B473" s="76"/>
      <c r="C473" s="76"/>
      <c r="D473" s="76"/>
      <c r="E473" s="76"/>
      <c r="F473" s="76"/>
    </row>
    <row r="474">
      <c r="A474" s="76"/>
      <c r="B474" s="76"/>
      <c r="C474" s="76"/>
      <c r="D474" s="76"/>
      <c r="E474" s="76"/>
      <c r="F474" s="76"/>
    </row>
    <row r="475">
      <c r="A475" s="76"/>
      <c r="B475" s="76"/>
      <c r="C475" s="76"/>
      <c r="D475" s="76"/>
      <c r="E475" s="76"/>
      <c r="F475" s="76"/>
    </row>
    <row r="476">
      <c r="A476" s="76"/>
      <c r="B476" s="76"/>
      <c r="C476" s="76"/>
      <c r="D476" s="76"/>
      <c r="E476" s="76"/>
      <c r="F476" s="76"/>
    </row>
    <row r="477">
      <c r="A477" s="76"/>
      <c r="B477" s="76"/>
      <c r="C477" s="76"/>
      <c r="D477" s="76"/>
      <c r="E477" s="76"/>
      <c r="F477" s="76"/>
    </row>
    <row r="478">
      <c r="A478" s="76"/>
      <c r="B478" s="76"/>
      <c r="C478" s="76"/>
      <c r="D478" s="76"/>
      <c r="E478" s="76"/>
      <c r="F478" s="76"/>
    </row>
    <row r="479">
      <c r="A479" s="76"/>
      <c r="B479" s="76"/>
      <c r="C479" s="76"/>
      <c r="D479" s="76"/>
      <c r="E479" s="76"/>
      <c r="F479" s="76"/>
    </row>
    <row r="480">
      <c r="A480" s="76"/>
      <c r="B480" s="76"/>
      <c r="C480" s="76"/>
      <c r="D480" s="76"/>
      <c r="E480" s="76"/>
      <c r="F480" s="76"/>
    </row>
    <row r="481">
      <c r="A481" s="76"/>
      <c r="B481" s="76"/>
      <c r="C481" s="76"/>
      <c r="D481" s="76"/>
      <c r="E481" s="76"/>
      <c r="F481" s="76"/>
    </row>
    <row r="482">
      <c r="A482" s="76"/>
      <c r="B482" s="76"/>
      <c r="C482" s="76"/>
      <c r="D482" s="76"/>
      <c r="E482" s="76"/>
      <c r="F482" s="76"/>
    </row>
    <row r="483">
      <c r="A483" s="76"/>
      <c r="B483" s="76"/>
      <c r="C483" s="76"/>
      <c r="D483" s="76"/>
      <c r="E483" s="76"/>
      <c r="F483" s="76"/>
    </row>
    <row r="484">
      <c r="A484" s="76"/>
      <c r="B484" s="76"/>
      <c r="C484" s="76"/>
      <c r="D484" s="76"/>
      <c r="E484" s="76"/>
      <c r="F484" s="76"/>
    </row>
    <row r="485">
      <c r="A485" s="76"/>
      <c r="B485" s="76"/>
      <c r="C485" s="76"/>
      <c r="D485" s="76"/>
      <c r="E485" s="76"/>
      <c r="F485" s="76"/>
    </row>
    <row r="486">
      <c r="A486" s="76"/>
      <c r="B486" s="76"/>
      <c r="C486" s="76"/>
      <c r="D486" s="76"/>
      <c r="E486" s="76"/>
      <c r="F486" s="76"/>
    </row>
    <row r="487">
      <c r="A487" s="76"/>
      <c r="B487" s="76"/>
      <c r="C487" s="76"/>
      <c r="D487" s="76"/>
      <c r="E487" s="76"/>
      <c r="F487" s="76"/>
    </row>
    <row r="488">
      <c r="A488" s="76"/>
      <c r="B488" s="76"/>
      <c r="C488" s="76"/>
      <c r="D488" s="76"/>
      <c r="E488" s="76"/>
      <c r="F488" s="76"/>
    </row>
    <row r="489">
      <c r="A489" s="76"/>
      <c r="B489" s="76"/>
      <c r="C489" s="76"/>
      <c r="D489" s="76"/>
      <c r="E489" s="76"/>
      <c r="F489" s="76"/>
    </row>
    <row r="490">
      <c r="A490" s="76"/>
      <c r="B490" s="76"/>
      <c r="C490" s="76"/>
      <c r="D490" s="76"/>
      <c r="E490" s="76"/>
      <c r="F490" s="76"/>
    </row>
    <row r="491">
      <c r="A491" s="76"/>
      <c r="B491" s="76"/>
      <c r="C491" s="76"/>
      <c r="D491" s="76"/>
      <c r="E491" s="76"/>
      <c r="F491" s="76"/>
    </row>
    <row r="492">
      <c r="A492" s="76"/>
      <c r="B492" s="76"/>
      <c r="C492" s="76"/>
      <c r="D492" s="76"/>
      <c r="E492" s="76"/>
      <c r="F492" s="76"/>
    </row>
    <row r="493">
      <c r="A493" s="76"/>
      <c r="B493" s="76"/>
      <c r="C493" s="76"/>
      <c r="D493" s="76"/>
      <c r="E493" s="76"/>
      <c r="F493" s="76"/>
    </row>
    <row r="494">
      <c r="A494" s="76"/>
      <c r="B494" s="76"/>
      <c r="C494" s="76"/>
      <c r="D494" s="76"/>
      <c r="E494" s="76"/>
      <c r="F494" s="76"/>
    </row>
    <row r="495">
      <c r="A495" s="76"/>
      <c r="B495" s="76"/>
      <c r="C495" s="76"/>
      <c r="D495" s="76"/>
      <c r="E495" s="76"/>
      <c r="F495" s="76"/>
    </row>
    <row r="496">
      <c r="A496" s="76"/>
      <c r="B496" s="76"/>
      <c r="C496" s="76"/>
      <c r="D496" s="76"/>
      <c r="E496" s="76"/>
      <c r="F496" s="76"/>
    </row>
    <row r="497">
      <c r="A497" s="76"/>
      <c r="B497" s="76"/>
      <c r="C497" s="76"/>
      <c r="D497" s="76"/>
      <c r="E497" s="76"/>
      <c r="F497" s="76"/>
    </row>
    <row r="498">
      <c r="A498" s="76"/>
      <c r="B498" s="76"/>
      <c r="C498" s="76"/>
      <c r="D498" s="76"/>
      <c r="E498" s="76"/>
      <c r="F498" s="76"/>
    </row>
    <row r="499">
      <c r="A499" s="76"/>
      <c r="B499" s="76"/>
      <c r="C499" s="76"/>
      <c r="D499" s="76"/>
      <c r="E499" s="76"/>
      <c r="F499" s="76"/>
    </row>
    <row r="500">
      <c r="A500" s="76"/>
      <c r="B500" s="76"/>
      <c r="C500" s="76"/>
      <c r="D500" s="76"/>
      <c r="E500" s="76"/>
      <c r="F500" s="76"/>
    </row>
    <row r="501">
      <c r="A501" s="76"/>
      <c r="B501" s="76"/>
      <c r="C501" s="76"/>
      <c r="D501" s="76"/>
      <c r="E501" s="76"/>
      <c r="F501" s="76"/>
    </row>
    <row r="502">
      <c r="A502" s="76"/>
      <c r="B502" s="76"/>
      <c r="C502" s="76"/>
      <c r="D502" s="76"/>
      <c r="E502" s="76"/>
      <c r="F502" s="76"/>
    </row>
    <row r="503">
      <c r="A503" s="76"/>
      <c r="B503" s="76"/>
      <c r="C503" s="76"/>
      <c r="D503" s="76"/>
      <c r="E503" s="76"/>
      <c r="F503" s="76"/>
    </row>
    <row r="504">
      <c r="A504" s="76"/>
      <c r="B504" s="76"/>
      <c r="C504" s="76"/>
      <c r="D504" s="76"/>
      <c r="E504" s="76"/>
      <c r="F504" s="76"/>
    </row>
    <row r="505">
      <c r="A505" s="76"/>
      <c r="B505" s="76"/>
      <c r="C505" s="76"/>
      <c r="D505" s="76"/>
      <c r="E505" s="76"/>
      <c r="F505" s="76"/>
    </row>
    <row r="506">
      <c r="A506" s="76"/>
      <c r="B506" s="76"/>
      <c r="C506" s="76"/>
      <c r="D506" s="76"/>
      <c r="E506" s="76"/>
      <c r="F506" s="76"/>
    </row>
    <row r="507">
      <c r="A507" s="76"/>
      <c r="B507" s="76"/>
      <c r="C507" s="76"/>
      <c r="D507" s="76"/>
      <c r="E507" s="76"/>
      <c r="F507" s="76"/>
    </row>
    <row r="508">
      <c r="A508" s="76"/>
      <c r="B508" s="76"/>
      <c r="C508" s="76"/>
      <c r="D508" s="76"/>
      <c r="E508" s="76"/>
      <c r="F508" s="76"/>
    </row>
    <row r="509">
      <c r="A509" s="76"/>
      <c r="B509" s="76"/>
      <c r="C509" s="76"/>
      <c r="D509" s="76"/>
      <c r="E509" s="76"/>
      <c r="F509" s="76"/>
    </row>
    <row r="510">
      <c r="A510" s="76"/>
      <c r="B510" s="76"/>
      <c r="C510" s="76"/>
      <c r="D510" s="76"/>
      <c r="E510" s="76"/>
      <c r="F510" s="76"/>
    </row>
    <row r="511">
      <c r="A511" s="76"/>
      <c r="B511" s="76"/>
      <c r="C511" s="76"/>
      <c r="D511" s="76"/>
      <c r="E511" s="76"/>
      <c r="F511" s="76"/>
    </row>
    <row r="512">
      <c r="A512" s="76"/>
      <c r="B512" s="76"/>
      <c r="C512" s="76"/>
      <c r="D512" s="76"/>
      <c r="E512" s="76"/>
      <c r="F512" s="76"/>
    </row>
    <row r="513">
      <c r="A513" s="76"/>
      <c r="B513" s="76"/>
      <c r="C513" s="76"/>
      <c r="D513" s="76"/>
      <c r="E513" s="76"/>
      <c r="F513" s="76"/>
    </row>
    <row r="514">
      <c r="A514" s="76"/>
      <c r="B514" s="76"/>
      <c r="C514" s="76"/>
      <c r="D514" s="76"/>
      <c r="E514" s="76"/>
      <c r="F514" s="76"/>
    </row>
    <row r="515">
      <c r="A515" s="76"/>
      <c r="B515" s="76"/>
      <c r="C515" s="76"/>
      <c r="D515" s="76"/>
      <c r="E515" s="76"/>
      <c r="F515" s="76"/>
    </row>
    <row r="516">
      <c r="A516" s="76"/>
      <c r="B516" s="76"/>
      <c r="C516" s="76"/>
      <c r="D516" s="76"/>
      <c r="E516" s="76"/>
      <c r="F516" s="76"/>
    </row>
    <row r="517">
      <c r="A517" s="76"/>
      <c r="B517" s="76"/>
      <c r="C517" s="76"/>
      <c r="D517" s="76"/>
      <c r="E517" s="76"/>
      <c r="F517" s="76"/>
    </row>
    <row r="518">
      <c r="A518" s="76"/>
      <c r="B518" s="76"/>
      <c r="C518" s="76"/>
      <c r="D518" s="76"/>
      <c r="E518" s="76"/>
      <c r="F518" s="76"/>
    </row>
    <row r="519">
      <c r="A519" s="76"/>
      <c r="B519" s="76"/>
      <c r="C519" s="76"/>
      <c r="D519" s="76"/>
      <c r="E519" s="76"/>
      <c r="F519" s="76"/>
    </row>
    <row r="520">
      <c r="A520" s="76"/>
      <c r="B520" s="76"/>
      <c r="C520" s="76"/>
      <c r="D520" s="76"/>
      <c r="E520" s="76"/>
      <c r="F520" s="76"/>
    </row>
    <row r="521">
      <c r="A521" s="76"/>
      <c r="B521" s="76"/>
      <c r="C521" s="76"/>
      <c r="D521" s="76"/>
      <c r="E521" s="76"/>
      <c r="F521" s="76"/>
    </row>
    <row r="522">
      <c r="A522" s="76"/>
      <c r="B522" s="76"/>
      <c r="C522" s="76"/>
      <c r="D522" s="76"/>
      <c r="E522" s="76"/>
      <c r="F522" s="76"/>
    </row>
    <row r="523">
      <c r="A523" s="76"/>
      <c r="B523" s="76"/>
      <c r="C523" s="76"/>
      <c r="D523" s="76"/>
      <c r="E523" s="76"/>
      <c r="F523" s="76"/>
    </row>
    <row r="524">
      <c r="A524" s="76"/>
      <c r="B524" s="76"/>
      <c r="C524" s="76"/>
      <c r="D524" s="76"/>
      <c r="E524" s="76"/>
      <c r="F524" s="76"/>
    </row>
    <row r="525">
      <c r="A525" s="76"/>
      <c r="B525" s="76"/>
      <c r="C525" s="76"/>
      <c r="D525" s="76"/>
      <c r="E525" s="76"/>
      <c r="F525" s="76"/>
    </row>
    <row r="526">
      <c r="A526" s="76"/>
      <c r="B526" s="76"/>
      <c r="C526" s="76"/>
      <c r="D526" s="76"/>
      <c r="E526" s="76"/>
      <c r="F526" s="76"/>
    </row>
    <row r="527">
      <c r="A527" s="76"/>
      <c r="B527" s="76"/>
      <c r="C527" s="76"/>
      <c r="D527" s="76"/>
      <c r="E527" s="76"/>
      <c r="F527" s="76"/>
    </row>
    <row r="528">
      <c r="A528" s="76"/>
      <c r="B528" s="76"/>
      <c r="C528" s="76"/>
      <c r="D528" s="76"/>
      <c r="E528" s="76"/>
      <c r="F528" s="76"/>
    </row>
    <row r="529">
      <c r="A529" s="76"/>
      <c r="B529" s="76"/>
      <c r="C529" s="76"/>
      <c r="D529" s="76"/>
      <c r="E529" s="76"/>
      <c r="F529" s="76"/>
    </row>
    <row r="530">
      <c r="A530" s="76"/>
      <c r="B530" s="76"/>
      <c r="C530" s="76"/>
      <c r="D530" s="76"/>
      <c r="E530" s="76"/>
      <c r="F530" s="76"/>
    </row>
    <row r="531">
      <c r="A531" s="76"/>
      <c r="B531" s="76"/>
      <c r="C531" s="76"/>
      <c r="D531" s="76"/>
      <c r="E531" s="76"/>
      <c r="F531" s="76"/>
    </row>
    <row r="532">
      <c r="A532" s="76"/>
      <c r="B532" s="76"/>
      <c r="C532" s="76"/>
      <c r="D532" s="76"/>
      <c r="E532" s="76"/>
      <c r="F532" s="76"/>
    </row>
    <row r="533">
      <c r="A533" s="76"/>
      <c r="B533" s="76"/>
      <c r="C533" s="76"/>
      <c r="D533" s="76"/>
      <c r="E533" s="76"/>
      <c r="F533" s="76"/>
    </row>
    <row r="534">
      <c r="A534" s="76"/>
      <c r="B534" s="76"/>
      <c r="C534" s="76"/>
      <c r="D534" s="76"/>
      <c r="E534" s="76"/>
      <c r="F534" s="76"/>
    </row>
    <row r="535">
      <c r="A535" s="76"/>
      <c r="B535" s="76"/>
      <c r="C535" s="76"/>
      <c r="D535" s="76"/>
      <c r="E535" s="76"/>
      <c r="F535" s="76"/>
    </row>
    <row r="536">
      <c r="A536" s="76"/>
      <c r="B536" s="76"/>
      <c r="C536" s="76"/>
      <c r="D536" s="76"/>
      <c r="E536" s="76"/>
      <c r="F536" s="76"/>
    </row>
    <row r="537">
      <c r="A537" s="76"/>
      <c r="B537" s="76"/>
      <c r="C537" s="76"/>
      <c r="D537" s="76"/>
      <c r="E537" s="76"/>
      <c r="F537" s="76"/>
    </row>
    <row r="538">
      <c r="A538" s="76"/>
      <c r="B538" s="76"/>
      <c r="C538" s="76"/>
      <c r="D538" s="76"/>
      <c r="E538" s="76"/>
      <c r="F538" s="76"/>
    </row>
    <row r="539">
      <c r="A539" s="76"/>
      <c r="B539" s="76"/>
      <c r="C539" s="76"/>
      <c r="D539" s="76"/>
      <c r="E539" s="76"/>
      <c r="F539" s="76"/>
    </row>
    <row r="540">
      <c r="A540" s="76"/>
      <c r="B540" s="76"/>
      <c r="C540" s="76"/>
      <c r="D540" s="76"/>
      <c r="E540" s="76"/>
      <c r="F540" s="76"/>
    </row>
    <row r="541">
      <c r="A541" s="76"/>
      <c r="B541" s="76"/>
      <c r="C541" s="76"/>
      <c r="D541" s="76"/>
      <c r="E541" s="76"/>
      <c r="F541" s="76"/>
    </row>
    <row r="542">
      <c r="A542" s="76"/>
      <c r="B542" s="76"/>
      <c r="C542" s="76"/>
      <c r="D542" s="76"/>
      <c r="E542" s="76"/>
      <c r="F542" s="76"/>
    </row>
    <row r="543">
      <c r="A543" s="76"/>
      <c r="B543" s="76"/>
      <c r="C543" s="76"/>
      <c r="D543" s="76"/>
      <c r="E543" s="76"/>
      <c r="F543" s="76"/>
    </row>
    <row r="544">
      <c r="A544" s="76"/>
      <c r="B544" s="76"/>
      <c r="C544" s="76"/>
      <c r="D544" s="76"/>
      <c r="E544" s="76"/>
      <c r="F544" s="76"/>
    </row>
    <row r="545">
      <c r="A545" s="76"/>
      <c r="B545" s="76"/>
      <c r="C545" s="76"/>
      <c r="D545" s="76"/>
      <c r="E545" s="76"/>
      <c r="F545" s="76"/>
    </row>
    <row r="546">
      <c r="A546" s="76"/>
      <c r="B546" s="76"/>
      <c r="C546" s="76"/>
      <c r="D546" s="76"/>
      <c r="E546" s="76"/>
      <c r="F546" s="76"/>
    </row>
    <row r="547">
      <c r="A547" s="76"/>
      <c r="B547" s="76"/>
      <c r="C547" s="76"/>
      <c r="D547" s="76"/>
      <c r="E547" s="76"/>
      <c r="F547" s="76"/>
    </row>
    <row r="548">
      <c r="A548" s="76"/>
      <c r="B548" s="76"/>
      <c r="C548" s="76"/>
      <c r="D548" s="76"/>
      <c r="E548" s="76"/>
      <c r="F548" s="76"/>
    </row>
    <row r="549">
      <c r="A549" s="76"/>
      <c r="B549" s="76"/>
      <c r="C549" s="76"/>
      <c r="D549" s="76"/>
      <c r="E549" s="76"/>
      <c r="F549" s="76"/>
    </row>
    <row r="550">
      <c r="A550" s="76"/>
      <c r="B550" s="76"/>
      <c r="C550" s="76"/>
      <c r="D550" s="76"/>
      <c r="E550" s="76"/>
      <c r="F550" s="76"/>
    </row>
    <row r="551">
      <c r="A551" s="76"/>
      <c r="B551" s="76"/>
      <c r="C551" s="76"/>
      <c r="D551" s="76"/>
      <c r="E551" s="76"/>
      <c r="F551" s="76"/>
    </row>
    <row r="552">
      <c r="A552" s="76"/>
      <c r="B552" s="76"/>
      <c r="C552" s="76"/>
      <c r="D552" s="76"/>
      <c r="E552" s="76"/>
      <c r="F552" s="76"/>
    </row>
    <row r="553">
      <c r="A553" s="76"/>
      <c r="B553" s="76"/>
      <c r="C553" s="76"/>
      <c r="D553" s="76"/>
      <c r="E553" s="76"/>
      <c r="F553" s="76"/>
    </row>
    <row r="554">
      <c r="A554" s="76"/>
      <c r="B554" s="76"/>
      <c r="C554" s="76"/>
      <c r="D554" s="76"/>
      <c r="E554" s="76"/>
      <c r="F554" s="76"/>
    </row>
    <row r="555">
      <c r="A555" s="76"/>
      <c r="B555" s="76"/>
      <c r="C555" s="76"/>
      <c r="D555" s="76"/>
      <c r="E555" s="76"/>
      <c r="F555" s="76"/>
    </row>
    <row r="556">
      <c r="A556" s="76"/>
      <c r="B556" s="76"/>
      <c r="C556" s="76"/>
      <c r="D556" s="76"/>
      <c r="E556" s="76"/>
      <c r="F556" s="76"/>
    </row>
    <row r="557">
      <c r="A557" s="76"/>
      <c r="B557" s="76"/>
      <c r="C557" s="76"/>
      <c r="D557" s="76"/>
      <c r="E557" s="76"/>
      <c r="F557" s="76"/>
    </row>
    <row r="558">
      <c r="A558" s="76"/>
      <c r="B558" s="76"/>
      <c r="C558" s="76"/>
      <c r="D558" s="76"/>
      <c r="E558" s="76"/>
      <c r="F558" s="76"/>
    </row>
    <row r="559">
      <c r="A559" s="76"/>
      <c r="B559" s="76"/>
      <c r="C559" s="76"/>
      <c r="D559" s="76"/>
      <c r="E559" s="76"/>
      <c r="F559" s="76"/>
    </row>
    <row r="560">
      <c r="A560" s="76"/>
      <c r="B560" s="76"/>
      <c r="C560" s="76"/>
      <c r="D560" s="76"/>
      <c r="E560" s="76"/>
      <c r="F560" s="76"/>
    </row>
    <row r="561">
      <c r="A561" s="76"/>
      <c r="B561" s="76"/>
      <c r="C561" s="76"/>
      <c r="D561" s="76"/>
      <c r="E561" s="76"/>
      <c r="F561" s="76"/>
    </row>
    <row r="562">
      <c r="A562" s="76"/>
      <c r="B562" s="76"/>
      <c r="C562" s="76"/>
      <c r="D562" s="76"/>
      <c r="E562" s="76"/>
      <c r="F562" s="76"/>
    </row>
    <row r="563">
      <c r="A563" s="76"/>
      <c r="B563" s="76"/>
      <c r="C563" s="76"/>
      <c r="D563" s="76"/>
      <c r="E563" s="76"/>
      <c r="F563" s="76"/>
    </row>
    <row r="564">
      <c r="A564" s="76"/>
      <c r="B564" s="76"/>
      <c r="C564" s="76"/>
      <c r="D564" s="76"/>
      <c r="E564" s="76"/>
      <c r="F564" s="76"/>
    </row>
    <row r="565">
      <c r="A565" s="76"/>
      <c r="B565" s="76"/>
      <c r="C565" s="76"/>
      <c r="D565" s="76"/>
      <c r="E565" s="76"/>
      <c r="F565" s="76"/>
    </row>
    <row r="566">
      <c r="A566" s="76"/>
      <c r="B566" s="76"/>
      <c r="C566" s="76"/>
      <c r="D566" s="76"/>
      <c r="E566" s="76"/>
      <c r="F566" s="76"/>
    </row>
    <row r="567">
      <c r="A567" s="76"/>
      <c r="B567" s="76"/>
      <c r="C567" s="76"/>
      <c r="D567" s="76"/>
      <c r="E567" s="76"/>
      <c r="F567" s="76"/>
    </row>
    <row r="568">
      <c r="A568" s="76"/>
      <c r="B568" s="76"/>
      <c r="C568" s="76"/>
      <c r="D568" s="76"/>
      <c r="E568" s="76"/>
      <c r="F568" s="76"/>
    </row>
    <row r="569">
      <c r="A569" s="76"/>
      <c r="B569" s="76"/>
      <c r="C569" s="76"/>
      <c r="D569" s="76"/>
      <c r="E569" s="76"/>
      <c r="F569" s="76"/>
    </row>
    <row r="570">
      <c r="A570" s="76"/>
      <c r="B570" s="76"/>
      <c r="C570" s="76"/>
      <c r="D570" s="76"/>
      <c r="E570" s="76"/>
      <c r="F570" s="76"/>
    </row>
    <row r="571">
      <c r="A571" s="76"/>
      <c r="B571" s="76"/>
      <c r="C571" s="76"/>
      <c r="D571" s="76"/>
      <c r="E571" s="76"/>
      <c r="F571" s="76"/>
    </row>
    <row r="572">
      <c r="A572" s="76"/>
      <c r="B572" s="76"/>
      <c r="C572" s="76"/>
      <c r="D572" s="76"/>
      <c r="E572" s="76"/>
      <c r="F572" s="76"/>
    </row>
    <row r="573">
      <c r="A573" s="76"/>
      <c r="B573" s="76"/>
      <c r="C573" s="76"/>
      <c r="D573" s="76"/>
      <c r="E573" s="76"/>
      <c r="F573" s="76"/>
    </row>
    <row r="574">
      <c r="A574" s="76"/>
      <c r="B574" s="76"/>
      <c r="C574" s="76"/>
      <c r="D574" s="76"/>
      <c r="E574" s="76"/>
      <c r="F574" s="76"/>
    </row>
    <row r="575">
      <c r="A575" s="76"/>
      <c r="B575" s="76"/>
      <c r="C575" s="76"/>
      <c r="D575" s="76"/>
      <c r="E575" s="76"/>
      <c r="F575" s="76"/>
    </row>
    <row r="576">
      <c r="A576" s="76"/>
      <c r="B576" s="76"/>
      <c r="C576" s="76"/>
      <c r="D576" s="76"/>
      <c r="E576" s="76"/>
      <c r="F576" s="76"/>
    </row>
    <row r="577">
      <c r="A577" s="76"/>
      <c r="B577" s="76"/>
      <c r="C577" s="76"/>
      <c r="D577" s="76"/>
      <c r="E577" s="76"/>
      <c r="F577" s="76"/>
    </row>
    <row r="578">
      <c r="A578" s="76"/>
      <c r="B578" s="76"/>
      <c r="C578" s="76"/>
      <c r="D578" s="76"/>
      <c r="E578" s="76"/>
      <c r="F578" s="76"/>
    </row>
    <row r="579">
      <c r="A579" s="76"/>
      <c r="B579" s="76"/>
      <c r="C579" s="76"/>
      <c r="D579" s="76"/>
      <c r="E579" s="76"/>
      <c r="F579" s="76"/>
    </row>
    <row r="580">
      <c r="A580" s="76"/>
      <c r="B580" s="76"/>
      <c r="C580" s="76"/>
      <c r="D580" s="76"/>
      <c r="E580" s="76"/>
      <c r="F580" s="76"/>
    </row>
    <row r="581">
      <c r="A581" s="76"/>
      <c r="B581" s="76"/>
      <c r="C581" s="76"/>
      <c r="D581" s="76"/>
      <c r="E581" s="76"/>
      <c r="F581" s="76"/>
    </row>
    <row r="582">
      <c r="A582" s="76"/>
      <c r="B582" s="76"/>
      <c r="C582" s="76"/>
      <c r="D582" s="76"/>
      <c r="E582" s="76"/>
      <c r="F582" s="76"/>
    </row>
    <row r="583">
      <c r="A583" s="76"/>
      <c r="B583" s="76"/>
      <c r="C583" s="76"/>
      <c r="D583" s="76"/>
      <c r="E583" s="76"/>
      <c r="F583" s="76"/>
    </row>
    <row r="584">
      <c r="A584" s="76"/>
      <c r="B584" s="76"/>
      <c r="C584" s="76"/>
      <c r="D584" s="76"/>
      <c r="E584" s="76"/>
      <c r="F584" s="76"/>
    </row>
    <row r="585">
      <c r="A585" s="76"/>
      <c r="B585" s="76"/>
      <c r="C585" s="76"/>
      <c r="D585" s="76"/>
      <c r="E585" s="76"/>
      <c r="F585" s="76"/>
    </row>
    <row r="586">
      <c r="A586" s="76"/>
      <c r="B586" s="76"/>
      <c r="C586" s="76"/>
      <c r="D586" s="76"/>
      <c r="E586" s="76"/>
      <c r="F586" s="76"/>
    </row>
    <row r="587">
      <c r="A587" s="76"/>
      <c r="B587" s="76"/>
      <c r="C587" s="76"/>
      <c r="D587" s="76"/>
      <c r="E587" s="76"/>
      <c r="F587" s="76"/>
    </row>
    <row r="588">
      <c r="A588" s="76"/>
      <c r="B588" s="76"/>
      <c r="C588" s="76"/>
      <c r="D588" s="76"/>
      <c r="E588" s="76"/>
      <c r="F588" s="76"/>
    </row>
    <row r="589">
      <c r="A589" s="76"/>
      <c r="B589" s="76"/>
      <c r="C589" s="76"/>
      <c r="D589" s="76"/>
      <c r="E589" s="76"/>
      <c r="F589" s="76"/>
    </row>
    <row r="590">
      <c r="A590" s="76"/>
      <c r="B590" s="76"/>
      <c r="C590" s="76"/>
      <c r="D590" s="76"/>
      <c r="E590" s="76"/>
      <c r="F590" s="76"/>
    </row>
    <row r="591">
      <c r="A591" s="76"/>
      <c r="B591" s="76"/>
      <c r="C591" s="76"/>
      <c r="D591" s="76"/>
      <c r="E591" s="76"/>
      <c r="F591" s="76"/>
    </row>
    <row r="592">
      <c r="A592" s="76"/>
      <c r="B592" s="76"/>
      <c r="C592" s="76"/>
      <c r="D592" s="76"/>
      <c r="E592" s="76"/>
      <c r="F592" s="76"/>
    </row>
    <row r="593">
      <c r="A593" s="76"/>
      <c r="B593" s="76"/>
      <c r="C593" s="76"/>
      <c r="D593" s="76"/>
      <c r="E593" s="76"/>
      <c r="F593" s="76"/>
    </row>
    <row r="594">
      <c r="A594" s="76"/>
      <c r="B594" s="76"/>
      <c r="C594" s="76"/>
      <c r="D594" s="76"/>
      <c r="E594" s="76"/>
      <c r="F594" s="76"/>
    </row>
    <row r="595">
      <c r="A595" s="76"/>
      <c r="B595" s="76"/>
      <c r="C595" s="76"/>
      <c r="D595" s="76"/>
      <c r="E595" s="76"/>
      <c r="F595" s="76"/>
    </row>
    <row r="596">
      <c r="A596" s="76"/>
      <c r="B596" s="76"/>
      <c r="C596" s="76"/>
      <c r="D596" s="76"/>
      <c r="E596" s="76"/>
      <c r="F596" s="76"/>
    </row>
    <row r="597">
      <c r="A597" s="76"/>
      <c r="B597" s="76"/>
      <c r="C597" s="76"/>
      <c r="D597" s="76"/>
      <c r="E597" s="76"/>
      <c r="F597" s="76"/>
    </row>
    <row r="598">
      <c r="A598" s="76"/>
      <c r="B598" s="76"/>
      <c r="C598" s="76"/>
      <c r="D598" s="76"/>
      <c r="E598" s="76"/>
      <c r="F598" s="76"/>
    </row>
    <row r="599">
      <c r="A599" s="76"/>
      <c r="B599" s="76"/>
      <c r="C599" s="76"/>
      <c r="D599" s="76"/>
      <c r="E599" s="76"/>
      <c r="F599" s="76"/>
    </row>
    <row r="600">
      <c r="A600" s="76"/>
      <c r="B600" s="76"/>
      <c r="C600" s="76"/>
      <c r="D600" s="76"/>
      <c r="E600" s="76"/>
      <c r="F600" s="76"/>
    </row>
    <row r="601">
      <c r="A601" s="76"/>
      <c r="B601" s="76"/>
      <c r="C601" s="76"/>
      <c r="D601" s="76"/>
      <c r="E601" s="76"/>
      <c r="F601" s="76"/>
    </row>
    <row r="602">
      <c r="A602" s="76"/>
      <c r="B602" s="76"/>
      <c r="C602" s="76"/>
      <c r="D602" s="76"/>
      <c r="E602" s="76"/>
      <c r="F602" s="76"/>
    </row>
    <row r="603">
      <c r="A603" s="76"/>
      <c r="B603" s="76"/>
      <c r="C603" s="76"/>
      <c r="D603" s="76"/>
      <c r="E603" s="76"/>
      <c r="F603" s="76"/>
    </row>
    <row r="604">
      <c r="A604" s="76"/>
      <c r="B604" s="76"/>
      <c r="C604" s="76"/>
      <c r="D604" s="76"/>
      <c r="E604" s="76"/>
      <c r="F604" s="76"/>
    </row>
    <row r="605">
      <c r="A605" s="76"/>
      <c r="B605" s="76"/>
      <c r="C605" s="76"/>
      <c r="D605" s="76"/>
      <c r="E605" s="76"/>
      <c r="F605" s="76"/>
    </row>
    <row r="606">
      <c r="A606" s="76"/>
      <c r="B606" s="76"/>
      <c r="C606" s="76"/>
      <c r="D606" s="76"/>
      <c r="E606" s="76"/>
      <c r="F606" s="76"/>
    </row>
    <row r="607">
      <c r="A607" s="76"/>
      <c r="B607" s="76"/>
      <c r="C607" s="76"/>
      <c r="D607" s="76"/>
      <c r="E607" s="76"/>
      <c r="F607" s="76"/>
    </row>
    <row r="608">
      <c r="A608" s="76"/>
      <c r="B608" s="76"/>
      <c r="C608" s="76"/>
      <c r="D608" s="76"/>
      <c r="E608" s="76"/>
      <c r="F608" s="76"/>
    </row>
    <row r="609">
      <c r="A609" s="76"/>
      <c r="B609" s="76"/>
      <c r="C609" s="76"/>
      <c r="D609" s="76"/>
      <c r="E609" s="76"/>
      <c r="F609" s="76"/>
    </row>
    <row r="610">
      <c r="A610" s="76"/>
      <c r="B610" s="76"/>
      <c r="C610" s="76"/>
      <c r="D610" s="76"/>
      <c r="E610" s="76"/>
      <c r="F610" s="76"/>
    </row>
    <row r="611">
      <c r="A611" s="76"/>
      <c r="B611" s="76"/>
      <c r="C611" s="76"/>
      <c r="D611" s="76"/>
      <c r="E611" s="76"/>
      <c r="F611" s="76"/>
    </row>
    <row r="612">
      <c r="A612" s="76"/>
      <c r="B612" s="76"/>
      <c r="C612" s="76"/>
      <c r="D612" s="76"/>
      <c r="E612" s="76"/>
      <c r="F612" s="76"/>
    </row>
    <row r="613">
      <c r="A613" s="76"/>
      <c r="B613" s="76"/>
      <c r="C613" s="76"/>
      <c r="D613" s="76"/>
      <c r="E613" s="76"/>
      <c r="F613" s="76"/>
    </row>
    <row r="614">
      <c r="A614" s="76"/>
      <c r="B614" s="76"/>
      <c r="C614" s="76"/>
      <c r="D614" s="76"/>
      <c r="E614" s="76"/>
      <c r="F614" s="76"/>
    </row>
    <row r="615">
      <c r="A615" s="76"/>
      <c r="B615" s="76"/>
      <c r="C615" s="76"/>
      <c r="D615" s="76"/>
      <c r="E615" s="76"/>
      <c r="F615" s="76"/>
    </row>
    <row r="616">
      <c r="A616" s="76"/>
      <c r="B616" s="76"/>
      <c r="C616" s="76"/>
      <c r="D616" s="76"/>
      <c r="E616" s="76"/>
      <c r="F616" s="76"/>
    </row>
    <row r="617">
      <c r="A617" s="76"/>
      <c r="B617" s="76"/>
      <c r="C617" s="76"/>
      <c r="D617" s="76"/>
      <c r="E617" s="76"/>
      <c r="F617" s="76"/>
    </row>
    <row r="618">
      <c r="A618" s="76"/>
      <c r="B618" s="76"/>
      <c r="C618" s="76"/>
      <c r="D618" s="76"/>
      <c r="E618" s="76"/>
      <c r="F618" s="76"/>
    </row>
    <row r="619">
      <c r="A619" s="76"/>
      <c r="B619" s="76"/>
      <c r="C619" s="76"/>
      <c r="D619" s="76"/>
      <c r="E619" s="76"/>
      <c r="F619" s="76"/>
    </row>
    <row r="620">
      <c r="A620" s="76"/>
      <c r="B620" s="76"/>
      <c r="C620" s="76"/>
      <c r="D620" s="76"/>
      <c r="E620" s="76"/>
      <c r="F620" s="76"/>
    </row>
    <row r="621">
      <c r="A621" s="76"/>
      <c r="B621" s="76"/>
      <c r="C621" s="76"/>
      <c r="D621" s="76"/>
      <c r="E621" s="76"/>
      <c r="F621" s="76"/>
    </row>
    <row r="622">
      <c r="A622" s="76"/>
      <c r="B622" s="76"/>
      <c r="C622" s="76"/>
      <c r="D622" s="76"/>
      <c r="E622" s="76"/>
      <c r="F622" s="76"/>
    </row>
    <row r="623">
      <c r="A623" s="76"/>
      <c r="B623" s="76"/>
      <c r="C623" s="76"/>
      <c r="D623" s="76"/>
      <c r="E623" s="76"/>
      <c r="F623" s="76"/>
    </row>
    <row r="624">
      <c r="A624" s="76"/>
      <c r="B624" s="76"/>
      <c r="C624" s="76"/>
      <c r="D624" s="76"/>
      <c r="E624" s="76"/>
      <c r="F624" s="76"/>
    </row>
    <row r="625">
      <c r="A625" s="76"/>
      <c r="B625" s="76"/>
      <c r="C625" s="76"/>
      <c r="D625" s="76"/>
      <c r="E625" s="76"/>
      <c r="F625" s="76"/>
    </row>
    <row r="626">
      <c r="A626" s="76"/>
      <c r="B626" s="76"/>
      <c r="C626" s="76"/>
      <c r="D626" s="76"/>
      <c r="E626" s="76"/>
      <c r="F626" s="76"/>
    </row>
    <row r="627">
      <c r="A627" s="76"/>
      <c r="B627" s="76"/>
      <c r="C627" s="76"/>
      <c r="D627" s="76"/>
      <c r="E627" s="76"/>
      <c r="F627" s="76"/>
    </row>
    <row r="628">
      <c r="A628" s="76"/>
      <c r="B628" s="76"/>
      <c r="C628" s="76"/>
      <c r="D628" s="76"/>
      <c r="E628" s="76"/>
      <c r="F628" s="76"/>
    </row>
    <row r="629">
      <c r="A629" s="76"/>
      <c r="B629" s="76"/>
      <c r="C629" s="76"/>
      <c r="D629" s="76"/>
      <c r="E629" s="76"/>
      <c r="F629" s="76"/>
    </row>
    <row r="630">
      <c r="A630" s="76"/>
      <c r="B630" s="76"/>
      <c r="C630" s="76"/>
      <c r="D630" s="76"/>
      <c r="E630" s="76"/>
      <c r="F630" s="76"/>
    </row>
    <row r="631">
      <c r="A631" s="76"/>
      <c r="B631" s="76"/>
      <c r="C631" s="76"/>
      <c r="D631" s="76"/>
      <c r="E631" s="76"/>
      <c r="F631" s="76"/>
    </row>
    <row r="632">
      <c r="A632" s="76"/>
      <c r="B632" s="76"/>
      <c r="C632" s="76"/>
      <c r="D632" s="76"/>
      <c r="E632" s="76"/>
      <c r="F632" s="76"/>
    </row>
    <row r="633">
      <c r="A633" s="76"/>
      <c r="B633" s="76"/>
      <c r="C633" s="76"/>
      <c r="D633" s="76"/>
      <c r="E633" s="76"/>
      <c r="F633" s="76"/>
    </row>
    <row r="634">
      <c r="A634" s="76"/>
      <c r="B634" s="76"/>
      <c r="C634" s="76"/>
      <c r="D634" s="76"/>
      <c r="E634" s="76"/>
      <c r="F634" s="76"/>
    </row>
    <row r="635">
      <c r="A635" s="76"/>
      <c r="B635" s="76"/>
      <c r="C635" s="76"/>
      <c r="D635" s="76"/>
      <c r="E635" s="76"/>
      <c r="F635" s="76"/>
    </row>
    <row r="636">
      <c r="A636" s="76"/>
      <c r="B636" s="76"/>
      <c r="C636" s="76"/>
      <c r="D636" s="76"/>
      <c r="E636" s="76"/>
      <c r="F636" s="76"/>
    </row>
    <row r="637">
      <c r="A637" s="76"/>
      <c r="B637" s="76"/>
      <c r="C637" s="76"/>
      <c r="D637" s="76"/>
      <c r="E637" s="76"/>
      <c r="F637" s="76"/>
    </row>
    <row r="638">
      <c r="A638" s="76"/>
      <c r="B638" s="76"/>
      <c r="C638" s="76"/>
      <c r="D638" s="76"/>
      <c r="E638" s="76"/>
      <c r="F638" s="76"/>
    </row>
    <row r="639">
      <c r="A639" s="76"/>
      <c r="B639" s="76"/>
      <c r="C639" s="76"/>
      <c r="D639" s="76"/>
      <c r="E639" s="76"/>
      <c r="F639" s="76"/>
    </row>
    <row r="640">
      <c r="A640" s="76"/>
      <c r="B640" s="76"/>
      <c r="C640" s="76"/>
      <c r="D640" s="76"/>
      <c r="E640" s="76"/>
      <c r="F640" s="76"/>
    </row>
    <row r="641">
      <c r="A641" s="76"/>
      <c r="B641" s="76"/>
      <c r="C641" s="76"/>
      <c r="D641" s="76"/>
      <c r="E641" s="76"/>
      <c r="F641" s="76"/>
    </row>
    <row r="642">
      <c r="A642" s="76"/>
      <c r="B642" s="76"/>
      <c r="C642" s="76"/>
      <c r="D642" s="76"/>
      <c r="E642" s="76"/>
      <c r="F642" s="76"/>
    </row>
    <row r="643">
      <c r="A643" s="76"/>
      <c r="B643" s="76"/>
      <c r="C643" s="76"/>
      <c r="D643" s="76"/>
      <c r="E643" s="76"/>
      <c r="F643" s="76"/>
    </row>
    <row r="644">
      <c r="A644" s="76"/>
      <c r="B644" s="76"/>
      <c r="C644" s="76"/>
      <c r="D644" s="76"/>
      <c r="E644" s="76"/>
      <c r="F644" s="76"/>
    </row>
    <row r="645">
      <c r="A645" s="76"/>
      <c r="B645" s="76"/>
      <c r="C645" s="76"/>
      <c r="D645" s="76"/>
      <c r="E645" s="76"/>
      <c r="F645" s="76"/>
    </row>
    <row r="646">
      <c r="A646" s="76"/>
      <c r="B646" s="76"/>
      <c r="C646" s="76"/>
      <c r="D646" s="76"/>
      <c r="E646" s="76"/>
      <c r="F646" s="76"/>
    </row>
    <row r="647">
      <c r="A647" s="76"/>
      <c r="B647" s="76"/>
      <c r="C647" s="76"/>
      <c r="D647" s="76"/>
      <c r="E647" s="76"/>
      <c r="F647" s="76"/>
    </row>
    <row r="648">
      <c r="A648" s="76"/>
      <c r="B648" s="76"/>
      <c r="C648" s="76"/>
      <c r="D648" s="76"/>
      <c r="E648" s="76"/>
      <c r="F648" s="76"/>
    </row>
    <row r="649">
      <c r="A649" s="76"/>
      <c r="B649" s="76"/>
      <c r="C649" s="76"/>
      <c r="D649" s="76"/>
      <c r="E649" s="76"/>
      <c r="F649" s="76"/>
    </row>
    <row r="650">
      <c r="A650" s="76"/>
      <c r="B650" s="76"/>
      <c r="C650" s="76"/>
      <c r="D650" s="76"/>
      <c r="E650" s="76"/>
      <c r="F650" s="76"/>
    </row>
    <row r="651">
      <c r="A651" s="76"/>
      <c r="B651" s="76"/>
      <c r="C651" s="76"/>
      <c r="D651" s="76"/>
      <c r="E651" s="76"/>
      <c r="F651" s="76"/>
    </row>
    <row r="652">
      <c r="A652" s="76"/>
      <c r="B652" s="76"/>
      <c r="C652" s="76"/>
      <c r="D652" s="76"/>
      <c r="E652" s="76"/>
      <c r="F652" s="76"/>
    </row>
    <row r="653">
      <c r="A653" s="76"/>
      <c r="B653" s="76"/>
      <c r="C653" s="76"/>
      <c r="D653" s="76"/>
      <c r="E653" s="76"/>
      <c r="F653" s="76"/>
    </row>
    <row r="654">
      <c r="A654" s="76"/>
      <c r="B654" s="76"/>
      <c r="C654" s="76"/>
      <c r="D654" s="76"/>
      <c r="E654" s="76"/>
      <c r="F654" s="76"/>
    </row>
    <row r="655">
      <c r="A655" s="76"/>
      <c r="B655" s="76"/>
      <c r="C655" s="76"/>
      <c r="D655" s="76"/>
      <c r="E655" s="76"/>
      <c r="F655" s="76"/>
    </row>
    <row r="656">
      <c r="A656" s="76"/>
      <c r="B656" s="76"/>
      <c r="C656" s="76"/>
      <c r="D656" s="76"/>
      <c r="E656" s="76"/>
      <c r="F656" s="76"/>
    </row>
    <row r="657">
      <c r="A657" s="76"/>
      <c r="B657" s="76"/>
      <c r="C657" s="76"/>
      <c r="D657" s="76"/>
      <c r="E657" s="76"/>
      <c r="F657" s="76"/>
    </row>
    <row r="658">
      <c r="A658" s="76"/>
      <c r="B658" s="76"/>
      <c r="C658" s="76"/>
      <c r="D658" s="76"/>
      <c r="E658" s="76"/>
      <c r="F658" s="76"/>
    </row>
    <row r="659">
      <c r="A659" s="76"/>
      <c r="B659" s="76"/>
      <c r="C659" s="76"/>
      <c r="D659" s="76"/>
      <c r="E659" s="76"/>
      <c r="F659" s="76"/>
    </row>
    <row r="660">
      <c r="A660" s="76"/>
      <c r="B660" s="76"/>
      <c r="C660" s="76"/>
      <c r="D660" s="76"/>
      <c r="E660" s="76"/>
      <c r="F660" s="76"/>
    </row>
    <row r="661">
      <c r="A661" s="76"/>
      <c r="B661" s="76"/>
      <c r="C661" s="76"/>
      <c r="D661" s="76"/>
      <c r="E661" s="76"/>
      <c r="F661" s="76"/>
    </row>
    <row r="662">
      <c r="A662" s="76"/>
      <c r="B662" s="76"/>
      <c r="C662" s="76"/>
      <c r="D662" s="76"/>
      <c r="E662" s="76"/>
      <c r="F662" s="76"/>
    </row>
    <row r="663">
      <c r="A663" s="76"/>
      <c r="B663" s="76"/>
      <c r="C663" s="76"/>
      <c r="D663" s="76"/>
      <c r="E663" s="76"/>
      <c r="F663" s="76"/>
    </row>
    <row r="664">
      <c r="A664" s="76"/>
      <c r="B664" s="76"/>
      <c r="C664" s="76"/>
      <c r="D664" s="76"/>
      <c r="E664" s="76"/>
      <c r="F664" s="76"/>
    </row>
    <row r="665">
      <c r="A665" s="76"/>
      <c r="B665" s="76"/>
      <c r="C665" s="76"/>
      <c r="D665" s="76"/>
      <c r="E665" s="76"/>
      <c r="F665" s="76"/>
    </row>
    <row r="666">
      <c r="A666" s="76"/>
      <c r="B666" s="76"/>
      <c r="C666" s="76"/>
      <c r="D666" s="76"/>
      <c r="E666" s="76"/>
      <c r="F666" s="76"/>
    </row>
    <row r="667">
      <c r="A667" s="76"/>
      <c r="B667" s="76"/>
      <c r="C667" s="76"/>
      <c r="D667" s="76"/>
      <c r="E667" s="76"/>
      <c r="F667" s="76"/>
    </row>
    <row r="668">
      <c r="A668" s="76"/>
      <c r="B668" s="76"/>
      <c r="C668" s="76"/>
      <c r="D668" s="76"/>
      <c r="E668" s="76"/>
      <c r="F668" s="76"/>
    </row>
    <row r="669">
      <c r="A669" s="76"/>
      <c r="B669" s="76"/>
      <c r="C669" s="76"/>
      <c r="D669" s="76"/>
      <c r="E669" s="76"/>
      <c r="F669" s="76"/>
    </row>
    <row r="670">
      <c r="A670" s="76"/>
      <c r="B670" s="76"/>
      <c r="C670" s="76"/>
      <c r="D670" s="76"/>
      <c r="E670" s="76"/>
      <c r="F670" s="76"/>
    </row>
    <row r="671">
      <c r="A671" s="76"/>
      <c r="B671" s="76"/>
      <c r="C671" s="76"/>
      <c r="D671" s="76"/>
      <c r="E671" s="76"/>
      <c r="F671" s="76"/>
    </row>
    <row r="672">
      <c r="A672" s="76"/>
      <c r="B672" s="76"/>
      <c r="C672" s="76"/>
      <c r="D672" s="76"/>
      <c r="E672" s="76"/>
      <c r="F672" s="76"/>
    </row>
    <row r="673">
      <c r="A673" s="76"/>
      <c r="B673" s="76"/>
      <c r="C673" s="76"/>
      <c r="D673" s="76"/>
      <c r="E673" s="76"/>
      <c r="F673" s="76"/>
    </row>
    <row r="674">
      <c r="A674" s="76"/>
      <c r="B674" s="76"/>
      <c r="C674" s="76"/>
      <c r="D674" s="76"/>
      <c r="E674" s="76"/>
      <c r="F674" s="76"/>
    </row>
    <row r="675">
      <c r="A675" s="76"/>
      <c r="B675" s="76"/>
      <c r="C675" s="76"/>
      <c r="D675" s="76"/>
      <c r="E675" s="76"/>
      <c r="F675" s="76"/>
    </row>
    <row r="676">
      <c r="A676" s="76"/>
      <c r="B676" s="76"/>
      <c r="C676" s="76"/>
      <c r="D676" s="76"/>
      <c r="E676" s="76"/>
      <c r="F676" s="76"/>
    </row>
    <row r="677">
      <c r="A677" s="76"/>
      <c r="B677" s="76"/>
      <c r="C677" s="76"/>
      <c r="D677" s="76"/>
      <c r="E677" s="76"/>
      <c r="F677" s="76"/>
    </row>
    <row r="678">
      <c r="A678" s="76"/>
      <c r="B678" s="76"/>
      <c r="C678" s="76"/>
      <c r="D678" s="76"/>
      <c r="E678" s="76"/>
      <c r="F678" s="76"/>
    </row>
    <row r="679">
      <c r="A679" s="76"/>
      <c r="B679" s="76"/>
      <c r="C679" s="76"/>
      <c r="D679" s="76"/>
      <c r="E679" s="76"/>
      <c r="F679" s="76"/>
    </row>
    <row r="680">
      <c r="A680" s="76"/>
      <c r="B680" s="76"/>
      <c r="C680" s="76"/>
      <c r="D680" s="76"/>
      <c r="E680" s="76"/>
      <c r="F680" s="76"/>
    </row>
    <row r="681">
      <c r="A681" s="76"/>
      <c r="B681" s="76"/>
      <c r="C681" s="76"/>
      <c r="D681" s="76"/>
      <c r="E681" s="76"/>
      <c r="F681" s="76"/>
    </row>
    <row r="682">
      <c r="A682" s="76"/>
      <c r="B682" s="76"/>
      <c r="C682" s="76"/>
      <c r="D682" s="76"/>
      <c r="E682" s="76"/>
      <c r="F682" s="76"/>
    </row>
    <row r="683">
      <c r="A683" s="76"/>
      <c r="B683" s="76"/>
      <c r="C683" s="76"/>
      <c r="D683" s="76"/>
      <c r="E683" s="76"/>
      <c r="F683" s="76"/>
    </row>
    <row r="684">
      <c r="A684" s="76"/>
      <c r="B684" s="76"/>
      <c r="C684" s="76"/>
      <c r="D684" s="76"/>
      <c r="E684" s="76"/>
      <c r="F684" s="76"/>
    </row>
    <row r="685">
      <c r="A685" s="76"/>
      <c r="B685" s="76"/>
      <c r="C685" s="76"/>
      <c r="D685" s="76"/>
      <c r="E685" s="76"/>
      <c r="F685" s="76"/>
    </row>
    <row r="686">
      <c r="A686" s="76"/>
      <c r="B686" s="76"/>
      <c r="C686" s="76"/>
      <c r="D686" s="76"/>
      <c r="E686" s="76"/>
      <c r="F686" s="76"/>
    </row>
    <row r="687">
      <c r="A687" s="76"/>
      <c r="B687" s="76"/>
      <c r="C687" s="76"/>
      <c r="D687" s="76"/>
      <c r="E687" s="76"/>
      <c r="F687" s="76"/>
    </row>
    <row r="688">
      <c r="A688" s="76"/>
      <c r="B688" s="76"/>
      <c r="C688" s="76"/>
      <c r="D688" s="76"/>
      <c r="E688" s="76"/>
      <c r="F688" s="76"/>
    </row>
    <row r="689">
      <c r="A689" s="76"/>
      <c r="B689" s="76"/>
      <c r="C689" s="76"/>
      <c r="D689" s="76"/>
      <c r="E689" s="76"/>
      <c r="F689" s="76"/>
    </row>
    <row r="690">
      <c r="A690" s="76"/>
      <c r="B690" s="76"/>
      <c r="C690" s="76"/>
      <c r="D690" s="76"/>
      <c r="E690" s="76"/>
      <c r="F690" s="76"/>
    </row>
    <row r="691">
      <c r="A691" s="76"/>
      <c r="B691" s="76"/>
      <c r="C691" s="76"/>
      <c r="D691" s="76"/>
      <c r="E691" s="76"/>
      <c r="F691" s="76"/>
    </row>
    <row r="692">
      <c r="A692" s="76"/>
      <c r="B692" s="76"/>
      <c r="C692" s="76"/>
      <c r="D692" s="76"/>
      <c r="E692" s="76"/>
      <c r="F692" s="76"/>
    </row>
    <row r="693">
      <c r="A693" s="76"/>
      <c r="B693" s="76"/>
      <c r="C693" s="76"/>
      <c r="D693" s="76"/>
      <c r="E693" s="76"/>
      <c r="F693" s="76"/>
    </row>
    <row r="694">
      <c r="A694" s="76"/>
      <c r="B694" s="76"/>
      <c r="C694" s="76"/>
      <c r="D694" s="76"/>
      <c r="E694" s="76"/>
      <c r="F694" s="76"/>
    </row>
    <row r="695">
      <c r="A695" s="76"/>
      <c r="B695" s="76"/>
      <c r="C695" s="76"/>
      <c r="D695" s="76"/>
      <c r="E695" s="76"/>
      <c r="F695" s="76"/>
    </row>
    <row r="696">
      <c r="A696" s="76"/>
      <c r="B696" s="76"/>
      <c r="C696" s="76"/>
      <c r="D696" s="76"/>
      <c r="E696" s="76"/>
      <c r="F696" s="76"/>
    </row>
    <row r="697">
      <c r="A697" s="76"/>
      <c r="B697" s="76"/>
      <c r="C697" s="76"/>
      <c r="D697" s="76"/>
      <c r="E697" s="76"/>
      <c r="F697" s="76"/>
    </row>
    <row r="698">
      <c r="A698" s="76"/>
      <c r="B698" s="76"/>
      <c r="C698" s="76"/>
      <c r="D698" s="76"/>
      <c r="E698" s="76"/>
      <c r="F698" s="76"/>
    </row>
    <row r="699">
      <c r="A699" s="76"/>
      <c r="B699" s="76"/>
      <c r="C699" s="76"/>
      <c r="D699" s="76"/>
      <c r="E699" s="76"/>
      <c r="F699" s="76"/>
    </row>
    <row r="700">
      <c r="A700" s="76"/>
      <c r="B700" s="76"/>
      <c r="C700" s="76"/>
      <c r="D700" s="76"/>
      <c r="E700" s="76"/>
      <c r="F700" s="76"/>
    </row>
    <row r="701">
      <c r="A701" s="76"/>
      <c r="B701" s="76"/>
      <c r="C701" s="76"/>
      <c r="D701" s="76"/>
      <c r="E701" s="76"/>
      <c r="F701" s="76"/>
    </row>
    <row r="702">
      <c r="A702" s="76"/>
      <c r="B702" s="76"/>
      <c r="C702" s="76"/>
      <c r="D702" s="76"/>
      <c r="E702" s="76"/>
      <c r="F702" s="76"/>
    </row>
    <row r="703">
      <c r="A703" s="76"/>
      <c r="B703" s="76"/>
      <c r="C703" s="76"/>
      <c r="D703" s="76"/>
      <c r="E703" s="76"/>
      <c r="F703" s="76"/>
    </row>
    <row r="704">
      <c r="A704" s="76"/>
      <c r="B704" s="76"/>
      <c r="C704" s="76"/>
      <c r="D704" s="76"/>
      <c r="E704" s="76"/>
      <c r="F704" s="76"/>
    </row>
    <row r="705">
      <c r="A705" s="76"/>
      <c r="B705" s="76"/>
      <c r="C705" s="76"/>
      <c r="D705" s="76"/>
      <c r="E705" s="76"/>
      <c r="F705" s="76"/>
    </row>
    <row r="706">
      <c r="A706" s="76"/>
      <c r="B706" s="76"/>
      <c r="C706" s="76"/>
      <c r="D706" s="76"/>
      <c r="E706" s="76"/>
      <c r="F706" s="76"/>
    </row>
    <row r="707">
      <c r="A707" s="76"/>
      <c r="B707" s="76"/>
      <c r="C707" s="76"/>
      <c r="D707" s="76"/>
      <c r="E707" s="76"/>
      <c r="F707" s="76"/>
    </row>
    <row r="708">
      <c r="A708" s="76"/>
      <c r="B708" s="76"/>
      <c r="C708" s="76"/>
      <c r="D708" s="76"/>
      <c r="E708" s="76"/>
      <c r="F708" s="76"/>
    </row>
    <row r="709">
      <c r="A709" s="76"/>
      <c r="B709" s="76"/>
      <c r="C709" s="76"/>
      <c r="D709" s="76"/>
      <c r="E709" s="76"/>
      <c r="F709" s="76"/>
    </row>
    <row r="710">
      <c r="A710" s="76"/>
      <c r="B710" s="76"/>
      <c r="C710" s="76"/>
      <c r="D710" s="76"/>
      <c r="E710" s="76"/>
      <c r="F710" s="76"/>
    </row>
    <row r="711">
      <c r="A711" s="76"/>
      <c r="B711" s="76"/>
      <c r="C711" s="76"/>
      <c r="D711" s="76"/>
      <c r="E711" s="76"/>
      <c r="F711" s="76"/>
    </row>
    <row r="712">
      <c r="A712" s="76"/>
      <c r="B712" s="76"/>
      <c r="C712" s="76"/>
      <c r="D712" s="76"/>
      <c r="E712" s="76"/>
      <c r="F712" s="76"/>
    </row>
    <row r="713">
      <c r="A713" s="76"/>
      <c r="B713" s="76"/>
      <c r="C713" s="76"/>
      <c r="D713" s="76"/>
      <c r="E713" s="76"/>
      <c r="F713" s="76"/>
    </row>
    <row r="714">
      <c r="A714" s="76"/>
      <c r="B714" s="76"/>
      <c r="C714" s="76"/>
      <c r="D714" s="76"/>
      <c r="E714" s="76"/>
      <c r="F714" s="76"/>
    </row>
    <row r="715">
      <c r="A715" s="76"/>
      <c r="B715" s="76"/>
      <c r="C715" s="76"/>
      <c r="D715" s="76"/>
      <c r="E715" s="76"/>
      <c r="F715" s="76"/>
    </row>
    <row r="716">
      <c r="A716" s="76"/>
      <c r="B716" s="76"/>
      <c r="C716" s="76"/>
      <c r="D716" s="76"/>
      <c r="E716" s="76"/>
      <c r="F716" s="76"/>
    </row>
    <row r="717">
      <c r="A717" s="76"/>
      <c r="B717" s="76"/>
      <c r="C717" s="76"/>
      <c r="D717" s="76"/>
      <c r="E717" s="76"/>
      <c r="F717" s="76"/>
    </row>
    <row r="718">
      <c r="A718" s="76"/>
      <c r="B718" s="76"/>
      <c r="C718" s="76"/>
      <c r="D718" s="76"/>
      <c r="E718" s="76"/>
      <c r="F718" s="76"/>
    </row>
    <row r="719">
      <c r="A719" s="76"/>
      <c r="B719" s="76"/>
      <c r="C719" s="76"/>
      <c r="D719" s="76"/>
      <c r="E719" s="76"/>
      <c r="F719" s="76"/>
    </row>
    <row r="720">
      <c r="A720" s="76"/>
      <c r="B720" s="76"/>
      <c r="C720" s="76"/>
      <c r="D720" s="76"/>
      <c r="E720" s="76"/>
      <c r="F720" s="76"/>
    </row>
    <row r="721">
      <c r="A721" s="76"/>
      <c r="B721" s="76"/>
      <c r="C721" s="76"/>
      <c r="D721" s="76"/>
      <c r="E721" s="76"/>
      <c r="F721" s="76"/>
    </row>
    <row r="722">
      <c r="A722" s="76"/>
      <c r="B722" s="76"/>
      <c r="C722" s="76"/>
      <c r="D722" s="76"/>
      <c r="E722" s="76"/>
      <c r="F722" s="76"/>
    </row>
    <row r="723">
      <c r="A723" s="76"/>
      <c r="B723" s="76"/>
      <c r="C723" s="76"/>
      <c r="D723" s="76"/>
      <c r="E723" s="76"/>
      <c r="F723" s="76"/>
    </row>
    <row r="724">
      <c r="A724" s="76"/>
      <c r="B724" s="76"/>
      <c r="C724" s="76"/>
      <c r="D724" s="76"/>
      <c r="E724" s="76"/>
      <c r="F724" s="76"/>
    </row>
    <row r="725">
      <c r="A725" s="76"/>
      <c r="B725" s="76"/>
      <c r="C725" s="76"/>
      <c r="D725" s="76"/>
      <c r="E725" s="76"/>
      <c r="F725" s="76"/>
    </row>
    <row r="726">
      <c r="A726" s="76"/>
      <c r="B726" s="76"/>
      <c r="C726" s="76"/>
      <c r="D726" s="76"/>
      <c r="E726" s="76"/>
      <c r="F726" s="76"/>
    </row>
    <row r="727">
      <c r="A727" s="76"/>
      <c r="B727" s="76"/>
      <c r="C727" s="76"/>
      <c r="D727" s="76"/>
      <c r="E727" s="76"/>
      <c r="F727" s="76"/>
    </row>
    <row r="728">
      <c r="A728" s="76"/>
      <c r="B728" s="76"/>
      <c r="C728" s="76"/>
      <c r="D728" s="76"/>
      <c r="E728" s="76"/>
      <c r="F728" s="76"/>
    </row>
    <row r="729">
      <c r="A729" s="76"/>
      <c r="B729" s="76"/>
      <c r="C729" s="76"/>
      <c r="D729" s="76"/>
      <c r="E729" s="76"/>
      <c r="F729" s="76"/>
    </row>
    <row r="730">
      <c r="A730" s="76"/>
      <c r="B730" s="76"/>
      <c r="C730" s="76"/>
      <c r="D730" s="76"/>
      <c r="E730" s="76"/>
      <c r="F730" s="76"/>
    </row>
    <row r="731">
      <c r="A731" s="76"/>
      <c r="B731" s="76"/>
      <c r="C731" s="76"/>
      <c r="D731" s="76"/>
      <c r="E731" s="76"/>
      <c r="F731" s="76"/>
    </row>
    <row r="732">
      <c r="A732" s="76"/>
      <c r="B732" s="76"/>
      <c r="C732" s="76"/>
      <c r="D732" s="76"/>
      <c r="E732" s="76"/>
      <c r="F732" s="76"/>
    </row>
    <row r="733">
      <c r="A733" s="76"/>
      <c r="B733" s="76"/>
      <c r="C733" s="76"/>
      <c r="D733" s="76"/>
      <c r="E733" s="76"/>
      <c r="F733" s="76"/>
    </row>
    <row r="734">
      <c r="A734" s="76"/>
      <c r="B734" s="76"/>
      <c r="C734" s="76"/>
      <c r="D734" s="76"/>
      <c r="E734" s="76"/>
      <c r="F734" s="76"/>
    </row>
    <row r="735">
      <c r="A735" s="76"/>
      <c r="B735" s="76"/>
      <c r="C735" s="76"/>
      <c r="D735" s="76"/>
      <c r="E735" s="76"/>
      <c r="F735" s="76"/>
    </row>
    <row r="736">
      <c r="A736" s="76"/>
      <c r="B736" s="76"/>
      <c r="C736" s="76"/>
      <c r="D736" s="76"/>
      <c r="E736" s="76"/>
      <c r="F736" s="76"/>
    </row>
    <row r="737">
      <c r="A737" s="76"/>
      <c r="B737" s="76"/>
      <c r="C737" s="76"/>
      <c r="D737" s="76"/>
      <c r="E737" s="76"/>
      <c r="F737" s="76"/>
    </row>
    <row r="738">
      <c r="A738" s="76"/>
      <c r="B738" s="76"/>
      <c r="C738" s="76"/>
      <c r="D738" s="76"/>
      <c r="E738" s="76"/>
      <c r="F738" s="76"/>
    </row>
    <row r="739">
      <c r="A739" s="76"/>
      <c r="B739" s="76"/>
      <c r="C739" s="76"/>
      <c r="D739" s="76"/>
      <c r="E739" s="76"/>
      <c r="F739" s="76"/>
    </row>
    <row r="740">
      <c r="A740" s="76"/>
      <c r="B740" s="76"/>
      <c r="C740" s="76"/>
      <c r="D740" s="76"/>
      <c r="E740" s="76"/>
      <c r="F740" s="76"/>
    </row>
    <row r="741">
      <c r="A741" s="76"/>
      <c r="B741" s="76"/>
      <c r="C741" s="76"/>
      <c r="D741" s="76"/>
      <c r="E741" s="76"/>
      <c r="F741" s="76"/>
    </row>
    <row r="742">
      <c r="A742" s="76"/>
      <c r="B742" s="76"/>
      <c r="C742" s="76"/>
      <c r="D742" s="76"/>
      <c r="E742" s="76"/>
      <c r="F742" s="76"/>
    </row>
    <row r="743">
      <c r="A743" s="76"/>
      <c r="B743" s="76"/>
      <c r="C743" s="76"/>
      <c r="D743" s="76"/>
      <c r="E743" s="76"/>
      <c r="F743" s="76"/>
    </row>
    <row r="744">
      <c r="A744" s="76"/>
      <c r="B744" s="76"/>
      <c r="C744" s="76"/>
      <c r="D744" s="76"/>
      <c r="E744" s="76"/>
      <c r="F744" s="76"/>
    </row>
    <row r="745">
      <c r="A745" s="76"/>
      <c r="B745" s="76"/>
      <c r="C745" s="76"/>
      <c r="D745" s="76"/>
      <c r="E745" s="76"/>
      <c r="F745" s="76"/>
    </row>
    <row r="746">
      <c r="A746" s="76"/>
      <c r="B746" s="76"/>
      <c r="C746" s="76"/>
      <c r="D746" s="76"/>
      <c r="E746" s="76"/>
      <c r="F746" s="76"/>
    </row>
    <row r="747">
      <c r="A747" s="76"/>
      <c r="B747" s="76"/>
      <c r="C747" s="76"/>
      <c r="D747" s="76"/>
      <c r="E747" s="76"/>
      <c r="F747" s="76"/>
    </row>
    <row r="748">
      <c r="A748" s="76"/>
      <c r="B748" s="76"/>
      <c r="C748" s="76"/>
      <c r="D748" s="76"/>
      <c r="E748" s="76"/>
      <c r="F748" s="76"/>
    </row>
    <row r="749">
      <c r="A749" s="76"/>
      <c r="B749" s="76"/>
      <c r="C749" s="76"/>
      <c r="D749" s="76"/>
      <c r="E749" s="76"/>
      <c r="F749" s="76"/>
    </row>
    <row r="750">
      <c r="A750" s="76"/>
      <c r="B750" s="76"/>
      <c r="C750" s="76"/>
      <c r="D750" s="76"/>
      <c r="E750" s="76"/>
      <c r="F750" s="76"/>
    </row>
    <row r="751">
      <c r="A751" s="76"/>
      <c r="B751" s="76"/>
      <c r="C751" s="76"/>
      <c r="D751" s="76"/>
      <c r="E751" s="76"/>
      <c r="F751" s="76"/>
    </row>
    <row r="752">
      <c r="A752" s="76"/>
      <c r="B752" s="76"/>
      <c r="C752" s="76"/>
      <c r="D752" s="76"/>
      <c r="E752" s="76"/>
      <c r="F752" s="76"/>
    </row>
    <row r="753">
      <c r="A753" s="76"/>
      <c r="B753" s="76"/>
      <c r="C753" s="76"/>
      <c r="D753" s="76"/>
      <c r="E753" s="76"/>
      <c r="F753" s="76"/>
    </row>
    <row r="754">
      <c r="A754" s="76"/>
      <c r="B754" s="76"/>
      <c r="C754" s="76"/>
      <c r="D754" s="76"/>
      <c r="E754" s="76"/>
      <c r="F754" s="76"/>
    </row>
    <row r="755">
      <c r="A755" s="76"/>
      <c r="B755" s="76"/>
      <c r="C755" s="76"/>
      <c r="D755" s="76"/>
      <c r="E755" s="76"/>
      <c r="F755" s="76"/>
    </row>
    <row r="756">
      <c r="A756" s="76"/>
      <c r="B756" s="76"/>
      <c r="C756" s="76"/>
      <c r="D756" s="76"/>
      <c r="E756" s="76"/>
      <c r="F756" s="76"/>
    </row>
    <row r="757">
      <c r="A757" s="76"/>
      <c r="B757" s="76"/>
      <c r="C757" s="76"/>
      <c r="D757" s="76"/>
      <c r="E757" s="76"/>
      <c r="F757" s="76"/>
    </row>
    <row r="758">
      <c r="A758" s="76"/>
      <c r="B758" s="76"/>
      <c r="C758" s="76"/>
      <c r="D758" s="76"/>
      <c r="E758" s="76"/>
      <c r="F758" s="76"/>
    </row>
    <row r="759">
      <c r="A759" s="76"/>
      <c r="B759" s="76"/>
      <c r="C759" s="76"/>
      <c r="D759" s="76"/>
      <c r="E759" s="76"/>
      <c r="F759" s="76"/>
    </row>
    <row r="760">
      <c r="A760" s="76"/>
      <c r="B760" s="76"/>
      <c r="C760" s="76"/>
      <c r="D760" s="76"/>
      <c r="E760" s="76"/>
      <c r="F760" s="76"/>
    </row>
    <row r="761">
      <c r="A761" s="76"/>
      <c r="B761" s="76"/>
      <c r="C761" s="76"/>
      <c r="D761" s="76"/>
      <c r="E761" s="76"/>
      <c r="F761" s="76"/>
    </row>
    <row r="762">
      <c r="A762" s="76"/>
      <c r="B762" s="76"/>
      <c r="C762" s="76"/>
      <c r="D762" s="76"/>
      <c r="E762" s="76"/>
      <c r="F762" s="76"/>
    </row>
    <row r="763">
      <c r="A763" s="76"/>
      <c r="B763" s="76"/>
      <c r="C763" s="76"/>
      <c r="D763" s="76"/>
      <c r="E763" s="76"/>
      <c r="F763" s="76"/>
    </row>
    <row r="764">
      <c r="A764" s="76"/>
      <c r="B764" s="76"/>
      <c r="C764" s="76"/>
      <c r="D764" s="76"/>
      <c r="E764" s="76"/>
      <c r="F764" s="76"/>
    </row>
    <row r="765">
      <c r="A765" s="76"/>
      <c r="B765" s="76"/>
      <c r="C765" s="76"/>
      <c r="D765" s="76"/>
      <c r="E765" s="76"/>
      <c r="F765" s="76"/>
    </row>
    <row r="766">
      <c r="A766" s="76"/>
      <c r="B766" s="76"/>
      <c r="C766" s="76"/>
      <c r="D766" s="76"/>
      <c r="E766" s="76"/>
      <c r="F766" s="76"/>
    </row>
    <row r="767">
      <c r="A767" s="76"/>
      <c r="B767" s="76"/>
      <c r="C767" s="76"/>
      <c r="D767" s="76"/>
      <c r="E767" s="76"/>
      <c r="F767" s="76"/>
    </row>
    <row r="768">
      <c r="A768" s="76"/>
      <c r="B768" s="76"/>
      <c r="C768" s="76"/>
      <c r="D768" s="76"/>
      <c r="E768" s="76"/>
      <c r="F768" s="76"/>
    </row>
    <row r="769">
      <c r="A769" s="76"/>
      <c r="B769" s="76"/>
      <c r="C769" s="76"/>
      <c r="D769" s="76"/>
      <c r="E769" s="76"/>
      <c r="F769" s="76"/>
    </row>
    <row r="770">
      <c r="A770" s="76"/>
      <c r="B770" s="76"/>
      <c r="C770" s="76"/>
      <c r="D770" s="76"/>
      <c r="E770" s="76"/>
      <c r="F770" s="76"/>
    </row>
    <row r="771">
      <c r="A771" s="76"/>
      <c r="B771" s="76"/>
      <c r="C771" s="76"/>
      <c r="D771" s="76"/>
      <c r="E771" s="76"/>
      <c r="F771" s="76"/>
    </row>
    <row r="772">
      <c r="A772" s="76"/>
      <c r="B772" s="76"/>
      <c r="C772" s="76"/>
      <c r="D772" s="76"/>
      <c r="E772" s="76"/>
      <c r="F772" s="76"/>
    </row>
    <row r="773">
      <c r="A773" s="76"/>
      <c r="B773" s="76"/>
      <c r="C773" s="76"/>
      <c r="D773" s="76"/>
      <c r="E773" s="76"/>
      <c r="F773" s="76"/>
    </row>
    <row r="774">
      <c r="A774" s="76"/>
      <c r="B774" s="76"/>
      <c r="C774" s="76"/>
      <c r="D774" s="76"/>
      <c r="E774" s="76"/>
      <c r="F774" s="76"/>
    </row>
    <row r="775">
      <c r="A775" s="76"/>
      <c r="B775" s="76"/>
      <c r="C775" s="76"/>
      <c r="D775" s="76"/>
      <c r="E775" s="76"/>
      <c r="F775" s="76"/>
    </row>
    <row r="776">
      <c r="A776" s="76"/>
      <c r="B776" s="76"/>
      <c r="C776" s="76"/>
      <c r="D776" s="76"/>
      <c r="E776" s="76"/>
      <c r="F776" s="76"/>
    </row>
    <row r="777">
      <c r="A777" s="76"/>
      <c r="B777" s="76"/>
      <c r="C777" s="76"/>
      <c r="D777" s="76"/>
      <c r="E777" s="76"/>
      <c r="F777" s="76"/>
    </row>
    <row r="778">
      <c r="A778" s="76"/>
      <c r="B778" s="76"/>
      <c r="C778" s="76"/>
      <c r="D778" s="76"/>
      <c r="E778" s="76"/>
      <c r="F778" s="76"/>
    </row>
    <row r="779">
      <c r="A779" s="76"/>
      <c r="B779" s="76"/>
      <c r="C779" s="76"/>
      <c r="D779" s="76"/>
      <c r="E779" s="76"/>
      <c r="F779" s="76"/>
    </row>
    <row r="780">
      <c r="A780" s="76"/>
      <c r="B780" s="76"/>
      <c r="C780" s="76"/>
      <c r="D780" s="76"/>
      <c r="E780" s="76"/>
      <c r="F780" s="76"/>
    </row>
    <row r="781">
      <c r="A781" s="76"/>
      <c r="B781" s="76"/>
      <c r="C781" s="76"/>
      <c r="D781" s="76"/>
      <c r="E781" s="76"/>
      <c r="F781" s="76"/>
    </row>
    <row r="782">
      <c r="A782" s="76"/>
      <c r="B782" s="76"/>
      <c r="C782" s="76"/>
      <c r="D782" s="76"/>
      <c r="E782" s="76"/>
      <c r="F782" s="76"/>
    </row>
    <row r="783">
      <c r="A783" s="76"/>
      <c r="B783" s="76"/>
      <c r="C783" s="76"/>
      <c r="D783" s="76"/>
      <c r="E783" s="76"/>
      <c r="F783" s="76"/>
    </row>
    <row r="784">
      <c r="A784" s="76"/>
      <c r="B784" s="76"/>
      <c r="C784" s="76"/>
      <c r="D784" s="76"/>
      <c r="E784" s="76"/>
      <c r="F784" s="76"/>
    </row>
    <row r="785">
      <c r="A785" s="76"/>
      <c r="B785" s="76"/>
      <c r="C785" s="76"/>
      <c r="D785" s="76"/>
      <c r="E785" s="76"/>
      <c r="F785" s="76"/>
    </row>
    <row r="786">
      <c r="A786" s="76"/>
      <c r="B786" s="76"/>
      <c r="C786" s="76"/>
      <c r="D786" s="76"/>
      <c r="E786" s="76"/>
      <c r="F786" s="76"/>
    </row>
    <row r="787">
      <c r="A787" s="76"/>
      <c r="B787" s="76"/>
      <c r="C787" s="76"/>
      <c r="D787" s="76"/>
      <c r="E787" s="76"/>
      <c r="F787" s="76"/>
    </row>
    <row r="788">
      <c r="A788" s="76"/>
      <c r="B788" s="76"/>
      <c r="C788" s="76"/>
      <c r="D788" s="76"/>
      <c r="E788" s="76"/>
      <c r="F788" s="76"/>
    </row>
    <row r="789">
      <c r="A789" s="76"/>
      <c r="B789" s="76"/>
      <c r="C789" s="76"/>
      <c r="D789" s="76"/>
      <c r="E789" s="76"/>
      <c r="F789" s="76"/>
    </row>
    <row r="790">
      <c r="A790" s="76"/>
      <c r="B790" s="76"/>
      <c r="C790" s="76"/>
      <c r="D790" s="76"/>
      <c r="E790" s="76"/>
      <c r="F790" s="76"/>
    </row>
    <row r="791">
      <c r="A791" s="76"/>
      <c r="B791" s="76"/>
      <c r="C791" s="76"/>
      <c r="D791" s="76"/>
      <c r="E791" s="76"/>
      <c r="F791" s="76"/>
    </row>
    <row r="792">
      <c r="A792" s="76"/>
      <c r="B792" s="76"/>
      <c r="C792" s="76"/>
      <c r="D792" s="76"/>
      <c r="E792" s="76"/>
      <c r="F792" s="76"/>
    </row>
    <row r="793">
      <c r="A793" s="76"/>
      <c r="B793" s="76"/>
      <c r="C793" s="76"/>
      <c r="D793" s="76"/>
      <c r="E793" s="76"/>
      <c r="F793" s="76"/>
    </row>
    <row r="794">
      <c r="A794" s="76"/>
      <c r="B794" s="76"/>
      <c r="C794" s="76"/>
      <c r="D794" s="76"/>
      <c r="E794" s="76"/>
      <c r="F794" s="76"/>
    </row>
    <row r="795">
      <c r="A795" s="76"/>
      <c r="B795" s="76"/>
      <c r="C795" s="76"/>
      <c r="D795" s="76"/>
      <c r="E795" s="76"/>
      <c r="F795" s="76"/>
    </row>
    <row r="796">
      <c r="A796" s="76"/>
      <c r="B796" s="76"/>
      <c r="C796" s="76"/>
      <c r="D796" s="76"/>
      <c r="E796" s="76"/>
      <c r="F796" s="76"/>
    </row>
    <row r="797">
      <c r="A797" s="76"/>
      <c r="B797" s="76"/>
      <c r="C797" s="76"/>
      <c r="D797" s="76"/>
      <c r="E797" s="76"/>
      <c r="F797" s="76"/>
    </row>
    <row r="798">
      <c r="A798" s="76"/>
      <c r="B798" s="76"/>
      <c r="C798" s="76"/>
      <c r="D798" s="76"/>
      <c r="E798" s="76"/>
      <c r="F798" s="76"/>
    </row>
    <row r="799">
      <c r="A799" s="76"/>
      <c r="B799" s="76"/>
      <c r="C799" s="76"/>
      <c r="D799" s="76"/>
      <c r="E799" s="76"/>
      <c r="F799" s="76"/>
    </row>
    <row r="800">
      <c r="A800" s="76"/>
      <c r="B800" s="76"/>
      <c r="C800" s="76"/>
      <c r="D800" s="76"/>
      <c r="E800" s="76"/>
      <c r="F800" s="76"/>
    </row>
    <row r="801">
      <c r="A801" s="76"/>
      <c r="B801" s="76"/>
      <c r="C801" s="76"/>
      <c r="D801" s="76"/>
      <c r="E801" s="76"/>
      <c r="F801" s="76"/>
    </row>
    <row r="802">
      <c r="A802" s="76"/>
      <c r="B802" s="76"/>
      <c r="C802" s="76"/>
      <c r="D802" s="76"/>
      <c r="E802" s="76"/>
      <c r="F802" s="76"/>
    </row>
    <row r="803">
      <c r="A803" s="76"/>
      <c r="B803" s="76"/>
      <c r="C803" s="76"/>
      <c r="D803" s="76"/>
      <c r="E803" s="76"/>
      <c r="F803" s="76"/>
    </row>
    <row r="804">
      <c r="A804" s="76"/>
      <c r="B804" s="76"/>
      <c r="C804" s="76"/>
      <c r="D804" s="76"/>
      <c r="E804" s="76"/>
      <c r="F804" s="76"/>
    </row>
    <row r="805">
      <c r="A805" s="76"/>
      <c r="B805" s="76"/>
      <c r="C805" s="76"/>
      <c r="D805" s="76"/>
      <c r="E805" s="76"/>
      <c r="F805" s="76"/>
    </row>
    <row r="806">
      <c r="A806" s="76"/>
      <c r="B806" s="76"/>
      <c r="C806" s="76"/>
      <c r="D806" s="76"/>
      <c r="E806" s="76"/>
      <c r="F806" s="76"/>
    </row>
    <row r="807">
      <c r="A807" s="76"/>
      <c r="B807" s="76"/>
      <c r="C807" s="76"/>
      <c r="D807" s="76"/>
      <c r="E807" s="76"/>
      <c r="F807" s="76"/>
    </row>
    <row r="808">
      <c r="A808" s="76"/>
      <c r="B808" s="76"/>
      <c r="C808" s="76"/>
      <c r="D808" s="76"/>
      <c r="E808" s="76"/>
      <c r="F808" s="76"/>
    </row>
    <row r="809">
      <c r="A809" s="76"/>
      <c r="B809" s="76"/>
      <c r="C809" s="76"/>
      <c r="D809" s="76"/>
      <c r="E809" s="76"/>
      <c r="F809" s="76"/>
    </row>
    <row r="810">
      <c r="A810" s="76"/>
      <c r="B810" s="76"/>
      <c r="C810" s="76"/>
      <c r="D810" s="76"/>
      <c r="E810" s="76"/>
      <c r="F810" s="76"/>
    </row>
    <row r="811">
      <c r="A811" s="76"/>
      <c r="B811" s="76"/>
      <c r="C811" s="76"/>
      <c r="D811" s="76"/>
      <c r="E811" s="76"/>
      <c r="F811" s="76"/>
    </row>
    <row r="812">
      <c r="A812" s="76"/>
      <c r="B812" s="76"/>
      <c r="C812" s="76"/>
      <c r="D812" s="76"/>
      <c r="E812" s="76"/>
      <c r="F812" s="76"/>
    </row>
    <row r="813">
      <c r="A813" s="76"/>
      <c r="B813" s="76"/>
      <c r="C813" s="76"/>
      <c r="D813" s="76"/>
      <c r="E813" s="76"/>
      <c r="F813" s="76"/>
    </row>
    <row r="814">
      <c r="A814" s="76"/>
      <c r="B814" s="76"/>
      <c r="C814" s="76"/>
      <c r="D814" s="76"/>
      <c r="E814" s="76"/>
      <c r="F814" s="76"/>
    </row>
    <row r="815">
      <c r="A815" s="76"/>
      <c r="B815" s="76"/>
      <c r="C815" s="76"/>
      <c r="D815" s="76"/>
      <c r="E815" s="76"/>
      <c r="F815" s="76"/>
    </row>
    <row r="816">
      <c r="A816" s="76"/>
      <c r="B816" s="76"/>
      <c r="C816" s="76"/>
      <c r="D816" s="76"/>
      <c r="E816" s="76"/>
      <c r="F816" s="76"/>
    </row>
    <row r="817">
      <c r="A817" s="76"/>
      <c r="B817" s="76"/>
      <c r="C817" s="76"/>
      <c r="D817" s="76"/>
      <c r="E817" s="76"/>
      <c r="F817" s="76"/>
    </row>
    <row r="818">
      <c r="A818" s="76"/>
      <c r="B818" s="76"/>
      <c r="C818" s="76"/>
      <c r="D818" s="76"/>
      <c r="E818" s="76"/>
      <c r="F818" s="76"/>
    </row>
    <row r="819">
      <c r="A819" s="76"/>
      <c r="B819" s="76"/>
      <c r="C819" s="76"/>
      <c r="D819" s="76"/>
      <c r="E819" s="76"/>
      <c r="F819" s="76"/>
    </row>
    <row r="820">
      <c r="A820" s="76"/>
      <c r="B820" s="76"/>
      <c r="C820" s="76"/>
      <c r="D820" s="76"/>
      <c r="E820" s="76"/>
      <c r="F820" s="76"/>
    </row>
    <row r="821">
      <c r="A821" s="76"/>
      <c r="B821" s="76"/>
      <c r="C821" s="76"/>
      <c r="D821" s="76"/>
      <c r="E821" s="76"/>
      <c r="F821" s="76"/>
    </row>
    <row r="822">
      <c r="A822" s="76"/>
      <c r="B822" s="76"/>
      <c r="C822" s="76"/>
      <c r="D822" s="76"/>
      <c r="E822" s="76"/>
      <c r="F822" s="76"/>
    </row>
    <row r="823">
      <c r="A823" s="76"/>
      <c r="B823" s="76"/>
      <c r="C823" s="76"/>
      <c r="D823" s="76"/>
      <c r="E823" s="76"/>
      <c r="F823" s="76"/>
    </row>
    <row r="824">
      <c r="A824" s="76"/>
      <c r="B824" s="76"/>
      <c r="C824" s="76"/>
      <c r="D824" s="76"/>
      <c r="E824" s="76"/>
      <c r="F824" s="76"/>
    </row>
    <row r="825">
      <c r="A825" s="76"/>
      <c r="B825" s="76"/>
      <c r="C825" s="76"/>
      <c r="D825" s="76"/>
      <c r="E825" s="76"/>
      <c r="F825" s="76"/>
    </row>
    <row r="826">
      <c r="A826" s="76"/>
      <c r="B826" s="76"/>
      <c r="C826" s="76"/>
      <c r="D826" s="76"/>
      <c r="E826" s="76"/>
      <c r="F826" s="76"/>
    </row>
    <row r="827">
      <c r="A827" s="76"/>
      <c r="B827" s="76"/>
      <c r="C827" s="76"/>
      <c r="D827" s="76"/>
      <c r="E827" s="76"/>
      <c r="F827" s="76"/>
    </row>
    <row r="828">
      <c r="A828" s="76"/>
      <c r="B828" s="76"/>
      <c r="C828" s="76"/>
      <c r="D828" s="76"/>
      <c r="E828" s="76"/>
      <c r="F828" s="76"/>
    </row>
    <row r="829">
      <c r="A829" s="76"/>
      <c r="B829" s="76"/>
      <c r="C829" s="76"/>
      <c r="D829" s="76"/>
      <c r="E829" s="76"/>
      <c r="F829" s="76"/>
    </row>
    <row r="830">
      <c r="A830" s="76"/>
      <c r="B830" s="76"/>
      <c r="C830" s="76"/>
      <c r="D830" s="76"/>
      <c r="E830" s="76"/>
      <c r="F830" s="76"/>
    </row>
    <row r="831">
      <c r="A831" s="76"/>
      <c r="B831" s="76"/>
      <c r="C831" s="76"/>
      <c r="D831" s="76"/>
      <c r="E831" s="76"/>
      <c r="F831" s="76"/>
    </row>
    <row r="832">
      <c r="A832" s="76"/>
      <c r="B832" s="76"/>
      <c r="C832" s="76"/>
      <c r="D832" s="76"/>
      <c r="E832" s="76"/>
      <c r="F832" s="76"/>
    </row>
    <row r="833">
      <c r="A833" s="76"/>
      <c r="B833" s="76"/>
      <c r="C833" s="76"/>
      <c r="D833" s="76"/>
      <c r="E833" s="76"/>
      <c r="F833" s="76"/>
    </row>
    <row r="834">
      <c r="A834" s="76"/>
      <c r="B834" s="76"/>
      <c r="C834" s="76"/>
      <c r="D834" s="76"/>
      <c r="E834" s="76"/>
      <c r="F834" s="76"/>
    </row>
    <row r="835">
      <c r="A835" s="76"/>
      <c r="B835" s="76"/>
      <c r="C835" s="76"/>
      <c r="D835" s="76"/>
      <c r="E835" s="76"/>
      <c r="F835" s="76"/>
    </row>
    <row r="836">
      <c r="A836" s="76"/>
      <c r="B836" s="76"/>
      <c r="C836" s="76"/>
      <c r="D836" s="76"/>
      <c r="E836" s="76"/>
      <c r="F836" s="76"/>
    </row>
    <row r="837">
      <c r="A837" s="76"/>
      <c r="B837" s="76"/>
      <c r="C837" s="76"/>
      <c r="D837" s="76"/>
      <c r="E837" s="76"/>
      <c r="F837" s="76"/>
    </row>
    <row r="838">
      <c r="A838" s="76"/>
      <c r="B838" s="76"/>
      <c r="C838" s="76"/>
      <c r="D838" s="76"/>
      <c r="E838" s="76"/>
      <c r="F838" s="76"/>
    </row>
    <row r="839">
      <c r="A839" s="76"/>
      <c r="B839" s="76"/>
      <c r="C839" s="76"/>
      <c r="D839" s="76"/>
      <c r="E839" s="76"/>
      <c r="F839" s="76"/>
    </row>
    <row r="840">
      <c r="A840" s="76"/>
      <c r="B840" s="76"/>
      <c r="C840" s="76"/>
      <c r="D840" s="76"/>
      <c r="E840" s="76"/>
      <c r="F840" s="76"/>
    </row>
    <row r="841">
      <c r="A841" s="76"/>
      <c r="B841" s="76"/>
      <c r="C841" s="76"/>
      <c r="D841" s="76"/>
      <c r="E841" s="76"/>
      <c r="F841" s="76"/>
    </row>
    <row r="842">
      <c r="A842" s="76"/>
      <c r="B842" s="76"/>
      <c r="C842" s="76"/>
      <c r="D842" s="76"/>
      <c r="E842" s="76"/>
      <c r="F842" s="76"/>
    </row>
    <row r="843">
      <c r="A843" s="76"/>
      <c r="B843" s="76"/>
      <c r="C843" s="76"/>
      <c r="D843" s="76"/>
      <c r="E843" s="76"/>
      <c r="F843" s="76"/>
    </row>
    <row r="844">
      <c r="A844" s="76"/>
      <c r="B844" s="76"/>
      <c r="C844" s="76"/>
      <c r="D844" s="76"/>
      <c r="E844" s="76"/>
      <c r="F844" s="76"/>
    </row>
    <row r="845">
      <c r="A845" s="76"/>
      <c r="B845" s="76"/>
      <c r="C845" s="76"/>
      <c r="D845" s="76"/>
      <c r="E845" s="76"/>
      <c r="F845" s="76"/>
    </row>
    <row r="846">
      <c r="A846" s="76"/>
      <c r="B846" s="76"/>
      <c r="C846" s="76"/>
      <c r="D846" s="76"/>
      <c r="E846" s="76"/>
      <c r="F846" s="76"/>
    </row>
    <row r="847">
      <c r="A847" s="76"/>
      <c r="B847" s="76"/>
      <c r="C847" s="76"/>
      <c r="D847" s="76"/>
      <c r="E847" s="76"/>
      <c r="F847" s="76"/>
    </row>
    <row r="848">
      <c r="A848" s="76"/>
      <c r="B848" s="76"/>
      <c r="C848" s="76"/>
      <c r="D848" s="76"/>
      <c r="E848" s="76"/>
      <c r="F848" s="76"/>
    </row>
    <row r="849">
      <c r="A849" s="76"/>
      <c r="B849" s="76"/>
      <c r="C849" s="76"/>
      <c r="D849" s="76"/>
      <c r="E849" s="76"/>
      <c r="F849" s="76"/>
    </row>
    <row r="850">
      <c r="A850" s="76"/>
      <c r="B850" s="76"/>
      <c r="C850" s="76"/>
      <c r="D850" s="76"/>
      <c r="E850" s="76"/>
      <c r="F850" s="76"/>
    </row>
    <row r="851">
      <c r="A851" s="76"/>
      <c r="B851" s="76"/>
      <c r="C851" s="76"/>
      <c r="D851" s="76"/>
      <c r="E851" s="76"/>
      <c r="F851" s="76"/>
    </row>
    <row r="852">
      <c r="A852" s="76"/>
      <c r="B852" s="76"/>
      <c r="C852" s="76"/>
      <c r="D852" s="76"/>
      <c r="E852" s="76"/>
      <c r="F852" s="76"/>
    </row>
    <row r="853">
      <c r="A853" s="76"/>
      <c r="B853" s="76"/>
      <c r="C853" s="76"/>
      <c r="D853" s="76"/>
      <c r="E853" s="76"/>
      <c r="F853" s="76"/>
    </row>
    <row r="854">
      <c r="A854" s="76"/>
      <c r="B854" s="76"/>
      <c r="C854" s="76"/>
      <c r="D854" s="76"/>
      <c r="E854" s="76"/>
      <c r="F854" s="76"/>
    </row>
    <row r="855">
      <c r="A855" s="76"/>
      <c r="B855" s="76"/>
      <c r="C855" s="76"/>
      <c r="D855" s="76"/>
      <c r="E855" s="76"/>
      <c r="F855" s="76"/>
    </row>
    <row r="856">
      <c r="A856" s="76"/>
      <c r="B856" s="76"/>
      <c r="C856" s="76"/>
      <c r="D856" s="76"/>
      <c r="E856" s="76"/>
      <c r="F856" s="76"/>
    </row>
    <row r="857">
      <c r="A857" s="76"/>
      <c r="B857" s="76"/>
      <c r="C857" s="76"/>
      <c r="D857" s="76"/>
      <c r="E857" s="76"/>
      <c r="F857" s="76"/>
    </row>
    <row r="858">
      <c r="A858" s="76"/>
      <c r="B858" s="76"/>
      <c r="C858" s="76"/>
      <c r="D858" s="76"/>
      <c r="E858" s="76"/>
      <c r="F858" s="76"/>
    </row>
    <row r="859">
      <c r="A859" s="76"/>
      <c r="B859" s="76"/>
      <c r="C859" s="76"/>
      <c r="D859" s="76"/>
      <c r="E859" s="76"/>
      <c r="F859" s="76"/>
    </row>
    <row r="860">
      <c r="A860" s="76"/>
      <c r="B860" s="76"/>
      <c r="C860" s="76"/>
      <c r="D860" s="76"/>
      <c r="E860" s="76"/>
      <c r="F860" s="76"/>
    </row>
    <row r="861">
      <c r="A861" s="76"/>
      <c r="B861" s="76"/>
      <c r="C861" s="76"/>
      <c r="D861" s="76"/>
      <c r="E861" s="76"/>
      <c r="F861" s="76"/>
    </row>
    <row r="862">
      <c r="A862" s="76"/>
      <c r="B862" s="76"/>
      <c r="C862" s="76"/>
      <c r="D862" s="76"/>
      <c r="E862" s="76"/>
      <c r="F862" s="76"/>
    </row>
    <row r="863">
      <c r="A863" s="76"/>
      <c r="B863" s="76"/>
      <c r="C863" s="76"/>
      <c r="D863" s="76"/>
      <c r="E863" s="76"/>
      <c r="F863" s="76"/>
    </row>
    <row r="864">
      <c r="A864" s="76"/>
      <c r="B864" s="76"/>
      <c r="C864" s="76"/>
      <c r="D864" s="76"/>
      <c r="E864" s="76"/>
      <c r="F864" s="76"/>
    </row>
    <row r="865">
      <c r="A865" s="76"/>
      <c r="B865" s="76"/>
      <c r="C865" s="76"/>
      <c r="D865" s="76"/>
      <c r="E865" s="76"/>
      <c r="F865" s="76"/>
    </row>
    <row r="866">
      <c r="A866" s="76"/>
      <c r="B866" s="76"/>
      <c r="C866" s="76"/>
      <c r="D866" s="76"/>
      <c r="E866" s="76"/>
      <c r="F866" s="76"/>
    </row>
    <row r="867">
      <c r="A867" s="76"/>
      <c r="B867" s="76"/>
      <c r="C867" s="76"/>
      <c r="D867" s="76"/>
      <c r="E867" s="76"/>
      <c r="F867" s="76"/>
    </row>
    <row r="868">
      <c r="A868" s="76"/>
      <c r="B868" s="76"/>
      <c r="C868" s="76"/>
      <c r="D868" s="76"/>
      <c r="E868" s="76"/>
      <c r="F868" s="76"/>
    </row>
    <row r="869">
      <c r="A869" s="76"/>
      <c r="B869" s="76"/>
      <c r="C869" s="76"/>
      <c r="D869" s="76"/>
      <c r="E869" s="76"/>
      <c r="F869" s="76"/>
    </row>
    <row r="870">
      <c r="A870" s="76"/>
      <c r="B870" s="76"/>
      <c r="C870" s="76"/>
      <c r="D870" s="76"/>
      <c r="E870" s="76"/>
      <c r="F870" s="76"/>
    </row>
    <row r="871">
      <c r="A871" s="76"/>
      <c r="B871" s="76"/>
      <c r="C871" s="76"/>
      <c r="D871" s="76"/>
      <c r="E871" s="76"/>
      <c r="F871" s="76"/>
    </row>
    <row r="872">
      <c r="A872" s="76"/>
      <c r="B872" s="76"/>
      <c r="C872" s="76"/>
      <c r="D872" s="76"/>
      <c r="E872" s="76"/>
      <c r="F872" s="76"/>
    </row>
    <row r="873">
      <c r="A873" s="76"/>
      <c r="B873" s="76"/>
      <c r="C873" s="76"/>
      <c r="D873" s="76"/>
      <c r="E873" s="76"/>
      <c r="F873" s="76"/>
    </row>
    <row r="874">
      <c r="A874" s="76"/>
      <c r="B874" s="76"/>
      <c r="C874" s="76"/>
      <c r="D874" s="76"/>
      <c r="E874" s="76"/>
      <c r="F874" s="76"/>
    </row>
    <row r="875">
      <c r="A875" s="76"/>
      <c r="B875" s="76"/>
      <c r="C875" s="76"/>
      <c r="D875" s="76"/>
      <c r="E875" s="76"/>
      <c r="F875" s="76"/>
    </row>
    <row r="876">
      <c r="A876" s="76"/>
      <c r="B876" s="76"/>
      <c r="C876" s="76"/>
      <c r="D876" s="76"/>
      <c r="E876" s="76"/>
      <c r="F876" s="76"/>
    </row>
    <row r="877">
      <c r="A877" s="76"/>
      <c r="B877" s="76"/>
      <c r="C877" s="76"/>
      <c r="D877" s="76"/>
      <c r="E877" s="76"/>
      <c r="F877" s="76"/>
    </row>
    <row r="878">
      <c r="A878" s="76"/>
      <c r="B878" s="76"/>
      <c r="C878" s="76"/>
      <c r="D878" s="76"/>
      <c r="E878" s="76"/>
      <c r="F878" s="76"/>
    </row>
    <row r="879">
      <c r="A879" s="76"/>
      <c r="B879" s="76"/>
      <c r="C879" s="76"/>
      <c r="D879" s="76"/>
      <c r="E879" s="76"/>
      <c r="F879" s="76"/>
    </row>
    <row r="880">
      <c r="A880" s="76"/>
      <c r="B880" s="76"/>
      <c r="C880" s="76"/>
      <c r="D880" s="76"/>
      <c r="E880" s="76"/>
      <c r="F880" s="76"/>
    </row>
    <row r="881">
      <c r="A881" s="76"/>
      <c r="B881" s="76"/>
      <c r="C881" s="76"/>
      <c r="D881" s="76"/>
      <c r="E881" s="76"/>
      <c r="F881" s="76"/>
    </row>
    <row r="882">
      <c r="A882" s="76"/>
      <c r="B882" s="76"/>
      <c r="C882" s="76"/>
      <c r="D882" s="76"/>
      <c r="E882" s="76"/>
      <c r="F882" s="76"/>
    </row>
    <row r="883">
      <c r="A883" s="76"/>
      <c r="B883" s="76"/>
      <c r="C883" s="76"/>
      <c r="D883" s="76"/>
      <c r="E883" s="76"/>
      <c r="F883" s="76"/>
    </row>
    <row r="884">
      <c r="A884" s="76"/>
      <c r="B884" s="76"/>
      <c r="C884" s="76"/>
      <c r="D884" s="76"/>
      <c r="E884" s="76"/>
      <c r="F884" s="76"/>
    </row>
    <row r="885">
      <c r="A885" s="76"/>
      <c r="B885" s="76"/>
      <c r="C885" s="76"/>
      <c r="D885" s="76"/>
      <c r="E885" s="76"/>
      <c r="F885" s="76"/>
    </row>
    <row r="886">
      <c r="A886" s="76"/>
      <c r="B886" s="76"/>
      <c r="C886" s="76"/>
      <c r="D886" s="76"/>
      <c r="E886" s="76"/>
      <c r="F886" s="76"/>
    </row>
    <row r="887">
      <c r="A887" s="76"/>
      <c r="B887" s="76"/>
      <c r="C887" s="76"/>
      <c r="D887" s="76"/>
      <c r="E887" s="76"/>
      <c r="F887" s="76"/>
    </row>
    <row r="888">
      <c r="A888" s="76"/>
      <c r="B888" s="76"/>
      <c r="C888" s="76"/>
      <c r="D888" s="76"/>
      <c r="E888" s="76"/>
      <c r="F888" s="76"/>
    </row>
    <row r="889">
      <c r="A889" s="76"/>
      <c r="B889" s="76"/>
      <c r="C889" s="76"/>
      <c r="D889" s="76"/>
      <c r="E889" s="76"/>
      <c r="F889" s="76"/>
    </row>
    <row r="890">
      <c r="A890" s="76"/>
      <c r="B890" s="76"/>
      <c r="C890" s="76"/>
      <c r="D890" s="76"/>
      <c r="E890" s="76"/>
      <c r="F890" s="76"/>
    </row>
    <row r="891">
      <c r="A891" s="76"/>
      <c r="B891" s="76"/>
      <c r="C891" s="76"/>
      <c r="D891" s="76"/>
      <c r="E891" s="76"/>
      <c r="F891" s="76"/>
    </row>
    <row r="892">
      <c r="A892" s="76"/>
      <c r="B892" s="76"/>
      <c r="C892" s="76"/>
      <c r="D892" s="76"/>
      <c r="E892" s="76"/>
      <c r="F892" s="76"/>
    </row>
    <row r="893">
      <c r="A893" s="76"/>
      <c r="B893" s="76"/>
      <c r="C893" s="76"/>
      <c r="D893" s="76"/>
      <c r="E893" s="76"/>
      <c r="F893" s="76"/>
    </row>
    <row r="894">
      <c r="A894" s="76"/>
      <c r="B894" s="76"/>
      <c r="C894" s="76"/>
      <c r="D894" s="76"/>
      <c r="E894" s="76"/>
      <c r="F894" s="76"/>
    </row>
    <row r="895">
      <c r="A895" s="76"/>
      <c r="B895" s="76"/>
      <c r="C895" s="76"/>
      <c r="D895" s="76"/>
      <c r="E895" s="76"/>
      <c r="F895" s="76"/>
    </row>
    <row r="896">
      <c r="A896" s="76"/>
      <c r="B896" s="76"/>
      <c r="C896" s="76"/>
      <c r="D896" s="76"/>
      <c r="E896" s="76"/>
      <c r="F896" s="76"/>
    </row>
    <row r="897">
      <c r="A897" s="76"/>
      <c r="B897" s="76"/>
      <c r="C897" s="76"/>
      <c r="D897" s="76"/>
      <c r="E897" s="76"/>
      <c r="F897" s="76"/>
    </row>
    <row r="898">
      <c r="A898" s="76"/>
      <c r="B898" s="76"/>
      <c r="C898" s="76"/>
      <c r="D898" s="76"/>
      <c r="E898" s="76"/>
      <c r="F898" s="76"/>
    </row>
    <row r="899">
      <c r="A899" s="76"/>
      <c r="B899" s="76"/>
      <c r="C899" s="76"/>
      <c r="D899" s="76"/>
      <c r="E899" s="76"/>
      <c r="F899" s="76"/>
    </row>
    <row r="900">
      <c r="A900" s="76"/>
      <c r="B900" s="76"/>
      <c r="C900" s="76"/>
      <c r="D900" s="76"/>
      <c r="E900" s="76"/>
      <c r="F900" s="76"/>
    </row>
    <row r="901">
      <c r="A901" s="76"/>
      <c r="B901" s="76"/>
      <c r="C901" s="76"/>
      <c r="D901" s="76"/>
      <c r="E901" s="76"/>
      <c r="F901" s="76"/>
    </row>
    <row r="902">
      <c r="A902" s="76"/>
      <c r="B902" s="76"/>
      <c r="C902" s="76"/>
      <c r="D902" s="76"/>
      <c r="E902" s="76"/>
      <c r="F902" s="76"/>
    </row>
    <row r="903">
      <c r="A903" s="76"/>
      <c r="B903" s="76"/>
      <c r="C903" s="76"/>
      <c r="D903" s="76"/>
      <c r="E903" s="76"/>
      <c r="F903" s="76"/>
    </row>
    <row r="904">
      <c r="A904" s="76"/>
      <c r="B904" s="76"/>
      <c r="C904" s="76"/>
      <c r="D904" s="76"/>
      <c r="E904" s="76"/>
      <c r="F904" s="76"/>
    </row>
    <row r="905">
      <c r="A905" s="76"/>
      <c r="B905" s="76"/>
      <c r="C905" s="76"/>
      <c r="D905" s="76"/>
      <c r="E905" s="76"/>
      <c r="F905" s="76"/>
    </row>
    <row r="906">
      <c r="A906" s="76"/>
      <c r="B906" s="76"/>
      <c r="C906" s="76"/>
      <c r="D906" s="76"/>
      <c r="E906" s="76"/>
      <c r="F906" s="76"/>
    </row>
    <row r="907">
      <c r="A907" s="76"/>
      <c r="B907" s="76"/>
      <c r="C907" s="76"/>
      <c r="D907" s="76"/>
      <c r="E907" s="76"/>
      <c r="F907" s="76"/>
    </row>
    <row r="908">
      <c r="A908" s="76"/>
      <c r="B908" s="76"/>
      <c r="C908" s="76"/>
      <c r="D908" s="76"/>
      <c r="E908" s="76"/>
      <c r="F908" s="76"/>
    </row>
    <row r="909">
      <c r="A909" s="76"/>
      <c r="B909" s="76"/>
      <c r="C909" s="76"/>
      <c r="D909" s="76"/>
      <c r="E909" s="76"/>
      <c r="F909" s="76"/>
    </row>
    <row r="910">
      <c r="A910" s="76"/>
      <c r="B910" s="76"/>
      <c r="C910" s="76"/>
      <c r="D910" s="76"/>
      <c r="E910" s="76"/>
      <c r="F910" s="76"/>
    </row>
    <row r="911">
      <c r="A911" s="76"/>
      <c r="B911" s="76"/>
      <c r="C911" s="76"/>
      <c r="D911" s="76"/>
      <c r="E911" s="76"/>
      <c r="F911" s="76"/>
    </row>
    <row r="912">
      <c r="A912" s="76"/>
      <c r="B912" s="76"/>
      <c r="C912" s="76"/>
      <c r="D912" s="76"/>
      <c r="E912" s="76"/>
      <c r="F912" s="76"/>
    </row>
    <row r="913">
      <c r="A913" s="76"/>
      <c r="B913" s="76"/>
      <c r="C913" s="76"/>
      <c r="D913" s="76"/>
      <c r="E913" s="76"/>
      <c r="F913" s="76"/>
    </row>
    <row r="914">
      <c r="A914" s="76"/>
      <c r="B914" s="76"/>
      <c r="C914" s="76"/>
      <c r="D914" s="76"/>
      <c r="E914" s="76"/>
      <c r="F914" s="76"/>
    </row>
    <row r="915">
      <c r="A915" s="76"/>
      <c r="B915" s="76"/>
      <c r="C915" s="76"/>
      <c r="D915" s="76"/>
      <c r="E915" s="76"/>
      <c r="F915" s="76"/>
    </row>
    <row r="916">
      <c r="A916" s="76"/>
      <c r="B916" s="76"/>
      <c r="C916" s="76"/>
      <c r="D916" s="76"/>
      <c r="E916" s="76"/>
      <c r="F916" s="76"/>
    </row>
    <row r="917">
      <c r="A917" s="76"/>
      <c r="B917" s="76"/>
      <c r="C917" s="76"/>
      <c r="D917" s="76"/>
      <c r="E917" s="76"/>
      <c r="F917" s="76"/>
    </row>
    <row r="918">
      <c r="A918" s="76"/>
      <c r="B918" s="76"/>
      <c r="C918" s="76"/>
      <c r="D918" s="76"/>
      <c r="E918" s="76"/>
      <c r="F918" s="76"/>
    </row>
    <row r="919">
      <c r="A919" s="76"/>
      <c r="B919" s="76"/>
      <c r="C919" s="76"/>
      <c r="D919" s="76"/>
      <c r="E919" s="76"/>
      <c r="F919" s="76"/>
    </row>
    <row r="920">
      <c r="A920" s="76"/>
      <c r="B920" s="76"/>
      <c r="C920" s="76"/>
      <c r="D920" s="76"/>
      <c r="E920" s="76"/>
      <c r="F920" s="76"/>
    </row>
    <row r="921">
      <c r="A921" s="76"/>
      <c r="B921" s="76"/>
      <c r="C921" s="76"/>
      <c r="D921" s="76"/>
      <c r="E921" s="76"/>
      <c r="F921" s="76"/>
    </row>
    <row r="922">
      <c r="A922" s="76"/>
      <c r="B922" s="76"/>
      <c r="C922" s="76"/>
      <c r="D922" s="76"/>
      <c r="E922" s="76"/>
      <c r="F922" s="76"/>
    </row>
    <row r="923">
      <c r="A923" s="76"/>
      <c r="B923" s="76"/>
      <c r="C923" s="76"/>
      <c r="D923" s="76"/>
      <c r="E923" s="76"/>
      <c r="F923" s="76"/>
    </row>
    <row r="924">
      <c r="A924" s="76"/>
      <c r="B924" s="76"/>
      <c r="C924" s="76"/>
      <c r="D924" s="76"/>
      <c r="E924" s="76"/>
      <c r="F924" s="76"/>
    </row>
    <row r="925">
      <c r="A925" s="76"/>
      <c r="B925" s="76"/>
      <c r="C925" s="76"/>
      <c r="D925" s="76"/>
      <c r="E925" s="76"/>
      <c r="F925" s="76"/>
    </row>
    <row r="926">
      <c r="A926" s="76"/>
      <c r="B926" s="76"/>
      <c r="C926" s="76"/>
      <c r="D926" s="76"/>
      <c r="E926" s="76"/>
      <c r="F926" s="76"/>
    </row>
    <row r="927">
      <c r="A927" s="76"/>
      <c r="B927" s="76"/>
      <c r="C927" s="76"/>
      <c r="D927" s="76"/>
      <c r="E927" s="76"/>
      <c r="F927" s="76"/>
    </row>
    <row r="928">
      <c r="A928" s="76"/>
      <c r="B928" s="76"/>
      <c r="C928" s="76"/>
      <c r="D928" s="76"/>
      <c r="E928" s="76"/>
      <c r="F928" s="76"/>
    </row>
    <row r="929">
      <c r="A929" s="76"/>
      <c r="B929" s="76"/>
      <c r="C929" s="76"/>
      <c r="D929" s="76"/>
      <c r="E929" s="76"/>
      <c r="F929" s="76"/>
    </row>
    <row r="930">
      <c r="A930" s="76"/>
      <c r="B930" s="76"/>
      <c r="C930" s="76"/>
      <c r="D930" s="76"/>
      <c r="E930" s="76"/>
      <c r="F930" s="76"/>
    </row>
    <row r="931">
      <c r="A931" s="76"/>
      <c r="B931" s="76"/>
      <c r="C931" s="76"/>
      <c r="D931" s="76"/>
      <c r="E931" s="76"/>
      <c r="F931" s="76"/>
    </row>
    <row r="932">
      <c r="A932" s="76"/>
      <c r="B932" s="76"/>
      <c r="C932" s="76"/>
      <c r="D932" s="76"/>
      <c r="E932" s="76"/>
      <c r="F932" s="76"/>
    </row>
    <row r="933">
      <c r="A933" s="76"/>
      <c r="B933" s="76"/>
      <c r="C933" s="76"/>
      <c r="D933" s="76"/>
      <c r="E933" s="76"/>
      <c r="F933" s="76"/>
    </row>
    <row r="934">
      <c r="A934" s="76"/>
      <c r="B934" s="76"/>
      <c r="C934" s="76"/>
      <c r="D934" s="76"/>
      <c r="E934" s="76"/>
      <c r="F934" s="76"/>
    </row>
    <row r="935">
      <c r="A935" s="76"/>
      <c r="B935" s="76"/>
      <c r="C935" s="76"/>
      <c r="D935" s="76"/>
      <c r="E935" s="76"/>
      <c r="F935" s="76"/>
    </row>
    <row r="936">
      <c r="A936" s="76"/>
      <c r="B936" s="76"/>
      <c r="C936" s="76"/>
      <c r="D936" s="76"/>
      <c r="E936" s="76"/>
      <c r="F936" s="76"/>
    </row>
    <row r="937">
      <c r="A937" s="76"/>
      <c r="B937" s="76"/>
      <c r="C937" s="76"/>
      <c r="D937" s="76"/>
      <c r="E937" s="76"/>
      <c r="F937" s="76"/>
    </row>
    <row r="938">
      <c r="A938" s="76"/>
      <c r="B938" s="76"/>
      <c r="C938" s="76"/>
      <c r="D938" s="76"/>
      <c r="E938" s="76"/>
      <c r="F938" s="76"/>
    </row>
    <row r="939">
      <c r="A939" s="76"/>
      <c r="B939" s="76"/>
      <c r="C939" s="76"/>
      <c r="D939" s="76"/>
      <c r="E939" s="76"/>
      <c r="F939" s="76"/>
    </row>
    <row r="940">
      <c r="A940" s="76"/>
      <c r="B940" s="76"/>
      <c r="C940" s="76"/>
      <c r="D940" s="76"/>
      <c r="E940" s="76"/>
      <c r="F940" s="76"/>
    </row>
    <row r="941">
      <c r="A941" s="76"/>
      <c r="B941" s="76"/>
      <c r="C941" s="76"/>
      <c r="D941" s="76"/>
      <c r="E941" s="76"/>
      <c r="F941" s="76"/>
    </row>
    <row r="942">
      <c r="A942" s="76"/>
      <c r="B942" s="76"/>
      <c r="C942" s="76"/>
      <c r="D942" s="76"/>
      <c r="E942" s="76"/>
      <c r="F942" s="76"/>
    </row>
    <row r="943">
      <c r="A943" s="76"/>
      <c r="B943" s="76"/>
      <c r="C943" s="76"/>
      <c r="D943" s="76"/>
      <c r="E943" s="76"/>
      <c r="F943" s="76"/>
    </row>
    <row r="944">
      <c r="A944" s="76"/>
      <c r="B944" s="76"/>
      <c r="C944" s="76"/>
      <c r="D944" s="76"/>
      <c r="E944" s="76"/>
      <c r="F944" s="76"/>
    </row>
    <row r="945">
      <c r="A945" s="76"/>
      <c r="B945" s="76"/>
      <c r="C945" s="76"/>
      <c r="D945" s="76"/>
      <c r="E945" s="76"/>
      <c r="F945" s="76"/>
    </row>
    <row r="946">
      <c r="A946" s="76"/>
      <c r="B946" s="76"/>
      <c r="C946" s="76"/>
      <c r="D946" s="76"/>
      <c r="E946" s="76"/>
      <c r="F946" s="76"/>
    </row>
    <row r="947">
      <c r="A947" s="76"/>
      <c r="B947" s="76"/>
      <c r="C947" s="76"/>
      <c r="D947" s="76"/>
      <c r="E947" s="76"/>
      <c r="F947" s="76"/>
    </row>
    <row r="948">
      <c r="A948" s="76"/>
      <c r="B948" s="76"/>
      <c r="C948" s="76"/>
      <c r="D948" s="76"/>
      <c r="E948" s="76"/>
      <c r="F948" s="76"/>
    </row>
    <row r="949">
      <c r="A949" s="76"/>
      <c r="B949" s="76"/>
      <c r="C949" s="76"/>
      <c r="D949" s="76"/>
      <c r="E949" s="76"/>
      <c r="F949" s="76"/>
    </row>
    <row r="950">
      <c r="A950" s="76"/>
      <c r="B950" s="76"/>
      <c r="C950" s="76"/>
      <c r="D950" s="76"/>
      <c r="E950" s="76"/>
      <c r="F950" s="76"/>
    </row>
    <row r="951">
      <c r="A951" s="76"/>
      <c r="B951" s="76"/>
      <c r="C951" s="76"/>
      <c r="D951" s="76"/>
      <c r="E951" s="76"/>
      <c r="F951" s="76"/>
    </row>
    <row r="952">
      <c r="A952" s="76"/>
      <c r="B952" s="76"/>
      <c r="C952" s="76"/>
      <c r="D952" s="76"/>
      <c r="E952" s="76"/>
      <c r="F952" s="76"/>
    </row>
    <row r="953">
      <c r="A953" s="76"/>
      <c r="B953" s="76"/>
      <c r="C953" s="76"/>
      <c r="D953" s="76"/>
      <c r="E953" s="76"/>
      <c r="F953" s="76"/>
    </row>
    <row r="954">
      <c r="A954" s="76"/>
      <c r="B954" s="76"/>
      <c r="C954" s="76"/>
      <c r="D954" s="76"/>
      <c r="E954" s="76"/>
      <c r="F954" s="76"/>
    </row>
    <row r="955">
      <c r="A955" s="76"/>
      <c r="B955" s="76"/>
      <c r="C955" s="76"/>
      <c r="D955" s="76"/>
      <c r="E955" s="76"/>
      <c r="F955" s="76"/>
    </row>
    <row r="956">
      <c r="A956" s="76"/>
      <c r="B956" s="76"/>
      <c r="C956" s="76"/>
      <c r="D956" s="76"/>
      <c r="E956" s="76"/>
      <c r="F956" s="76"/>
    </row>
    <row r="957">
      <c r="A957" s="76"/>
      <c r="B957" s="76"/>
      <c r="C957" s="76"/>
      <c r="D957" s="76"/>
      <c r="E957" s="76"/>
      <c r="F957" s="76"/>
    </row>
    <row r="958">
      <c r="A958" s="76"/>
      <c r="B958" s="76"/>
      <c r="C958" s="76"/>
      <c r="D958" s="76"/>
      <c r="E958" s="76"/>
      <c r="F958" s="76"/>
    </row>
    <row r="959">
      <c r="A959" s="76"/>
      <c r="B959" s="76"/>
      <c r="C959" s="76"/>
      <c r="D959" s="76"/>
      <c r="E959" s="76"/>
      <c r="F959" s="76"/>
    </row>
    <row r="960">
      <c r="A960" s="76"/>
      <c r="B960" s="76"/>
      <c r="C960" s="76"/>
      <c r="D960" s="76"/>
      <c r="E960" s="76"/>
      <c r="F960" s="76"/>
    </row>
    <row r="961">
      <c r="A961" s="76"/>
      <c r="B961" s="76"/>
      <c r="C961" s="76"/>
      <c r="D961" s="76"/>
      <c r="E961" s="76"/>
      <c r="F961" s="76"/>
    </row>
    <row r="962">
      <c r="A962" s="76"/>
      <c r="B962" s="76"/>
      <c r="C962" s="76"/>
      <c r="D962" s="76"/>
      <c r="E962" s="76"/>
      <c r="F962" s="76"/>
    </row>
    <row r="963">
      <c r="A963" s="76"/>
      <c r="B963" s="76"/>
      <c r="C963" s="76"/>
      <c r="D963" s="76"/>
      <c r="E963" s="76"/>
      <c r="F963" s="76"/>
    </row>
    <row r="964">
      <c r="A964" s="76"/>
      <c r="B964" s="76"/>
      <c r="C964" s="76"/>
      <c r="D964" s="76"/>
      <c r="E964" s="76"/>
      <c r="F964" s="76"/>
    </row>
    <row r="965">
      <c r="A965" s="76"/>
      <c r="B965" s="76"/>
      <c r="C965" s="76"/>
      <c r="D965" s="76"/>
      <c r="E965" s="76"/>
      <c r="F965" s="76"/>
    </row>
    <row r="966">
      <c r="A966" s="76"/>
      <c r="B966" s="76"/>
      <c r="C966" s="76"/>
      <c r="D966" s="76"/>
      <c r="E966" s="76"/>
      <c r="F966" s="76"/>
    </row>
    <row r="967">
      <c r="A967" s="76"/>
      <c r="B967" s="76"/>
      <c r="C967" s="76"/>
      <c r="D967" s="76"/>
      <c r="E967" s="76"/>
      <c r="F967" s="76"/>
    </row>
    <row r="968">
      <c r="A968" s="76"/>
      <c r="B968" s="76"/>
      <c r="C968" s="76"/>
      <c r="D968" s="76"/>
      <c r="E968" s="76"/>
      <c r="F968" s="76"/>
    </row>
    <row r="969">
      <c r="A969" s="76"/>
      <c r="B969" s="76"/>
      <c r="C969" s="76"/>
      <c r="D969" s="76"/>
      <c r="E969" s="76"/>
      <c r="F969" s="76"/>
    </row>
    <row r="970">
      <c r="A970" s="76"/>
      <c r="B970" s="76"/>
      <c r="C970" s="76"/>
      <c r="D970" s="76"/>
      <c r="E970" s="76"/>
      <c r="F970" s="76"/>
    </row>
    <row r="971">
      <c r="A971" s="76"/>
      <c r="B971" s="76"/>
      <c r="C971" s="76"/>
      <c r="D971" s="76"/>
      <c r="E971" s="76"/>
      <c r="F971" s="76"/>
    </row>
    <row r="972">
      <c r="A972" s="76"/>
      <c r="B972" s="76"/>
      <c r="C972" s="76"/>
      <c r="D972" s="76"/>
      <c r="E972" s="76"/>
      <c r="F972" s="76"/>
    </row>
    <row r="973">
      <c r="A973" s="76"/>
      <c r="B973" s="76"/>
      <c r="C973" s="76"/>
      <c r="D973" s="76"/>
      <c r="E973" s="76"/>
      <c r="F973" s="76"/>
    </row>
    <row r="974">
      <c r="A974" s="76"/>
      <c r="B974" s="76"/>
      <c r="C974" s="76"/>
      <c r="D974" s="76"/>
      <c r="E974" s="76"/>
      <c r="F974" s="76"/>
    </row>
    <row r="975">
      <c r="A975" s="76"/>
      <c r="B975" s="76"/>
      <c r="C975" s="76"/>
      <c r="D975" s="76"/>
      <c r="E975" s="76"/>
      <c r="F975" s="76"/>
    </row>
    <row r="976">
      <c r="A976" s="76"/>
      <c r="B976" s="76"/>
      <c r="C976" s="76"/>
      <c r="D976" s="76"/>
      <c r="E976" s="76"/>
      <c r="F976" s="76"/>
    </row>
    <row r="977">
      <c r="A977" s="76"/>
      <c r="B977" s="76"/>
      <c r="C977" s="76"/>
      <c r="D977" s="76"/>
      <c r="E977" s="76"/>
      <c r="F977" s="76"/>
    </row>
    <row r="978">
      <c r="A978" s="76"/>
      <c r="B978" s="76"/>
      <c r="C978" s="76"/>
      <c r="D978" s="76"/>
      <c r="E978" s="76"/>
      <c r="F978" s="76"/>
    </row>
    <row r="979">
      <c r="A979" s="76"/>
      <c r="B979" s="76"/>
      <c r="C979" s="76"/>
      <c r="D979" s="76"/>
      <c r="E979" s="76"/>
      <c r="F979" s="76"/>
    </row>
    <row r="980">
      <c r="A980" s="76"/>
      <c r="B980" s="76"/>
      <c r="C980" s="76"/>
      <c r="D980" s="76"/>
      <c r="E980" s="76"/>
      <c r="F980" s="76"/>
    </row>
    <row r="981">
      <c r="A981" s="76"/>
      <c r="B981" s="76"/>
      <c r="C981" s="76"/>
      <c r="D981" s="76"/>
      <c r="E981" s="76"/>
      <c r="F981" s="76"/>
    </row>
    <row r="982">
      <c r="A982" s="76"/>
      <c r="B982" s="76"/>
      <c r="C982" s="76"/>
      <c r="D982" s="76"/>
      <c r="E982" s="76"/>
      <c r="F982" s="76"/>
    </row>
    <row r="983">
      <c r="A983" s="76"/>
      <c r="B983" s="76"/>
      <c r="C983" s="76"/>
      <c r="D983" s="76"/>
      <c r="E983" s="76"/>
      <c r="F983" s="76"/>
    </row>
    <row r="984">
      <c r="A984" s="76"/>
      <c r="B984" s="76"/>
      <c r="C984" s="76"/>
      <c r="D984" s="76"/>
      <c r="E984" s="76"/>
      <c r="F984" s="76"/>
    </row>
    <row r="985">
      <c r="A985" s="76"/>
      <c r="B985" s="76"/>
      <c r="C985" s="76"/>
      <c r="D985" s="76"/>
      <c r="E985" s="76"/>
      <c r="F985" s="76"/>
    </row>
    <row r="986">
      <c r="A986" s="76"/>
      <c r="B986" s="76"/>
      <c r="C986" s="76"/>
      <c r="D986" s="76"/>
      <c r="E986" s="76"/>
      <c r="F986" s="76"/>
    </row>
    <row r="987">
      <c r="A987" s="76"/>
      <c r="B987" s="76"/>
      <c r="C987" s="76"/>
      <c r="D987" s="76"/>
      <c r="E987" s="76"/>
      <c r="F987" s="76"/>
    </row>
    <row r="988">
      <c r="A988" s="76"/>
      <c r="B988" s="76"/>
      <c r="C988" s="76"/>
      <c r="D988" s="76"/>
      <c r="E988" s="76"/>
      <c r="F988" s="76"/>
    </row>
    <row r="989">
      <c r="A989" s="76"/>
      <c r="B989" s="76"/>
      <c r="C989" s="76"/>
      <c r="D989" s="76"/>
      <c r="E989" s="76"/>
      <c r="F989" s="76"/>
    </row>
    <row r="990">
      <c r="A990" s="76"/>
      <c r="B990" s="76"/>
      <c r="C990" s="76"/>
      <c r="D990" s="76"/>
      <c r="E990" s="76"/>
      <c r="F990" s="76"/>
    </row>
    <row r="991">
      <c r="A991" s="76"/>
      <c r="B991" s="76"/>
      <c r="C991" s="76"/>
      <c r="D991" s="76"/>
      <c r="E991" s="76"/>
      <c r="F991" s="76"/>
    </row>
    <row r="992">
      <c r="A992" s="76"/>
      <c r="B992" s="76"/>
      <c r="C992" s="76"/>
      <c r="D992" s="76"/>
      <c r="E992" s="76"/>
      <c r="F992" s="76"/>
    </row>
    <row r="993">
      <c r="A993" s="76"/>
      <c r="B993" s="76"/>
      <c r="C993" s="76"/>
      <c r="D993" s="76"/>
      <c r="E993" s="76"/>
      <c r="F993" s="76"/>
    </row>
    <row r="994">
      <c r="A994" s="76"/>
      <c r="B994" s="76"/>
      <c r="C994" s="76"/>
      <c r="D994" s="76"/>
      <c r="E994" s="76"/>
      <c r="F994" s="76"/>
    </row>
    <row r="995">
      <c r="A995" s="76"/>
      <c r="B995" s="76"/>
      <c r="C995" s="76"/>
      <c r="D995" s="76"/>
      <c r="E995" s="76"/>
      <c r="F995" s="76"/>
    </row>
    <row r="996">
      <c r="A996" s="76"/>
      <c r="B996" s="76"/>
      <c r="C996" s="76"/>
      <c r="D996" s="76"/>
      <c r="E996" s="76"/>
      <c r="F996" s="76"/>
    </row>
    <row r="997">
      <c r="A997" s="76"/>
      <c r="B997" s="76"/>
      <c r="C997" s="76"/>
      <c r="D997" s="76"/>
      <c r="E997" s="76"/>
      <c r="F997" s="76"/>
    </row>
    <row r="998">
      <c r="A998" s="76"/>
      <c r="B998" s="76"/>
      <c r="C998" s="76"/>
      <c r="D998" s="76"/>
      <c r="E998" s="76"/>
      <c r="F998" s="76"/>
    </row>
    <row r="999">
      <c r="A999" s="76"/>
      <c r="B999" s="76"/>
      <c r="C999" s="76"/>
      <c r="D999" s="76"/>
      <c r="E999" s="76"/>
      <c r="F999" s="76"/>
    </row>
  </sheetData>
  <dataValidations>
    <dataValidation type="list" allowBlank="1" showErrorMessage="1" sqref="F116:F999">
      <formula1>"TERMS,30 DAYS,45 DAYS,60 DAYS,90 DAYS,PDC 30 DAYS,PDC 45 DAYS,PDC 60 DAYS,PDC 90 DAYS,COD"</formula1>
    </dataValidation>
    <dataValidation type="list" allowBlank="1" showErrorMessage="1" sqref="F2:F115">
      <formula1>"TERMS,30 DAYS,45 DAYS,60 DAYS,90 DAYS,PDC 30 DAYS,PDC 45 DAYS,PDC 60 DAYS,PDC 90 DAYS,COD"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11.5"/>
    <col customWidth="1" min="3" max="3" width="12.5"/>
    <col customWidth="1" min="4" max="4" width="21.0"/>
    <col customWidth="1" min="5" max="5" width="12.88"/>
  </cols>
  <sheetData>
    <row r="1">
      <c r="A1" s="143" t="s">
        <v>1378</v>
      </c>
    </row>
    <row r="3">
      <c r="A3" s="144" t="s">
        <v>1460</v>
      </c>
    </row>
    <row r="4" ht="9.75" customHeight="1">
      <c r="C4" s="145"/>
    </row>
    <row r="5">
      <c r="A5" s="146" t="s">
        <v>1461</v>
      </c>
    </row>
    <row r="6">
      <c r="A6" s="147">
        <f t="array" ref="A6">DATE(DASHBOARD!C4, MATCH(DASHBOARD!C3, {"JANUARY","FEBRUARY","MARCH","APRIL","MAY","JUNE","JULY","AUGUST","SEPTEMBER","OCTOBER","NOVEMBER","DECEMBER"}, 0), DASHBOARD!C5)</f>
        <v>46251</v>
      </c>
      <c r="C6" s="145"/>
    </row>
    <row r="7">
      <c r="C7" s="145"/>
    </row>
    <row r="8">
      <c r="A8" s="148" t="s">
        <v>1465</v>
      </c>
      <c r="B8" s="149"/>
      <c r="C8" s="91"/>
      <c r="D8" s="148" t="s">
        <v>1205</v>
      </c>
      <c r="E8" s="91"/>
    </row>
    <row r="9">
      <c r="A9" s="150" t="s">
        <v>12</v>
      </c>
      <c r="B9" s="150" t="s">
        <v>1467</v>
      </c>
      <c r="C9" s="151" t="s">
        <v>1397</v>
      </c>
      <c r="D9" s="150" t="s">
        <v>1468</v>
      </c>
      <c r="E9" s="150" t="s">
        <v>1397</v>
      </c>
    </row>
    <row r="10">
      <c r="A10" s="152" t="s">
        <v>1469</v>
      </c>
      <c r="B10" s="153"/>
      <c r="C10" s="154"/>
      <c r="D10" s="155" t="s">
        <v>1470</v>
      </c>
      <c r="E10" s="156">
        <v>361.0</v>
      </c>
    </row>
    <row r="11" ht="18.0" customHeight="1">
      <c r="A11" s="157" t="str">
        <f>IFERROR(__xludf.DUMMYFUNCTION("IFERROR(QUERY(SALES!A:K, ""SELECT C, B, SUM(K) WHERE A = date '""&amp;TEXT($A$6, ""yyyy-mm-dd"")&amp;""' AND (G = 'CASH' OR G = 'GCASH / BANK TRANSFER') AND B IS NOT NULL AND NOT B LIKE 'DR-%' AND NOT B LIKE 'CSI-%' GROUP BY C, B LABEL SUM(K) ''"", 0), {"""","""""&amp;",""""})"),"BUKIDNON AUTOCARS")</f>
        <v>BUKIDNON AUTOCARS</v>
      </c>
      <c r="B11" s="114" t="str">
        <f>IFERROR(__xludf.DUMMYFUNCTION("""COMPUTED_VALUE"""),"SI-001480")</f>
        <v>SI-001480</v>
      </c>
      <c r="C11" s="158">
        <f>IFERROR(__xludf.DUMMYFUNCTION("""COMPUTED_VALUE"""),200.0)</f>
        <v>200</v>
      </c>
      <c r="D11" s="155"/>
      <c r="E11" s="156"/>
    </row>
    <row r="12">
      <c r="A12" s="159" t="str">
        <f>IFERROR(__xludf.DUMMYFUNCTION("""COMPUTED_VALUE"""),"KEVIN")</f>
        <v>KEVIN</v>
      </c>
      <c r="B12" s="114" t="str">
        <f>IFERROR(__xludf.DUMMYFUNCTION("""COMPUTED_VALUE"""),"SI-001478")</f>
        <v>SI-001478</v>
      </c>
      <c r="C12" s="158">
        <f>IFERROR(__xludf.DUMMYFUNCTION("""COMPUTED_VALUE"""),900.0)</f>
        <v>900</v>
      </c>
      <c r="D12" s="155"/>
      <c r="E12" s="160"/>
    </row>
    <row r="13">
      <c r="A13" s="159" t="str">
        <f>IFERROR(__xludf.DUMMYFUNCTION("""COMPUTED_VALUE"""),"VINCENT")</f>
        <v>VINCENT</v>
      </c>
      <c r="B13" s="159" t="str">
        <f>IFERROR(__xludf.DUMMYFUNCTION("""COMPUTED_VALUE"""),"SI-001479")</f>
        <v>SI-001479</v>
      </c>
      <c r="C13" s="154">
        <f>IFERROR(__xludf.DUMMYFUNCTION("""COMPUTED_VALUE"""),500.0)</f>
        <v>500</v>
      </c>
      <c r="D13" s="155"/>
      <c r="E13" s="156"/>
    </row>
    <row r="14">
      <c r="A14" s="159"/>
      <c r="B14" s="159"/>
      <c r="C14" s="154"/>
      <c r="D14" s="155"/>
      <c r="E14" s="156"/>
    </row>
    <row r="15">
      <c r="A15" s="159"/>
      <c r="B15" s="159"/>
      <c r="C15" s="154"/>
      <c r="D15" s="155"/>
      <c r="E15" s="156"/>
    </row>
    <row r="16">
      <c r="A16" s="152" t="s">
        <v>1474</v>
      </c>
      <c r="B16" s="153"/>
      <c r="C16" s="154"/>
      <c r="D16" s="161" t="s">
        <v>1475</v>
      </c>
      <c r="E16" s="153"/>
    </row>
    <row r="17" ht="18.0" customHeight="1">
      <c r="A17" s="162" t="str">
        <f>IFERROR(__xludf.DUMMYFUNCTION("ARRAY_CONSTRAIN(IFERROR(FILTER(INDIRECT(""SALES!E2:E""), INDIRECT(""SALES!A2:A"") = $A$6, INDIRECT(""SALES!B2:B"") = """"), """"), 23, 1)"),"TIMELESS PREMIUM LIQUID WAX 5OML")</f>
        <v>TIMELESS PREMIUM LIQUID WAX 5OML</v>
      </c>
      <c r="B17" s="163" t="str">
        <f>IFERROR(__xludf.DUMMYFUNCTION("ARRAY_CONSTRAIN(IFERROR(MAP(FILTER(INDIRECT(""SALES!H2:H""), INDIRECT(""SALES!A2:A"") = $A$6, INDIRECT(""SALES!B2:B"") = """"), FILTER(INDIRECT(""SALES!I2:I""), INDIRECT(""SALES!A2:A"") = $A$6, INDIRECT(""SALES!B2:B"") = """"), LAMBDA(qty, unit, IF(REGEXM"&amp;"ATCH(UPPER(unit), ""GAL""), IFS(qty=0.75, ""3 ltrs"", qty=0.5, ""2 ltrs"", qty=0.25, ""1 ltr"", qty=0.125, ""1/2 ltrs"", qty=0.0625, ""1/4 ltrs"", qty=0.03125, ""1/8 ltrs"", TRUE, qty&amp;"" gal""), IF(REGEXMATCH(UPPER(unit), ""LIT|LTR""), IFS(qty=0.75, ""3/4"&amp;" ltrs"", qty=0.5, ""1/2 ltrs"", qty=0.25, ""1/4 ltr"", qty=0.125, ""1/8 ltrs"", TRUE, qty&amp;"" ltr""), qty&amp;"" ""&amp;unit)))), """"), 23, 1)"),"1 PC/S")</f>
        <v>1 PC/S</v>
      </c>
      <c r="C17" s="164">
        <f>IFERROR(__xludf.DUMMYFUNCTION("ARRAY_CONSTRAIN(IFERROR(FILTER(INDIRECT(""SALES!K2:K""), INDIRECT(""SALES!A2:A"") = $A$6, INDIRECT(""SALES!B2:B"") = """"), """"), 23, 1)"),100.0)</f>
        <v>100</v>
      </c>
      <c r="D17" s="155"/>
      <c r="E17" s="156"/>
    </row>
    <row r="18">
      <c r="A18" s="99" t="str">
        <f>IFERROR(__xludf.DUMMYFUNCTION("""COMPUTED_VALUE"""),"EAGLE SANDPAPER #2000")</f>
        <v>EAGLE SANDPAPER #2000</v>
      </c>
      <c r="B18" s="165" t="str">
        <f>IFERROR(__xludf.DUMMYFUNCTION("""COMPUTED_VALUE"""),"1 PC/S")</f>
        <v>1 PC/S</v>
      </c>
      <c r="C18" s="164">
        <f>IFERROR(__xludf.DUMMYFUNCTION("""COMPUTED_VALUE"""),35.0)</f>
        <v>35</v>
      </c>
      <c r="D18" s="155"/>
      <c r="E18" s="156"/>
    </row>
    <row r="19">
      <c r="A19" s="99"/>
      <c r="B19" s="165"/>
      <c r="C19" s="164"/>
      <c r="D19" s="155"/>
      <c r="E19" s="156"/>
    </row>
    <row r="20">
      <c r="A20" s="99"/>
      <c r="B20" s="165"/>
      <c r="C20" s="164"/>
      <c r="D20" s="155"/>
      <c r="E20" s="156"/>
    </row>
    <row r="21">
      <c r="A21" s="153"/>
      <c r="B21" s="159"/>
      <c r="C21" s="164"/>
      <c r="D21" s="155"/>
      <c r="E21" s="156"/>
    </row>
    <row r="22">
      <c r="A22" s="153"/>
      <c r="B22" s="159"/>
      <c r="C22" s="164"/>
      <c r="D22" s="155"/>
      <c r="E22" s="155"/>
    </row>
    <row r="23">
      <c r="A23" s="153"/>
      <c r="B23" s="159"/>
      <c r="C23" s="164"/>
      <c r="D23" s="153"/>
      <c r="E23" s="153"/>
    </row>
    <row r="24">
      <c r="A24" s="152" t="s">
        <v>1481</v>
      </c>
      <c r="B24" s="153"/>
      <c r="C24" s="154"/>
      <c r="D24" s="153"/>
      <c r="E24" s="153"/>
      <c r="H24" s="166" t="s">
        <v>525</v>
      </c>
    </row>
    <row r="25" ht="18.75" customHeight="1">
      <c r="A25" s="167" t="str">
        <f>IFERROR(__xludf.DUMMYFUNCTION("IFERROR(QUERY(SALES!A:K, ""SELECT C, B, SUM(K) WHERE A = date '""&amp;TEXT($A$6, ""yyyy-mm-dd"")&amp;""' AND G = 'CHARGE' AND B IS NOT NULL GROUP BY C, B LABEL SUM(K) ''"", 0), {"""", """", """"})"),"KARRJACKSON INDUSTRIES")</f>
        <v>KARRJACKSON INDUSTRIES</v>
      </c>
      <c r="B25" s="168" t="str">
        <f>IFERROR(__xludf.DUMMYFUNCTION("""COMPUTED_VALUE"""),"CSI-000440")</f>
        <v>CSI-000440</v>
      </c>
      <c r="C25" s="169">
        <f>IFERROR(__xludf.DUMMYFUNCTION("""COMPUTED_VALUE"""),3865.0)</f>
        <v>3865</v>
      </c>
      <c r="D25" s="153"/>
      <c r="E25" s="153"/>
    </row>
    <row r="26">
      <c r="A26" s="170" t="str">
        <f>IFERROR(__xludf.DUMMYFUNCTION("""COMPUTED_VALUE"""),"KARRJACKSON INDUSTRIES")</f>
        <v>KARRJACKSON INDUSTRIES</v>
      </c>
      <c r="B26" s="153" t="str">
        <f>IFERROR(__xludf.DUMMYFUNCTION("""COMPUTED_VALUE"""),"CSI-000441")</f>
        <v>CSI-000441</v>
      </c>
      <c r="C26" s="154">
        <f>IFERROR(__xludf.DUMMYFUNCTION("""COMPUTED_VALUE"""),380.0)</f>
        <v>380</v>
      </c>
      <c r="D26" s="153"/>
      <c r="E26" s="153"/>
      <c r="H26" s="171"/>
      <c r="I26" s="171"/>
      <c r="J26" s="171"/>
      <c r="K26" s="171"/>
      <c r="L26" s="171"/>
      <c r="M26" s="171"/>
      <c r="N26" s="171"/>
    </row>
    <row r="27">
      <c r="A27" s="170"/>
      <c r="B27" s="153"/>
      <c r="C27" s="154"/>
      <c r="D27" s="153"/>
      <c r="E27" s="153"/>
      <c r="H27" s="171"/>
      <c r="I27" s="171"/>
      <c r="J27" s="171"/>
      <c r="K27" s="171"/>
      <c r="L27" s="171"/>
      <c r="M27" s="171"/>
      <c r="N27" s="171"/>
    </row>
    <row r="28">
      <c r="A28" s="170"/>
      <c r="B28" s="153"/>
      <c r="C28" s="154"/>
      <c r="D28" s="153"/>
      <c r="E28" s="153"/>
      <c r="H28" s="171"/>
      <c r="I28" s="171"/>
      <c r="J28" s="171"/>
      <c r="K28" s="171"/>
      <c r="L28" s="171"/>
      <c r="M28" s="171"/>
      <c r="N28" s="171"/>
    </row>
    <row r="29">
      <c r="A29" s="170"/>
      <c r="B29" s="153"/>
      <c r="C29" s="154"/>
      <c r="D29" s="153"/>
      <c r="E29" s="153"/>
      <c r="H29" s="171"/>
      <c r="I29" s="171"/>
      <c r="J29" s="171"/>
      <c r="K29" s="171"/>
      <c r="L29" s="171"/>
      <c r="M29" s="171"/>
      <c r="N29" s="171"/>
    </row>
    <row r="30">
      <c r="A30" s="161" t="s">
        <v>1483</v>
      </c>
      <c r="B30" s="153"/>
      <c r="C30" s="154"/>
      <c r="D30" s="153"/>
      <c r="E30" s="153"/>
      <c r="H30" s="171"/>
      <c r="I30" s="171"/>
      <c r="J30" s="171"/>
      <c r="K30" s="171"/>
      <c r="L30" s="171"/>
      <c r="M30" s="171"/>
      <c r="N30" s="171"/>
    </row>
    <row r="31">
      <c r="A31" s="172" t="str">
        <f>IFERROR(__xludf.DUMMYFUNCTION("ARRAY_CONSTRAIN(IFERROR(FILTER({SALES!C:C, SALES!B:B, SALES!K:K}, SALES!A:A = $A$6, LEFT(SALES!B:B, 3) = ""DR-""), {"""","""",""""}), 2, 3)"),"")</f>
        <v/>
      </c>
      <c r="B31" s="153" t="str">
        <f>IFERROR(__xludf.DUMMYFUNCTION("""COMPUTED_VALUE"""),"")</f>
        <v/>
      </c>
      <c r="C31" s="154" t="str">
        <f>IFERROR(__xludf.DUMMYFUNCTION("""COMPUTED_VALUE"""),"")</f>
        <v/>
      </c>
      <c r="D31" s="153"/>
      <c r="E31" s="153"/>
      <c r="H31" s="171"/>
      <c r="I31" s="171"/>
      <c r="J31" s="171"/>
      <c r="K31" s="171"/>
      <c r="L31" s="171"/>
      <c r="M31" s="171"/>
      <c r="N31" s="171"/>
    </row>
    <row r="32">
      <c r="A32" s="161" t="s">
        <v>1485</v>
      </c>
      <c r="B32" s="153"/>
      <c r="C32" s="156">
        <f>SUMIFS(SALES!K:K, SALES!L:L, "GCASH / BANK TRANSFER", SALES!A:A, A6 )</f>
        <v>0</v>
      </c>
      <c r="D32" s="153"/>
      <c r="E32" s="153"/>
      <c r="H32" s="171"/>
      <c r="I32" s="171"/>
      <c r="J32" s="171"/>
      <c r="K32" s="171"/>
      <c r="L32" s="171"/>
      <c r="M32" s="171"/>
      <c r="N32" s="171"/>
    </row>
    <row r="33">
      <c r="A33" s="173"/>
      <c r="B33" s="153"/>
      <c r="C33" s="154"/>
      <c r="D33" s="153"/>
      <c r="E33" s="153"/>
      <c r="H33" s="171"/>
      <c r="I33" s="171"/>
      <c r="J33" s="171"/>
      <c r="K33" s="171"/>
      <c r="L33" s="171"/>
      <c r="M33" s="171"/>
      <c r="N33" s="171"/>
    </row>
    <row r="34" ht="19.5" customHeight="1">
      <c r="A34" s="161" t="s">
        <v>1487</v>
      </c>
      <c r="B34" s="153"/>
      <c r="C34" s="154">
        <f>SUM(C11:C15)</f>
        <v>1600</v>
      </c>
      <c r="D34" s="153"/>
      <c r="E34" s="153"/>
      <c r="H34" s="171"/>
      <c r="I34" s="171"/>
      <c r="J34" s="171"/>
      <c r="K34" s="171"/>
      <c r="L34" s="171"/>
      <c r="M34" s="171"/>
      <c r="N34" s="171"/>
    </row>
    <row r="35" ht="19.5" customHeight="1">
      <c r="A35" s="161" t="s">
        <v>1489</v>
      </c>
      <c r="B35" s="153"/>
      <c r="C35" s="154">
        <f>SUM(C17:C23)</f>
        <v>135</v>
      </c>
      <c r="D35" s="153"/>
      <c r="E35" s="153"/>
    </row>
    <row r="36" ht="19.5" customHeight="1">
      <c r="A36" s="161" t="s">
        <v>1481</v>
      </c>
      <c r="B36" s="153"/>
      <c r="C36" s="154">
        <f>SUM(C25:C28)</f>
        <v>4245</v>
      </c>
      <c r="D36" s="153"/>
      <c r="E36" s="153"/>
    </row>
    <row r="37" ht="19.5" customHeight="1">
      <c r="A37" s="161" t="s">
        <v>1491</v>
      </c>
      <c r="B37" s="153"/>
      <c r="C37" s="154">
        <f>SUM(C30:C31)</f>
        <v>0</v>
      </c>
      <c r="D37" s="153"/>
      <c r="E37" s="153"/>
    </row>
    <row r="38" ht="19.5" customHeight="1">
      <c r="A38" s="161" t="s">
        <v>1492</v>
      </c>
      <c r="B38" s="153"/>
      <c r="C38" s="174">
        <f>SUM(C34:C37)</f>
        <v>5980</v>
      </c>
      <c r="D38" s="175" t="s">
        <v>1494</v>
      </c>
      <c r="E38" s="176">
        <v>361.0</v>
      </c>
    </row>
    <row r="39">
      <c r="C39" s="145"/>
      <c r="E39" s="166" t="s">
        <v>1495</v>
      </c>
    </row>
    <row r="40">
      <c r="A40" s="121" t="s">
        <v>1496</v>
      </c>
      <c r="C40" s="145"/>
    </row>
    <row r="41">
      <c r="A41" s="82"/>
      <c r="C41" s="145"/>
    </row>
    <row r="42">
      <c r="C42" s="145"/>
    </row>
    <row r="43">
      <c r="C43" s="145"/>
    </row>
    <row r="44">
      <c r="C44" s="145"/>
    </row>
    <row r="45">
      <c r="C45" s="145"/>
    </row>
    <row r="46">
      <c r="C46" s="145"/>
    </row>
    <row r="47">
      <c r="C47" s="145"/>
    </row>
    <row r="48">
      <c r="C48" s="145"/>
    </row>
    <row r="49">
      <c r="C49" s="145"/>
    </row>
    <row r="50">
      <c r="C50" s="145"/>
    </row>
    <row r="51">
      <c r="C51" s="145"/>
    </row>
    <row r="52">
      <c r="C52" s="145"/>
    </row>
    <row r="53">
      <c r="C53" s="145"/>
    </row>
    <row r="54">
      <c r="C54" s="145"/>
    </row>
    <row r="55">
      <c r="C55" s="145"/>
    </row>
    <row r="56">
      <c r="C56" s="145"/>
    </row>
    <row r="57">
      <c r="C57" s="145"/>
    </row>
    <row r="58">
      <c r="C58" s="145"/>
    </row>
    <row r="59">
      <c r="C59" s="145"/>
    </row>
    <row r="60">
      <c r="C60" s="145"/>
    </row>
    <row r="61">
      <c r="C61" s="145"/>
    </row>
    <row r="62">
      <c r="C62" s="145"/>
    </row>
    <row r="63">
      <c r="C63" s="145"/>
    </row>
    <row r="64">
      <c r="C64" s="145"/>
    </row>
    <row r="65">
      <c r="C65" s="145"/>
    </row>
    <row r="66">
      <c r="C66" s="145"/>
    </row>
    <row r="67">
      <c r="C67" s="145"/>
    </row>
    <row r="68">
      <c r="C68" s="145"/>
    </row>
    <row r="69">
      <c r="C69" s="145"/>
    </row>
    <row r="70">
      <c r="C70" s="145"/>
    </row>
    <row r="71">
      <c r="C71" s="145"/>
    </row>
    <row r="72">
      <c r="C72" s="145"/>
    </row>
    <row r="73">
      <c r="C73" s="145"/>
    </row>
    <row r="74">
      <c r="C74" s="145"/>
    </row>
    <row r="75">
      <c r="C75" s="145"/>
    </row>
    <row r="76">
      <c r="C76" s="145"/>
    </row>
    <row r="77">
      <c r="C77" s="145"/>
    </row>
    <row r="78">
      <c r="C78" s="145"/>
    </row>
    <row r="79">
      <c r="C79" s="145"/>
    </row>
    <row r="80">
      <c r="C80" s="145"/>
    </row>
    <row r="81">
      <c r="C81" s="145"/>
    </row>
    <row r="82">
      <c r="C82" s="145"/>
    </row>
    <row r="83">
      <c r="C83" s="145"/>
    </row>
    <row r="84">
      <c r="C84" s="145"/>
    </row>
    <row r="85">
      <c r="C85" s="145"/>
    </row>
    <row r="86">
      <c r="C86" s="145"/>
    </row>
    <row r="87">
      <c r="C87" s="145"/>
    </row>
    <row r="88">
      <c r="C88" s="145"/>
    </row>
    <row r="89">
      <c r="C89" s="145"/>
    </row>
    <row r="90">
      <c r="C90" s="145"/>
    </row>
    <row r="91">
      <c r="C91" s="145"/>
    </row>
    <row r="92">
      <c r="C92" s="145"/>
    </row>
    <row r="93">
      <c r="C93" s="145"/>
    </row>
    <row r="94">
      <c r="C94" s="145"/>
    </row>
    <row r="95">
      <c r="C95" s="145"/>
    </row>
    <row r="96">
      <c r="C96" s="145"/>
    </row>
    <row r="97">
      <c r="C97" s="145"/>
    </row>
    <row r="98">
      <c r="C98" s="145"/>
    </row>
    <row r="99">
      <c r="C99" s="145"/>
    </row>
    <row r="100">
      <c r="C100" s="145"/>
    </row>
    <row r="101">
      <c r="C101" s="145"/>
    </row>
    <row r="102">
      <c r="C102" s="145"/>
    </row>
    <row r="103">
      <c r="C103" s="145"/>
    </row>
    <row r="104">
      <c r="C104" s="145"/>
    </row>
    <row r="105">
      <c r="C105" s="145"/>
    </row>
    <row r="106">
      <c r="C106" s="145"/>
    </row>
    <row r="107">
      <c r="C107" s="145"/>
    </row>
    <row r="108">
      <c r="C108" s="145"/>
    </row>
    <row r="109">
      <c r="C109" s="145"/>
    </row>
    <row r="110">
      <c r="C110" s="145"/>
    </row>
    <row r="111">
      <c r="C111" s="145"/>
    </row>
    <row r="112">
      <c r="C112" s="145"/>
    </row>
    <row r="113">
      <c r="C113" s="145"/>
    </row>
    <row r="114">
      <c r="C114" s="145"/>
    </row>
    <row r="115">
      <c r="C115" s="145"/>
    </row>
    <row r="116">
      <c r="C116" s="145"/>
    </row>
    <row r="117">
      <c r="C117" s="145"/>
    </row>
    <row r="118">
      <c r="C118" s="145"/>
    </row>
    <row r="119">
      <c r="C119" s="145"/>
    </row>
    <row r="120">
      <c r="C120" s="145"/>
    </row>
    <row r="121">
      <c r="C121" s="145"/>
    </row>
    <row r="122">
      <c r="C122" s="145"/>
    </row>
    <row r="123">
      <c r="C123" s="145"/>
    </row>
    <row r="124">
      <c r="C124" s="145"/>
    </row>
    <row r="125">
      <c r="C125" s="145"/>
    </row>
    <row r="126">
      <c r="C126" s="145"/>
    </row>
    <row r="127">
      <c r="C127" s="145"/>
    </row>
    <row r="128">
      <c r="C128" s="145"/>
    </row>
    <row r="129">
      <c r="C129" s="145"/>
    </row>
    <row r="130">
      <c r="C130" s="145"/>
    </row>
    <row r="131">
      <c r="C131" s="145"/>
    </row>
    <row r="132">
      <c r="C132" s="145"/>
    </row>
    <row r="133">
      <c r="C133" s="145"/>
    </row>
    <row r="134">
      <c r="C134" s="145"/>
    </row>
    <row r="135">
      <c r="C135" s="145"/>
    </row>
    <row r="136">
      <c r="C136" s="145"/>
    </row>
    <row r="137">
      <c r="C137" s="145"/>
    </row>
    <row r="138">
      <c r="C138" s="145"/>
    </row>
    <row r="139">
      <c r="C139" s="145"/>
    </row>
    <row r="140">
      <c r="C140" s="145"/>
    </row>
    <row r="141">
      <c r="C141" s="145"/>
    </row>
    <row r="142">
      <c r="C142" s="145"/>
    </row>
    <row r="143">
      <c r="C143" s="145"/>
    </row>
    <row r="144">
      <c r="C144" s="145"/>
    </row>
    <row r="145">
      <c r="C145" s="145"/>
    </row>
    <row r="146">
      <c r="C146" s="145"/>
    </row>
    <row r="147">
      <c r="C147" s="145"/>
    </row>
    <row r="148">
      <c r="C148" s="145"/>
    </row>
    <row r="149">
      <c r="C149" s="145"/>
    </row>
    <row r="150">
      <c r="C150" s="145"/>
    </row>
    <row r="151">
      <c r="C151" s="145"/>
    </row>
    <row r="152">
      <c r="C152" s="145"/>
    </row>
    <row r="153">
      <c r="C153" s="145"/>
    </row>
    <row r="154">
      <c r="C154" s="145"/>
    </row>
    <row r="155">
      <c r="C155" s="145"/>
    </row>
    <row r="156">
      <c r="C156" s="145"/>
    </row>
    <row r="157">
      <c r="C157" s="145"/>
    </row>
    <row r="158">
      <c r="C158" s="145"/>
    </row>
    <row r="159">
      <c r="C159" s="145"/>
    </row>
    <row r="160">
      <c r="C160" s="145"/>
    </row>
    <row r="161">
      <c r="C161" s="145"/>
    </row>
    <row r="162">
      <c r="C162" s="145"/>
    </row>
    <row r="163">
      <c r="C163" s="145"/>
    </row>
    <row r="164">
      <c r="C164" s="145"/>
    </row>
    <row r="165">
      <c r="C165" s="145"/>
    </row>
    <row r="166">
      <c r="C166" s="145"/>
    </row>
    <row r="167">
      <c r="C167" s="145"/>
    </row>
    <row r="168">
      <c r="C168" s="145"/>
    </row>
    <row r="169">
      <c r="C169" s="145"/>
    </row>
    <row r="170">
      <c r="C170" s="145"/>
    </row>
    <row r="171">
      <c r="C171" s="145"/>
    </row>
    <row r="172">
      <c r="C172" s="145"/>
    </row>
    <row r="173">
      <c r="C173" s="145"/>
    </row>
    <row r="174">
      <c r="C174" s="145"/>
    </row>
    <row r="175">
      <c r="C175" s="145"/>
    </row>
    <row r="176">
      <c r="C176" s="145"/>
    </row>
    <row r="177">
      <c r="C177" s="145"/>
    </row>
    <row r="178">
      <c r="C178" s="145"/>
    </row>
    <row r="179">
      <c r="C179" s="145"/>
    </row>
    <row r="180">
      <c r="C180" s="145"/>
    </row>
    <row r="181">
      <c r="C181" s="145"/>
    </row>
    <row r="182">
      <c r="C182" s="145"/>
    </row>
    <row r="183">
      <c r="C183" s="145"/>
    </row>
    <row r="184">
      <c r="C184" s="145"/>
    </row>
    <row r="185">
      <c r="C185" s="145"/>
    </row>
    <row r="186">
      <c r="C186" s="145"/>
    </row>
    <row r="187">
      <c r="C187" s="145"/>
    </row>
    <row r="188">
      <c r="C188" s="145"/>
    </row>
    <row r="189">
      <c r="C189" s="145"/>
    </row>
    <row r="190">
      <c r="C190" s="145"/>
    </row>
    <row r="191">
      <c r="C191" s="145"/>
    </row>
    <row r="192">
      <c r="C192" s="145"/>
    </row>
    <row r="193">
      <c r="C193" s="145"/>
    </row>
    <row r="194">
      <c r="C194" s="145"/>
    </row>
    <row r="195">
      <c r="C195" s="145"/>
    </row>
    <row r="196">
      <c r="C196" s="145"/>
    </row>
    <row r="197">
      <c r="C197" s="145"/>
    </row>
    <row r="198">
      <c r="C198" s="145"/>
    </row>
    <row r="199">
      <c r="C199" s="145"/>
    </row>
    <row r="200">
      <c r="C200" s="145"/>
    </row>
    <row r="201">
      <c r="C201" s="145"/>
    </row>
    <row r="202">
      <c r="C202" s="145"/>
    </row>
    <row r="203">
      <c r="C203" s="145"/>
    </row>
    <row r="204">
      <c r="C204" s="145"/>
    </row>
    <row r="205">
      <c r="C205" s="145"/>
    </row>
    <row r="206">
      <c r="C206" s="145"/>
    </row>
    <row r="207">
      <c r="C207" s="145"/>
    </row>
    <row r="208">
      <c r="C208" s="145"/>
    </row>
    <row r="209">
      <c r="C209" s="145"/>
    </row>
    <row r="210">
      <c r="C210" s="145"/>
    </row>
    <row r="211">
      <c r="C211" s="145"/>
    </row>
    <row r="212">
      <c r="C212" s="145"/>
    </row>
    <row r="213">
      <c r="C213" s="145"/>
    </row>
    <row r="214">
      <c r="C214" s="145"/>
    </row>
    <row r="215">
      <c r="C215" s="145"/>
    </row>
    <row r="216">
      <c r="C216" s="145"/>
    </row>
    <row r="217">
      <c r="C217" s="145"/>
    </row>
    <row r="218">
      <c r="C218" s="145"/>
    </row>
    <row r="219">
      <c r="C219" s="145"/>
    </row>
    <row r="220">
      <c r="C220" s="145"/>
    </row>
    <row r="221">
      <c r="C221" s="145"/>
    </row>
    <row r="222">
      <c r="C222" s="145"/>
    </row>
    <row r="223">
      <c r="C223" s="145"/>
    </row>
    <row r="224">
      <c r="C224" s="145"/>
    </row>
    <row r="225">
      <c r="C225" s="145"/>
    </row>
    <row r="226">
      <c r="C226" s="145"/>
    </row>
    <row r="227">
      <c r="C227" s="145"/>
    </row>
    <row r="228">
      <c r="C228" s="145"/>
    </row>
    <row r="229">
      <c r="C229" s="145"/>
    </row>
    <row r="230">
      <c r="C230" s="145"/>
    </row>
    <row r="231">
      <c r="C231" s="145"/>
    </row>
    <row r="232">
      <c r="C232" s="145"/>
    </row>
    <row r="233">
      <c r="C233" s="145"/>
    </row>
    <row r="234">
      <c r="C234" s="145"/>
    </row>
    <row r="235">
      <c r="C235" s="145"/>
    </row>
    <row r="236">
      <c r="C236" s="145"/>
    </row>
    <row r="237">
      <c r="C237" s="145"/>
    </row>
    <row r="238">
      <c r="C238" s="145"/>
    </row>
    <row r="239">
      <c r="C239" s="145"/>
    </row>
    <row r="240">
      <c r="C240" s="145"/>
    </row>
    <row r="241">
      <c r="C241" s="145"/>
    </row>
    <row r="242">
      <c r="C242" s="145"/>
    </row>
    <row r="243">
      <c r="C243" s="145"/>
    </row>
    <row r="244">
      <c r="C244" s="145"/>
    </row>
    <row r="245">
      <c r="C245" s="145"/>
    </row>
    <row r="246">
      <c r="C246" s="145"/>
    </row>
    <row r="247">
      <c r="C247" s="145"/>
    </row>
    <row r="248">
      <c r="C248" s="145"/>
    </row>
    <row r="249">
      <c r="C249" s="145"/>
    </row>
    <row r="250">
      <c r="C250" s="145"/>
    </row>
    <row r="251">
      <c r="C251" s="145"/>
    </row>
    <row r="252">
      <c r="C252" s="145"/>
    </row>
    <row r="253">
      <c r="C253" s="145"/>
    </row>
    <row r="254">
      <c r="C254" s="145"/>
    </row>
    <row r="255">
      <c r="C255" s="145"/>
    </row>
    <row r="256">
      <c r="C256" s="145"/>
    </row>
    <row r="257">
      <c r="C257" s="145"/>
    </row>
    <row r="258">
      <c r="C258" s="145"/>
    </row>
    <row r="259">
      <c r="C259" s="145"/>
    </row>
    <row r="260">
      <c r="C260" s="145"/>
    </row>
    <row r="261">
      <c r="C261" s="145"/>
    </row>
    <row r="262">
      <c r="C262" s="145"/>
    </row>
    <row r="263">
      <c r="C263" s="145"/>
    </row>
    <row r="264">
      <c r="C264" s="145"/>
    </row>
    <row r="265">
      <c r="C265" s="145"/>
    </row>
    <row r="266">
      <c r="C266" s="145"/>
    </row>
    <row r="267">
      <c r="C267" s="145"/>
    </row>
    <row r="268">
      <c r="C268" s="145"/>
    </row>
    <row r="269">
      <c r="C269" s="145"/>
    </row>
    <row r="270">
      <c r="C270" s="145"/>
    </row>
    <row r="271">
      <c r="C271" s="145"/>
    </row>
    <row r="272">
      <c r="C272" s="145"/>
    </row>
    <row r="273">
      <c r="C273" s="145"/>
    </row>
    <row r="274">
      <c r="C274" s="145"/>
    </row>
    <row r="275">
      <c r="C275" s="145"/>
    </row>
    <row r="276">
      <c r="C276" s="145"/>
    </row>
    <row r="277">
      <c r="C277" s="145"/>
    </row>
    <row r="278">
      <c r="C278" s="145"/>
    </row>
    <row r="279">
      <c r="C279" s="145"/>
    </row>
    <row r="280">
      <c r="C280" s="145"/>
    </row>
    <row r="281">
      <c r="C281" s="145"/>
    </row>
    <row r="282">
      <c r="C282" s="145"/>
    </row>
    <row r="283">
      <c r="C283" s="145"/>
    </row>
    <row r="284">
      <c r="C284" s="145"/>
    </row>
    <row r="285">
      <c r="C285" s="145"/>
    </row>
    <row r="286">
      <c r="C286" s="145"/>
    </row>
    <row r="287">
      <c r="C287" s="145"/>
    </row>
    <row r="288">
      <c r="C288" s="145"/>
    </row>
    <row r="289">
      <c r="C289" s="145"/>
    </row>
    <row r="290">
      <c r="C290" s="145"/>
    </row>
    <row r="291">
      <c r="C291" s="145"/>
    </row>
    <row r="292">
      <c r="C292" s="145"/>
    </row>
    <row r="293">
      <c r="C293" s="145"/>
    </row>
    <row r="294">
      <c r="C294" s="145"/>
    </row>
    <row r="295">
      <c r="C295" s="145"/>
    </row>
    <row r="296">
      <c r="C296" s="145"/>
    </row>
    <row r="297">
      <c r="C297" s="145"/>
    </row>
    <row r="298">
      <c r="C298" s="145"/>
    </row>
    <row r="299">
      <c r="C299" s="145"/>
    </row>
    <row r="300">
      <c r="C300" s="145"/>
    </row>
    <row r="301">
      <c r="C301" s="145"/>
    </row>
    <row r="302">
      <c r="C302" s="145"/>
    </row>
    <row r="303">
      <c r="C303" s="145"/>
    </row>
    <row r="304">
      <c r="C304" s="145"/>
    </row>
    <row r="305">
      <c r="C305" s="145"/>
    </row>
    <row r="306">
      <c r="C306" s="145"/>
    </row>
    <row r="307">
      <c r="C307" s="145"/>
    </row>
    <row r="308">
      <c r="C308" s="145"/>
    </row>
    <row r="309">
      <c r="C309" s="145"/>
    </row>
    <row r="310">
      <c r="C310" s="145"/>
    </row>
    <row r="311">
      <c r="C311" s="145"/>
    </row>
    <row r="312">
      <c r="C312" s="145"/>
    </row>
    <row r="313">
      <c r="C313" s="145"/>
    </row>
    <row r="314">
      <c r="C314" s="145"/>
    </row>
    <row r="315">
      <c r="C315" s="145"/>
    </row>
    <row r="316">
      <c r="C316" s="145"/>
    </row>
    <row r="317">
      <c r="C317" s="145"/>
    </row>
    <row r="318">
      <c r="C318" s="145"/>
    </row>
    <row r="319">
      <c r="C319" s="145"/>
    </row>
    <row r="320">
      <c r="C320" s="145"/>
    </row>
    <row r="321">
      <c r="C321" s="145"/>
    </row>
    <row r="322">
      <c r="C322" s="145"/>
    </row>
    <row r="323">
      <c r="C323" s="145"/>
    </row>
    <row r="324">
      <c r="C324" s="145"/>
    </row>
    <row r="325">
      <c r="C325" s="145"/>
    </row>
    <row r="326">
      <c r="C326" s="145"/>
    </row>
    <row r="327">
      <c r="C327" s="145"/>
    </row>
    <row r="328">
      <c r="C328" s="145"/>
    </row>
    <row r="329">
      <c r="C329" s="145"/>
    </row>
    <row r="330">
      <c r="C330" s="145"/>
    </row>
    <row r="331">
      <c r="C331" s="145"/>
    </row>
    <row r="332">
      <c r="C332" s="145"/>
    </row>
    <row r="333">
      <c r="C333" s="145"/>
    </row>
    <row r="334">
      <c r="C334" s="145"/>
    </row>
    <row r="335">
      <c r="C335" s="145"/>
    </row>
    <row r="336">
      <c r="C336" s="145"/>
    </row>
    <row r="337">
      <c r="C337" s="145"/>
    </row>
    <row r="338">
      <c r="C338" s="145"/>
    </row>
    <row r="339">
      <c r="C339" s="145"/>
    </row>
    <row r="340">
      <c r="C340" s="145"/>
    </row>
    <row r="341">
      <c r="C341" s="145"/>
    </row>
    <row r="342">
      <c r="C342" s="145"/>
    </row>
    <row r="343">
      <c r="C343" s="145"/>
    </row>
    <row r="344">
      <c r="C344" s="145"/>
    </row>
    <row r="345">
      <c r="C345" s="145"/>
    </row>
    <row r="346">
      <c r="C346" s="145"/>
    </row>
    <row r="347">
      <c r="C347" s="145"/>
    </row>
    <row r="348">
      <c r="C348" s="145"/>
    </row>
    <row r="349">
      <c r="C349" s="145"/>
    </row>
    <row r="350">
      <c r="C350" s="145"/>
    </row>
    <row r="351">
      <c r="C351" s="145"/>
    </row>
    <row r="352">
      <c r="C352" s="145"/>
    </row>
    <row r="353">
      <c r="C353" s="145"/>
    </row>
    <row r="354">
      <c r="C354" s="145"/>
    </row>
    <row r="355">
      <c r="C355" s="145"/>
    </row>
    <row r="356">
      <c r="C356" s="145"/>
    </row>
    <row r="357">
      <c r="C357" s="145"/>
    </row>
    <row r="358">
      <c r="C358" s="145"/>
    </row>
    <row r="359">
      <c r="C359" s="145"/>
    </row>
    <row r="360">
      <c r="C360" s="145"/>
    </row>
    <row r="361">
      <c r="C361" s="145"/>
    </row>
    <row r="362">
      <c r="C362" s="145"/>
    </row>
    <row r="363">
      <c r="C363" s="145"/>
    </row>
    <row r="364">
      <c r="C364" s="145"/>
    </row>
    <row r="365">
      <c r="C365" s="145"/>
    </row>
    <row r="366">
      <c r="C366" s="145"/>
    </row>
    <row r="367">
      <c r="C367" s="145"/>
    </row>
    <row r="368">
      <c r="C368" s="145"/>
    </row>
    <row r="369">
      <c r="C369" s="145"/>
    </row>
    <row r="370">
      <c r="C370" s="145"/>
    </row>
    <row r="371">
      <c r="C371" s="145"/>
    </row>
    <row r="372">
      <c r="C372" s="145"/>
    </row>
    <row r="373">
      <c r="C373" s="145"/>
    </row>
    <row r="374">
      <c r="C374" s="145"/>
    </row>
    <row r="375">
      <c r="C375" s="145"/>
    </row>
    <row r="376">
      <c r="C376" s="145"/>
    </row>
    <row r="377">
      <c r="C377" s="145"/>
    </row>
    <row r="378">
      <c r="C378" s="145"/>
    </row>
    <row r="379">
      <c r="C379" s="145"/>
    </row>
    <row r="380">
      <c r="C380" s="145"/>
    </row>
    <row r="381">
      <c r="C381" s="145"/>
    </row>
    <row r="382">
      <c r="C382" s="145"/>
    </row>
    <row r="383">
      <c r="C383" s="145"/>
    </row>
    <row r="384">
      <c r="C384" s="145"/>
    </row>
    <row r="385">
      <c r="C385" s="145"/>
    </row>
    <row r="386">
      <c r="C386" s="145"/>
    </row>
    <row r="387">
      <c r="C387" s="145"/>
    </row>
    <row r="388">
      <c r="C388" s="145"/>
    </row>
    <row r="389">
      <c r="C389" s="145"/>
    </row>
    <row r="390">
      <c r="C390" s="145"/>
    </row>
    <row r="391">
      <c r="C391" s="145"/>
    </row>
    <row r="392">
      <c r="C392" s="145"/>
    </row>
    <row r="393">
      <c r="C393" s="145"/>
    </row>
    <row r="394">
      <c r="C394" s="145"/>
    </row>
    <row r="395">
      <c r="C395" s="145"/>
    </row>
    <row r="396">
      <c r="C396" s="145"/>
    </row>
    <row r="397">
      <c r="C397" s="145"/>
    </row>
    <row r="398">
      <c r="C398" s="145"/>
    </row>
    <row r="399">
      <c r="C399" s="145"/>
    </row>
    <row r="400">
      <c r="C400" s="145"/>
    </row>
    <row r="401">
      <c r="C401" s="145"/>
    </row>
    <row r="402">
      <c r="C402" s="145"/>
    </row>
    <row r="403">
      <c r="C403" s="145"/>
    </row>
    <row r="404">
      <c r="C404" s="145"/>
    </row>
    <row r="405">
      <c r="C405" s="145"/>
    </row>
    <row r="406">
      <c r="C406" s="145"/>
    </row>
    <row r="407">
      <c r="C407" s="145"/>
    </row>
    <row r="408">
      <c r="C408" s="145"/>
    </row>
    <row r="409">
      <c r="C409" s="145"/>
    </row>
    <row r="410">
      <c r="C410" s="145"/>
    </row>
    <row r="411">
      <c r="C411" s="145"/>
    </row>
    <row r="412">
      <c r="C412" s="145"/>
    </row>
    <row r="413">
      <c r="C413" s="145"/>
    </row>
    <row r="414">
      <c r="C414" s="145"/>
    </row>
    <row r="415">
      <c r="C415" s="145"/>
    </row>
    <row r="416">
      <c r="C416" s="145"/>
    </row>
    <row r="417">
      <c r="C417" s="145"/>
    </row>
    <row r="418">
      <c r="C418" s="145"/>
    </row>
    <row r="419">
      <c r="C419" s="145"/>
    </row>
    <row r="420">
      <c r="C420" s="145"/>
    </row>
    <row r="421">
      <c r="C421" s="145"/>
    </row>
    <row r="422">
      <c r="C422" s="145"/>
    </row>
    <row r="423">
      <c r="C423" s="145"/>
    </row>
    <row r="424">
      <c r="C424" s="145"/>
    </row>
    <row r="425">
      <c r="C425" s="145"/>
    </row>
    <row r="426">
      <c r="C426" s="145"/>
    </row>
    <row r="427">
      <c r="C427" s="145"/>
    </row>
    <row r="428">
      <c r="C428" s="145"/>
    </row>
    <row r="429">
      <c r="C429" s="145"/>
    </row>
    <row r="430">
      <c r="C430" s="145"/>
    </row>
    <row r="431">
      <c r="C431" s="145"/>
    </row>
    <row r="432">
      <c r="C432" s="145"/>
    </row>
    <row r="433">
      <c r="C433" s="145"/>
    </row>
    <row r="434">
      <c r="C434" s="145"/>
    </row>
    <row r="435">
      <c r="C435" s="145"/>
    </row>
    <row r="436">
      <c r="C436" s="145"/>
    </row>
    <row r="437">
      <c r="C437" s="145"/>
    </row>
    <row r="438">
      <c r="C438" s="145"/>
    </row>
    <row r="439">
      <c r="C439" s="145"/>
    </row>
    <row r="440">
      <c r="C440" s="145"/>
    </row>
    <row r="441">
      <c r="C441" s="145"/>
    </row>
    <row r="442">
      <c r="C442" s="145"/>
    </row>
    <row r="443">
      <c r="C443" s="145"/>
    </row>
    <row r="444">
      <c r="C444" s="145"/>
    </row>
    <row r="445">
      <c r="C445" s="145"/>
    </row>
    <row r="446">
      <c r="C446" s="145"/>
    </row>
    <row r="447">
      <c r="C447" s="145"/>
    </row>
    <row r="448">
      <c r="C448" s="145"/>
    </row>
    <row r="449">
      <c r="C449" s="145"/>
    </row>
    <row r="450">
      <c r="C450" s="145"/>
    </row>
    <row r="451">
      <c r="C451" s="145"/>
    </row>
    <row r="452">
      <c r="C452" s="145"/>
    </row>
    <row r="453">
      <c r="C453" s="145"/>
    </row>
    <row r="454">
      <c r="C454" s="145"/>
    </row>
    <row r="455">
      <c r="C455" s="145"/>
    </row>
    <row r="456">
      <c r="C456" s="145"/>
    </row>
    <row r="457">
      <c r="C457" s="145"/>
    </row>
    <row r="458">
      <c r="C458" s="145"/>
    </row>
    <row r="459">
      <c r="C459" s="145"/>
    </row>
    <row r="460">
      <c r="C460" s="145"/>
    </row>
    <row r="461">
      <c r="C461" s="145"/>
    </row>
    <row r="462">
      <c r="C462" s="145"/>
    </row>
    <row r="463">
      <c r="C463" s="145"/>
    </row>
    <row r="464">
      <c r="C464" s="145"/>
    </row>
    <row r="465">
      <c r="C465" s="145"/>
    </row>
    <row r="466">
      <c r="C466" s="145"/>
    </row>
    <row r="467">
      <c r="C467" s="145"/>
    </row>
    <row r="468">
      <c r="C468" s="145"/>
    </row>
    <row r="469">
      <c r="C469" s="145"/>
    </row>
    <row r="470">
      <c r="C470" s="145"/>
    </row>
    <row r="471">
      <c r="C471" s="145"/>
    </row>
    <row r="472">
      <c r="C472" s="145"/>
    </row>
    <row r="473">
      <c r="C473" s="145"/>
    </row>
    <row r="474">
      <c r="C474" s="145"/>
    </row>
    <row r="475">
      <c r="C475" s="145"/>
    </row>
    <row r="476">
      <c r="C476" s="145"/>
    </row>
    <row r="477">
      <c r="C477" s="145"/>
    </row>
    <row r="478">
      <c r="C478" s="145"/>
    </row>
    <row r="479">
      <c r="C479" s="145"/>
    </row>
    <row r="480">
      <c r="C480" s="145"/>
    </row>
    <row r="481">
      <c r="C481" s="145"/>
    </row>
    <row r="482">
      <c r="C482" s="145"/>
    </row>
    <row r="483">
      <c r="C483" s="145"/>
    </row>
    <row r="484">
      <c r="C484" s="145"/>
    </row>
    <row r="485">
      <c r="C485" s="145"/>
    </row>
    <row r="486">
      <c r="C486" s="145"/>
    </row>
    <row r="487">
      <c r="C487" s="145"/>
    </row>
    <row r="488">
      <c r="C488" s="145"/>
    </row>
    <row r="489">
      <c r="C489" s="145"/>
    </row>
    <row r="490">
      <c r="C490" s="145"/>
    </row>
    <row r="491">
      <c r="C491" s="145"/>
    </row>
    <row r="492">
      <c r="C492" s="145"/>
    </row>
    <row r="493">
      <c r="C493" s="145"/>
    </row>
    <row r="494">
      <c r="C494" s="145"/>
    </row>
    <row r="495">
      <c r="C495" s="145"/>
    </row>
    <row r="496">
      <c r="C496" s="145"/>
    </row>
    <row r="497">
      <c r="C497" s="145"/>
    </row>
    <row r="498">
      <c r="C498" s="145"/>
    </row>
    <row r="499">
      <c r="C499" s="145"/>
    </row>
    <row r="500">
      <c r="C500" s="145"/>
    </row>
    <row r="501">
      <c r="C501" s="145"/>
    </row>
    <row r="502">
      <c r="C502" s="145"/>
    </row>
    <row r="503">
      <c r="C503" s="145"/>
    </row>
    <row r="504">
      <c r="C504" s="145"/>
    </row>
    <row r="505">
      <c r="C505" s="145"/>
    </row>
    <row r="506">
      <c r="C506" s="145"/>
    </row>
    <row r="507">
      <c r="C507" s="145"/>
    </row>
    <row r="508">
      <c r="C508" s="145"/>
    </row>
    <row r="509">
      <c r="C509" s="145"/>
    </row>
    <row r="510">
      <c r="C510" s="145"/>
    </row>
    <row r="511">
      <c r="C511" s="145"/>
    </row>
    <row r="512">
      <c r="C512" s="145"/>
    </row>
    <row r="513">
      <c r="C513" s="145"/>
    </row>
    <row r="514">
      <c r="C514" s="145"/>
    </row>
    <row r="515">
      <c r="C515" s="145"/>
    </row>
    <row r="516">
      <c r="C516" s="145"/>
    </row>
    <row r="517">
      <c r="C517" s="145"/>
    </row>
    <row r="518">
      <c r="C518" s="145"/>
    </row>
    <row r="519">
      <c r="C519" s="145"/>
    </row>
    <row r="520">
      <c r="C520" s="145"/>
    </row>
    <row r="521">
      <c r="C521" s="145"/>
    </row>
    <row r="522">
      <c r="C522" s="145"/>
    </row>
    <row r="523">
      <c r="C523" s="145"/>
    </row>
    <row r="524">
      <c r="C524" s="145"/>
    </row>
    <row r="525">
      <c r="C525" s="145"/>
    </row>
    <row r="526">
      <c r="C526" s="145"/>
    </row>
    <row r="527">
      <c r="C527" s="145"/>
    </row>
    <row r="528">
      <c r="C528" s="145"/>
    </row>
    <row r="529">
      <c r="C529" s="145"/>
    </row>
    <row r="530">
      <c r="C530" s="145"/>
    </row>
    <row r="531">
      <c r="C531" s="145"/>
    </row>
    <row r="532">
      <c r="C532" s="145"/>
    </row>
    <row r="533">
      <c r="C533" s="145"/>
    </row>
    <row r="534">
      <c r="C534" s="145"/>
    </row>
    <row r="535">
      <c r="C535" s="145"/>
    </row>
    <row r="536">
      <c r="C536" s="145"/>
    </row>
    <row r="537">
      <c r="C537" s="145"/>
    </row>
    <row r="538">
      <c r="C538" s="145"/>
    </row>
    <row r="539">
      <c r="C539" s="145"/>
    </row>
    <row r="540">
      <c r="C540" s="145"/>
    </row>
    <row r="541">
      <c r="C541" s="145"/>
    </row>
    <row r="542">
      <c r="C542" s="145"/>
    </row>
    <row r="543">
      <c r="C543" s="145"/>
    </row>
    <row r="544">
      <c r="C544" s="145"/>
    </row>
    <row r="545">
      <c r="C545" s="145"/>
    </row>
    <row r="546">
      <c r="C546" s="145"/>
    </row>
    <row r="547">
      <c r="C547" s="145"/>
    </row>
    <row r="548">
      <c r="C548" s="145"/>
    </row>
    <row r="549">
      <c r="C549" s="145"/>
    </row>
    <row r="550">
      <c r="C550" s="145"/>
    </row>
    <row r="551">
      <c r="C551" s="145"/>
    </row>
    <row r="552">
      <c r="C552" s="145"/>
    </row>
    <row r="553">
      <c r="C553" s="145"/>
    </row>
    <row r="554">
      <c r="C554" s="145"/>
    </row>
    <row r="555">
      <c r="C555" s="145"/>
    </row>
    <row r="556">
      <c r="C556" s="145"/>
    </row>
    <row r="557">
      <c r="C557" s="145"/>
    </row>
    <row r="558">
      <c r="C558" s="145"/>
    </row>
    <row r="559">
      <c r="C559" s="145"/>
    </row>
    <row r="560">
      <c r="C560" s="145"/>
    </row>
    <row r="561">
      <c r="C561" s="145"/>
    </row>
    <row r="562">
      <c r="C562" s="145"/>
    </row>
    <row r="563">
      <c r="C563" s="145"/>
    </row>
    <row r="564">
      <c r="C564" s="145"/>
    </row>
    <row r="565">
      <c r="C565" s="145"/>
    </row>
    <row r="566">
      <c r="C566" s="145"/>
    </row>
    <row r="567">
      <c r="C567" s="145"/>
    </row>
    <row r="568">
      <c r="C568" s="145"/>
    </row>
    <row r="569">
      <c r="C569" s="145"/>
    </row>
    <row r="570">
      <c r="C570" s="145"/>
    </row>
    <row r="571">
      <c r="C571" s="145"/>
    </row>
    <row r="572">
      <c r="C572" s="145"/>
    </row>
    <row r="573">
      <c r="C573" s="145"/>
    </row>
    <row r="574">
      <c r="C574" s="145"/>
    </row>
    <row r="575">
      <c r="C575" s="145"/>
    </row>
    <row r="576">
      <c r="C576" s="145"/>
    </row>
    <row r="577">
      <c r="C577" s="145"/>
    </row>
    <row r="578">
      <c r="C578" s="145"/>
    </row>
    <row r="579">
      <c r="C579" s="145"/>
    </row>
    <row r="580">
      <c r="C580" s="145"/>
    </row>
    <row r="581">
      <c r="C581" s="145"/>
    </row>
    <row r="582">
      <c r="C582" s="145"/>
    </row>
    <row r="583">
      <c r="C583" s="145"/>
    </row>
    <row r="584">
      <c r="C584" s="145"/>
    </row>
    <row r="585">
      <c r="C585" s="145"/>
    </row>
    <row r="586">
      <c r="C586" s="145"/>
    </row>
    <row r="587">
      <c r="C587" s="145"/>
    </row>
    <row r="588">
      <c r="C588" s="145"/>
    </row>
    <row r="589">
      <c r="C589" s="145"/>
    </row>
    <row r="590">
      <c r="C590" s="145"/>
    </row>
    <row r="591">
      <c r="C591" s="145"/>
    </row>
    <row r="592">
      <c r="C592" s="145"/>
    </row>
    <row r="593">
      <c r="C593" s="145"/>
    </row>
    <row r="594">
      <c r="C594" s="145"/>
    </row>
    <row r="595">
      <c r="C595" s="145"/>
    </row>
    <row r="596">
      <c r="C596" s="145"/>
    </row>
    <row r="597">
      <c r="C597" s="145"/>
    </row>
    <row r="598">
      <c r="C598" s="145"/>
    </row>
    <row r="599">
      <c r="C599" s="145"/>
    </row>
    <row r="600">
      <c r="C600" s="145"/>
    </row>
    <row r="601">
      <c r="C601" s="145"/>
    </row>
    <row r="602">
      <c r="C602" s="145"/>
    </row>
    <row r="603">
      <c r="C603" s="145"/>
    </row>
    <row r="604">
      <c r="C604" s="145"/>
    </row>
    <row r="605">
      <c r="C605" s="145"/>
    </row>
    <row r="606">
      <c r="C606" s="145"/>
    </row>
    <row r="607">
      <c r="C607" s="145"/>
    </row>
    <row r="608">
      <c r="C608" s="145"/>
    </row>
    <row r="609">
      <c r="C609" s="145"/>
    </row>
    <row r="610">
      <c r="C610" s="145"/>
    </row>
    <row r="611">
      <c r="C611" s="145"/>
    </row>
    <row r="612">
      <c r="C612" s="145"/>
    </row>
    <row r="613">
      <c r="C613" s="145"/>
    </row>
    <row r="614">
      <c r="C614" s="145"/>
    </row>
    <row r="615">
      <c r="C615" s="145"/>
    </row>
    <row r="616">
      <c r="C616" s="145"/>
    </row>
    <row r="617">
      <c r="C617" s="145"/>
    </row>
    <row r="618">
      <c r="C618" s="145"/>
    </row>
    <row r="619">
      <c r="C619" s="145"/>
    </row>
    <row r="620">
      <c r="C620" s="145"/>
    </row>
    <row r="621">
      <c r="C621" s="145"/>
    </row>
    <row r="622">
      <c r="C622" s="145"/>
    </row>
    <row r="623">
      <c r="C623" s="145"/>
    </row>
    <row r="624">
      <c r="C624" s="145"/>
    </row>
    <row r="625">
      <c r="C625" s="145"/>
    </row>
    <row r="626">
      <c r="C626" s="145"/>
    </row>
    <row r="627">
      <c r="C627" s="145"/>
    </row>
    <row r="628">
      <c r="C628" s="145"/>
    </row>
    <row r="629">
      <c r="C629" s="145"/>
    </row>
    <row r="630">
      <c r="C630" s="145"/>
    </row>
    <row r="631">
      <c r="C631" s="145"/>
    </row>
    <row r="632">
      <c r="C632" s="145"/>
    </row>
    <row r="633">
      <c r="C633" s="145"/>
    </row>
    <row r="634">
      <c r="C634" s="145"/>
    </row>
    <row r="635">
      <c r="C635" s="145"/>
    </row>
    <row r="636">
      <c r="C636" s="145"/>
    </row>
    <row r="637">
      <c r="C637" s="145"/>
    </row>
    <row r="638">
      <c r="C638" s="145"/>
    </row>
    <row r="639">
      <c r="C639" s="145"/>
    </row>
    <row r="640">
      <c r="C640" s="145"/>
    </row>
    <row r="641">
      <c r="C641" s="145"/>
    </row>
    <row r="642">
      <c r="C642" s="145"/>
    </row>
    <row r="643">
      <c r="C643" s="145"/>
    </row>
    <row r="644">
      <c r="C644" s="145"/>
    </row>
    <row r="645">
      <c r="C645" s="145"/>
    </row>
    <row r="646">
      <c r="C646" s="145"/>
    </row>
    <row r="647">
      <c r="C647" s="145"/>
    </row>
    <row r="648">
      <c r="C648" s="145"/>
    </row>
    <row r="649">
      <c r="C649" s="145"/>
    </row>
    <row r="650">
      <c r="C650" s="145"/>
    </row>
    <row r="651">
      <c r="C651" s="145"/>
    </row>
    <row r="652">
      <c r="C652" s="145"/>
    </row>
    <row r="653">
      <c r="C653" s="145"/>
    </row>
    <row r="654">
      <c r="C654" s="145"/>
    </row>
    <row r="655">
      <c r="C655" s="145"/>
    </row>
    <row r="656">
      <c r="C656" s="145"/>
    </row>
    <row r="657">
      <c r="C657" s="145"/>
    </row>
    <row r="658">
      <c r="C658" s="145"/>
    </row>
    <row r="659">
      <c r="C659" s="145"/>
    </row>
    <row r="660">
      <c r="C660" s="145"/>
    </row>
    <row r="661">
      <c r="C661" s="145"/>
    </row>
    <row r="662">
      <c r="C662" s="145"/>
    </row>
    <row r="663">
      <c r="C663" s="145"/>
    </row>
    <row r="664">
      <c r="C664" s="145"/>
    </row>
    <row r="665">
      <c r="C665" s="145"/>
    </row>
    <row r="666">
      <c r="C666" s="145"/>
    </row>
    <row r="667">
      <c r="C667" s="145"/>
    </row>
    <row r="668">
      <c r="C668" s="145"/>
    </row>
    <row r="669">
      <c r="C669" s="145"/>
    </row>
    <row r="670">
      <c r="C670" s="145"/>
    </row>
    <row r="671">
      <c r="C671" s="145"/>
    </row>
    <row r="672">
      <c r="C672" s="145"/>
    </row>
    <row r="673">
      <c r="C673" s="145"/>
    </row>
    <row r="674">
      <c r="C674" s="145"/>
    </row>
    <row r="675">
      <c r="C675" s="145"/>
    </row>
    <row r="676">
      <c r="C676" s="145"/>
    </row>
    <row r="677">
      <c r="C677" s="145"/>
    </row>
    <row r="678">
      <c r="C678" s="145"/>
    </row>
    <row r="679">
      <c r="C679" s="145"/>
    </row>
    <row r="680">
      <c r="C680" s="145"/>
    </row>
    <row r="681">
      <c r="C681" s="145"/>
    </row>
    <row r="682">
      <c r="C682" s="145"/>
    </row>
    <row r="683">
      <c r="C683" s="145"/>
    </row>
    <row r="684">
      <c r="C684" s="145"/>
    </row>
    <row r="685">
      <c r="C685" s="145"/>
    </row>
    <row r="686">
      <c r="C686" s="145"/>
    </row>
    <row r="687">
      <c r="C687" s="145"/>
    </row>
    <row r="688">
      <c r="C688" s="145"/>
    </row>
    <row r="689">
      <c r="C689" s="145"/>
    </row>
    <row r="690">
      <c r="C690" s="145"/>
    </row>
    <row r="691">
      <c r="C691" s="145"/>
    </row>
    <row r="692">
      <c r="C692" s="145"/>
    </row>
    <row r="693">
      <c r="C693" s="145"/>
    </row>
    <row r="694">
      <c r="C694" s="145"/>
    </row>
    <row r="695">
      <c r="C695" s="145"/>
    </row>
    <row r="696">
      <c r="C696" s="145"/>
    </row>
    <row r="697">
      <c r="C697" s="145"/>
    </row>
    <row r="698">
      <c r="C698" s="145"/>
    </row>
    <row r="699">
      <c r="C699" s="145"/>
    </row>
    <row r="700">
      <c r="C700" s="145"/>
    </row>
    <row r="701">
      <c r="C701" s="145"/>
    </row>
    <row r="702">
      <c r="C702" s="145"/>
    </row>
    <row r="703">
      <c r="C703" s="145"/>
    </row>
    <row r="704">
      <c r="C704" s="145"/>
    </row>
    <row r="705">
      <c r="C705" s="145"/>
    </row>
    <row r="706">
      <c r="C706" s="145"/>
    </row>
    <row r="707">
      <c r="C707" s="145"/>
    </row>
    <row r="708">
      <c r="C708" s="145"/>
    </row>
    <row r="709">
      <c r="C709" s="145"/>
    </row>
    <row r="710">
      <c r="C710" s="145"/>
    </row>
    <row r="711">
      <c r="C711" s="145"/>
    </row>
    <row r="712">
      <c r="C712" s="145"/>
    </row>
    <row r="713">
      <c r="C713" s="145"/>
    </row>
    <row r="714">
      <c r="C714" s="145"/>
    </row>
    <row r="715">
      <c r="C715" s="145"/>
    </row>
    <row r="716">
      <c r="C716" s="145"/>
    </row>
    <row r="717">
      <c r="C717" s="145"/>
    </row>
    <row r="718">
      <c r="C718" s="145"/>
    </row>
    <row r="719">
      <c r="C719" s="145"/>
    </row>
    <row r="720">
      <c r="C720" s="145"/>
    </row>
    <row r="721">
      <c r="C721" s="145"/>
    </row>
    <row r="722">
      <c r="C722" s="145"/>
    </row>
    <row r="723">
      <c r="C723" s="145"/>
    </row>
    <row r="724">
      <c r="C724" s="145"/>
    </row>
    <row r="725">
      <c r="C725" s="145"/>
    </row>
    <row r="726">
      <c r="C726" s="145"/>
    </row>
    <row r="727">
      <c r="C727" s="145"/>
    </row>
    <row r="728">
      <c r="C728" s="145"/>
    </row>
    <row r="729">
      <c r="C729" s="145"/>
    </row>
    <row r="730">
      <c r="C730" s="145"/>
    </row>
    <row r="731">
      <c r="C731" s="145"/>
    </row>
    <row r="732">
      <c r="C732" s="145"/>
    </row>
    <row r="733">
      <c r="C733" s="145"/>
    </row>
    <row r="734">
      <c r="C734" s="145"/>
    </row>
    <row r="735">
      <c r="C735" s="145"/>
    </row>
    <row r="736">
      <c r="C736" s="145"/>
    </row>
    <row r="737">
      <c r="C737" s="145"/>
    </row>
    <row r="738">
      <c r="C738" s="145"/>
    </row>
    <row r="739">
      <c r="C739" s="145"/>
    </row>
    <row r="740">
      <c r="C740" s="145"/>
    </row>
    <row r="741">
      <c r="C741" s="145"/>
    </row>
    <row r="742">
      <c r="C742" s="145"/>
    </row>
    <row r="743">
      <c r="C743" s="145"/>
    </row>
    <row r="744">
      <c r="C744" s="145"/>
    </row>
    <row r="745">
      <c r="C745" s="145"/>
    </row>
    <row r="746">
      <c r="C746" s="145"/>
    </row>
    <row r="747">
      <c r="C747" s="145"/>
    </row>
    <row r="748">
      <c r="C748" s="145"/>
    </row>
    <row r="749">
      <c r="C749" s="145"/>
    </row>
    <row r="750">
      <c r="C750" s="145"/>
    </row>
    <row r="751">
      <c r="C751" s="145"/>
    </row>
    <row r="752">
      <c r="C752" s="145"/>
    </row>
    <row r="753">
      <c r="C753" s="145"/>
    </row>
    <row r="754">
      <c r="C754" s="145"/>
    </row>
    <row r="755">
      <c r="C755" s="145"/>
    </row>
    <row r="756">
      <c r="C756" s="145"/>
    </row>
    <row r="757">
      <c r="C757" s="145"/>
    </row>
    <row r="758">
      <c r="C758" s="145"/>
    </row>
    <row r="759">
      <c r="C759" s="145"/>
    </row>
    <row r="760">
      <c r="C760" s="145"/>
    </row>
    <row r="761">
      <c r="C761" s="145"/>
    </row>
    <row r="762">
      <c r="C762" s="145"/>
    </row>
    <row r="763">
      <c r="C763" s="145"/>
    </row>
    <row r="764">
      <c r="C764" s="145"/>
    </row>
    <row r="765">
      <c r="C765" s="145"/>
    </row>
    <row r="766">
      <c r="C766" s="145"/>
    </row>
    <row r="767">
      <c r="C767" s="145"/>
    </row>
    <row r="768">
      <c r="C768" s="145"/>
    </row>
    <row r="769">
      <c r="C769" s="145"/>
    </row>
    <row r="770">
      <c r="C770" s="145"/>
    </row>
    <row r="771">
      <c r="C771" s="145"/>
    </row>
    <row r="772">
      <c r="C772" s="145"/>
    </row>
    <row r="773">
      <c r="C773" s="145"/>
    </row>
    <row r="774">
      <c r="C774" s="145"/>
    </row>
    <row r="775">
      <c r="C775" s="145"/>
    </row>
    <row r="776">
      <c r="C776" s="145"/>
    </row>
    <row r="777">
      <c r="C777" s="145"/>
    </row>
    <row r="778">
      <c r="C778" s="145"/>
    </row>
    <row r="779">
      <c r="C779" s="145"/>
    </row>
    <row r="780">
      <c r="C780" s="145"/>
    </row>
    <row r="781">
      <c r="C781" s="145"/>
    </row>
    <row r="782">
      <c r="C782" s="145"/>
    </row>
    <row r="783">
      <c r="C783" s="145"/>
    </row>
    <row r="784">
      <c r="C784" s="145"/>
    </row>
    <row r="785">
      <c r="C785" s="145"/>
    </row>
    <row r="786">
      <c r="C786" s="145"/>
    </row>
    <row r="787">
      <c r="C787" s="145"/>
    </row>
    <row r="788">
      <c r="C788" s="145"/>
    </row>
    <row r="789">
      <c r="C789" s="145"/>
    </row>
    <row r="790">
      <c r="C790" s="145"/>
    </row>
    <row r="791">
      <c r="C791" s="145"/>
    </row>
    <row r="792">
      <c r="C792" s="145"/>
    </row>
    <row r="793">
      <c r="C793" s="145"/>
    </row>
    <row r="794">
      <c r="C794" s="145"/>
    </row>
    <row r="795">
      <c r="C795" s="145"/>
    </row>
    <row r="796">
      <c r="C796" s="145"/>
    </row>
    <row r="797">
      <c r="C797" s="145"/>
    </row>
    <row r="798">
      <c r="C798" s="145"/>
    </row>
    <row r="799">
      <c r="C799" s="145"/>
    </row>
    <row r="800">
      <c r="C800" s="145"/>
    </row>
    <row r="801">
      <c r="C801" s="145"/>
    </row>
    <row r="802">
      <c r="C802" s="145"/>
    </row>
    <row r="803">
      <c r="C803" s="145"/>
    </row>
    <row r="804">
      <c r="C804" s="145"/>
    </row>
    <row r="805">
      <c r="C805" s="145"/>
    </row>
    <row r="806">
      <c r="C806" s="145"/>
    </row>
    <row r="807">
      <c r="C807" s="145"/>
    </row>
    <row r="808">
      <c r="C808" s="145"/>
    </row>
    <row r="809">
      <c r="C809" s="145"/>
    </row>
    <row r="810">
      <c r="C810" s="145"/>
    </row>
    <row r="811">
      <c r="C811" s="145"/>
    </row>
    <row r="812">
      <c r="C812" s="145"/>
    </row>
    <row r="813">
      <c r="C813" s="145"/>
    </row>
    <row r="814">
      <c r="C814" s="145"/>
    </row>
    <row r="815">
      <c r="C815" s="145"/>
    </row>
    <row r="816">
      <c r="C816" s="145"/>
    </row>
    <row r="817">
      <c r="C817" s="145"/>
    </row>
    <row r="818">
      <c r="C818" s="145"/>
    </row>
    <row r="819">
      <c r="C819" s="145"/>
    </row>
    <row r="820">
      <c r="C820" s="145"/>
    </row>
    <row r="821">
      <c r="C821" s="145"/>
    </row>
    <row r="822">
      <c r="C822" s="145"/>
    </row>
    <row r="823">
      <c r="C823" s="145"/>
    </row>
    <row r="824">
      <c r="C824" s="145"/>
    </row>
    <row r="825">
      <c r="C825" s="145"/>
    </row>
    <row r="826">
      <c r="C826" s="145"/>
    </row>
    <row r="827">
      <c r="C827" s="145"/>
    </row>
    <row r="828">
      <c r="C828" s="145"/>
    </row>
    <row r="829">
      <c r="C829" s="145"/>
    </row>
    <row r="830">
      <c r="C830" s="145"/>
    </row>
    <row r="831">
      <c r="C831" s="145"/>
    </row>
    <row r="832">
      <c r="C832" s="145"/>
    </row>
    <row r="833">
      <c r="C833" s="145"/>
    </row>
    <row r="834">
      <c r="C834" s="145"/>
    </row>
    <row r="835">
      <c r="C835" s="145"/>
    </row>
    <row r="836">
      <c r="C836" s="145"/>
    </row>
    <row r="837">
      <c r="C837" s="145"/>
    </row>
    <row r="838">
      <c r="C838" s="145"/>
    </row>
    <row r="839">
      <c r="C839" s="145"/>
    </row>
    <row r="840">
      <c r="C840" s="145"/>
    </row>
    <row r="841">
      <c r="C841" s="145"/>
    </row>
    <row r="842">
      <c r="C842" s="145"/>
    </row>
    <row r="843">
      <c r="C843" s="145"/>
    </row>
    <row r="844">
      <c r="C844" s="145"/>
    </row>
    <row r="845">
      <c r="C845" s="145"/>
    </row>
    <row r="846">
      <c r="C846" s="145"/>
    </row>
    <row r="847">
      <c r="C847" s="145"/>
    </row>
    <row r="848">
      <c r="C848" s="145"/>
    </row>
    <row r="849">
      <c r="C849" s="145"/>
    </row>
    <row r="850">
      <c r="C850" s="145"/>
    </row>
    <row r="851">
      <c r="C851" s="145"/>
    </row>
    <row r="852">
      <c r="C852" s="145"/>
    </row>
    <row r="853">
      <c r="C853" s="145"/>
    </row>
    <row r="854">
      <c r="C854" s="145"/>
    </row>
    <row r="855">
      <c r="C855" s="145"/>
    </row>
    <row r="856">
      <c r="C856" s="145"/>
    </row>
    <row r="857">
      <c r="C857" s="145"/>
    </row>
    <row r="858">
      <c r="C858" s="145"/>
    </row>
    <row r="859">
      <c r="C859" s="145"/>
    </row>
    <row r="860">
      <c r="C860" s="145"/>
    </row>
    <row r="861">
      <c r="C861" s="145"/>
    </row>
    <row r="862">
      <c r="C862" s="145"/>
    </row>
    <row r="863">
      <c r="C863" s="145"/>
    </row>
    <row r="864">
      <c r="C864" s="145"/>
    </row>
    <row r="865">
      <c r="C865" s="145"/>
    </row>
    <row r="866">
      <c r="C866" s="145"/>
    </row>
    <row r="867">
      <c r="C867" s="145"/>
    </row>
    <row r="868">
      <c r="C868" s="145"/>
    </row>
    <row r="869">
      <c r="C869" s="145"/>
    </row>
    <row r="870">
      <c r="C870" s="145"/>
    </row>
    <row r="871">
      <c r="C871" s="145"/>
    </row>
    <row r="872">
      <c r="C872" s="145"/>
    </row>
    <row r="873">
      <c r="C873" s="145"/>
    </row>
    <row r="874">
      <c r="C874" s="145"/>
    </row>
    <row r="875">
      <c r="C875" s="145"/>
    </row>
    <row r="876">
      <c r="C876" s="145"/>
    </row>
    <row r="877">
      <c r="C877" s="145"/>
    </row>
    <row r="878">
      <c r="C878" s="145"/>
    </row>
    <row r="879">
      <c r="C879" s="145"/>
    </row>
    <row r="880">
      <c r="C880" s="145"/>
    </row>
    <row r="881">
      <c r="C881" s="145"/>
    </row>
    <row r="882">
      <c r="C882" s="145"/>
    </row>
    <row r="883">
      <c r="C883" s="145"/>
    </row>
    <row r="884">
      <c r="C884" s="145"/>
    </row>
    <row r="885">
      <c r="C885" s="145"/>
    </row>
    <row r="886">
      <c r="C886" s="145"/>
    </row>
    <row r="887">
      <c r="C887" s="145"/>
    </row>
    <row r="888">
      <c r="C888" s="145"/>
    </row>
    <row r="889">
      <c r="C889" s="145"/>
    </row>
    <row r="890">
      <c r="C890" s="145"/>
    </row>
    <row r="891">
      <c r="C891" s="145"/>
    </row>
    <row r="892">
      <c r="C892" s="145"/>
    </row>
    <row r="893">
      <c r="C893" s="145"/>
    </row>
    <row r="894">
      <c r="C894" s="145"/>
    </row>
    <row r="895">
      <c r="C895" s="145"/>
    </row>
    <row r="896">
      <c r="C896" s="145"/>
    </row>
    <row r="897">
      <c r="C897" s="145"/>
    </row>
    <row r="898">
      <c r="C898" s="145"/>
    </row>
    <row r="899">
      <c r="C899" s="145"/>
    </row>
    <row r="900">
      <c r="C900" s="145"/>
    </row>
    <row r="901">
      <c r="C901" s="145"/>
    </row>
    <row r="902">
      <c r="C902" s="145"/>
    </row>
    <row r="903">
      <c r="C903" s="145"/>
    </row>
    <row r="904">
      <c r="C904" s="145"/>
    </row>
    <row r="905">
      <c r="C905" s="145"/>
    </row>
    <row r="906">
      <c r="C906" s="145"/>
    </row>
    <row r="907">
      <c r="C907" s="145"/>
    </row>
    <row r="908">
      <c r="C908" s="145"/>
    </row>
    <row r="909">
      <c r="C909" s="145"/>
    </row>
    <row r="910">
      <c r="C910" s="145"/>
    </row>
    <row r="911">
      <c r="C911" s="145"/>
    </row>
    <row r="912">
      <c r="C912" s="145"/>
    </row>
    <row r="913">
      <c r="C913" s="145"/>
    </row>
    <row r="914">
      <c r="C914" s="145"/>
    </row>
    <row r="915">
      <c r="C915" s="145"/>
    </row>
    <row r="916">
      <c r="C916" s="145"/>
    </row>
    <row r="917">
      <c r="C917" s="145"/>
    </row>
    <row r="918">
      <c r="C918" s="145"/>
    </row>
    <row r="919">
      <c r="C919" s="145"/>
    </row>
    <row r="920">
      <c r="C920" s="145"/>
    </row>
    <row r="921">
      <c r="C921" s="145"/>
    </row>
    <row r="922">
      <c r="C922" s="145"/>
    </row>
    <row r="923">
      <c r="C923" s="145"/>
    </row>
    <row r="924">
      <c r="C924" s="145"/>
    </row>
    <row r="925">
      <c r="C925" s="145"/>
    </row>
    <row r="926">
      <c r="C926" s="145"/>
    </row>
    <row r="927">
      <c r="C927" s="145"/>
    </row>
    <row r="928">
      <c r="C928" s="145"/>
    </row>
    <row r="929">
      <c r="C929" s="145"/>
    </row>
    <row r="930">
      <c r="C930" s="145"/>
    </row>
    <row r="931">
      <c r="C931" s="145"/>
    </row>
    <row r="932">
      <c r="C932" s="145"/>
    </row>
    <row r="933">
      <c r="C933" s="145"/>
    </row>
    <row r="934">
      <c r="C934" s="145"/>
    </row>
    <row r="935">
      <c r="C935" s="145"/>
    </row>
    <row r="936">
      <c r="C936" s="145"/>
    </row>
    <row r="937">
      <c r="C937" s="145"/>
    </row>
    <row r="938">
      <c r="C938" s="145"/>
    </row>
    <row r="939">
      <c r="C939" s="145"/>
    </row>
    <row r="940">
      <c r="C940" s="145"/>
    </row>
    <row r="941">
      <c r="C941" s="145"/>
    </row>
    <row r="942">
      <c r="C942" s="145"/>
    </row>
    <row r="943">
      <c r="C943" s="145"/>
    </row>
    <row r="944">
      <c r="C944" s="145"/>
    </row>
    <row r="945">
      <c r="C945" s="145"/>
    </row>
    <row r="946">
      <c r="C946" s="145"/>
    </row>
    <row r="947">
      <c r="C947" s="145"/>
    </row>
    <row r="948">
      <c r="C948" s="145"/>
    </row>
    <row r="949">
      <c r="C949" s="145"/>
    </row>
    <row r="950">
      <c r="C950" s="145"/>
    </row>
    <row r="951">
      <c r="C951" s="145"/>
    </row>
    <row r="952">
      <c r="C952" s="145"/>
    </row>
    <row r="953">
      <c r="C953" s="145"/>
    </row>
    <row r="954">
      <c r="C954" s="145"/>
    </row>
    <row r="955">
      <c r="C955" s="145"/>
    </row>
    <row r="956">
      <c r="C956" s="145"/>
    </row>
    <row r="957">
      <c r="C957" s="145"/>
    </row>
    <row r="958">
      <c r="C958" s="145"/>
    </row>
    <row r="959">
      <c r="C959" s="145"/>
    </row>
    <row r="960">
      <c r="C960" s="145"/>
    </row>
    <row r="961">
      <c r="C961" s="145"/>
    </row>
    <row r="962">
      <c r="C962" s="145"/>
    </row>
    <row r="963">
      <c r="C963" s="145"/>
    </row>
    <row r="964">
      <c r="C964" s="145"/>
    </row>
    <row r="965">
      <c r="C965" s="145"/>
    </row>
    <row r="966">
      <c r="C966" s="145"/>
    </row>
    <row r="967">
      <c r="C967" s="145"/>
    </row>
    <row r="968">
      <c r="C968" s="145"/>
    </row>
    <row r="969">
      <c r="C969" s="145"/>
    </row>
    <row r="970">
      <c r="C970" s="145"/>
    </row>
    <row r="971">
      <c r="C971" s="145"/>
    </row>
    <row r="972">
      <c r="C972" s="145"/>
    </row>
    <row r="973">
      <c r="C973" s="145"/>
    </row>
    <row r="974">
      <c r="C974" s="145"/>
    </row>
    <row r="975">
      <c r="C975" s="145"/>
    </row>
    <row r="976">
      <c r="C976" s="145"/>
    </row>
    <row r="977">
      <c r="C977" s="145"/>
    </row>
    <row r="978">
      <c r="C978" s="145"/>
    </row>
    <row r="979">
      <c r="C979" s="145"/>
    </row>
    <row r="980">
      <c r="C980" s="145"/>
    </row>
    <row r="981">
      <c r="C981" s="145"/>
    </row>
    <row r="982">
      <c r="C982" s="145"/>
    </row>
    <row r="983">
      <c r="C983" s="145"/>
    </row>
    <row r="984">
      <c r="C984" s="145"/>
    </row>
    <row r="985">
      <c r="C985" s="145"/>
    </row>
    <row r="986">
      <c r="C986" s="145"/>
    </row>
    <row r="987">
      <c r="C987" s="145"/>
    </row>
    <row r="988">
      <c r="C988" s="145"/>
    </row>
    <row r="989">
      <c r="C989" s="145"/>
    </row>
    <row r="990">
      <c r="C990" s="145"/>
    </row>
    <row r="991">
      <c r="C991" s="145"/>
    </row>
    <row r="992">
      <c r="C992" s="145"/>
    </row>
    <row r="993">
      <c r="C993" s="145"/>
    </row>
  </sheetData>
  <mergeCells count="5">
    <mergeCell ref="A1:E2"/>
    <mergeCell ref="A3:E3"/>
    <mergeCell ref="A5:E5"/>
    <mergeCell ref="A8:C8"/>
    <mergeCell ref="D8:E8"/>
  </mergeCells>
  <printOptions gridLines="1" horizontalCentered="1"/>
  <pageMargins bottom="0.75" footer="0.0" header="0.0" left="0.7" right="0.7" top="0.75"/>
  <pageSetup paperSize="14" cellComments="atEnd" orientation="portrait" pageOrder="overThenDown"/>
  <rowBreaks count="2" manualBreakCount="2">
    <brk man="1"/>
    <brk id="40" man="1"/>
  </rowBreaks>
  <colBreaks count="2" manualBreakCount="2">
    <brk man="1"/>
    <brk id="5" man="1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9.75"/>
    <col customWidth="1" min="3" max="3" width="29.13"/>
    <col customWidth="1" min="4" max="4" width="30.88"/>
    <col customWidth="1" min="5" max="5" width="28.0"/>
    <col customWidth="1" min="6" max="6" width="27.25"/>
    <col customWidth="1" min="7" max="7" width="28.38"/>
    <col customWidth="1" min="8" max="8" width="23.5"/>
    <col customWidth="1" min="9" max="9" width="37.63"/>
    <col customWidth="1" min="10" max="10" width="12.63"/>
  </cols>
  <sheetData>
    <row r="1" ht="22.5" customHeight="1">
      <c r="A1" s="177" t="s">
        <v>9</v>
      </c>
      <c r="B1" s="177" t="s">
        <v>10</v>
      </c>
      <c r="C1" s="177" t="s">
        <v>12</v>
      </c>
      <c r="D1" s="178" t="s">
        <v>1588</v>
      </c>
      <c r="E1" s="177" t="s">
        <v>1591</v>
      </c>
      <c r="F1" s="177" t="s">
        <v>1592</v>
      </c>
      <c r="G1" s="177" t="s">
        <v>1593</v>
      </c>
      <c r="H1" s="177" t="s">
        <v>1594</v>
      </c>
      <c r="I1" s="177" t="s">
        <v>1596</v>
      </c>
      <c r="J1" s="177" t="s">
        <v>1420</v>
      </c>
    </row>
    <row r="2" ht="22.5" customHeight="1">
      <c r="A2" s="179">
        <f>IFERROR(__xludf.DUMMYFUNCTION("QUERY(SALES!A:K, ""SELECT A, B, C, SUM(K) WHERE G = 'CHARGE' AND A IS NOT NULL GROUP BY A, B, C LABEL SUM(K) ''"", 0)"),46118.0)</f>
        <v>46118</v>
      </c>
      <c r="B2" s="50" t="str">
        <f>IFERROR(__xludf.DUMMYFUNCTION("""COMPUTED_VALUE"""),"CSI-000361")</f>
        <v>CSI-000361</v>
      </c>
      <c r="C2" s="50" t="str">
        <f>IFERROR(__xludf.DUMMYFUNCTION("""COMPUTED_VALUE"""),"KARRJACKSON INDUSTRIES")</f>
        <v>KARRJACKSON INDUSTRIES</v>
      </c>
      <c r="D2" s="180">
        <f>IFERROR(__xludf.DUMMYFUNCTION("""COMPUTED_VALUE"""),880.0)</f>
        <v>880</v>
      </c>
      <c r="E2" s="38" t="s">
        <v>42</v>
      </c>
      <c r="F2" s="50">
        <f t="array" ref="F2:F1000">IF(B2:B1000="", "", SUMIF(CHECK_LOGS!A:A &amp; CHECK_LOGS!G:G, B2:B1000 &amp; "CLEARED", CHECK_LOGS!F:F))</f>
        <v>0</v>
      </c>
      <c r="G2" s="181">
        <f t="shared" ref="G2:G196" si="1">IF(D2="", "", D2 - F2)</f>
        <v>880</v>
      </c>
      <c r="H2" s="182">
        <v>46198.0</v>
      </c>
      <c r="I2" s="19" t="s">
        <v>1604</v>
      </c>
      <c r="J2" s="50" t="str">
        <f t="array" ref="J2:J1000">IF(C2:C1000="", "", XLOOKUP(C2:C1000, 'CUSTOMERS LIST'!B:B, 'CUSTOMERS LIST'!F:F, ""))
</f>
        <v>60 DAYS</v>
      </c>
    </row>
    <row r="3" ht="22.5" customHeight="1">
      <c r="A3" s="179">
        <f>IFERROR(__xludf.DUMMYFUNCTION("""COMPUTED_VALUE"""),46121.0)</f>
        <v>46121</v>
      </c>
      <c r="B3" s="50" t="str">
        <f>IFERROR(__xludf.DUMMYFUNCTION("""COMPUTED_VALUE"""),"CSI-000362")</f>
        <v>CSI-000362</v>
      </c>
      <c r="C3" s="50" t="str">
        <f>IFERROR(__xludf.DUMMYFUNCTION("""COMPUTED_VALUE"""),"ERT ENTERPRISES")</f>
        <v>ERT ENTERPRISES</v>
      </c>
      <c r="D3" s="180">
        <f>IFERROR(__xludf.DUMMYFUNCTION("""COMPUTED_VALUE"""),2500.0)</f>
        <v>2500</v>
      </c>
      <c r="E3" s="183"/>
      <c r="F3" s="50">
        <v>0.0</v>
      </c>
      <c r="G3" s="181">
        <f t="shared" si="1"/>
        <v>2500</v>
      </c>
      <c r="H3" s="50"/>
      <c r="I3" s="50"/>
      <c r="J3" s="50"/>
    </row>
    <row r="4" ht="22.5" customHeight="1">
      <c r="A4" s="179">
        <f>IFERROR(__xludf.DUMMYFUNCTION("""COMPUTED_VALUE"""),46123.0)</f>
        <v>46123</v>
      </c>
      <c r="B4" s="50" t="str">
        <f>IFERROR(__xludf.DUMMYFUNCTION("""COMPUTED_VALUE"""),"CSI-000363")</f>
        <v>CSI-000363</v>
      </c>
      <c r="C4" s="50" t="str">
        <f>IFERROR(__xludf.DUMMYFUNCTION("""COMPUTED_VALUE"""),"ERT ENTERPRISES")</f>
        <v>ERT ENTERPRISES</v>
      </c>
      <c r="D4" s="180">
        <f>IFERROR(__xludf.DUMMYFUNCTION("""COMPUTED_VALUE"""),3200.0)</f>
        <v>3200</v>
      </c>
      <c r="E4" s="183"/>
      <c r="F4" s="50">
        <v>0.0</v>
      </c>
      <c r="G4" s="181">
        <f t="shared" si="1"/>
        <v>3200</v>
      </c>
      <c r="H4" s="50"/>
      <c r="I4" s="50"/>
      <c r="J4" s="50"/>
    </row>
    <row r="5" ht="22.5" customHeight="1">
      <c r="A5" s="179">
        <f>IFERROR(__xludf.DUMMYFUNCTION("""COMPUTED_VALUE"""),46127.0)</f>
        <v>46127</v>
      </c>
      <c r="B5" s="50" t="str">
        <f>IFERROR(__xludf.DUMMYFUNCTION("""COMPUTED_VALUE"""),"CSI-000364")</f>
        <v>CSI-000364</v>
      </c>
      <c r="C5" s="50" t="str">
        <f>IFERROR(__xludf.DUMMYFUNCTION("""COMPUTED_VALUE"""),"KARRJACKSON INDUSTRIES")</f>
        <v>KARRJACKSON INDUSTRIES</v>
      </c>
      <c r="D5" s="180">
        <f>IFERROR(__xludf.DUMMYFUNCTION("""COMPUTED_VALUE"""),1420.0)</f>
        <v>1420</v>
      </c>
      <c r="E5" s="38" t="s">
        <v>42</v>
      </c>
      <c r="F5" s="50">
        <v>0.0</v>
      </c>
      <c r="G5" s="181">
        <f t="shared" si="1"/>
        <v>1420</v>
      </c>
      <c r="H5" s="182">
        <v>46198.0</v>
      </c>
      <c r="I5" s="19" t="s">
        <v>1604</v>
      </c>
      <c r="J5" s="50" t="s">
        <v>1512</v>
      </c>
    </row>
    <row r="6" ht="22.5" customHeight="1">
      <c r="A6" s="179">
        <f>IFERROR(__xludf.DUMMYFUNCTION("""COMPUTED_VALUE"""),46130.0)</f>
        <v>46130</v>
      </c>
      <c r="B6" s="50" t="str">
        <f>IFERROR(__xludf.DUMMYFUNCTION("""COMPUTED_VALUE"""),"CSI-000365")</f>
        <v>CSI-000365</v>
      </c>
      <c r="C6" s="50" t="str">
        <f>IFERROR(__xludf.DUMMYFUNCTION("""COMPUTED_VALUE"""),"KARRJACKSON INDUSTRIES")</f>
        <v>KARRJACKSON INDUSTRIES</v>
      </c>
      <c r="D6" s="180">
        <f>IFERROR(__xludf.DUMMYFUNCTION("""COMPUTED_VALUE"""),3200.0)</f>
        <v>3200</v>
      </c>
      <c r="E6" s="38" t="s">
        <v>42</v>
      </c>
      <c r="F6" s="50">
        <v>0.0</v>
      </c>
      <c r="G6" s="181">
        <f t="shared" si="1"/>
        <v>3200</v>
      </c>
      <c r="H6" s="182">
        <v>46198.0</v>
      </c>
      <c r="I6" s="19" t="s">
        <v>1604</v>
      </c>
      <c r="J6" s="50" t="s">
        <v>1512</v>
      </c>
    </row>
    <row r="7" ht="22.5" customHeight="1">
      <c r="A7" s="179">
        <f>IFERROR(__xludf.DUMMYFUNCTION("""COMPUTED_VALUE"""),46132.0)</f>
        <v>46132</v>
      </c>
      <c r="B7" s="50" t="str">
        <f>IFERROR(__xludf.DUMMYFUNCTION("""COMPUTED_VALUE"""),"CSI-000366")</f>
        <v>CSI-000366</v>
      </c>
      <c r="C7" s="50" t="str">
        <f>IFERROR(__xludf.DUMMYFUNCTION("""COMPUTED_VALUE"""),"KARRJACKSON INDUSTRIES")</f>
        <v>KARRJACKSON INDUSTRIES</v>
      </c>
      <c r="D7" s="180">
        <f>IFERROR(__xludf.DUMMYFUNCTION("""COMPUTED_VALUE"""),195.0)</f>
        <v>195</v>
      </c>
      <c r="E7" s="38" t="s">
        <v>42</v>
      </c>
      <c r="F7" s="50">
        <v>0.0</v>
      </c>
      <c r="G7" s="181">
        <f t="shared" si="1"/>
        <v>195</v>
      </c>
      <c r="H7" s="182">
        <v>46198.0</v>
      </c>
      <c r="I7" s="19" t="s">
        <v>1604</v>
      </c>
      <c r="J7" s="50" t="s">
        <v>1512</v>
      </c>
    </row>
    <row r="8" ht="22.5" customHeight="1">
      <c r="A8" s="179">
        <f>IFERROR(__xludf.DUMMYFUNCTION("""COMPUTED_VALUE"""),46132.0)</f>
        <v>46132</v>
      </c>
      <c r="B8" s="50" t="str">
        <f>IFERROR(__xludf.DUMMYFUNCTION("""COMPUTED_VALUE"""),"CSI-000367")</f>
        <v>CSI-000367</v>
      </c>
      <c r="C8" s="50" t="str">
        <f>IFERROR(__xludf.DUMMYFUNCTION("""COMPUTED_VALUE"""),"KARRJACKSON INDUSTRIES")</f>
        <v>KARRJACKSON INDUSTRIES</v>
      </c>
      <c r="D8" s="180">
        <f>IFERROR(__xludf.DUMMYFUNCTION("""COMPUTED_VALUE"""),350.0)</f>
        <v>350</v>
      </c>
      <c r="E8" s="38" t="s">
        <v>42</v>
      </c>
      <c r="F8" s="50">
        <v>0.0</v>
      </c>
      <c r="G8" s="181">
        <f t="shared" si="1"/>
        <v>350</v>
      </c>
      <c r="H8" s="182">
        <v>46198.0</v>
      </c>
      <c r="I8" s="19" t="s">
        <v>1604</v>
      </c>
      <c r="J8" s="50" t="s">
        <v>1512</v>
      </c>
    </row>
    <row r="9" ht="22.5" customHeight="1">
      <c r="A9" s="179">
        <f>IFERROR(__xludf.DUMMYFUNCTION("""COMPUTED_VALUE"""),46133.0)</f>
        <v>46133</v>
      </c>
      <c r="B9" s="50" t="str">
        <f>IFERROR(__xludf.DUMMYFUNCTION("""COMPUTED_VALUE"""),"CSI-000368")</f>
        <v>CSI-000368</v>
      </c>
      <c r="C9" s="50" t="str">
        <f>IFERROR(__xludf.DUMMYFUNCTION("""COMPUTED_VALUE"""),"ERT ENTERPRISES")</f>
        <v>ERT ENTERPRISES</v>
      </c>
      <c r="D9" s="180">
        <f>IFERROR(__xludf.DUMMYFUNCTION("""COMPUTED_VALUE"""),2850.0)</f>
        <v>2850</v>
      </c>
      <c r="E9" s="183"/>
      <c r="F9" s="50">
        <v>0.0</v>
      </c>
      <c r="G9" s="181">
        <f t="shared" si="1"/>
        <v>2850</v>
      </c>
      <c r="H9" s="50"/>
      <c r="I9" s="50"/>
      <c r="J9" s="50"/>
    </row>
    <row r="10" ht="22.5" customHeight="1">
      <c r="A10" s="179">
        <f>IFERROR(__xludf.DUMMYFUNCTION("""COMPUTED_VALUE"""),46135.0)</f>
        <v>46135</v>
      </c>
      <c r="B10" s="50" t="str">
        <f>IFERROR(__xludf.DUMMYFUNCTION("""COMPUTED_VALUE"""),"CSI-000369")</f>
        <v>CSI-000369</v>
      </c>
      <c r="C10" s="50" t="str">
        <f>IFERROR(__xludf.DUMMYFUNCTION("""COMPUTED_VALUE"""),"ERT ENTERPRISES")</f>
        <v>ERT ENTERPRISES</v>
      </c>
      <c r="D10" s="180">
        <f>IFERROR(__xludf.DUMMYFUNCTION("""COMPUTED_VALUE"""),3550.0)</f>
        <v>3550</v>
      </c>
      <c r="E10" s="183"/>
      <c r="F10" s="50">
        <v>0.0</v>
      </c>
      <c r="G10" s="181">
        <f t="shared" si="1"/>
        <v>3550</v>
      </c>
      <c r="H10" s="50"/>
      <c r="I10" s="50"/>
      <c r="J10" s="50"/>
    </row>
    <row r="11" ht="22.5" customHeight="1">
      <c r="A11" s="179">
        <f>IFERROR(__xludf.DUMMYFUNCTION("""COMPUTED_VALUE"""),46139.0)</f>
        <v>46139</v>
      </c>
      <c r="B11" s="50" t="str">
        <f>IFERROR(__xludf.DUMMYFUNCTION("""COMPUTED_VALUE"""),"CSI-000370")</f>
        <v>CSI-000370</v>
      </c>
      <c r="C11" s="50" t="str">
        <f>IFERROR(__xludf.DUMMYFUNCTION("""COMPUTED_VALUE"""),"KARRJACKSON INDUSTRIES")</f>
        <v>KARRJACKSON INDUSTRIES</v>
      </c>
      <c r="D11" s="180">
        <f>IFERROR(__xludf.DUMMYFUNCTION("""COMPUTED_VALUE"""),1880.0)</f>
        <v>1880</v>
      </c>
      <c r="E11" s="38" t="s">
        <v>42</v>
      </c>
      <c r="F11" s="50">
        <v>0.0</v>
      </c>
      <c r="G11" s="181">
        <f t="shared" si="1"/>
        <v>1880</v>
      </c>
      <c r="H11" s="182">
        <v>46198.0</v>
      </c>
      <c r="I11" s="19" t="s">
        <v>1604</v>
      </c>
      <c r="J11" s="50" t="s">
        <v>1512</v>
      </c>
    </row>
    <row r="12" ht="22.5" customHeight="1">
      <c r="A12" s="179">
        <f>IFERROR(__xludf.DUMMYFUNCTION("""COMPUTED_VALUE"""),46139.0)</f>
        <v>46139</v>
      </c>
      <c r="B12" s="50" t="str">
        <f>IFERROR(__xludf.DUMMYFUNCTION("""COMPUTED_VALUE"""),"CSI-000371")</f>
        <v>CSI-000371</v>
      </c>
      <c r="C12" s="50" t="str">
        <f>IFERROR(__xludf.DUMMYFUNCTION("""COMPUTED_VALUE"""),"KARRJACKSON INDUSTRIES")</f>
        <v>KARRJACKSON INDUSTRIES</v>
      </c>
      <c r="D12" s="180">
        <f>IFERROR(__xludf.DUMMYFUNCTION("""COMPUTED_VALUE"""),1230.0)</f>
        <v>1230</v>
      </c>
      <c r="E12" s="38" t="s">
        <v>42</v>
      </c>
      <c r="F12" s="50">
        <v>0.0</v>
      </c>
      <c r="G12" s="181">
        <f t="shared" si="1"/>
        <v>1230</v>
      </c>
      <c r="H12" s="182">
        <v>46198.0</v>
      </c>
      <c r="I12" s="19" t="s">
        <v>1604</v>
      </c>
      <c r="J12" s="50" t="s">
        <v>1512</v>
      </c>
    </row>
    <row r="13" ht="22.5" customHeight="1">
      <c r="A13" s="179">
        <f>IFERROR(__xludf.DUMMYFUNCTION("""COMPUTED_VALUE"""),46142.0)</f>
        <v>46142</v>
      </c>
      <c r="B13" s="50" t="str">
        <f>IFERROR(__xludf.DUMMYFUNCTION("""COMPUTED_VALUE"""),"CSI-000372")</f>
        <v>CSI-000372</v>
      </c>
      <c r="C13" s="50" t="str">
        <f>IFERROR(__xludf.DUMMYFUNCTION("""COMPUTED_VALUE"""),"KARRJACKSON INDUSTRIES")</f>
        <v>KARRJACKSON INDUSTRIES</v>
      </c>
      <c r="D13" s="180">
        <f>IFERROR(__xludf.DUMMYFUNCTION("""COMPUTED_VALUE"""),1200.0)</f>
        <v>1200</v>
      </c>
      <c r="E13" s="38" t="s">
        <v>42</v>
      </c>
      <c r="F13" s="50">
        <v>0.0</v>
      </c>
      <c r="G13" s="181">
        <f t="shared" si="1"/>
        <v>1200</v>
      </c>
      <c r="H13" s="182">
        <v>46198.0</v>
      </c>
      <c r="I13" s="19" t="s">
        <v>1604</v>
      </c>
      <c r="J13" s="50" t="s">
        <v>1512</v>
      </c>
    </row>
    <row r="14" ht="22.5" customHeight="1">
      <c r="A14" s="179">
        <f>IFERROR(__xludf.DUMMYFUNCTION("""COMPUTED_VALUE"""),46146.0)</f>
        <v>46146</v>
      </c>
      <c r="B14" s="50" t="str">
        <f>IFERROR(__xludf.DUMMYFUNCTION("""COMPUTED_VALUE"""),"CSI-000373")</f>
        <v>CSI-000373</v>
      </c>
      <c r="C14" s="50" t="str">
        <f>IFERROR(__xludf.DUMMYFUNCTION("""COMPUTED_VALUE"""),"KARRJACKSON INDUSTRIES")</f>
        <v>KARRJACKSON INDUSTRIES</v>
      </c>
      <c r="D14" s="180">
        <f>IFERROR(__xludf.DUMMYFUNCTION("""COMPUTED_VALUE"""),1650.0)</f>
        <v>1650</v>
      </c>
      <c r="E14" s="38" t="s">
        <v>42</v>
      </c>
      <c r="F14" s="50">
        <v>0.0</v>
      </c>
      <c r="G14" s="181">
        <f t="shared" si="1"/>
        <v>1650</v>
      </c>
      <c r="H14" s="182">
        <v>46238.0</v>
      </c>
      <c r="I14" s="19" t="s">
        <v>1605</v>
      </c>
      <c r="J14" s="50" t="s">
        <v>1512</v>
      </c>
    </row>
    <row r="15" ht="22.5" customHeight="1">
      <c r="A15" s="179">
        <f>IFERROR(__xludf.DUMMYFUNCTION("""COMPUTED_VALUE"""),46147.0)</f>
        <v>46147</v>
      </c>
      <c r="B15" s="50" t="str">
        <f>IFERROR(__xludf.DUMMYFUNCTION("""COMPUTED_VALUE"""),"CSI-000374")</f>
        <v>CSI-000374</v>
      </c>
      <c r="C15" s="50" t="str">
        <f>IFERROR(__xludf.DUMMYFUNCTION("""COMPUTED_VALUE"""),"KARRJACKSON INDUSTRIES")</f>
        <v>KARRJACKSON INDUSTRIES</v>
      </c>
      <c r="D15" s="180">
        <f>IFERROR(__xludf.DUMMYFUNCTION("""COMPUTED_VALUE"""),975.0)</f>
        <v>975</v>
      </c>
      <c r="E15" s="38" t="s">
        <v>42</v>
      </c>
      <c r="F15" s="50">
        <v>0.0</v>
      </c>
      <c r="G15" s="181">
        <f t="shared" si="1"/>
        <v>975</v>
      </c>
      <c r="H15" s="182">
        <v>46238.0</v>
      </c>
      <c r="I15" s="19" t="s">
        <v>1605</v>
      </c>
      <c r="J15" s="50" t="s">
        <v>1512</v>
      </c>
    </row>
    <row r="16" ht="22.5" customHeight="1">
      <c r="A16" s="179">
        <f>IFERROR(__xludf.DUMMYFUNCTION("""COMPUTED_VALUE"""),46147.0)</f>
        <v>46147</v>
      </c>
      <c r="B16" s="50" t="str">
        <f>IFERROR(__xludf.DUMMYFUNCTION("""COMPUTED_VALUE"""),"CSI-000375")</f>
        <v>CSI-000375</v>
      </c>
      <c r="C16" s="50" t="str">
        <f>IFERROR(__xludf.DUMMYFUNCTION("""COMPUTED_VALUE"""),"KARRJACKSON INDUSTRIES")</f>
        <v>KARRJACKSON INDUSTRIES</v>
      </c>
      <c r="D16" s="180">
        <f>IFERROR(__xludf.DUMMYFUNCTION("""COMPUTED_VALUE"""),875.0)</f>
        <v>875</v>
      </c>
      <c r="E16" s="38" t="s">
        <v>42</v>
      </c>
      <c r="F16" s="50">
        <v>0.0</v>
      </c>
      <c r="G16" s="181">
        <f t="shared" si="1"/>
        <v>875</v>
      </c>
      <c r="H16" s="182">
        <v>46238.0</v>
      </c>
      <c r="I16" s="19" t="s">
        <v>1605</v>
      </c>
      <c r="J16" s="50" t="s">
        <v>1512</v>
      </c>
    </row>
    <row r="17" ht="22.5" customHeight="1">
      <c r="A17" s="179">
        <f>IFERROR(__xludf.DUMMYFUNCTION("""COMPUTED_VALUE"""),46147.0)</f>
        <v>46147</v>
      </c>
      <c r="B17" s="50" t="str">
        <f>IFERROR(__xludf.DUMMYFUNCTION("""COMPUTED_VALUE"""),"CSI-000376")</f>
        <v>CSI-000376</v>
      </c>
      <c r="C17" s="50" t="str">
        <f>IFERROR(__xludf.DUMMYFUNCTION("""COMPUTED_VALUE"""),"KARRJACKSON INDUSTRIES")</f>
        <v>KARRJACKSON INDUSTRIES</v>
      </c>
      <c r="D17" s="180">
        <f>IFERROR(__xludf.DUMMYFUNCTION("""COMPUTED_VALUE"""),70.0)</f>
        <v>70</v>
      </c>
      <c r="E17" s="38" t="s">
        <v>42</v>
      </c>
      <c r="F17" s="50">
        <v>0.0</v>
      </c>
      <c r="G17" s="181">
        <f t="shared" si="1"/>
        <v>70</v>
      </c>
      <c r="H17" s="182">
        <v>46238.0</v>
      </c>
      <c r="I17" s="19" t="s">
        <v>1605</v>
      </c>
      <c r="J17" s="50" t="s">
        <v>1512</v>
      </c>
    </row>
    <row r="18" ht="22.5" customHeight="1">
      <c r="A18" s="179">
        <f>IFERROR(__xludf.DUMMYFUNCTION("""COMPUTED_VALUE"""),46148.0)</f>
        <v>46148</v>
      </c>
      <c r="B18" s="50" t="str">
        <f>IFERROR(__xludf.DUMMYFUNCTION("""COMPUTED_VALUE"""),"CSI-000377")</f>
        <v>CSI-000377</v>
      </c>
      <c r="C18" s="50" t="str">
        <f>IFERROR(__xludf.DUMMYFUNCTION("""COMPUTED_VALUE"""),"KARRJACKSON INDUSTRIES")</f>
        <v>KARRJACKSON INDUSTRIES</v>
      </c>
      <c r="D18" s="180">
        <f>IFERROR(__xludf.DUMMYFUNCTION("""COMPUTED_VALUE"""),1020.0)</f>
        <v>1020</v>
      </c>
      <c r="E18" s="38" t="s">
        <v>42</v>
      </c>
      <c r="F18" s="50">
        <v>0.0</v>
      </c>
      <c r="G18" s="181">
        <f t="shared" si="1"/>
        <v>1020</v>
      </c>
      <c r="H18" s="182">
        <v>46238.0</v>
      </c>
      <c r="I18" s="19" t="s">
        <v>1605</v>
      </c>
      <c r="J18" s="50" t="s">
        <v>1512</v>
      </c>
    </row>
    <row r="19" ht="22.5" customHeight="1">
      <c r="A19" s="179">
        <f>IFERROR(__xludf.DUMMYFUNCTION("""COMPUTED_VALUE"""),46150.0)</f>
        <v>46150</v>
      </c>
      <c r="B19" s="50" t="str">
        <f>IFERROR(__xludf.DUMMYFUNCTION("""COMPUTED_VALUE"""),"CSI-000378")</f>
        <v>CSI-000378</v>
      </c>
      <c r="C19" s="50" t="str">
        <f>IFERROR(__xludf.DUMMYFUNCTION("""COMPUTED_VALUE"""),"KARRJACKSON INDUSTRIES")</f>
        <v>KARRJACKSON INDUSTRIES</v>
      </c>
      <c r="D19" s="180">
        <f>IFERROR(__xludf.DUMMYFUNCTION("""COMPUTED_VALUE"""),1580.0)</f>
        <v>1580</v>
      </c>
      <c r="E19" s="38" t="s">
        <v>42</v>
      </c>
      <c r="F19" s="50">
        <v>0.0</v>
      </c>
      <c r="G19" s="181">
        <f t="shared" si="1"/>
        <v>1580</v>
      </c>
      <c r="H19" s="182">
        <v>46238.0</v>
      </c>
      <c r="I19" s="19" t="s">
        <v>1605</v>
      </c>
      <c r="J19" s="50" t="s">
        <v>1512</v>
      </c>
    </row>
    <row r="20" ht="22.5" customHeight="1">
      <c r="A20" s="179">
        <f>IFERROR(__xludf.DUMMYFUNCTION("""COMPUTED_VALUE"""),46150.0)</f>
        <v>46150</v>
      </c>
      <c r="B20" s="50" t="str">
        <f>IFERROR(__xludf.DUMMYFUNCTION("""COMPUTED_VALUE"""),"CSI-000379")</f>
        <v>CSI-000379</v>
      </c>
      <c r="C20" s="50" t="str">
        <f>IFERROR(__xludf.DUMMYFUNCTION("""COMPUTED_VALUE"""),"KARRJACKSON INDUSTRIES")</f>
        <v>KARRJACKSON INDUSTRIES</v>
      </c>
      <c r="D20" s="180">
        <f>IFERROR(__xludf.DUMMYFUNCTION("""COMPUTED_VALUE"""),100.0)</f>
        <v>100</v>
      </c>
      <c r="E20" s="38" t="s">
        <v>42</v>
      </c>
      <c r="F20" s="50">
        <v>0.0</v>
      </c>
      <c r="G20" s="181">
        <f t="shared" si="1"/>
        <v>100</v>
      </c>
      <c r="H20" s="182">
        <v>46238.0</v>
      </c>
      <c r="I20" s="19" t="s">
        <v>1605</v>
      </c>
      <c r="J20" s="50" t="s">
        <v>1512</v>
      </c>
    </row>
    <row r="21" ht="22.5" customHeight="1">
      <c r="A21" s="179">
        <f>IFERROR(__xludf.DUMMYFUNCTION("""COMPUTED_VALUE"""),46154.0)</f>
        <v>46154</v>
      </c>
      <c r="B21" s="50" t="str">
        <f>IFERROR(__xludf.DUMMYFUNCTION("""COMPUTED_VALUE"""),"CSI-000380")</f>
        <v>CSI-000380</v>
      </c>
      <c r="C21" s="50" t="str">
        <f>IFERROR(__xludf.DUMMYFUNCTION("""COMPUTED_VALUE"""),"ERT ENTERPRISES")</f>
        <v>ERT ENTERPRISES</v>
      </c>
      <c r="D21" s="180">
        <f>IFERROR(__xludf.DUMMYFUNCTION("""COMPUTED_VALUE"""),2800.0)</f>
        <v>2800</v>
      </c>
      <c r="E21" s="183"/>
      <c r="F21" s="50">
        <v>0.0</v>
      </c>
      <c r="G21" s="181">
        <f t="shared" si="1"/>
        <v>2800</v>
      </c>
      <c r="H21" s="50"/>
      <c r="I21" s="50"/>
      <c r="J21" s="50"/>
    </row>
    <row r="22" ht="22.5" customHeight="1">
      <c r="A22" s="179">
        <f>IFERROR(__xludf.DUMMYFUNCTION("""COMPUTED_VALUE"""),46154.0)</f>
        <v>46154</v>
      </c>
      <c r="B22" s="50" t="str">
        <f>IFERROR(__xludf.DUMMYFUNCTION("""COMPUTED_VALUE"""),"CSI-000381")</f>
        <v>CSI-000381</v>
      </c>
      <c r="C22" s="50" t="str">
        <f>IFERROR(__xludf.DUMMYFUNCTION("""COMPUTED_VALUE"""),"ERT ENTERPRISES")</f>
        <v>ERT ENTERPRISES</v>
      </c>
      <c r="D22" s="180">
        <f>IFERROR(__xludf.DUMMYFUNCTION("""COMPUTED_VALUE"""),1600.0)</f>
        <v>1600</v>
      </c>
      <c r="E22" s="183"/>
      <c r="F22" s="50">
        <v>0.0</v>
      </c>
      <c r="G22" s="181">
        <f t="shared" si="1"/>
        <v>1600</v>
      </c>
      <c r="H22" s="50"/>
      <c r="I22" s="50"/>
      <c r="J22" s="50"/>
    </row>
    <row r="23" ht="22.5" customHeight="1">
      <c r="A23" s="179">
        <f>IFERROR(__xludf.DUMMYFUNCTION("""COMPUTED_VALUE"""),46156.0)</f>
        <v>46156</v>
      </c>
      <c r="B23" s="50" t="str">
        <f>IFERROR(__xludf.DUMMYFUNCTION("""COMPUTED_VALUE"""),"CSI-000382")</f>
        <v>CSI-000382</v>
      </c>
      <c r="C23" s="50" t="str">
        <f>IFERROR(__xludf.DUMMYFUNCTION("""COMPUTED_VALUE"""),"KARRJACKSON INDUSTRIES")</f>
        <v>KARRJACKSON INDUSTRIES</v>
      </c>
      <c r="D23" s="180">
        <f>IFERROR(__xludf.DUMMYFUNCTION("""COMPUTED_VALUE"""),1155.0)</f>
        <v>1155</v>
      </c>
      <c r="E23" s="183"/>
      <c r="F23" s="50">
        <v>0.0</v>
      </c>
      <c r="G23" s="181">
        <f t="shared" si="1"/>
        <v>1155</v>
      </c>
      <c r="H23" s="50"/>
      <c r="I23" s="50"/>
      <c r="J23" s="50" t="s">
        <v>1512</v>
      </c>
    </row>
    <row r="24" ht="22.5" customHeight="1">
      <c r="A24" s="179">
        <f>IFERROR(__xludf.DUMMYFUNCTION("""COMPUTED_VALUE"""),46157.0)</f>
        <v>46157</v>
      </c>
      <c r="B24" s="50" t="str">
        <f>IFERROR(__xludf.DUMMYFUNCTION("""COMPUTED_VALUE"""),"CSI-000383")</f>
        <v>CSI-000383</v>
      </c>
      <c r="C24" s="50" t="str">
        <f>IFERROR(__xludf.DUMMYFUNCTION("""COMPUTED_VALUE"""),"KARRJACKSON INDUSTRIES")</f>
        <v>KARRJACKSON INDUSTRIES</v>
      </c>
      <c r="D24" s="180">
        <f>IFERROR(__xludf.DUMMYFUNCTION("""COMPUTED_VALUE"""),1190.0)</f>
        <v>1190</v>
      </c>
      <c r="E24" s="183"/>
      <c r="F24" s="50">
        <v>0.0</v>
      </c>
      <c r="G24" s="181">
        <f t="shared" si="1"/>
        <v>1190</v>
      </c>
      <c r="H24" s="50"/>
      <c r="I24" s="50"/>
      <c r="J24" s="50" t="s">
        <v>1512</v>
      </c>
    </row>
    <row r="25" ht="22.5" customHeight="1">
      <c r="A25" s="179">
        <f>IFERROR(__xludf.DUMMYFUNCTION("""COMPUTED_VALUE"""),46157.0)</f>
        <v>46157</v>
      </c>
      <c r="B25" s="50" t="str">
        <f>IFERROR(__xludf.DUMMYFUNCTION("""COMPUTED_VALUE"""),"CSI-000384")</f>
        <v>CSI-000384</v>
      </c>
      <c r="C25" s="50" t="str">
        <f>IFERROR(__xludf.DUMMYFUNCTION("""COMPUTED_VALUE"""),"ERT ENTERPRISES")</f>
        <v>ERT ENTERPRISES</v>
      </c>
      <c r="D25" s="180">
        <f>IFERROR(__xludf.DUMMYFUNCTION("""COMPUTED_VALUE"""),1400.0)</f>
        <v>1400</v>
      </c>
      <c r="E25" s="183"/>
      <c r="F25" s="50">
        <v>0.0</v>
      </c>
      <c r="G25" s="181">
        <f t="shared" si="1"/>
        <v>1400</v>
      </c>
      <c r="H25" s="50"/>
      <c r="I25" s="50"/>
      <c r="J25" s="50"/>
    </row>
    <row r="26" ht="22.5" customHeight="1">
      <c r="A26" s="179">
        <f>IFERROR(__xludf.DUMMYFUNCTION("""COMPUTED_VALUE"""),46162.0)</f>
        <v>46162</v>
      </c>
      <c r="B26" s="50" t="str">
        <f>IFERROR(__xludf.DUMMYFUNCTION("""COMPUTED_VALUE"""),"CSI-000385")</f>
        <v>CSI-000385</v>
      </c>
      <c r="C26" s="50" t="str">
        <f>IFERROR(__xludf.DUMMYFUNCTION("""COMPUTED_VALUE"""),"KARRJACKSON INDUSTRIES")</f>
        <v>KARRJACKSON INDUSTRIES</v>
      </c>
      <c r="D26" s="180">
        <f>IFERROR(__xludf.DUMMYFUNCTION("""COMPUTED_VALUE"""),1615.0)</f>
        <v>1615</v>
      </c>
      <c r="E26" s="183"/>
      <c r="F26" s="50">
        <v>0.0</v>
      </c>
      <c r="G26" s="181">
        <f t="shared" si="1"/>
        <v>1615</v>
      </c>
      <c r="H26" s="50"/>
      <c r="I26" s="50"/>
      <c r="J26" s="50" t="s">
        <v>1512</v>
      </c>
    </row>
    <row r="27" ht="22.5" customHeight="1">
      <c r="A27" s="179">
        <f>IFERROR(__xludf.DUMMYFUNCTION("""COMPUTED_VALUE"""),46162.0)</f>
        <v>46162</v>
      </c>
      <c r="B27" s="50" t="str">
        <f>IFERROR(__xludf.DUMMYFUNCTION("""COMPUTED_VALUE"""),"CSI-000386")</f>
        <v>CSI-000386</v>
      </c>
      <c r="C27" s="50" t="str">
        <f>IFERROR(__xludf.DUMMYFUNCTION("""COMPUTED_VALUE"""),"KARRJACKSON INDUSTRIES")</f>
        <v>KARRJACKSON INDUSTRIES</v>
      </c>
      <c r="D27" s="180">
        <f>IFERROR(__xludf.DUMMYFUNCTION("""COMPUTED_VALUE"""),1215.0)</f>
        <v>1215</v>
      </c>
      <c r="E27" s="183"/>
      <c r="F27" s="50">
        <v>0.0</v>
      </c>
      <c r="G27" s="181">
        <f t="shared" si="1"/>
        <v>1215</v>
      </c>
      <c r="H27" s="50"/>
      <c r="I27" s="50"/>
      <c r="J27" s="50" t="s">
        <v>1512</v>
      </c>
    </row>
    <row r="28" ht="22.5" customHeight="1">
      <c r="A28" s="179">
        <f>IFERROR(__xludf.DUMMYFUNCTION("""COMPUTED_VALUE"""),46167.0)</f>
        <v>46167</v>
      </c>
      <c r="B28" s="50" t="str">
        <f>IFERROR(__xludf.DUMMYFUNCTION("""COMPUTED_VALUE"""),"CSI-000387")</f>
        <v>CSI-000387</v>
      </c>
      <c r="C28" s="50" t="str">
        <f>IFERROR(__xludf.DUMMYFUNCTION("""COMPUTED_VALUE"""),"KARRJACKSON INDUSTRIES")</f>
        <v>KARRJACKSON INDUSTRIES</v>
      </c>
      <c r="D28" s="180">
        <f>IFERROR(__xludf.DUMMYFUNCTION("""COMPUTED_VALUE"""),960.0)</f>
        <v>960</v>
      </c>
      <c r="E28" s="183"/>
      <c r="F28" s="50">
        <v>0.0</v>
      </c>
      <c r="G28" s="181">
        <f t="shared" si="1"/>
        <v>960</v>
      </c>
      <c r="H28" s="50"/>
      <c r="I28" s="50"/>
      <c r="J28" s="50" t="s">
        <v>1512</v>
      </c>
    </row>
    <row r="29" ht="22.5" customHeight="1">
      <c r="A29" s="179">
        <f>IFERROR(__xludf.DUMMYFUNCTION("""COMPUTED_VALUE"""),46167.0)</f>
        <v>46167</v>
      </c>
      <c r="B29" s="50" t="str">
        <f>IFERROR(__xludf.DUMMYFUNCTION("""COMPUTED_VALUE"""),"CSI-000388")</f>
        <v>CSI-000388</v>
      </c>
      <c r="C29" s="50" t="str">
        <f>IFERROR(__xludf.DUMMYFUNCTION("""COMPUTED_VALUE"""),"ERT ENTERPRISES")</f>
        <v>ERT ENTERPRISES</v>
      </c>
      <c r="D29" s="180">
        <f>IFERROR(__xludf.DUMMYFUNCTION("""COMPUTED_VALUE"""),5000.0)</f>
        <v>5000</v>
      </c>
      <c r="E29" s="183"/>
      <c r="F29" s="50">
        <v>0.0</v>
      </c>
      <c r="G29" s="181">
        <f t="shared" si="1"/>
        <v>5000</v>
      </c>
      <c r="H29" s="50"/>
      <c r="I29" s="50"/>
      <c r="J29" s="50"/>
    </row>
    <row r="30" ht="22.5" customHeight="1">
      <c r="A30" s="179">
        <f>IFERROR(__xludf.DUMMYFUNCTION("""COMPUTED_VALUE"""),46169.0)</f>
        <v>46169</v>
      </c>
      <c r="B30" s="50" t="str">
        <f>IFERROR(__xludf.DUMMYFUNCTION("""COMPUTED_VALUE"""),"CSI-000389")</f>
        <v>CSI-000389</v>
      </c>
      <c r="C30" s="50" t="str">
        <f>IFERROR(__xludf.DUMMYFUNCTION("""COMPUTED_VALUE"""),"ERT ENTERPRISES")</f>
        <v>ERT ENTERPRISES</v>
      </c>
      <c r="D30" s="180">
        <f>IFERROR(__xludf.DUMMYFUNCTION("""COMPUTED_VALUE"""),1350.0)</f>
        <v>1350</v>
      </c>
      <c r="E30" s="183"/>
      <c r="F30" s="50">
        <v>0.0</v>
      </c>
      <c r="G30" s="181">
        <f t="shared" si="1"/>
        <v>1350</v>
      </c>
      <c r="H30" s="50"/>
      <c r="I30" s="50"/>
      <c r="J30" s="50"/>
    </row>
    <row r="31" ht="22.5" customHeight="1">
      <c r="A31" s="179">
        <f>IFERROR(__xludf.DUMMYFUNCTION("""COMPUTED_VALUE"""),46171.0)</f>
        <v>46171</v>
      </c>
      <c r="B31" s="50" t="str">
        <f>IFERROR(__xludf.DUMMYFUNCTION("""COMPUTED_VALUE"""),"CSI-000390")</f>
        <v>CSI-000390</v>
      </c>
      <c r="C31" s="50" t="str">
        <f>IFERROR(__xludf.DUMMYFUNCTION("""COMPUTED_VALUE"""),"ERT ENTERPRISES")</f>
        <v>ERT ENTERPRISES</v>
      </c>
      <c r="D31" s="180">
        <f>IFERROR(__xludf.DUMMYFUNCTION("""COMPUTED_VALUE"""),1350.0)</f>
        <v>1350</v>
      </c>
      <c r="E31" s="183"/>
      <c r="F31" s="50">
        <v>0.0</v>
      </c>
      <c r="G31" s="181">
        <f t="shared" si="1"/>
        <v>1350</v>
      </c>
      <c r="H31" s="50"/>
      <c r="I31" s="50"/>
      <c r="J31" s="50"/>
    </row>
    <row r="32" ht="22.5" customHeight="1">
      <c r="A32" s="179">
        <f>IFERROR(__xludf.DUMMYFUNCTION("""COMPUTED_VALUE"""),46171.0)</f>
        <v>46171</v>
      </c>
      <c r="B32" s="50" t="str">
        <f>IFERROR(__xludf.DUMMYFUNCTION("""COMPUTED_VALUE"""),"CSI-000391")</f>
        <v>CSI-000391</v>
      </c>
      <c r="C32" s="50" t="str">
        <f>IFERROR(__xludf.DUMMYFUNCTION("""COMPUTED_VALUE"""),"KARRJACKSON INDUSTRIES")</f>
        <v>KARRJACKSON INDUSTRIES</v>
      </c>
      <c r="D32" s="180">
        <f>IFERROR(__xludf.DUMMYFUNCTION("""COMPUTED_VALUE"""),3040.0)</f>
        <v>3040</v>
      </c>
      <c r="E32" s="183"/>
      <c r="F32" s="50">
        <v>0.0</v>
      </c>
      <c r="G32" s="181">
        <f t="shared" si="1"/>
        <v>3040</v>
      </c>
      <c r="H32" s="50"/>
      <c r="I32" s="50"/>
      <c r="J32" s="50" t="s">
        <v>1512</v>
      </c>
    </row>
    <row r="33" ht="22.5" customHeight="1">
      <c r="A33" s="179">
        <f>IFERROR(__xludf.DUMMYFUNCTION("""COMPUTED_VALUE"""),46171.0)</f>
        <v>46171</v>
      </c>
      <c r="B33" s="50" t="str">
        <f>IFERROR(__xludf.DUMMYFUNCTION("""COMPUTED_VALUE"""),"CSI-000392")</f>
        <v>CSI-000392</v>
      </c>
      <c r="C33" s="50" t="str">
        <f>IFERROR(__xludf.DUMMYFUNCTION("""COMPUTED_VALUE"""),"KARRJACKSON INDUSTRIES")</f>
        <v>KARRJACKSON INDUSTRIES</v>
      </c>
      <c r="D33" s="180">
        <f>IFERROR(__xludf.DUMMYFUNCTION("""COMPUTED_VALUE"""),1080.0)</f>
        <v>1080</v>
      </c>
      <c r="E33" s="183"/>
      <c r="F33" s="50">
        <v>0.0</v>
      </c>
      <c r="G33" s="181">
        <f t="shared" si="1"/>
        <v>1080</v>
      </c>
      <c r="H33" s="50"/>
      <c r="I33" s="50"/>
      <c r="J33" s="50" t="s">
        <v>1512</v>
      </c>
    </row>
    <row r="34" ht="22.5" customHeight="1">
      <c r="A34" s="179">
        <f>IFERROR(__xludf.DUMMYFUNCTION("""COMPUTED_VALUE"""),46175.0)</f>
        <v>46175</v>
      </c>
      <c r="B34" s="50" t="str">
        <f>IFERROR(__xludf.DUMMYFUNCTION("""COMPUTED_VALUE"""),"CSI-000393")</f>
        <v>CSI-000393</v>
      </c>
      <c r="C34" s="50" t="str">
        <f>IFERROR(__xludf.DUMMYFUNCTION("""COMPUTED_VALUE"""),"KARRJACKSON INDUSTRIES")</f>
        <v>KARRJACKSON INDUSTRIES</v>
      </c>
      <c r="D34" s="180">
        <f>IFERROR(__xludf.DUMMYFUNCTION("""COMPUTED_VALUE"""),605.0)</f>
        <v>605</v>
      </c>
      <c r="E34" s="183"/>
      <c r="F34" s="50">
        <v>0.0</v>
      </c>
      <c r="G34" s="181">
        <f t="shared" si="1"/>
        <v>605</v>
      </c>
      <c r="H34" s="50"/>
      <c r="I34" s="50"/>
      <c r="J34" s="50" t="s">
        <v>1512</v>
      </c>
    </row>
    <row r="35" ht="22.5" customHeight="1">
      <c r="A35" s="179">
        <f>IFERROR(__xludf.DUMMYFUNCTION("""COMPUTED_VALUE"""),46176.0)</f>
        <v>46176</v>
      </c>
      <c r="B35" s="50" t="str">
        <f>IFERROR(__xludf.DUMMYFUNCTION("""COMPUTED_VALUE"""),"CSI-000394")</f>
        <v>CSI-000394</v>
      </c>
      <c r="C35" s="50" t="str">
        <f>IFERROR(__xludf.DUMMYFUNCTION("""COMPUTED_VALUE"""),"ERT ENTERPRISES")</f>
        <v>ERT ENTERPRISES</v>
      </c>
      <c r="D35" s="180">
        <f>IFERROR(__xludf.DUMMYFUNCTION("""COMPUTED_VALUE"""),2350.0)</f>
        <v>2350</v>
      </c>
      <c r="E35" s="183"/>
      <c r="F35" s="50">
        <v>0.0</v>
      </c>
      <c r="G35" s="181">
        <f t="shared" si="1"/>
        <v>2350</v>
      </c>
      <c r="H35" s="50"/>
      <c r="I35" s="50"/>
      <c r="J35" s="50"/>
    </row>
    <row r="36" ht="22.5" customHeight="1">
      <c r="A36" s="179">
        <f>IFERROR(__xludf.DUMMYFUNCTION("""COMPUTED_VALUE"""),46181.0)</f>
        <v>46181</v>
      </c>
      <c r="B36" s="50" t="str">
        <f>IFERROR(__xludf.DUMMYFUNCTION("""COMPUTED_VALUE"""),"CSI-000395")</f>
        <v>CSI-000395</v>
      </c>
      <c r="C36" s="50" t="str">
        <f>IFERROR(__xludf.DUMMYFUNCTION("""COMPUTED_VALUE"""),"ERT ENTERPRISES")</f>
        <v>ERT ENTERPRISES</v>
      </c>
      <c r="D36" s="180">
        <f>IFERROR(__xludf.DUMMYFUNCTION("""COMPUTED_VALUE"""),1000.0)</f>
        <v>1000</v>
      </c>
      <c r="E36" s="183"/>
      <c r="F36" s="50">
        <v>0.0</v>
      </c>
      <c r="G36" s="181">
        <f t="shared" si="1"/>
        <v>1000</v>
      </c>
      <c r="H36" s="50"/>
      <c r="I36" s="50"/>
      <c r="J36" s="50"/>
    </row>
    <row r="37" ht="22.5" customHeight="1">
      <c r="A37" s="179">
        <f>IFERROR(__xludf.DUMMYFUNCTION("""COMPUTED_VALUE"""),46181.0)</f>
        <v>46181</v>
      </c>
      <c r="B37" s="50" t="str">
        <f>IFERROR(__xludf.DUMMYFUNCTION("""COMPUTED_VALUE"""),"CSI-000396")</f>
        <v>CSI-000396</v>
      </c>
      <c r="C37" s="50" t="str">
        <f>IFERROR(__xludf.DUMMYFUNCTION("""COMPUTED_VALUE"""),"KARRJACKSON INDUSTRIES")</f>
        <v>KARRJACKSON INDUSTRIES</v>
      </c>
      <c r="D37" s="180">
        <f>IFERROR(__xludf.DUMMYFUNCTION("""COMPUTED_VALUE"""),550.0)</f>
        <v>550</v>
      </c>
      <c r="E37" s="183"/>
      <c r="F37" s="50">
        <v>0.0</v>
      </c>
      <c r="G37" s="181">
        <f t="shared" si="1"/>
        <v>550</v>
      </c>
      <c r="H37" s="50"/>
      <c r="I37" s="50"/>
      <c r="J37" s="50" t="s">
        <v>1512</v>
      </c>
    </row>
    <row r="38" ht="22.5" customHeight="1">
      <c r="A38" s="179">
        <f>IFERROR(__xludf.DUMMYFUNCTION("""COMPUTED_VALUE"""),46182.0)</f>
        <v>46182</v>
      </c>
      <c r="B38" s="50" t="str">
        <f>IFERROR(__xludf.DUMMYFUNCTION("""COMPUTED_VALUE"""),"CSI-000396")</f>
        <v>CSI-000396</v>
      </c>
      <c r="C38" s="50" t="str">
        <f>IFERROR(__xludf.DUMMYFUNCTION("""COMPUTED_VALUE"""),"KARRJACKSON INDUSTRIES")</f>
        <v>KARRJACKSON INDUSTRIES</v>
      </c>
      <c r="D38" s="180">
        <f>IFERROR(__xludf.DUMMYFUNCTION("""COMPUTED_VALUE"""),2615.0)</f>
        <v>2615</v>
      </c>
      <c r="E38" s="183"/>
      <c r="F38" s="50">
        <v>0.0</v>
      </c>
      <c r="G38" s="181">
        <f t="shared" si="1"/>
        <v>2615</v>
      </c>
      <c r="H38" s="50"/>
      <c r="I38" s="50"/>
      <c r="J38" s="50" t="s">
        <v>1512</v>
      </c>
    </row>
    <row r="39" ht="22.5" customHeight="1">
      <c r="A39" s="179">
        <f>IFERROR(__xludf.DUMMYFUNCTION("""COMPUTED_VALUE"""),46182.0)</f>
        <v>46182</v>
      </c>
      <c r="B39" s="50" t="str">
        <f>IFERROR(__xludf.DUMMYFUNCTION("""COMPUTED_VALUE"""),"CSI-000398")</f>
        <v>CSI-000398</v>
      </c>
      <c r="C39" s="50" t="str">
        <f>IFERROR(__xludf.DUMMYFUNCTION("""COMPUTED_VALUE"""),"KARRJACKSON INDUSTRIES")</f>
        <v>KARRJACKSON INDUSTRIES</v>
      </c>
      <c r="D39" s="180">
        <f>IFERROR(__xludf.DUMMYFUNCTION("""COMPUTED_VALUE"""),1535.0)</f>
        <v>1535</v>
      </c>
      <c r="E39" s="183"/>
      <c r="F39" s="50">
        <v>0.0</v>
      </c>
      <c r="G39" s="181">
        <f t="shared" si="1"/>
        <v>1535</v>
      </c>
      <c r="H39" s="50"/>
      <c r="I39" s="50"/>
      <c r="J39" s="50" t="s">
        <v>1512</v>
      </c>
    </row>
    <row r="40" ht="22.5" customHeight="1">
      <c r="A40" s="179">
        <f>IFERROR(__xludf.DUMMYFUNCTION("""COMPUTED_VALUE"""),46183.0)</f>
        <v>46183</v>
      </c>
      <c r="B40" s="50" t="str">
        <f>IFERROR(__xludf.DUMMYFUNCTION("""COMPUTED_VALUE"""),"CSI-000399")</f>
        <v>CSI-000399</v>
      </c>
      <c r="C40" s="50" t="str">
        <f>IFERROR(__xludf.DUMMYFUNCTION("""COMPUTED_VALUE"""),"ERT ENTERPRISES")</f>
        <v>ERT ENTERPRISES</v>
      </c>
      <c r="D40" s="180">
        <f>IFERROR(__xludf.DUMMYFUNCTION("""COMPUTED_VALUE"""),5320.0)</f>
        <v>5320</v>
      </c>
      <c r="E40" s="183"/>
      <c r="F40" s="50">
        <v>0.0</v>
      </c>
      <c r="G40" s="181">
        <f t="shared" si="1"/>
        <v>5320</v>
      </c>
      <c r="H40" s="50"/>
      <c r="I40" s="50"/>
      <c r="J40" s="50"/>
    </row>
    <row r="41" ht="22.5" customHeight="1">
      <c r="A41" s="179">
        <f>IFERROR(__xludf.DUMMYFUNCTION("""COMPUTED_VALUE"""),46184.0)</f>
        <v>46184</v>
      </c>
      <c r="B41" s="50" t="str">
        <f>IFERROR(__xludf.DUMMYFUNCTION("""COMPUTED_VALUE"""),"CSI-000400")</f>
        <v>CSI-000400</v>
      </c>
      <c r="C41" s="50" t="str">
        <f>IFERROR(__xludf.DUMMYFUNCTION("""COMPUTED_VALUE"""),"KARRJACKSON INDUSTRIES")</f>
        <v>KARRJACKSON INDUSTRIES</v>
      </c>
      <c r="D41" s="180">
        <f>IFERROR(__xludf.DUMMYFUNCTION("""COMPUTED_VALUE"""),1585.0)</f>
        <v>1585</v>
      </c>
      <c r="E41" s="183"/>
      <c r="F41" s="50">
        <v>0.0</v>
      </c>
      <c r="G41" s="181">
        <f t="shared" si="1"/>
        <v>1585</v>
      </c>
      <c r="H41" s="50"/>
      <c r="I41" s="50"/>
      <c r="J41" s="50" t="s">
        <v>1512</v>
      </c>
    </row>
    <row r="42" ht="22.5" customHeight="1">
      <c r="A42" s="179">
        <f>IFERROR(__xludf.DUMMYFUNCTION("""COMPUTED_VALUE"""),46191.0)</f>
        <v>46191</v>
      </c>
      <c r="B42" s="50" t="str">
        <f>IFERROR(__xludf.DUMMYFUNCTION("""COMPUTED_VALUE"""),"CSI-000404")</f>
        <v>CSI-000404</v>
      </c>
      <c r="C42" s="50" t="str">
        <f>IFERROR(__xludf.DUMMYFUNCTION("""COMPUTED_VALUE"""),"KARRJACKSON INDUSTRIES")</f>
        <v>KARRJACKSON INDUSTRIES</v>
      </c>
      <c r="D42" s="180">
        <f>IFERROR(__xludf.DUMMYFUNCTION("""COMPUTED_VALUE"""),2655.0)</f>
        <v>2655</v>
      </c>
      <c r="E42" s="183"/>
      <c r="F42" s="50">
        <v>0.0</v>
      </c>
      <c r="G42" s="181">
        <f t="shared" si="1"/>
        <v>2655</v>
      </c>
      <c r="H42" s="50"/>
      <c r="I42" s="50"/>
      <c r="J42" s="50" t="s">
        <v>1512</v>
      </c>
    </row>
    <row r="43" ht="22.5" customHeight="1">
      <c r="A43" s="179">
        <f>IFERROR(__xludf.DUMMYFUNCTION("""COMPUTED_VALUE"""),46195.0)</f>
        <v>46195</v>
      </c>
      <c r="B43" s="50" t="str">
        <f>IFERROR(__xludf.DUMMYFUNCTION("""COMPUTED_VALUE"""),"CSI-004066")</f>
        <v>CSI-004066</v>
      </c>
      <c r="C43" s="50" t="str">
        <f>IFERROR(__xludf.DUMMYFUNCTION("""COMPUTED_VALUE"""),"KARRJACKSON INDUSTRIES")</f>
        <v>KARRJACKSON INDUSTRIES</v>
      </c>
      <c r="D43" s="180">
        <f>IFERROR(__xludf.DUMMYFUNCTION("""COMPUTED_VALUE"""),3355.5)</f>
        <v>3355.5</v>
      </c>
      <c r="E43" s="183"/>
      <c r="F43" s="50">
        <v>0.0</v>
      </c>
      <c r="G43" s="181">
        <f t="shared" si="1"/>
        <v>3355.5</v>
      </c>
      <c r="H43" s="50"/>
      <c r="I43" s="50"/>
      <c r="J43" s="50" t="s">
        <v>1512</v>
      </c>
    </row>
    <row r="44" ht="22.5" customHeight="1">
      <c r="A44" s="179">
        <f>IFERROR(__xludf.DUMMYFUNCTION("""COMPUTED_VALUE"""),46204.0)</f>
        <v>46204</v>
      </c>
      <c r="B44" s="50" t="str">
        <f>IFERROR(__xludf.DUMMYFUNCTION("""COMPUTED_VALUE"""),"CSI-000410")</f>
        <v>CSI-000410</v>
      </c>
      <c r="C44" s="50" t="str">
        <f>IFERROR(__xludf.DUMMYFUNCTION("""COMPUTED_VALUE"""),"KARRJACKSON INDUSTRIES")</f>
        <v>KARRJACKSON INDUSTRIES</v>
      </c>
      <c r="D44" s="180">
        <f>IFERROR(__xludf.DUMMYFUNCTION("""COMPUTED_VALUE"""),1345.0)</f>
        <v>1345</v>
      </c>
      <c r="E44" s="183"/>
      <c r="F44" s="50">
        <v>0.0</v>
      </c>
      <c r="G44" s="181">
        <f t="shared" si="1"/>
        <v>1345</v>
      </c>
      <c r="H44" s="50"/>
      <c r="I44" s="50"/>
      <c r="J44" s="50" t="s">
        <v>1512</v>
      </c>
    </row>
    <row r="45" ht="22.5" customHeight="1">
      <c r="A45" s="179">
        <f>IFERROR(__xludf.DUMMYFUNCTION("""COMPUTED_VALUE"""),46204.0)</f>
        <v>46204</v>
      </c>
      <c r="B45" s="50" t="str">
        <f>IFERROR(__xludf.DUMMYFUNCTION("""COMPUTED_VALUE"""),"CSI-000411")</f>
        <v>CSI-000411</v>
      </c>
      <c r="C45" s="50" t="str">
        <f>IFERROR(__xludf.DUMMYFUNCTION("""COMPUTED_VALUE"""),"KARRJACKSON INDUSTRIES")</f>
        <v>KARRJACKSON INDUSTRIES</v>
      </c>
      <c r="D45" s="180">
        <f>IFERROR(__xludf.DUMMYFUNCTION("""COMPUTED_VALUE"""),1990.0)</f>
        <v>1990</v>
      </c>
      <c r="E45" s="183"/>
      <c r="F45" s="50">
        <v>0.0</v>
      </c>
      <c r="G45" s="181">
        <f t="shared" si="1"/>
        <v>1990</v>
      </c>
      <c r="H45" s="50"/>
      <c r="I45" s="50"/>
      <c r="J45" s="50" t="s">
        <v>1512</v>
      </c>
    </row>
    <row r="46" ht="22.5" customHeight="1">
      <c r="A46" s="179">
        <f>IFERROR(__xludf.DUMMYFUNCTION("""COMPUTED_VALUE"""),46212.0)</f>
        <v>46212</v>
      </c>
      <c r="B46" s="50" t="str">
        <f>IFERROR(__xludf.DUMMYFUNCTION("""COMPUTED_VALUE"""),"CSI-000412")</f>
        <v>CSI-000412</v>
      </c>
      <c r="C46" s="50" t="str">
        <f>IFERROR(__xludf.DUMMYFUNCTION("""COMPUTED_VALUE"""),"KARRJACKSON INDUSTRIES")</f>
        <v>KARRJACKSON INDUSTRIES</v>
      </c>
      <c r="D46" s="180">
        <f>IFERROR(__xludf.DUMMYFUNCTION("""COMPUTED_VALUE"""),6660.0)</f>
        <v>6660</v>
      </c>
      <c r="E46" s="183"/>
      <c r="F46" s="50">
        <v>0.0</v>
      </c>
      <c r="G46" s="181">
        <f t="shared" si="1"/>
        <v>6660</v>
      </c>
      <c r="H46" s="50"/>
      <c r="I46" s="50"/>
      <c r="J46" s="50" t="s">
        <v>1512</v>
      </c>
    </row>
    <row r="47" ht="22.5" customHeight="1">
      <c r="A47" s="179">
        <f>IFERROR(__xludf.DUMMYFUNCTION("""COMPUTED_VALUE"""),46212.0)</f>
        <v>46212</v>
      </c>
      <c r="B47" s="50" t="str">
        <f>IFERROR(__xludf.DUMMYFUNCTION("""COMPUTED_VALUE"""),"CSI-000413")</f>
        <v>CSI-000413</v>
      </c>
      <c r="C47" s="50" t="str">
        <f>IFERROR(__xludf.DUMMYFUNCTION("""COMPUTED_VALUE"""),"KARRJACKSON INDUSTRIES")</f>
        <v>KARRJACKSON INDUSTRIES</v>
      </c>
      <c r="D47" s="180">
        <f>IFERROR(__xludf.DUMMYFUNCTION("""COMPUTED_VALUE"""),3360.0)</f>
        <v>3360</v>
      </c>
      <c r="E47" s="183"/>
      <c r="F47" s="50">
        <v>0.0</v>
      </c>
      <c r="G47" s="181">
        <f t="shared" si="1"/>
        <v>3360</v>
      </c>
      <c r="H47" s="50"/>
      <c r="I47" s="50"/>
      <c r="J47" s="50" t="s">
        <v>1512</v>
      </c>
    </row>
    <row r="48" ht="22.5" customHeight="1">
      <c r="A48" s="179">
        <f>IFERROR(__xludf.DUMMYFUNCTION("""COMPUTED_VALUE"""),46212.0)</f>
        <v>46212</v>
      </c>
      <c r="B48" s="50" t="str">
        <f>IFERROR(__xludf.DUMMYFUNCTION("""COMPUTED_VALUE"""),"CSI-000414")</f>
        <v>CSI-000414</v>
      </c>
      <c r="C48" s="50" t="str">
        <f>IFERROR(__xludf.DUMMYFUNCTION("""COMPUTED_VALUE"""),"KARRJACKSON INDUSTRIES")</f>
        <v>KARRJACKSON INDUSTRIES</v>
      </c>
      <c r="D48" s="180">
        <f>IFERROR(__xludf.DUMMYFUNCTION("""COMPUTED_VALUE"""),12580.0)</f>
        <v>12580</v>
      </c>
      <c r="E48" s="183"/>
      <c r="F48" s="50">
        <v>0.0</v>
      </c>
      <c r="G48" s="181">
        <f t="shared" si="1"/>
        <v>12580</v>
      </c>
      <c r="H48" s="50"/>
      <c r="I48" s="50"/>
      <c r="J48" s="50" t="s">
        <v>1512</v>
      </c>
    </row>
    <row r="49" ht="22.5" customHeight="1">
      <c r="A49" s="179">
        <f>IFERROR(__xludf.DUMMYFUNCTION("""COMPUTED_VALUE"""),46216.0)</f>
        <v>46216</v>
      </c>
      <c r="B49" s="50" t="str">
        <f>IFERROR(__xludf.DUMMYFUNCTION("""COMPUTED_VALUE"""),"CSI-000415")</f>
        <v>CSI-000415</v>
      </c>
      <c r="C49" s="50" t="str">
        <f>IFERROR(__xludf.DUMMYFUNCTION("""COMPUTED_VALUE"""),"KARRJACKSON INDUSTRIES")</f>
        <v>KARRJACKSON INDUSTRIES</v>
      </c>
      <c r="D49" s="180">
        <f>IFERROR(__xludf.DUMMYFUNCTION("""COMPUTED_VALUE"""),1300.0)</f>
        <v>1300</v>
      </c>
      <c r="E49" s="183"/>
      <c r="F49" s="50">
        <v>0.0</v>
      </c>
      <c r="G49" s="181">
        <f t="shared" si="1"/>
        <v>1300</v>
      </c>
      <c r="H49" s="50"/>
      <c r="I49" s="50"/>
      <c r="J49" s="50" t="s">
        <v>1512</v>
      </c>
    </row>
    <row r="50" ht="22.5" customHeight="1">
      <c r="A50" s="179">
        <f>IFERROR(__xludf.DUMMYFUNCTION("""COMPUTED_VALUE"""),46217.0)</f>
        <v>46217</v>
      </c>
      <c r="B50" s="50" t="str">
        <f>IFERROR(__xludf.DUMMYFUNCTION("""COMPUTED_VALUE"""),"CSI-000416")</f>
        <v>CSI-000416</v>
      </c>
      <c r="C50" s="50" t="str">
        <f>IFERROR(__xludf.DUMMYFUNCTION("""COMPUTED_VALUE"""),"KARRJACKSON INDUSTRIES")</f>
        <v>KARRJACKSON INDUSTRIES</v>
      </c>
      <c r="D50" s="180">
        <f>IFERROR(__xludf.DUMMYFUNCTION("""COMPUTED_VALUE"""),2555.0)</f>
        <v>2555</v>
      </c>
      <c r="E50" s="183"/>
      <c r="F50" s="50">
        <v>0.0</v>
      </c>
      <c r="G50" s="181">
        <f t="shared" si="1"/>
        <v>2555</v>
      </c>
      <c r="H50" s="50"/>
      <c r="I50" s="50"/>
      <c r="J50" s="50" t="s">
        <v>1512</v>
      </c>
    </row>
    <row r="51" ht="22.5" customHeight="1">
      <c r="A51" s="179">
        <f>IFERROR(__xludf.DUMMYFUNCTION("""COMPUTED_VALUE"""),46223.0)</f>
        <v>46223</v>
      </c>
      <c r="B51" s="50" t="str">
        <f>IFERROR(__xludf.DUMMYFUNCTION("""COMPUTED_VALUE"""),"CSI-000418")</f>
        <v>CSI-000418</v>
      </c>
      <c r="C51" s="50" t="str">
        <f>IFERROR(__xludf.DUMMYFUNCTION("""COMPUTED_VALUE"""),"KARRJACKSON INDUSTRIES")</f>
        <v>KARRJACKSON INDUSTRIES</v>
      </c>
      <c r="D51" s="180">
        <f>IFERROR(__xludf.DUMMYFUNCTION("""COMPUTED_VALUE"""),2145.0)</f>
        <v>2145</v>
      </c>
      <c r="E51" s="183"/>
      <c r="F51" s="50">
        <v>0.0</v>
      </c>
      <c r="G51" s="181">
        <f t="shared" si="1"/>
        <v>2145</v>
      </c>
      <c r="H51" s="50"/>
      <c r="I51" s="50"/>
      <c r="J51" s="50" t="s">
        <v>1512</v>
      </c>
    </row>
    <row r="52" ht="22.5" customHeight="1">
      <c r="A52" s="179">
        <f>IFERROR(__xludf.DUMMYFUNCTION("""COMPUTED_VALUE"""),46224.0)</f>
        <v>46224</v>
      </c>
      <c r="B52" s="50" t="str">
        <f>IFERROR(__xludf.DUMMYFUNCTION("""COMPUTED_VALUE"""),"CSI-000419")</f>
        <v>CSI-000419</v>
      </c>
      <c r="C52" s="50" t="str">
        <f>IFERROR(__xludf.DUMMYFUNCTION("""COMPUTED_VALUE"""),"ERT ENTERPRISES")</f>
        <v>ERT ENTERPRISES</v>
      </c>
      <c r="D52" s="180">
        <f>IFERROR(__xludf.DUMMYFUNCTION("""COMPUTED_VALUE"""),2550.0)</f>
        <v>2550</v>
      </c>
      <c r="E52" s="183"/>
      <c r="F52" s="50">
        <v>0.0</v>
      </c>
      <c r="G52" s="181">
        <f t="shared" si="1"/>
        <v>2550</v>
      </c>
      <c r="H52" s="50"/>
      <c r="I52" s="50"/>
      <c r="J52" s="50"/>
    </row>
    <row r="53" ht="22.5" customHeight="1">
      <c r="A53" s="179">
        <f>IFERROR(__xludf.DUMMYFUNCTION("""COMPUTED_VALUE"""),46227.0)</f>
        <v>46227</v>
      </c>
      <c r="B53" s="50" t="str">
        <f>IFERROR(__xludf.DUMMYFUNCTION("""COMPUTED_VALUE"""),"CSI-000420")</f>
        <v>CSI-000420</v>
      </c>
      <c r="C53" s="50" t="str">
        <f>IFERROR(__xludf.DUMMYFUNCTION("""COMPUTED_VALUE"""),"KARRJACKSON INDUSTRIES")</f>
        <v>KARRJACKSON INDUSTRIES</v>
      </c>
      <c r="D53" s="180">
        <f>IFERROR(__xludf.DUMMYFUNCTION("""COMPUTED_VALUE"""),3750.0)</f>
        <v>3750</v>
      </c>
      <c r="E53" s="183"/>
      <c r="F53" s="50">
        <v>0.0</v>
      </c>
      <c r="G53" s="181">
        <f t="shared" si="1"/>
        <v>3750</v>
      </c>
      <c r="H53" s="50"/>
      <c r="I53" s="50"/>
      <c r="J53" s="50" t="s">
        <v>1512</v>
      </c>
    </row>
    <row r="54" ht="22.5" customHeight="1">
      <c r="A54" s="179">
        <f>IFERROR(__xludf.DUMMYFUNCTION("""COMPUTED_VALUE"""),46227.0)</f>
        <v>46227</v>
      </c>
      <c r="B54" s="50" t="str">
        <f>IFERROR(__xludf.DUMMYFUNCTION("""COMPUTED_VALUE"""),"CSI-000421")</f>
        <v>CSI-000421</v>
      </c>
      <c r="C54" s="50" t="str">
        <f>IFERROR(__xludf.DUMMYFUNCTION("""COMPUTED_VALUE"""),"KARRJACKSON INDUSTRIES")</f>
        <v>KARRJACKSON INDUSTRIES</v>
      </c>
      <c r="D54" s="180">
        <f>IFERROR(__xludf.DUMMYFUNCTION("""COMPUTED_VALUE"""),2485.0)</f>
        <v>2485</v>
      </c>
      <c r="E54" s="183"/>
      <c r="F54" s="50">
        <v>0.0</v>
      </c>
      <c r="G54" s="181">
        <f t="shared" si="1"/>
        <v>2485</v>
      </c>
      <c r="H54" s="50"/>
      <c r="I54" s="50"/>
      <c r="J54" s="50" t="s">
        <v>1512</v>
      </c>
    </row>
    <row r="55" ht="22.5" customHeight="1">
      <c r="A55" s="179">
        <f>IFERROR(__xludf.DUMMYFUNCTION("""COMPUTED_VALUE"""),46227.0)</f>
        <v>46227</v>
      </c>
      <c r="B55" s="50" t="str">
        <f>IFERROR(__xludf.DUMMYFUNCTION("""COMPUTED_VALUE"""),"CSI-000422")</f>
        <v>CSI-000422</v>
      </c>
      <c r="C55" s="50" t="str">
        <f>IFERROR(__xludf.DUMMYFUNCTION("""COMPUTED_VALUE"""),"KARRJACKSON INDUSTRIES")</f>
        <v>KARRJACKSON INDUSTRIES</v>
      </c>
      <c r="D55" s="180">
        <f>IFERROR(__xludf.DUMMYFUNCTION("""COMPUTED_VALUE"""),850.0)</f>
        <v>850</v>
      </c>
      <c r="E55" s="183"/>
      <c r="F55" s="50">
        <v>0.0</v>
      </c>
      <c r="G55" s="181">
        <f t="shared" si="1"/>
        <v>850</v>
      </c>
      <c r="H55" s="50"/>
      <c r="I55" s="50"/>
      <c r="J55" s="50" t="s">
        <v>1512</v>
      </c>
    </row>
    <row r="56" ht="22.5" customHeight="1">
      <c r="A56" s="179">
        <f>IFERROR(__xludf.DUMMYFUNCTION("""COMPUTED_VALUE"""),46228.0)</f>
        <v>46228</v>
      </c>
      <c r="B56" s="50" t="str">
        <f>IFERROR(__xludf.DUMMYFUNCTION("""COMPUTED_VALUE"""),"CSI-000423")</f>
        <v>CSI-000423</v>
      </c>
      <c r="C56" s="50" t="str">
        <f>IFERROR(__xludf.DUMMYFUNCTION("""COMPUTED_VALUE"""),"KARRJACKSON INDUSTRIES")</f>
        <v>KARRJACKSON INDUSTRIES</v>
      </c>
      <c r="D56" s="180">
        <f>IFERROR(__xludf.DUMMYFUNCTION("""COMPUTED_VALUE"""),220.0)</f>
        <v>220</v>
      </c>
      <c r="E56" s="183"/>
      <c r="F56" s="50">
        <v>0.0</v>
      </c>
      <c r="G56" s="181">
        <f t="shared" si="1"/>
        <v>220</v>
      </c>
      <c r="H56" s="50"/>
      <c r="I56" s="50"/>
      <c r="J56" s="50" t="s">
        <v>1512</v>
      </c>
    </row>
    <row r="57" ht="22.5" customHeight="1">
      <c r="A57" s="179">
        <f>IFERROR(__xludf.DUMMYFUNCTION("""COMPUTED_VALUE"""),46231.0)</f>
        <v>46231</v>
      </c>
      <c r="B57" s="50" t="str">
        <f>IFERROR(__xludf.DUMMYFUNCTION("""COMPUTED_VALUE"""),"CSI-000424")</f>
        <v>CSI-000424</v>
      </c>
      <c r="C57" s="50" t="str">
        <f>IFERROR(__xludf.DUMMYFUNCTION("""COMPUTED_VALUE"""),"ERT ENTERPRISES")</f>
        <v>ERT ENTERPRISES</v>
      </c>
      <c r="D57" s="180">
        <f>IFERROR(__xludf.DUMMYFUNCTION("""COMPUTED_VALUE"""),9000.0)</f>
        <v>9000</v>
      </c>
      <c r="E57" s="183"/>
      <c r="F57" s="50">
        <v>0.0</v>
      </c>
      <c r="G57" s="181">
        <f t="shared" si="1"/>
        <v>9000</v>
      </c>
      <c r="H57" s="50"/>
      <c r="I57" s="50"/>
      <c r="J57" s="50"/>
    </row>
    <row r="58" ht="22.5" customHeight="1">
      <c r="A58" s="179">
        <f>IFERROR(__xludf.DUMMYFUNCTION("""COMPUTED_VALUE"""),46232.0)</f>
        <v>46232</v>
      </c>
      <c r="B58" s="50" t="str">
        <f>IFERROR(__xludf.DUMMYFUNCTION("""COMPUTED_VALUE"""),"CSI-000425")</f>
        <v>CSI-000425</v>
      </c>
      <c r="C58" s="50" t="str">
        <f>IFERROR(__xludf.DUMMYFUNCTION("""COMPUTED_VALUE"""),"KARRJACKSON INDUSTRIES")</f>
        <v>KARRJACKSON INDUSTRIES</v>
      </c>
      <c r="D58" s="180">
        <f>IFERROR(__xludf.DUMMYFUNCTION("""COMPUTED_VALUE"""),4055.0)</f>
        <v>4055</v>
      </c>
      <c r="E58" s="183"/>
      <c r="F58" s="50">
        <v>0.0</v>
      </c>
      <c r="G58" s="181">
        <f t="shared" si="1"/>
        <v>4055</v>
      </c>
      <c r="H58" s="50"/>
      <c r="I58" s="50"/>
      <c r="J58" s="50" t="s">
        <v>1512</v>
      </c>
    </row>
    <row r="59" ht="22.5" customHeight="1">
      <c r="A59" s="179">
        <f>IFERROR(__xludf.DUMMYFUNCTION("""COMPUTED_VALUE"""),46232.0)</f>
        <v>46232</v>
      </c>
      <c r="B59" s="50" t="str">
        <f>IFERROR(__xludf.DUMMYFUNCTION("""COMPUTED_VALUE"""),"CSI-000426")</f>
        <v>CSI-000426</v>
      </c>
      <c r="C59" s="50" t="str">
        <f>IFERROR(__xludf.DUMMYFUNCTION("""COMPUTED_VALUE"""),"KARRJACKSON INDUSTRIES")</f>
        <v>KARRJACKSON INDUSTRIES</v>
      </c>
      <c r="D59" s="180">
        <f>IFERROR(__xludf.DUMMYFUNCTION("""COMPUTED_VALUE"""),575.0)</f>
        <v>575</v>
      </c>
      <c r="E59" s="183"/>
      <c r="F59" s="50">
        <v>0.0</v>
      </c>
      <c r="G59" s="181">
        <f t="shared" si="1"/>
        <v>575</v>
      </c>
      <c r="H59" s="50"/>
      <c r="I59" s="50"/>
      <c r="J59" s="50" t="s">
        <v>1512</v>
      </c>
    </row>
    <row r="60" ht="22.5" customHeight="1">
      <c r="A60" s="179">
        <f>IFERROR(__xludf.DUMMYFUNCTION("""COMPUTED_VALUE"""),46235.0)</f>
        <v>46235</v>
      </c>
      <c r="B60" s="50" t="str">
        <f>IFERROR(__xludf.DUMMYFUNCTION("""COMPUTED_VALUE"""),"CSI-000427")</f>
        <v>CSI-000427</v>
      </c>
      <c r="C60" s="50" t="str">
        <f>IFERROR(__xludf.DUMMYFUNCTION("""COMPUTED_VALUE"""),"KARRJACKSON INDUSTRIES")</f>
        <v>KARRJACKSON INDUSTRIES</v>
      </c>
      <c r="D60" s="180">
        <f>IFERROR(__xludf.DUMMYFUNCTION("""COMPUTED_VALUE"""),3060.0)</f>
        <v>3060</v>
      </c>
      <c r="E60" s="183"/>
      <c r="F60" s="50">
        <v>0.0</v>
      </c>
      <c r="G60" s="181">
        <f t="shared" si="1"/>
        <v>3060</v>
      </c>
      <c r="H60" s="50"/>
      <c r="I60" s="50"/>
      <c r="J60" s="50" t="s">
        <v>1512</v>
      </c>
    </row>
    <row r="61" ht="22.5" customHeight="1">
      <c r="A61" s="179">
        <f>IFERROR(__xludf.DUMMYFUNCTION("""COMPUTED_VALUE"""),46237.0)</f>
        <v>46237</v>
      </c>
      <c r="B61" s="50" t="str">
        <f>IFERROR(__xludf.DUMMYFUNCTION("""COMPUTED_VALUE"""),"CSI-004117")</f>
        <v>CSI-004117</v>
      </c>
      <c r="C61" s="50" t="str">
        <f>IFERROR(__xludf.DUMMYFUNCTION("""COMPUTED_VALUE"""),"VINKO")</f>
        <v>VINKO</v>
      </c>
      <c r="D61" s="180">
        <f>IFERROR(__xludf.DUMMYFUNCTION("""COMPUTED_VALUE"""),3850.0)</f>
        <v>3850</v>
      </c>
      <c r="E61" s="183"/>
      <c r="F61" s="50">
        <v>0.0</v>
      </c>
      <c r="G61" s="181">
        <f t="shared" si="1"/>
        <v>3850</v>
      </c>
      <c r="H61" s="50"/>
      <c r="I61" s="50"/>
      <c r="J61" s="50"/>
    </row>
    <row r="62" ht="22.5" customHeight="1">
      <c r="A62" s="179">
        <f>IFERROR(__xludf.DUMMYFUNCTION("""COMPUTED_VALUE"""),46239.0)</f>
        <v>46239</v>
      </c>
      <c r="B62" s="50" t="str">
        <f>IFERROR(__xludf.DUMMYFUNCTION("""COMPUTED_VALUE"""),"CSI-000428")</f>
        <v>CSI-000428</v>
      </c>
      <c r="C62" s="50" t="str">
        <f>IFERROR(__xludf.DUMMYFUNCTION("""COMPUTED_VALUE"""),"KARRJACKSON INDUSTRIES")</f>
        <v>KARRJACKSON INDUSTRIES</v>
      </c>
      <c r="D62" s="180">
        <f>IFERROR(__xludf.DUMMYFUNCTION("""COMPUTED_VALUE"""),1020.0)</f>
        <v>1020</v>
      </c>
      <c r="E62" s="183"/>
      <c r="F62" s="50">
        <v>0.0</v>
      </c>
      <c r="G62" s="181">
        <f t="shared" si="1"/>
        <v>1020</v>
      </c>
      <c r="H62" s="50"/>
      <c r="I62" s="50"/>
      <c r="J62" s="50" t="s">
        <v>1512</v>
      </c>
    </row>
    <row r="63" ht="22.5" customHeight="1">
      <c r="A63" s="179">
        <f>IFERROR(__xludf.DUMMYFUNCTION("""COMPUTED_VALUE"""),46239.0)</f>
        <v>46239</v>
      </c>
      <c r="B63" s="50" t="str">
        <f>IFERROR(__xludf.DUMMYFUNCTION("""COMPUTED_VALUE"""),"CSI-000429")</f>
        <v>CSI-000429</v>
      </c>
      <c r="C63" s="50" t="str">
        <f>IFERROR(__xludf.DUMMYFUNCTION("""COMPUTED_VALUE"""),"KARRJACKSON INDUSTRIES")</f>
        <v>KARRJACKSON INDUSTRIES</v>
      </c>
      <c r="D63" s="180">
        <f>IFERROR(__xludf.DUMMYFUNCTION("""COMPUTED_VALUE"""),3265.0)</f>
        <v>3265</v>
      </c>
      <c r="E63" s="183"/>
      <c r="F63" s="50">
        <v>0.0</v>
      </c>
      <c r="G63" s="181">
        <f t="shared" si="1"/>
        <v>3265</v>
      </c>
      <c r="H63" s="50"/>
      <c r="I63" s="50"/>
      <c r="J63" s="50" t="s">
        <v>1512</v>
      </c>
    </row>
    <row r="64" ht="22.5" customHeight="1">
      <c r="A64" s="179">
        <f>IFERROR(__xludf.DUMMYFUNCTION("""COMPUTED_VALUE"""),46240.0)</f>
        <v>46240</v>
      </c>
      <c r="B64" s="50" t="str">
        <f>IFERROR(__xludf.DUMMYFUNCTION("""COMPUTED_VALUE"""),"CSI-004119")</f>
        <v>CSI-004119</v>
      </c>
      <c r="C64" s="50" t="str">
        <f>IFERROR(__xludf.DUMMYFUNCTION("""COMPUTED_VALUE"""),"VINKO")</f>
        <v>VINKO</v>
      </c>
      <c r="D64" s="180">
        <f>IFERROR(__xludf.DUMMYFUNCTION("""COMPUTED_VALUE"""),4050.0)</f>
        <v>4050</v>
      </c>
      <c r="E64" s="183"/>
      <c r="F64" s="50">
        <v>0.0</v>
      </c>
      <c r="G64" s="181">
        <f t="shared" si="1"/>
        <v>4050</v>
      </c>
      <c r="H64" s="50"/>
      <c r="I64" s="50"/>
      <c r="J64" s="50"/>
    </row>
    <row r="65" ht="22.5" customHeight="1">
      <c r="A65" s="179">
        <f>IFERROR(__xludf.DUMMYFUNCTION("""COMPUTED_VALUE"""),46241.0)</f>
        <v>46241</v>
      </c>
      <c r="B65" s="50" t="str">
        <f>IFERROR(__xludf.DUMMYFUNCTION("""COMPUTED_VALUE"""),"CSI-000430")</f>
        <v>CSI-000430</v>
      </c>
      <c r="C65" s="50" t="str">
        <f>IFERROR(__xludf.DUMMYFUNCTION("""COMPUTED_VALUE"""),"ERT ENTERPRISES")</f>
        <v>ERT ENTERPRISES</v>
      </c>
      <c r="D65" s="180">
        <f>IFERROR(__xludf.DUMMYFUNCTION("""COMPUTED_VALUE"""),2170.0)</f>
        <v>2170</v>
      </c>
      <c r="E65" s="183"/>
      <c r="F65" s="50">
        <v>0.0</v>
      </c>
      <c r="G65" s="181">
        <f t="shared" si="1"/>
        <v>2170</v>
      </c>
      <c r="H65" s="50"/>
      <c r="I65" s="50"/>
      <c r="J65" s="50"/>
    </row>
    <row r="66" ht="22.5" customHeight="1">
      <c r="A66" s="179">
        <f>IFERROR(__xludf.DUMMYFUNCTION("""COMPUTED_VALUE"""),46245.0)</f>
        <v>46245</v>
      </c>
      <c r="B66" s="50" t="str">
        <f>IFERROR(__xludf.DUMMYFUNCTION("""COMPUTED_VALUE"""),"CSI-000431")</f>
        <v>CSI-000431</v>
      </c>
      <c r="C66" s="50" t="str">
        <f>IFERROR(__xludf.DUMMYFUNCTION("""COMPUTED_VALUE"""),"KARRJACKSON INDUSTRIES")</f>
        <v>KARRJACKSON INDUSTRIES</v>
      </c>
      <c r="D66" s="180">
        <f>IFERROR(__xludf.DUMMYFUNCTION("""COMPUTED_VALUE"""),1515.0)</f>
        <v>1515</v>
      </c>
      <c r="E66" s="183"/>
      <c r="F66" s="50">
        <v>0.0</v>
      </c>
      <c r="G66" s="181">
        <f t="shared" si="1"/>
        <v>1515</v>
      </c>
      <c r="H66" s="50"/>
      <c r="I66" s="50"/>
      <c r="J66" s="50" t="s">
        <v>1512</v>
      </c>
    </row>
    <row r="67" ht="22.5" customHeight="1">
      <c r="A67" s="179">
        <f>IFERROR(__xludf.DUMMYFUNCTION("""COMPUTED_VALUE"""),46245.0)</f>
        <v>46245</v>
      </c>
      <c r="B67" s="50" t="str">
        <f>IFERROR(__xludf.DUMMYFUNCTION("""COMPUTED_VALUE"""),"CSI-000432")</f>
        <v>CSI-000432</v>
      </c>
      <c r="C67" s="50" t="str">
        <f>IFERROR(__xludf.DUMMYFUNCTION("""COMPUTED_VALUE"""),"KARRJACKSON INDUSTRIES")</f>
        <v>KARRJACKSON INDUSTRIES</v>
      </c>
      <c r="D67" s="180">
        <f>IFERROR(__xludf.DUMMYFUNCTION("""COMPUTED_VALUE"""),100.0)</f>
        <v>100</v>
      </c>
      <c r="E67" s="183"/>
      <c r="F67" s="50">
        <v>0.0</v>
      </c>
      <c r="G67" s="181">
        <f t="shared" si="1"/>
        <v>100</v>
      </c>
      <c r="H67" s="50"/>
      <c r="I67" s="50"/>
      <c r="J67" s="50" t="s">
        <v>1512</v>
      </c>
    </row>
    <row r="68" ht="22.5" customHeight="1">
      <c r="A68" s="179">
        <f>IFERROR(__xludf.DUMMYFUNCTION("""COMPUTED_VALUE"""),46245.0)</f>
        <v>46245</v>
      </c>
      <c r="B68" s="50" t="str">
        <f>IFERROR(__xludf.DUMMYFUNCTION("""COMPUTED_VALUE"""),"CSI-000433")</f>
        <v>CSI-000433</v>
      </c>
      <c r="C68" s="50" t="str">
        <f>IFERROR(__xludf.DUMMYFUNCTION("""COMPUTED_VALUE"""),"ERT ENTERPRISES")</f>
        <v>ERT ENTERPRISES</v>
      </c>
      <c r="D68" s="180">
        <f>IFERROR(__xludf.DUMMYFUNCTION("""COMPUTED_VALUE"""),7240.0)</f>
        <v>7240</v>
      </c>
      <c r="E68" s="183"/>
      <c r="F68" s="50">
        <v>0.0</v>
      </c>
      <c r="G68" s="181">
        <f t="shared" si="1"/>
        <v>7240</v>
      </c>
      <c r="H68" s="50"/>
      <c r="I68" s="50"/>
      <c r="J68" s="50"/>
    </row>
    <row r="69" ht="22.5" customHeight="1">
      <c r="A69" s="179">
        <f>IFERROR(__xludf.DUMMYFUNCTION("""COMPUTED_VALUE"""),46247.0)</f>
        <v>46247</v>
      </c>
      <c r="B69" s="50" t="str">
        <f>IFERROR(__xludf.DUMMYFUNCTION("""COMPUTED_VALUE"""),"CSI-000434")</f>
        <v>CSI-000434</v>
      </c>
      <c r="C69" s="50" t="str">
        <f>IFERROR(__xludf.DUMMYFUNCTION("""COMPUTED_VALUE"""),"KARRJACKSON INDUSTRIES")</f>
        <v>KARRJACKSON INDUSTRIES</v>
      </c>
      <c r="D69" s="180">
        <f>IFERROR(__xludf.DUMMYFUNCTION("""COMPUTED_VALUE"""),12440.0)</f>
        <v>12440</v>
      </c>
      <c r="E69" s="183"/>
      <c r="F69" s="50">
        <v>0.0</v>
      </c>
      <c r="G69" s="181">
        <f t="shared" si="1"/>
        <v>12440</v>
      </c>
      <c r="H69" s="50"/>
      <c r="I69" s="50"/>
      <c r="J69" s="50" t="s">
        <v>1512</v>
      </c>
    </row>
    <row r="70" ht="22.5" customHeight="1">
      <c r="A70" s="179">
        <f>IFERROR(__xludf.DUMMYFUNCTION("""COMPUTED_VALUE"""),46247.0)</f>
        <v>46247</v>
      </c>
      <c r="B70" s="50" t="str">
        <f>IFERROR(__xludf.DUMMYFUNCTION("""COMPUTED_VALUE"""),"CSI-000435")</f>
        <v>CSI-000435</v>
      </c>
      <c r="C70" s="50" t="str">
        <f>IFERROR(__xludf.DUMMYFUNCTION("""COMPUTED_VALUE"""),"KARRJACKSON INDUSTRIES")</f>
        <v>KARRJACKSON INDUSTRIES</v>
      </c>
      <c r="D70" s="180">
        <f>IFERROR(__xludf.DUMMYFUNCTION("""COMPUTED_VALUE"""),1000.0)</f>
        <v>1000</v>
      </c>
      <c r="E70" s="183"/>
      <c r="F70" s="50">
        <v>0.0</v>
      </c>
      <c r="G70" s="181">
        <f t="shared" si="1"/>
        <v>1000</v>
      </c>
      <c r="H70" s="50"/>
      <c r="I70" s="50"/>
      <c r="J70" s="50" t="s">
        <v>1512</v>
      </c>
    </row>
    <row r="71" ht="22.5" customHeight="1">
      <c r="A71" s="179">
        <f>IFERROR(__xludf.DUMMYFUNCTION("""COMPUTED_VALUE"""),46247.0)</f>
        <v>46247</v>
      </c>
      <c r="B71" s="50" t="str">
        <f>IFERROR(__xludf.DUMMYFUNCTION("""COMPUTED_VALUE"""),"CSI-000436")</f>
        <v>CSI-000436</v>
      </c>
      <c r="C71" s="50" t="str">
        <f>IFERROR(__xludf.DUMMYFUNCTION("""COMPUTED_VALUE"""),"KARRJACKSON INDUSTRIES")</f>
        <v>KARRJACKSON INDUSTRIES</v>
      </c>
      <c r="D71" s="180">
        <f>IFERROR(__xludf.DUMMYFUNCTION("""COMPUTED_VALUE"""),455.0)</f>
        <v>455</v>
      </c>
      <c r="E71" s="183"/>
      <c r="F71" s="50">
        <v>0.0</v>
      </c>
      <c r="G71" s="181">
        <f t="shared" si="1"/>
        <v>455</v>
      </c>
      <c r="H71" s="50"/>
      <c r="I71" s="50"/>
      <c r="J71" s="50" t="s">
        <v>1512</v>
      </c>
    </row>
    <row r="72" ht="22.5" customHeight="1">
      <c r="A72" s="179">
        <f>IFERROR(__xludf.DUMMYFUNCTION("""COMPUTED_VALUE"""),46247.0)</f>
        <v>46247</v>
      </c>
      <c r="B72" s="50" t="str">
        <f>IFERROR(__xludf.DUMMYFUNCTION("""COMPUTED_VALUE"""),"CSI-000437")</f>
        <v>CSI-000437</v>
      </c>
      <c r="C72" s="50" t="str">
        <f>IFERROR(__xludf.DUMMYFUNCTION("""COMPUTED_VALUE"""),"KARRJACKSON INDUSTRIES")</f>
        <v>KARRJACKSON INDUSTRIES</v>
      </c>
      <c r="D72" s="180">
        <f>IFERROR(__xludf.DUMMYFUNCTION("""COMPUTED_VALUE"""),2290.0)</f>
        <v>2290</v>
      </c>
      <c r="E72" s="183"/>
      <c r="F72" s="50">
        <v>0.0</v>
      </c>
      <c r="G72" s="181">
        <f t="shared" si="1"/>
        <v>2290</v>
      </c>
      <c r="H72" s="50"/>
      <c r="I72" s="50"/>
      <c r="J72" s="50" t="s">
        <v>1512</v>
      </c>
    </row>
    <row r="73" ht="22.5" customHeight="1">
      <c r="A73" s="179">
        <f>IFERROR(__xludf.DUMMYFUNCTION("""COMPUTED_VALUE"""),46248.0)</f>
        <v>46248</v>
      </c>
      <c r="B73" s="50" t="str">
        <f>IFERROR(__xludf.DUMMYFUNCTION("""COMPUTED_VALUE"""),"CSI-000438")</f>
        <v>CSI-000438</v>
      </c>
      <c r="C73" s="50" t="str">
        <f>IFERROR(__xludf.DUMMYFUNCTION("""COMPUTED_VALUE"""),"ERT ENTERPRISES")</f>
        <v>ERT ENTERPRISES</v>
      </c>
      <c r="D73" s="180">
        <f>IFERROR(__xludf.DUMMYFUNCTION("""COMPUTED_VALUE"""),1300.0)</f>
        <v>1300</v>
      </c>
      <c r="E73" s="183"/>
      <c r="F73" s="50">
        <v>0.0</v>
      </c>
      <c r="G73" s="181">
        <f t="shared" si="1"/>
        <v>1300</v>
      </c>
      <c r="H73" s="50"/>
      <c r="I73" s="50"/>
      <c r="J73" s="50"/>
    </row>
    <row r="74" ht="22.5" customHeight="1">
      <c r="A74" s="179">
        <f>IFERROR(__xludf.DUMMYFUNCTION("""COMPUTED_VALUE"""),46249.0)</f>
        <v>46249</v>
      </c>
      <c r="B74" s="50" t="str">
        <f>IFERROR(__xludf.DUMMYFUNCTION("""COMPUTED_VALUE"""),"CSI-000439")</f>
        <v>CSI-000439</v>
      </c>
      <c r="C74" s="50" t="str">
        <f>IFERROR(__xludf.DUMMYFUNCTION("""COMPUTED_VALUE"""),"KARRJACKSON INDUSTRIES")</f>
        <v>KARRJACKSON INDUSTRIES</v>
      </c>
      <c r="D74" s="180">
        <f>IFERROR(__xludf.DUMMYFUNCTION("""COMPUTED_VALUE"""),1615.0)</f>
        <v>1615</v>
      </c>
      <c r="E74" s="183"/>
      <c r="F74" s="50">
        <v>0.0</v>
      </c>
      <c r="G74" s="181">
        <f t="shared" si="1"/>
        <v>1615</v>
      </c>
      <c r="H74" s="50"/>
      <c r="I74" s="50"/>
      <c r="J74" s="50" t="s">
        <v>1512</v>
      </c>
    </row>
    <row r="75" ht="22.5" customHeight="1">
      <c r="A75" s="179">
        <f>IFERROR(__xludf.DUMMYFUNCTION("""COMPUTED_VALUE"""),46251.0)</f>
        <v>46251</v>
      </c>
      <c r="B75" s="50" t="str">
        <f>IFERROR(__xludf.DUMMYFUNCTION("""COMPUTED_VALUE"""),"CSI-000440")</f>
        <v>CSI-000440</v>
      </c>
      <c r="C75" s="50" t="str">
        <f>IFERROR(__xludf.DUMMYFUNCTION("""COMPUTED_VALUE"""),"KARRJACKSON INDUSTRIES")</f>
        <v>KARRJACKSON INDUSTRIES</v>
      </c>
      <c r="D75" s="180">
        <f>IFERROR(__xludf.DUMMYFUNCTION("""COMPUTED_VALUE"""),3865.0)</f>
        <v>3865</v>
      </c>
      <c r="E75" s="183"/>
      <c r="F75" s="50">
        <v>0.0</v>
      </c>
      <c r="G75" s="181">
        <f t="shared" si="1"/>
        <v>3865</v>
      </c>
      <c r="H75" s="50"/>
      <c r="I75" s="50"/>
      <c r="J75" s="50" t="s">
        <v>1512</v>
      </c>
    </row>
    <row r="76" ht="22.5" customHeight="1">
      <c r="A76" s="179">
        <f>IFERROR(__xludf.DUMMYFUNCTION("""COMPUTED_VALUE"""),46251.0)</f>
        <v>46251</v>
      </c>
      <c r="B76" s="50" t="str">
        <f>IFERROR(__xludf.DUMMYFUNCTION("""COMPUTED_VALUE"""),"CSI-000441")</f>
        <v>CSI-000441</v>
      </c>
      <c r="C76" s="50" t="str">
        <f>IFERROR(__xludf.DUMMYFUNCTION("""COMPUTED_VALUE"""),"KARRJACKSON INDUSTRIES")</f>
        <v>KARRJACKSON INDUSTRIES</v>
      </c>
      <c r="D76" s="180">
        <f>IFERROR(__xludf.DUMMYFUNCTION("""COMPUTED_VALUE"""),380.0)</f>
        <v>380</v>
      </c>
      <c r="E76" s="183"/>
      <c r="F76" s="50">
        <v>0.0</v>
      </c>
      <c r="G76" s="181">
        <f t="shared" si="1"/>
        <v>380</v>
      </c>
      <c r="H76" s="50"/>
      <c r="I76" s="50"/>
      <c r="J76" s="50" t="s">
        <v>1512</v>
      </c>
    </row>
    <row r="77" ht="22.5" customHeight="1">
      <c r="A77" s="179">
        <f>IFERROR(__xludf.DUMMYFUNCTION("""COMPUTED_VALUE"""),46252.0)</f>
        <v>46252</v>
      </c>
      <c r="B77" s="50" t="str">
        <f>IFERROR(__xludf.DUMMYFUNCTION("""COMPUTED_VALUE"""),"CSI-000442")</f>
        <v>CSI-000442</v>
      </c>
      <c r="C77" s="50" t="str">
        <f>IFERROR(__xludf.DUMMYFUNCTION("""COMPUTED_VALUE"""),"KARRJACKSON INDUSTRIES")</f>
        <v>KARRJACKSON INDUSTRIES</v>
      </c>
      <c r="D77" s="180">
        <f>IFERROR(__xludf.DUMMYFUNCTION("""COMPUTED_VALUE"""),480.0)</f>
        <v>480</v>
      </c>
      <c r="E77" s="183"/>
      <c r="F77" s="50">
        <v>0.0</v>
      </c>
      <c r="G77" s="181">
        <f t="shared" si="1"/>
        <v>480</v>
      </c>
      <c r="H77" s="50"/>
      <c r="I77" s="50"/>
      <c r="J77" s="50" t="s">
        <v>1512</v>
      </c>
    </row>
    <row r="78" ht="22.5" customHeight="1">
      <c r="A78" s="179">
        <f>IFERROR(__xludf.DUMMYFUNCTION("""COMPUTED_VALUE"""),46252.0)</f>
        <v>46252</v>
      </c>
      <c r="B78" s="50" t="str">
        <f>IFERROR(__xludf.DUMMYFUNCTION("""COMPUTED_VALUE"""),"CSI-000443")</f>
        <v>CSI-000443</v>
      </c>
      <c r="C78" s="50" t="str">
        <f>IFERROR(__xludf.DUMMYFUNCTION("""COMPUTED_VALUE"""),"KARRJACKSON INDUSTRIES")</f>
        <v>KARRJACKSON INDUSTRIES</v>
      </c>
      <c r="D78" s="180">
        <f>IFERROR(__xludf.DUMMYFUNCTION("""COMPUTED_VALUE"""),2455.0)</f>
        <v>2455</v>
      </c>
      <c r="E78" s="183"/>
      <c r="F78" s="50">
        <v>0.0</v>
      </c>
      <c r="G78" s="181">
        <f t="shared" si="1"/>
        <v>2455</v>
      </c>
      <c r="H78" s="50"/>
      <c r="I78" s="50"/>
      <c r="J78" s="50" t="s">
        <v>1512</v>
      </c>
    </row>
    <row r="79" ht="22.5" customHeight="1">
      <c r="A79" s="179">
        <f>IFERROR(__xludf.DUMMYFUNCTION("""COMPUTED_VALUE"""),46252.0)</f>
        <v>46252</v>
      </c>
      <c r="B79" s="50" t="str">
        <f>IFERROR(__xludf.DUMMYFUNCTION("""COMPUTED_VALUE"""),"CSI-000444")</f>
        <v>CSI-000444</v>
      </c>
      <c r="C79" s="50" t="str">
        <f>IFERROR(__xludf.DUMMYFUNCTION("""COMPUTED_VALUE"""),"KARRJACKSON INDUSTRIES")</f>
        <v>KARRJACKSON INDUSTRIES</v>
      </c>
      <c r="D79" s="180">
        <f>IFERROR(__xludf.DUMMYFUNCTION("""COMPUTED_VALUE"""),1010.0)</f>
        <v>1010</v>
      </c>
      <c r="E79" s="183"/>
      <c r="F79" s="50">
        <v>0.0</v>
      </c>
      <c r="G79" s="181">
        <f t="shared" si="1"/>
        <v>1010</v>
      </c>
      <c r="H79" s="50"/>
      <c r="I79" s="50"/>
      <c r="J79" s="50" t="s">
        <v>1512</v>
      </c>
    </row>
    <row r="80" ht="22.5" customHeight="1">
      <c r="A80" s="50"/>
      <c r="B80" s="50"/>
      <c r="C80" s="50"/>
      <c r="D80" s="180"/>
      <c r="E80" s="183"/>
      <c r="F80" s="50" t="s">
        <v>1407</v>
      </c>
      <c r="G80" s="50" t="str">
        <f t="shared" si="1"/>
        <v/>
      </c>
      <c r="H80" s="50"/>
      <c r="I80" s="50"/>
      <c r="J80" s="50" t="s">
        <v>1407</v>
      </c>
    </row>
    <row r="81" ht="22.5" customHeight="1">
      <c r="A81" s="50"/>
      <c r="B81" s="50"/>
      <c r="C81" s="50"/>
      <c r="D81" s="180"/>
      <c r="E81" s="183"/>
      <c r="F81" s="50" t="s">
        <v>1407</v>
      </c>
      <c r="G81" s="50" t="str">
        <f t="shared" si="1"/>
        <v/>
      </c>
      <c r="H81" s="50"/>
      <c r="I81" s="50"/>
      <c r="J81" s="50" t="s">
        <v>1407</v>
      </c>
    </row>
    <row r="82" ht="22.5" customHeight="1">
      <c r="A82" s="50"/>
      <c r="B82" s="50"/>
      <c r="C82" s="50"/>
      <c r="D82" s="180"/>
      <c r="E82" s="183"/>
      <c r="F82" s="50" t="s">
        <v>1407</v>
      </c>
      <c r="G82" s="50" t="str">
        <f t="shared" si="1"/>
        <v/>
      </c>
      <c r="H82" s="50"/>
      <c r="I82" s="50"/>
      <c r="J82" s="50" t="s">
        <v>1407</v>
      </c>
    </row>
    <row r="83" ht="22.5" customHeight="1">
      <c r="A83" s="50"/>
      <c r="B83" s="50"/>
      <c r="C83" s="50"/>
      <c r="D83" s="180"/>
      <c r="E83" s="183"/>
      <c r="F83" s="50" t="s">
        <v>1407</v>
      </c>
      <c r="G83" s="50" t="str">
        <f t="shared" si="1"/>
        <v/>
      </c>
      <c r="H83" s="50"/>
      <c r="I83" s="50"/>
      <c r="J83" s="50" t="s">
        <v>1407</v>
      </c>
    </row>
    <row r="84" ht="22.5" customHeight="1">
      <c r="A84" s="50"/>
      <c r="B84" s="50"/>
      <c r="C84" s="50"/>
      <c r="D84" s="180"/>
      <c r="E84" s="183"/>
      <c r="F84" s="50" t="s">
        <v>1407</v>
      </c>
      <c r="G84" s="50" t="str">
        <f t="shared" si="1"/>
        <v/>
      </c>
      <c r="H84" s="50"/>
      <c r="I84" s="50"/>
      <c r="J84" s="50" t="s">
        <v>1407</v>
      </c>
    </row>
    <row r="85" ht="22.5" customHeight="1">
      <c r="A85" s="50"/>
      <c r="B85" s="50"/>
      <c r="C85" s="50"/>
      <c r="D85" s="180"/>
      <c r="E85" s="183"/>
      <c r="F85" s="50" t="s">
        <v>1407</v>
      </c>
      <c r="G85" s="50" t="str">
        <f t="shared" si="1"/>
        <v/>
      </c>
      <c r="H85" s="50"/>
      <c r="I85" s="50"/>
      <c r="J85" s="50" t="s">
        <v>1407</v>
      </c>
    </row>
    <row r="86" ht="22.5" customHeight="1">
      <c r="A86" s="50"/>
      <c r="B86" s="50"/>
      <c r="C86" s="50"/>
      <c r="D86" s="180"/>
      <c r="E86" s="183"/>
      <c r="F86" s="50" t="s">
        <v>1407</v>
      </c>
      <c r="G86" s="50" t="str">
        <f t="shared" si="1"/>
        <v/>
      </c>
      <c r="H86" s="50"/>
      <c r="I86" s="50"/>
      <c r="J86" s="50" t="s">
        <v>1407</v>
      </c>
    </row>
    <row r="87" ht="22.5" customHeight="1">
      <c r="A87" s="50"/>
      <c r="B87" s="50"/>
      <c r="C87" s="50"/>
      <c r="D87" s="180"/>
      <c r="E87" s="183"/>
      <c r="F87" s="50" t="s">
        <v>1407</v>
      </c>
      <c r="G87" s="50" t="str">
        <f t="shared" si="1"/>
        <v/>
      </c>
      <c r="H87" s="50"/>
      <c r="I87" s="50"/>
      <c r="J87" s="50" t="s">
        <v>1407</v>
      </c>
    </row>
    <row r="88" ht="22.5" customHeight="1">
      <c r="A88" s="50"/>
      <c r="B88" s="50"/>
      <c r="C88" s="50"/>
      <c r="D88" s="180"/>
      <c r="E88" s="183"/>
      <c r="F88" s="50" t="s">
        <v>1407</v>
      </c>
      <c r="G88" s="50" t="str">
        <f t="shared" si="1"/>
        <v/>
      </c>
      <c r="H88" s="50"/>
      <c r="I88" s="50"/>
      <c r="J88" s="50" t="s">
        <v>1407</v>
      </c>
    </row>
    <row r="89" ht="22.5" customHeight="1">
      <c r="A89" s="50"/>
      <c r="B89" s="50"/>
      <c r="C89" s="50"/>
      <c r="D89" s="180"/>
      <c r="E89" s="183"/>
      <c r="F89" s="50" t="s">
        <v>1407</v>
      </c>
      <c r="G89" s="50" t="str">
        <f t="shared" si="1"/>
        <v/>
      </c>
      <c r="H89" s="50"/>
      <c r="I89" s="50"/>
      <c r="J89" s="50" t="s">
        <v>1407</v>
      </c>
    </row>
    <row r="90" ht="22.5" customHeight="1">
      <c r="A90" s="50"/>
      <c r="B90" s="50"/>
      <c r="C90" s="50"/>
      <c r="D90" s="180"/>
      <c r="E90" s="183"/>
      <c r="F90" s="50" t="s">
        <v>1407</v>
      </c>
      <c r="G90" s="50" t="str">
        <f t="shared" si="1"/>
        <v/>
      </c>
      <c r="H90" s="50"/>
      <c r="I90" s="50"/>
      <c r="J90" s="50" t="s">
        <v>1407</v>
      </c>
    </row>
    <row r="91" ht="22.5" customHeight="1">
      <c r="A91" s="50"/>
      <c r="B91" s="50"/>
      <c r="C91" s="50"/>
      <c r="D91" s="180"/>
      <c r="E91" s="183"/>
      <c r="F91" s="50" t="s">
        <v>1407</v>
      </c>
      <c r="G91" s="50" t="str">
        <f t="shared" si="1"/>
        <v/>
      </c>
      <c r="H91" s="50"/>
      <c r="I91" s="50"/>
      <c r="J91" s="50" t="s">
        <v>1407</v>
      </c>
    </row>
    <row r="92" ht="22.5" customHeight="1">
      <c r="A92" s="50"/>
      <c r="B92" s="50"/>
      <c r="C92" s="50"/>
      <c r="D92" s="180"/>
      <c r="E92" s="183"/>
      <c r="F92" s="50" t="s">
        <v>1407</v>
      </c>
      <c r="G92" s="50" t="str">
        <f t="shared" si="1"/>
        <v/>
      </c>
      <c r="H92" s="50"/>
      <c r="I92" s="50"/>
      <c r="J92" s="50" t="s">
        <v>1407</v>
      </c>
    </row>
    <row r="93" ht="22.5" customHeight="1">
      <c r="A93" s="50"/>
      <c r="B93" s="50"/>
      <c r="C93" s="50"/>
      <c r="D93" s="180"/>
      <c r="E93" s="183"/>
      <c r="F93" s="50" t="s">
        <v>1407</v>
      </c>
      <c r="G93" s="50" t="str">
        <f t="shared" si="1"/>
        <v/>
      </c>
      <c r="H93" s="50"/>
      <c r="I93" s="50"/>
      <c r="J93" s="50" t="s">
        <v>1407</v>
      </c>
    </row>
    <row r="94" ht="22.5" customHeight="1">
      <c r="A94" s="50"/>
      <c r="B94" s="50"/>
      <c r="C94" s="50"/>
      <c r="D94" s="180"/>
      <c r="E94" s="183"/>
      <c r="F94" s="50" t="s">
        <v>1407</v>
      </c>
      <c r="G94" s="50" t="str">
        <f t="shared" si="1"/>
        <v/>
      </c>
      <c r="H94" s="50"/>
      <c r="I94" s="50"/>
      <c r="J94" s="50" t="s">
        <v>1407</v>
      </c>
    </row>
    <row r="95" ht="22.5" customHeight="1">
      <c r="A95" s="50"/>
      <c r="B95" s="50"/>
      <c r="C95" s="50"/>
      <c r="D95" s="180"/>
      <c r="E95" s="183"/>
      <c r="F95" s="50" t="s">
        <v>1407</v>
      </c>
      <c r="G95" s="50" t="str">
        <f t="shared" si="1"/>
        <v/>
      </c>
      <c r="H95" s="50"/>
      <c r="I95" s="50"/>
      <c r="J95" s="50" t="s">
        <v>1407</v>
      </c>
    </row>
    <row r="96" ht="22.5" customHeight="1">
      <c r="A96" s="50"/>
      <c r="B96" s="50"/>
      <c r="C96" s="50"/>
      <c r="D96" s="180"/>
      <c r="E96" s="183"/>
      <c r="F96" s="50" t="s">
        <v>1407</v>
      </c>
      <c r="G96" s="50" t="str">
        <f t="shared" si="1"/>
        <v/>
      </c>
      <c r="H96" s="50"/>
      <c r="I96" s="50"/>
      <c r="J96" s="50" t="s">
        <v>1407</v>
      </c>
    </row>
    <row r="97" ht="22.5" customHeight="1">
      <c r="A97" s="50"/>
      <c r="B97" s="50"/>
      <c r="C97" s="50"/>
      <c r="D97" s="180"/>
      <c r="E97" s="183"/>
      <c r="F97" s="50" t="s">
        <v>1407</v>
      </c>
      <c r="G97" s="50" t="str">
        <f t="shared" si="1"/>
        <v/>
      </c>
      <c r="H97" s="50"/>
      <c r="I97" s="50"/>
      <c r="J97" s="50" t="s">
        <v>1407</v>
      </c>
    </row>
    <row r="98" ht="22.5" customHeight="1">
      <c r="A98" s="50"/>
      <c r="B98" s="50"/>
      <c r="C98" s="50"/>
      <c r="D98" s="180"/>
      <c r="E98" s="183"/>
      <c r="F98" s="50" t="s">
        <v>1407</v>
      </c>
      <c r="G98" s="50" t="str">
        <f t="shared" si="1"/>
        <v/>
      </c>
      <c r="H98" s="50"/>
      <c r="I98" s="50"/>
      <c r="J98" s="50" t="s">
        <v>1407</v>
      </c>
    </row>
    <row r="99" ht="22.5" customHeight="1">
      <c r="A99" s="50"/>
      <c r="B99" s="50"/>
      <c r="C99" s="50"/>
      <c r="D99" s="180"/>
      <c r="E99" s="183"/>
      <c r="F99" s="50" t="s">
        <v>1407</v>
      </c>
      <c r="G99" s="50" t="str">
        <f t="shared" si="1"/>
        <v/>
      </c>
      <c r="H99" s="50"/>
      <c r="I99" s="50"/>
      <c r="J99" s="50" t="s">
        <v>1407</v>
      </c>
    </row>
    <row r="100" ht="22.5" customHeight="1">
      <c r="A100" s="50"/>
      <c r="B100" s="50"/>
      <c r="C100" s="50"/>
      <c r="D100" s="180"/>
      <c r="E100" s="183"/>
      <c r="F100" s="50" t="s">
        <v>1407</v>
      </c>
      <c r="G100" s="50" t="str">
        <f t="shared" si="1"/>
        <v/>
      </c>
      <c r="H100" s="50"/>
      <c r="I100" s="50"/>
      <c r="J100" s="50" t="s">
        <v>1407</v>
      </c>
    </row>
    <row r="101" ht="22.5" customHeight="1">
      <c r="A101" s="50"/>
      <c r="B101" s="50"/>
      <c r="C101" s="50"/>
      <c r="D101" s="180"/>
      <c r="E101" s="183"/>
      <c r="F101" s="50" t="s">
        <v>1407</v>
      </c>
      <c r="G101" s="50" t="str">
        <f t="shared" si="1"/>
        <v/>
      </c>
      <c r="H101" s="50"/>
      <c r="I101" s="50"/>
      <c r="J101" s="50" t="s">
        <v>1407</v>
      </c>
    </row>
    <row r="102" ht="22.5" customHeight="1">
      <c r="A102" s="50"/>
      <c r="B102" s="50"/>
      <c r="C102" s="50"/>
      <c r="D102" s="180"/>
      <c r="E102" s="183"/>
      <c r="F102" s="50" t="s">
        <v>1407</v>
      </c>
      <c r="G102" s="50" t="str">
        <f t="shared" si="1"/>
        <v/>
      </c>
      <c r="H102" s="50"/>
      <c r="I102" s="50"/>
      <c r="J102" s="50" t="s">
        <v>1407</v>
      </c>
    </row>
    <row r="103" ht="22.5" customHeight="1">
      <c r="A103" s="50"/>
      <c r="B103" s="50"/>
      <c r="C103" s="50"/>
      <c r="D103" s="180"/>
      <c r="E103" s="183"/>
      <c r="F103" s="50" t="s">
        <v>1407</v>
      </c>
      <c r="G103" s="50" t="str">
        <f t="shared" si="1"/>
        <v/>
      </c>
      <c r="H103" s="50"/>
      <c r="I103" s="50"/>
      <c r="J103" s="50" t="s">
        <v>1407</v>
      </c>
    </row>
    <row r="104" ht="22.5" customHeight="1">
      <c r="A104" s="50"/>
      <c r="B104" s="50"/>
      <c r="C104" s="50"/>
      <c r="D104" s="180"/>
      <c r="E104" s="183"/>
      <c r="F104" s="50" t="s">
        <v>1407</v>
      </c>
      <c r="G104" s="50" t="str">
        <f t="shared" si="1"/>
        <v/>
      </c>
      <c r="H104" s="50"/>
      <c r="I104" s="50"/>
      <c r="J104" s="50" t="s">
        <v>1407</v>
      </c>
    </row>
    <row r="105" ht="22.5" customHeight="1">
      <c r="A105" s="50"/>
      <c r="B105" s="50"/>
      <c r="C105" s="50"/>
      <c r="D105" s="180"/>
      <c r="E105" s="183"/>
      <c r="F105" s="50" t="s">
        <v>1407</v>
      </c>
      <c r="G105" s="50" t="str">
        <f t="shared" si="1"/>
        <v/>
      </c>
      <c r="H105" s="50"/>
      <c r="I105" s="50"/>
      <c r="J105" s="50" t="s">
        <v>1407</v>
      </c>
    </row>
    <row r="106" ht="22.5" customHeight="1">
      <c r="A106" s="50"/>
      <c r="B106" s="50"/>
      <c r="C106" s="50"/>
      <c r="D106" s="180"/>
      <c r="E106" s="183"/>
      <c r="F106" s="50" t="s">
        <v>1407</v>
      </c>
      <c r="G106" s="50" t="str">
        <f t="shared" si="1"/>
        <v/>
      </c>
      <c r="H106" s="50"/>
      <c r="I106" s="50"/>
      <c r="J106" s="50" t="s">
        <v>1407</v>
      </c>
    </row>
    <row r="107" ht="22.5" customHeight="1">
      <c r="A107" s="50"/>
      <c r="B107" s="50"/>
      <c r="C107" s="50"/>
      <c r="D107" s="180"/>
      <c r="E107" s="183"/>
      <c r="F107" s="50" t="s">
        <v>1407</v>
      </c>
      <c r="G107" s="50" t="str">
        <f t="shared" si="1"/>
        <v/>
      </c>
      <c r="H107" s="50"/>
      <c r="I107" s="50"/>
      <c r="J107" s="50" t="s">
        <v>1407</v>
      </c>
    </row>
    <row r="108" ht="22.5" customHeight="1">
      <c r="A108" s="50"/>
      <c r="B108" s="50"/>
      <c r="C108" s="50"/>
      <c r="D108" s="180"/>
      <c r="E108" s="183"/>
      <c r="F108" s="50" t="s">
        <v>1407</v>
      </c>
      <c r="G108" s="50" t="str">
        <f t="shared" si="1"/>
        <v/>
      </c>
      <c r="H108" s="50"/>
      <c r="I108" s="50"/>
      <c r="J108" s="50" t="s">
        <v>1407</v>
      </c>
    </row>
    <row r="109" ht="22.5" customHeight="1">
      <c r="A109" s="50"/>
      <c r="B109" s="50"/>
      <c r="C109" s="50"/>
      <c r="D109" s="180"/>
      <c r="E109" s="183"/>
      <c r="F109" s="50" t="s">
        <v>1407</v>
      </c>
      <c r="G109" s="50" t="str">
        <f t="shared" si="1"/>
        <v/>
      </c>
      <c r="H109" s="50"/>
      <c r="I109" s="50"/>
      <c r="J109" s="50" t="s">
        <v>1407</v>
      </c>
    </row>
    <row r="110" ht="22.5" customHeight="1">
      <c r="A110" s="50"/>
      <c r="B110" s="50"/>
      <c r="C110" s="50"/>
      <c r="D110" s="180"/>
      <c r="E110" s="183"/>
      <c r="F110" s="50" t="s">
        <v>1407</v>
      </c>
      <c r="G110" s="50" t="str">
        <f t="shared" si="1"/>
        <v/>
      </c>
      <c r="H110" s="50"/>
      <c r="I110" s="50"/>
      <c r="J110" s="50" t="s">
        <v>1407</v>
      </c>
    </row>
    <row r="111" ht="22.5" customHeight="1">
      <c r="A111" s="50"/>
      <c r="B111" s="50"/>
      <c r="C111" s="50"/>
      <c r="D111" s="180"/>
      <c r="E111" s="183"/>
      <c r="F111" s="50" t="s">
        <v>1407</v>
      </c>
      <c r="G111" s="50" t="str">
        <f t="shared" si="1"/>
        <v/>
      </c>
      <c r="H111" s="50"/>
      <c r="I111" s="50"/>
      <c r="J111" s="50" t="s">
        <v>1407</v>
      </c>
    </row>
    <row r="112" ht="22.5" customHeight="1">
      <c r="A112" s="50"/>
      <c r="B112" s="50"/>
      <c r="C112" s="50"/>
      <c r="D112" s="180"/>
      <c r="E112" s="183"/>
      <c r="F112" s="50" t="s">
        <v>1407</v>
      </c>
      <c r="G112" s="50" t="str">
        <f t="shared" si="1"/>
        <v/>
      </c>
      <c r="H112" s="50"/>
      <c r="I112" s="50"/>
      <c r="J112" s="50" t="s">
        <v>1407</v>
      </c>
    </row>
    <row r="113" ht="22.5" customHeight="1">
      <c r="A113" s="50"/>
      <c r="B113" s="50"/>
      <c r="C113" s="50"/>
      <c r="D113" s="180"/>
      <c r="E113" s="183"/>
      <c r="F113" s="50" t="s">
        <v>1407</v>
      </c>
      <c r="G113" s="50" t="str">
        <f t="shared" si="1"/>
        <v/>
      </c>
      <c r="H113" s="50"/>
      <c r="I113" s="50"/>
      <c r="J113" s="50" t="s">
        <v>1407</v>
      </c>
    </row>
    <row r="114" ht="22.5" customHeight="1">
      <c r="A114" s="50"/>
      <c r="B114" s="50"/>
      <c r="C114" s="50"/>
      <c r="D114" s="180"/>
      <c r="E114" s="183"/>
      <c r="F114" s="50" t="s">
        <v>1407</v>
      </c>
      <c r="G114" s="50" t="str">
        <f t="shared" si="1"/>
        <v/>
      </c>
      <c r="H114" s="50"/>
      <c r="I114" s="50"/>
      <c r="J114" s="50" t="s">
        <v>1407</v>
      </c>
    </row>
    <row r="115" ht="22.5" customHeight="1">
      <c r="A115" s="50"/>
      <c r="B115" s="50"/>
      <c r="C115" s="50"/>
      <c r="D115" s="180"/>
      <c r="E115" s="183"/>
      <c r="F115" s="50" t="s">
        <v>1407</v>
      </c>
      <c r="G115" s="50" t="str">
        <f t="shared" si="1"/>
        <v/>
      </c>
      <c r="H115" s="50"/>
      <c r="I115" s="50"/>
      <c r="J115" s="50" t="s">
        <v>1407</v>
      </c>
    </row>
    <row r="116" ht="22.5" customHeight="1">
      <c r="A116" s="50"/>
      <c r="B116" s="50"/>
      <c r="C116" s="50"/>
      <c r="D116" s="180"/>
      <c r="E116" s="183"/>
      <c r="F116" s="50" t="s">
        <v>1407</v>
      </c>
      <c r="G116" s="50" t="str">
        <f t="shared" si="1"/>
        <v/>
      </c>
      <c r="H116" s="50"/>
      <c r="I116" s="50"/>
      <c r="J116" s="50" t="s">
        <v>1407</v>
      </c>
    </row>
    <row r="117" ht="22.5" customHeight="1">
      <c r="A117" s="50"/>
      <c r="B117" s="50"/>
      <c r="C117" s="50"/>
      <c r="D117" s="180"/>
      <c r="E117" s="183"/>
      <c r="F117" s="50" t="s">
        <v>1407</v>
      </c>
      <c r="G117" s="50" t="str">
        <f t="shared" si="1"/>
        <v/>
      </c>
      <c r="H117" s="50"/>
      <c r="I117" s="50"/>
      <c r="J117" s="50" t="s">
        <v>1407</v>
      </c>
    </row>
    <row r="118" ht="22.5" customHeight="1">
      <c r="A118" s="50"/>
      <c r="B118" s="50"/>
      <c r="C118" s="50"/>
      <c r="D118" s="180"/>
      <c r="E118" s="183"/>
      <c r="F118" s="50" t="s">
        <v>1407</v>
      </c>
      <c r="G118" s="50" t="str">
        <f t="shared" si="1"/>
        <v/>
      </c>
      <c r="H118" s="50"/>
      <c r="I118" s="50"/>
      <c r="J118" s="50" t="s">
        <v>1407</v>
      </c>
    </row>
    <row r="119" ht="22.5" customHeight="1">
      <c r="A119" s="50"/>
      <c r="B119" s="50"/>
      <c r="C119" s="50"/>
      <c r="D119" s="180"/>
      <c r="E119" s="183"/>
      <c r="F119" s="50" t="s">
        <v>1407</v>
      </c>
      <c r="G119" s="50" t="str">
        <f t="shared" si="1"/>
        <v/>
      </c>
      <c r="H119" s="50"/>
      <c r="I119" s="50"/>
      <c r="J119" s="50" t="s">
        <v>1407</v>
      </c>
    </row>
    <row r="120" ht="22.5" customHeight="1">
      <c r="A120" s="50"/>
      <c r="B120" s="50"/>
      <c r="C120" s="50"/>
      <c r="D120" s="180"/>
      <c r="E120" s="183"/>
      <c r="F120" s="50" t="s">
        <v>1407</v>
      </c>
      <c r="G120" s="50" t="str">
        <f t="shared" si="1"/>
        <v/>
      </c>
      <c r="H120" s="50"/>
      <c r="I120" s="50"/>
      <c r="J120" s="50" t="s">
        <v>1407</v>
      </c>
    </row>
    <row r="121" ht="22.5" customHeight="1">
      <c r="A121" s="50"/>
      <c r="B121" s="50"/>
      <c r="C121" s="50"/>
      <c r="D121" s="180"/>
      <c r="E121" s="183"/>
      <c r="F121" s="50" t="s">
        <v>1407</v>
      </c>
      <c r="G121" s="50" t="str">
        <f t="shared" si="1"/>
        <v/>
      </c>
      <c r="H121" s="50"/>
      <c r="I121" s="50"/>
      <c r="J121" s="50" t="s">
        <v>1407</v>
      </c>
    </row>
    <row r="122" ht="22.5" customHeight="1">
      <c r="A122" s="50"/>
      <c r="B122" s="50"/>
      <c r="C122" s="50"/>
      <c r="D122" s="180"/>
      <c r="E122" s="183"/>
      <c r="F122" s="50" t="s">
        <v>1407</v>
      </c>
      <c r="G122" s="50" t="str">
        <f t="shared" si="1"/>
        <v/>
      </c>
      <c r="H122" s="50"/>
      <c r="I122" s="50"/>
      <c r="J122" s="50" t="s">
        <v>1407</v>
      </c>
    </row>
    <row r="123" ht="22.5" customHeight="1">
      <c r="A123" s="50"/>
      <c r="B123" s="50"/>
      <c r="C123" s="50"/>
      <c r="D123" s="180"/>
      <c r="E123" s="183"/>
      <c r="F123" s="50" t="s">
        <v>1407</v>
      </c>
      <c r="G123" s="50" t="str">
        <f t="shared" si="1"/>
        <v/>
      </c>
      <c r="H123" s="50"/>
      <c r="I123" s="50"/>
      <c r="J123" s="50" t="s">
        <v>1407</v>
      </c>
    </row>
    <row r="124" ht="22.5" customHeight="1">
      <c r="A124" s="50"/>
      <c r="B124" s="50"/>
      <c r="C124" s="50"/>
      <c r="D124" s="180"/>
      <c r="E124" s="183"/>
      <c r="F124" s="50" t="s">
        <v>1407</v>
      </c>
      <c r="G124" s="50" t="str">
        <f t="shared" si="1"/>
        <v/>
      </c>
      <c r="H124" s="50"/>
      <c r="I124" s="50"/>
      <c r="J124" s="50" t="s">
        <v>1407</v>
      </c>
    </row>
    <row r="125" ht="22.5" customHeight="1">
      <c r="A125" s="50"/>
      <c r="B125" s="50"/>
      <c r="C125" s="50"/>
      <c r="D125" s="180"/>
      <c r="E125" s="183"/>
      <c r="F125" s="50" t="s">
        <v>1407</v>
      </c>
      <c r="G125" s="50" t="str">
        <f t="shared" si="1"/>
        <v/>
      </c>
      <c r="H125" s="50"/>
      <c r="I125" s="50"/>
      <c r="J125" s="50" t="s">
        <v>1407</v>
      </c>
    </row>
    <row r="126" ht="22.5" customHeight="1">
      <c r="A126" s="50"/>
      <c r="B126" s="50"/>
      <c r="C126" s="50"/>
      <c r="D126" s="180"/>
      <c r="E126" s="183"/>
      <c r="F126" s="50" t="s">
        <v>1407</v>
      </c>
      <c r="G126" s="50" t="str">
        <f t="shared" si="1"/>
        <v/>
      </c>
      <c r="H126" s="50"/>
      <c r="I126" s="50"/>
      <c r="J126" s="50" t="s">
        <v>1407</v>
      </c>
    </row>
    <row r="127" ht="22.5" customHeight="1">
      <c r="A127" s="50"/>
      <c r="B127" s="50"/>
      <c r="C127" s="50"/>
      <c r="D127" s="180"/>
      <c r="E127" s="183"/>
      <c r="F127" s="50" t="s">
        <v>1407</v>
      </c>
      <c r="G127" s="50" t="str">
        <f t="shared" si="1"/>
        <v/>
      </c>
      <c r="H127" s="50"/>
      <c r="I127" s="50"/>
      <c r="J127" s="50" t="s">
        <v>1407</v>
      </c>
    </row>
    <row r="128" ht="22.5" customHeight="1">
      <c r="A128" s="50"/>
      <c r="B128" s="50"/>
      <c r="C128" s="50"/>
      <c r="D128" s="180"/>
      <c r="E128" s="183"/>
      <c r="F128" s="50" t="s">
        <v>1407</v>
      </c>
      <c r="G128" s="50" t="str">
        <f t="shared" si="1"/>
        <v/>
      </c>
      <c r="H128" s="50"/>
      <c r="I128" s="50"/>
      <c r="J128" s="50" t="s">
        <v>1407</v>
      </c>
    </row>
    <row r="129" ht="22.5" customHeight="1">
      <c r="A129" s="50"/>
      <c r="B129" s="50"/>
      <c r="C129" s="50"/>
      <c r="D129" s="180"/>
      <c r="E129" s="183"/>
      <c r="F129" s="50" t="s">
        <v>1407</v>
      </c>
      <c r="G129" s="50" t="str">
        <f t="shared" si="1"/>
        <v/>
      </c>
      <c r="H129" s="50"/>
      <c r="I129" s="50"/>
      <c r="J129" s="50" t="s">
        <v>1407</v>
      </c>
    </row>
    <row r="130" ht="22.5" customHeight="1">
      <c r="A130" s="50"/>
      <c r="B130" s="50"/>
      <c r="C130" s="50"/>
      <c r="D130" s="180"/>
      <c r="E130" s="183"/>
      <c r="F130" s="50" t="s">
        <v>1407</v>
      </c>
      <c r="G130" s="50" t="str">
        <f t="shared" si="1"/>
        <v/>
      </c>
      <c r="H130" s="50"/>
      <c r="I130" s="50"/>
      <c r="J130" s="50" t="s">
        <v>1407</v>
      </c>
    </row>
    <row r="131" ht="22.5" customHeight="1">
      <c r="A131" s="50"/>
      <c r="B131" s="50"/>
      <c r="C131" s="50"/>
      <c r="D131" s="180"/>
      <c r="E131" s="183"/>
      <c r="F131" s="50" t="s">
        <v>1407</v>
      </c>
      <c r="G131" s="50" t="str">
        <f t="shared" si="1"/>
        <v/>
      </c>
      <c r="H131" s="50"/>
      <c r="I131" s="50"/>
      <c r="J131" s="50" t="s">
        <v>1407</v>
      </c>
    </row>
    <row r="132" ht="22.5" customHeight="1">
      <c r="A132" s="50"/>
      <c r="B132" s="50"/>
      <c r="C132" s="50"/>
      <c r="D132" s="180"/>
      <c r="E132" s="183"/>
      <c r="F132" s="50" t="s">
        <v>1407</v>
      </c>
      <c r="G132" s="50" t="str">
        <f t="shared" si="1"/>
        <v/>
      </c>
      <c r="H132" s="50"/>
      <c r="I132" s="50"/>
      <c r="J132" s="50" t="s">
        <v>1407</v>
      </c>
    </row>
    <row r="133" ht="22.5" customHeight="1">
      <c r="A133" s="50"/>
      <c r="B133" s="50"/>
      <c r="C133" s="50"/>
      <c r="D133" s="180"/>
      <c r="E133" s="183"/>
      <c r="F133" s="50" t="s">
        <v>1407</v>
      </c>
      <c r="G133" s="50" t="str">
        <f t="shared" si="1"/>
        <v/>
      </c>
      <c r="H133" s="50"/>
      <c r="I133" s="50"/>
      <c r="J133" s="50" t="s">
        <v>1407</v>
      </c>
    </row>
    <row r="134" ht="22.5" customHeight="1">
      <c r="A134" s="50"/>
      <c r="B134" s="50"/>
      <c r="C134" s="50"/>
      <c r="D134" s="180"/>
      <c r="E134" s="183"/>
      <c r="F134" s="50" t="s">
        <v>1407</v>
      </c>
      <c r="G134" s="50" t="str">
        <f t="shared" si="1"/>
        <v/>
      </c>
      <c r="H134" s="50"/>
      <c r="I134" s="50"/>
      <c r="J134" s="50" t="s">
        <v>1407</v>
      </c>
    </row>
    <row r="135" ht="22.5" customHeight="1">
      <c r="A135" s="50"/>
      <c r="B135" s="50"/>
      <c r="C135" s="50"/>
      <c r="D135" s="180"/>
      <c r="E135" s="183"/>
      <c r="F135" s="50" t="s">
        <v>1407</v>
      </c>
      <c r="G135" s="50" t="str">
        <f t="shared" si="1"/>
        <v/>
      </c>
      <c r="H135" s="50"/>
      <c r="I135" s="50"/>
      <c r="J135" s="50" t="s">
        <v>1407</v>
      </c>
    </row>
    <row r="136" ht="22.5" customHeight="1">
      <c r="A136" s="50"/>
      <c r="B136" s="50"/>
      <c r="C136" s="50"/>
      <c r="D136" s="180"/>
      <c r="E136" s="183"/>
      <c r="F136" s="50" t="s">
        <v>1407</v>
      </c>
      <c r="G136" s="50" t="str">
        <f t="shared" si="1"/>
        <v/>
      </c>
      <c r="H136" s="50"/>
      <c r="I136" s="50"/>
      <c r="J136" s="50" t="s">
        <v>1407</v>
      </c>
    </row>
    <row r="137" ht="22.5" customHeight="1">
      <c r="A137" s="50"/>
      <c r="B137" s="50"/>
      <c r="C137" s="50"/>
      <c r="D137" s="180"/>
      <c r="E137" s="183"/>
      <c r="F137" s="50" t="s">
        <v>1407</v>
      </c>
      <c r="G137" s="50" t="str">
        <f t="shared" si="1"/>
        <v/>
      </c>
      <c r="H137" s="50"/>
      <c r="I137" s="50"/>
      <c r="J137" s="50" t="s">
        <v>1407</v>
      </c>
    </row>
    <row r="138" ht="22.5" customHeight="1">
      <c r="A138" s="50"/>
      <c r="B138" s="50"/>
      <c r="C138" s="50"/>
      <c r="D138" s="180"/>
      <c r="E138" s="183"/>
      <c r="F138" s="50" t="s">
        <v>1407</v>
      </c>
      <c r="G138" s="50" t="str">
        <f t="shared" si="1"/>
        <v/>
      </c>
      <c r="H138" s="50"/>
      <c r="I138" s="50"/>
      <c r="J138" s="50" t="s">
        <v>1407</v>
      </c>
    </row>
    <row r="139" ht="22.5" customHeight="1">
      <c r="A139" s="50"/>
      <c r="B139" s="50"/>
      <c r="C139" s="50"/>
      <c r="D139" s="180"/>
      <c r="E139" s="183"/>
      <c r="F139" s="50" t="s">
        <v>1407</v>
      </c>
      <c r="G139" s="50" t="str">
        <f t="shared" si="1"/>
        <v/>
      </c>
      <c r="H139" s="50"/>
      <c r="I139" s="50"/>
      <c r="J139" s="50" t="s">
        <v>1407</v>
      </c>
    </row>
    <row r="140" ht="22.5" customHeight="1">
      <c r="A140" s="50"/>
      <c r="B140" s="50"/>
      <c r="C140" s="50"/>
      <c r="D140" s="180"/>
      <c r="E140" s="183"/>
      <c r="F140" s="50" t="s">
        <v>1407</v>
      </c>
      <c r="G140" s="50" t="str">
        <f t="shared" si="1"/>
        <v/>
      </c>
      <c r="H140" s="50"/>
      <c r="I140" s="50"/>
      <c r="J140" s="50" t="s">
        <v>1407</v>
      </c>
    </row>
    <row r="141" ht="22.5" customHeight="1">
      <c r="A141" s="50"/>
      <c r="B141" s="50"/>
      <c r="C141" s="50"/>
      <c r="D141" s="180"/>
      <c r="E141" s="183"/>
      <c r="F141" s="50" t="s">
        <v>1407</v>
      </c>
      <c r="G141" s="50" t="str">
        <f t="shared" si="1"/>
        <v/>
      </c>
      <c r="H141" s="50"/>
      <c r="I141" s="50"/>
      <c r="J141" s="50" t="s">
        <v>1407</v>
      </c>
    </row>
    <row r="142" ht="22.5" customHeight="1">
      <c r="A142" s="50"/>
      <c r="B142" s="50"/>
      <c r="C142" s="50"/>
      <c r="D142" s="180"/>
      <c r="E142" s="183"/>
      <c r="F142" s="50" t="s">
        <v>1407</v>
      </c>
      <c r="G142" s="50" t="str">
        <f t="shared" si="1"/>
        <v/>
      </c>
      <c r="H142" s="50"/>
      <c r="I142" s="50"/>
      <c r="J142" s="50" t="s">
        <v>1407</v>
      </c>
    </row>
    <row r="143" ht="22.5" customHeight="1">
      <c r="A143" s="50"/>
      <c r="B143" s="50"/>
      <c r="C143" s="50"/>
      <c r="D143" s="180"/>
      <c r="E143" s="183"/>
      <c r="F143" s="50" t="s">
        <v>1407</v>
      </c>
      <c r="G143" s="50" t="str">
        <f t="shared" si="1"/>
        <v/>
      </c>
      <c r="H143" s="50"/>
      <c r="I143" s="50"/>
      <c r="J143" s="50" t="s">
        <v>1407</v>
      </c>
    </row>
    <row r="144" ht="22.5" customHeight="1">
      <c r="A144" s="50"/>
      <c r="B144" s="50"/>
      <c r="C144" s="50"/>
      <c r="D144" s="180"/>
      <c r="E144" s="183"/>
      <c r="F144" s="50" t="s">
        <v>1407</v>
      </c>
      <c r="G144" s="50" t="str">
        <f t="shared" si="1"/>
        <v/>
      </c>
      <c r="H144" s="50"/>
      <c r="I144" s="50"/>
      <c r="J144" s="50" t="s">
        <v>1407</v>
      </c>
    </row>
    <row r="145" ht="22.5" customHeight="1">
      <c r="A145" s="50"/>
      <c r="B145" s="50"/>
      <c r="C145" s="50"/>
      <c r="D145" s="180"/>
      <c r="E145" s="183"/>
      <c r="F145" s="50" t="s">
        <v>1407</v>
      </c>
      <c r="G145" s="50" t="str">
        <f t="shared" si="1"/>
        <v/>
      </c>
      <c r="H145" s="50"/>
      <c r="I145" s="50"/>
      <c r="J145" s="50" t="s">
        <v>1407</v>
      </c>
    </row>
    <row r="146" ht="22.5" customHeight="1">
      <c r="A146" s="50"/>
      <c r="B146" s="50"/>
      <c r="C146" s="50"/>
      <c r="D146" s="180"/>
      <c r="E146" s="183"/>
      <c r="F146" s="50" t="s">
        <v>1407</v>
      </c>
      <c r="G146" s="50" t="str">
        <f t="shared" si="1"/>
        <v/>
      </c>
      <c r="H146" s="50"/>
      <c r="I146" s="50"/>
      <c r="J146" s="50" t="s">
        <v>1407</v>
      </c>
    </row>
    <row r="147" ht="22.5" customHeight="1">
      <c r="A147" s="50"/>
      <c r="B147" s="50"/>
      <c r="C147" s="50"/>
      <c r="D147" s="180"/>
      <c r="E147" s="183"/>
      <c r="F147" s="50" t="s">
        <v>1407</v>
      </c>
      <c r="G147" s="50" t="str">
        <f t="shared" si="1"/>
        <v/>
      </c>
      <c r="H147" s="50"/>
      <c r="I147" s="50"/>
      <c r="J147" s="50" t="s">
        <v>1407</v>
      </c>
    </row>
    <row r="148" ht="22.5" customHeight="1">
      <c r="A148" s="50"/>
      <c r="B148" s="50"/>
      <c r="C148" s="50"/>
      <c r="D148" s="180"/>
      <c r="E148" s="183"/>
      <c r="F148" s="50" t="s">
        <v>1407</v>
      </c>
      <c r="G148" s="50" t="str">
        <f t="shared" si="1"/>
        <v/>
      </c>
      <c r="H148" s="50"/>
      <c r="I148" s="50"/>
      <c r="J148" s="50" t="s">
        <v>1407</v>
      </c>
    </row>
    <row r="149" ht="22.5" customHeight="1">
      <c r="A149" s="50"/>
      <c r="B149" s="50"/>
      <c r="C149" s="50"/>
      <c r="D149" s="180"/>
      <c r="E149" s="183"/>
      <c r="F149" s="50" t="s">
        <v>1407</v>
      </c>
      <c r="G149" s="50" t="str">
        <f t="shared" si="1"/>
        <v/>
      </c>
      <c r="H149" s="50"/>
      <c r="I149" s="50"/>
      <c r="J149" s="50" t="s">
        <v>1407</v>
      </c>
    </row>
    <row r="150" ht="22.5" customHeight="1">
      <c r="A150" s="50"/>
      <c r="B150" s="50"/>
      <c r="C150" s="50"/>
      <c r="D150" s="180"/>
      <c r="E150" s="183"/>
      <c r="F150" s="50" t="s">
        <v>1407</v>
      </c>
      <c r="G150" s="50" t="str">
        <f t="shared" si="1"/>
        <v/>
      </c>
      <c r="H150" s="50"/>
      <c r="I150" s="50"/>
      <c r="J150" s="50" t="s">
        <v>1407</v>
      </c>
    </row>
    <row r="151" ht="22.5" customHeight="1">
      <c r="A151" s="50"/>
      <c r="B151" s="50"/>
      <c r="C151" s="50"/>
      <c r="D151" s="180"/>
      <c r="E151" s="183"/>
      <c r="F151" s="50" t="s">
        <v>1407</v>
      </c>
      <c r="G151" s="50" t="str">
        <f t="shared" si="1"/>
        <v/>
      </c>
      <c r="H151" s="50"/>
      <c r="I151" s="50"/>
      <c r="J151" s="50" t="s">
        <v>1407</v>
      </c>
    </row>
    <row r="152" ht="22.5" customHeight="1">
      <c r="A152" s="50"/>
      <c r="B152" s="50"/>
      <c r="C152" s="50"/>
      <c r="D152" s="180"/>
      <c r="E152" s="183"/>
      <c r="F152" s="50" t="s">
        <v>1407</v>
      </c>
      <c r="G152" s="50" t="str">
        <f t="shared" si="1"/>
        <v/>
      </c>
      <c r="H152" s="50"/>
      <c r="I152" s="50"/>
      <c r="J152" s="50" t="s">
        <v>1407</v>
      </c>
    </row>
    <row r="153" ht="22.5" customHeight="1">
      <c r="A153" s="50"/>
      <c r="B153" s="50"/>
      <c r="C153" s="50"/>
      <c r="D153" s="180"/>
      <c r="E153" s="183"/>
      <c r="F153" s="50" t="s">
        <v>1407</v>
      </c>
      <c r="G153" s="50" t="str">
        <f t="shared" si="1"/>
        <v/>
      </c>
      <c r="H153" s="50"/>
      <c r="I153" s="50"/>
      <c r="J153" s="50" t="s">
        <v>1407</v>
      </c>
    </row>
    <row r="154" ht="22.5" customHeight="1">
      <c r="A154" s="50"/>
      <c r="B154" s="50"/>
      <c r="C154" s="50"/>
      <c r="D154" s="180"/>
      <c r="E154" s="183"/>
      <c r="F154" s="50" t="s">
        <v>1407</v>
      </c>
      <c r="G154" s="50" t="str">
        <f t="shared" si="1"/>
        <v/>
      </c>
      <c r="H154" s="50"/>
      <c r="I154" s="50"/>
      <c r="J154" s="50" t="s">
        <v>1407</v>
      </c>
    </row>
    <row r="155" ht="22.5" customHeight="1">
      <c r="A155" s="50"/>
      <c r="B155" s="50"/>
      <c r="C155" s="50"/>
      <c r="D155" s="180"/>
      <c r="E155" s="183"/>
      <c r="F155" s="50" t="s">
        <v>1407</v>
      </c>
      <c r="G155" s="50" t="str">
        <f t="shared" si="1"/>
        <v/>
      </c>
      <c r="H155" s="50"/>
      <c r="I155" s="50"/>
      <c r="J155" s="50" t="s">
        <v>1407</v>
      </c>
    </row>
    <row r="156" ht="22.5" customHeight="1">
      <c r="A156" s="50"/>
      <c r="B156" s="50"/>
      <c r="C156" s="50"/>
      <c r="D156" s="180"/>
      <c r="E156" s="183"/>
      <c r="F156" s="50" t="s">
        <v>1407</v>
      </c>
      <c r="G156" s="50" t="str">
        <f t="shared" si="1"/>
        <v/>
      </c>
      <c r="H156" s="50"/>
      <c r="I156" s="50"/>
      <c r="J156" s="50" t="s">
        <v>1407</v>
      </c>
    </row>
    <row r="157" ht="22.5" customHeight="1">
      <c r="A157" s="50"/>
      <c r="B157" s="50"/>
      <c r="C157" s="50"/>
      <c r="D157" s="180"/>
      <c r="E157" s="183"/>
      <c r="F157" s="50" t="s">
        <v>1407</v>
      </c>
      <c r="G157" s="50" t="str">
        <f t="shared" si="1"/>
        <v/>
      </c>
      <c r="H157" s="50"/>
      <c r="I157" s="50"/>
      <c r="J157" s="50" t="s">
        <v>1407</v>
      </c>
    </row>
    <row r="158" ht="22.5" customHeight="1">
      <c r="A158" s="50"/>
      <c r="B158" s="50"/>
      <c r="C158" s="50"/>
      <c r="D158" s="180"/>
      <c r="E158" s="183"/>
      <c r="F158" s="50" t="s">
        <v>1407</v>
      </c>
      <c r="G158" s="50" t="str">
        <f t="shared" si="1"/>
        <v/>
      </c>
      <c r="H158" s="50"/>
      <c r="I158" s="50"/>
      <c r="J158" s="50" t="s">
        <v>1407</v>
      </c>
    </row>
    <row r="159" ht="22.5" customHeight="1">
      <c r="A159" s="50"/>
      <c r="B159" s="50"/>
      <c r="C159" s="50"/>
      <c r="D159" s="180"/>
      <c r="E159" s="183"/>
      <c r="F159" s="50" t="s">
        <v>1407</v>
      </c>
      <c r="G159" s="50" t="str">
        <f t="shared" si="1"/>
        <v/>
      </c>
      <c r="H159" s="50"/>
      <c r="I159" s="50"/>
      <c r="J159" s="50" t="s">
        <v>1407</v>
      </c>
    </row>
    <row r="160" ht="22.5" customHeight="1">
      <c r="A160" s="50"/>
      <c r="B160" s="50"/>
      <c r="C160" s="50"/>
      <c r="D160" s="180"/>
      <c r="E160" s="183"/>
      <c r="F160" s="50" t="s">
        <v>1407</v>
      </c>
      <c r="G160" s="50" t="str">
        <f t="shared" si="1"/>
        <v/>
      </c>
      <c r="H160" s="50"/>
      <c r="I160" s="50"/>
      <c r="J160" s="50" t="s">
        <v>1407</v>
      </c>
    </row>
    <row r="161" ht="22.5" customHeight="1">
      <c r="A161" s="50"/>
      <c r="B161" s="50"/>
      <c r="C161" s="50"/>
      <c r="D161" s="180"/>
      <c r="E161" s="183"/>
      <c r="F161" s="50" t="s">
        <v>1407</v>
      </c>
      <c r="G161" s="50" t="str">
        <f t="shared" si="1"/>
        <v/>
      </c>
      <c r="H161" s="50"/>
      <c r="I161" s="50"/>
      <c r="J161" s="50" t="s">
        <v>1407</v>
      </c>
    </row>
    <row r="162" ht="22.5" customHeight="1">
      <c r="A162" s="50"/>
      <c r="B162" s="50"/>
      <c r="C162" s="50"/>
      <c r="D162" s="180"/>
      <c r="E162" s="183"/>
      <c r="F162" s="50" t="s">
        <v>1407</v>
      </c>
      <c r="G162" s="50" t="str">
        <f t="shared" si="1"/>
        <v/>
      </c>
      <c r="H162" s="50"/>
      <c r="I162" s="50"/>
      <c r="J162" s="50" t="s">
        <v>1407</v>
      </c>
    </row>
    <row r="163" ht="22.5" customHeight="1">
      <c r="A163" s="50"/>
      <c r="B163" s="50"/>
      <c r="C163" s="50"/>
      <c r="D163" s="180"/>
      <c r="E163" s="183"/>
      <c r="F163" s="50" t="s">
        <v>1407</v>
      </c>
      <c r="G163" s="50" t="str">
        <f t="shared" si="1"/>
        <v/>
      </c>
      <c r="H163" s="50"/>
      <c r="I163" s="50"/>
      <c r="J163" s="50" t="s">
        <v>1407</v>
      </c>
    </row>
    <row r="164" ht="22.5" customHeight="1">
      <c r="A164" s="50"/>
      <c r="B164" s="50"/>
      <c r="C164" s="50"/>
      <c r="D164" s="180"/>
      <c r="E164" s="183"/>
      <c r="F164" s="50" t="s">
        <v>1407</v>
      </c>
      <c r="G164" s="50" t="str">
        <f t="shared" si="1"/>
        <v/>
      </c>
      <c r="H164" s="50"/>
      <c r="I164" s="50"/>
      <c r="J164" s="50" t="s">
        <v>1407</v>
      </c>
    </row>
    <row r="165" ht="22.5" customHeight="1">
      <c r="A165" s="50"/>
      <c r="B165" s="50"/>
      <c r="C165" s="50"/>
      <c r="D165" s="180"/>
      <c r="E165" s="183"/>
      <c r="F165" s="50" t="s">
        <v>1407</v>
      </c>
      <c r="G165" s="50" t="str">
        <f t="shared" si="1"/>
        <v/>
      </c>
      <c r="H165" s="50"/>
      <c r="I165" s="50"/>
      <c r="J165" s="50" t="s">
        <v>1407</v>
      </c>
    </row>
    <row r="166" ht="22.5" customHeight="1">
      <c r="A166" s="50"/>
      <c r="B166" s="50"/>
      <c r="C166" s="50"/>
      <c r="D166" s="180"/>
      <c r="E166" s="183"/>
      <c r="F166" s="50" t="s">
        <v>1407</v>
      </c>
      <c r="G166" s="50" t="str">
        <f t="shared" si="1"/>
        <v/>
      </c>
      <c r="H166" s="50"/>
      <c r="I166" s="50"/>
      <c r="J166" s="50" t="s">
        <v>1407</v>
      </c>
    </row>
    <row r="167" ht="22.5" customHeight="1">
      <c r="A167" s="50"/>
      <c r="B167" s="50"/>
      <c r="C167" s="50"/>
      <c r="D167" s="180"/>
      <c r="E167" s="183"/>
      <c r="F167" s="50" t="s">
        <v>1407</v>
      </c>
      <c r="G167" s="50" t="str">
        <f t="shared" si="1"/>
        <v/>
      </c>
      <c r="H167" s="50"/>
      <c r="I167" s="50"/>
      <c r="J167" s="50" t="s">
        <v>1407</v>
      </c>
    </row>
    <row r="168" ht="22.5" customHeight="1">
      <c r="A168" s="50"/>
      <c r="B168" s="50"/>
      <c r="C168" s="50"/>
      <c r="D168" s="180"/>
      <c r="E168" s="183"/>
      <c r="F168" s="50" t="s">
        <v>1407</v>
      </c>
      <c r="G168" s="50" t="str">
        <f t="shared" si="1"/>
        <v/>
      </c>
      <c r="H168" s="50"/>
      <c r="I168" s="50"/>
      <c r="J168" s="50" t="s">
        <v>1407</v>
      </c>
    </row>
    <row r="169" ht="22.5" customHeight="1">
      <c r="A169" s="50"/>
      <c r="B169" s="50"/>
      <c r="C169" s="50"/>
      <c r="D169" s="180"/>
      <c r="E169" s="183"/>
      <c r="F169" s="50" t="s">
        <v>1407</v>
      </c>
      <c r="G169" s="50" t="str">
        <f t="shared" si="1"/>
        <v/>
      </c>
      <c r="H169" s="50"/>
      <c r="I169" s="50"/>
      <c r="J169" s="50" t="s">
        <v>1407</v>
      </c>
    </row>
    <row r="170" ht="22.5" customHeight="1">
      <c r="A170" s="50"/>
      <c r="B170" s="50"/>
      <c r="C170" s="50"/>
      <c r="D170" s="180"/>
      <c r="E170" s="183"/>
      <c r="F170" s="50" t="s">
        <v>1407</v>
      </c>
      <c r="G170" s="50" t="str">
        <f t="shared" si="1"/>
        <v/>
      </c>
      <c r="H170" s="50"/>
      <c r="I170" s="50"/>
      <c r="J170" s="50" t="s">
        <v>1407</v>
      </c>
    </row>
    <row r="171" ht="22.5" customHeight="1">
      <c r="A171" s="50"/>
      <c r="B171" s="50"/>
      <c r="C171" s="50"/>
      <c r="D171" s="180"/>
      <c r="E171" s="183"/>
      <c r="F171" s="50" t="s">
        <v>1407</v>
      </c>
      <c r="G171" s="50" t="str">
        <f t="shared" si="1"/>
        <v/>
      </c>
      <c r="H171" s="50"/>
      <c r="I171" s="50"/>
      <c r="J171" s="50" t="s">
        <v>1407</v>
      </c>
    </row>
    <row r="172" ht="22.5" customHeight="1">
      <c r="A172" s="50"/>
      <c r="B172" s="50"/>
      <c r="C172" s="50"/>
      <c r="D172" s="180"/>
      <c r="E172" s="183"/>
      <c r="F172" s="50" t="s">
        <v>1407</v>
      </c>
      <c r="G172" s="50" t="str">
        <f t="shared" si="1"/>
        <v/>
      </c>
      <c r="H172" s="50"/>
      <c r="I172" s="50"/>
      <c r="J172" s="50" t="s">
        <v>1407</v>
      </c>
    </row>
    <row r="173" ht="22.5" customHeight="1">
      <c r="A173" s="50"/>
      <c r="B173" s="50"/>
      <c r="C173" s="50"/>
      <c r="D173" s="180"/>
      <c r="E173" s="183"/>
      <c r="F173" s="50" t="s">
        <v>1407</v>
      </c>
      <c r="G173" s="50" t="str">
        <f t="shared" si="1"/>
        <v/>
      </c>
      <c r="H173" s="50"/>
      <c r="I173" s="50"/>
      <c r="J173" s="50" t="s">
        <v>1407</v>
      </c>
    </row>
    <row r="174" ht="22.5" customHeight="1">
      <c r="A174" s="50"/>
      <c r="B174" s="50"/>
      <c r="C174" s="50"/>
      <c r="D174" s="180"/>
      <c r="E174" s="183"/>
      <c r="F174" s="50" t="s">
        <v>1407</v>
      </c>
      <c r="G174" s="50" t="str">
        <f t="shared" si="1"/>
        <v/>
      </c>
      <c r="H174" s="50"/>
      <c r="I174" s="50"/>
      <c r="J174" s="50" t="s">
        <v>1407</v>
      </c>
    </row>
    <row r="175" ht="22.5" customHeight="1">
      <c r="A175" s="50"/>
      <c r="B175" s="50"/>
      <c r="C175" s="50"/>
      <c r="D175" s="180"/>
      <c r="E175" s="183"/>
      <c r="F175" s="50" t="s">
        <v>1407</v>
      </c>
      <c r="G175" s="50" t="str">
        <f t="shared" si="1"/>
        <v/>
      </c>
      <c r="H175" s="50"/>
      <c r="I175" s="50"/>
      <c r="J175" s="50" t="s">
        <v>1407</v>
      </c>
    </row>
    <row r="176" ht="22.5" customHeight="1">
      <c r="A176" s="50"/>
      <c r="B176" s="50"/>
      <c r="C176" s="50"/>
      <c r="D176" s="180"/>
      <c r="E176" s="183"/>
      <c r="F176" s="50" t="s">
        <v>1407</v>
      </c>
      <c r="G176" s="50" t="str">
        <f t="shared" si="1"/>
        <v/>
      </c>
      <c r="H176" s="50"/>
      <c r="I176" s="50"/>
      <c r="J176" s="50" t="s">
        <v>1407</v>
      </c>
    </row>
    <row r="177" ht="22.5" customHeight="1">
      <c r="A177" s="50"/>
      <c r="B177" s="50"/>
      <c r="C177" s="50"/>
      <c r="D177" s="180"/>
      <c r="E177" s="183"/>
      <c r="F177" s="50" t="s">
        <v>1407</v>
      </c>
      <c r="G177" s="50" t="str">
        <f t="shared" si="1"/>
        <v/>
      </c>
      <c r="H177" s="50"/>
      <c r="I177" s="50"/>
      <c r="J177" s="50" t="s">
        <v>1407</v>
      </c>
    </row>
    <row r="178" ht="22.5" customHeight="1">
      <c r="A178" s="50"/>
      <c r="B178" s="50"/>
      <c r="C178" s="50"/>
      <c r="D178" s="180"/>
      <c r="E178" s="183"/>
      <c r="F178" s="50" t="s">
        <v>1407</v>
      </c>
      <c r="G178" s="50" t="str">
        <f t="shared" si="1"/>
        <v/>
      </c>
      <c r="H178" s="50"/>
      <c r="I178" s="50"/>
      <c r="J178" s="50" t="s">
        <v>1407</v>
      </c>
    </row>
    <row r="179" ht="22.5" customHeight="1">
      <c r="A179" s="50"/>
      <c r="B179" s="50"/>
      <c r="C179" s="50"/>
      <c r="D179" s="180"/>
      <c r="E179" s="183"/>
      <c r="F179" s="50" t="s">
        <v>1407</v>
      </c>
      <c r="G179" s="50" t="str">
        <f t="shared" si="1"/>
        <v/>
      </c>
      <c r="H179" s="50"/>
      <c r="I179" s="50"/>
      <c r="J179" s="50" t="s">
        <v>1407</v>
      </c>
    </row>
    <row r="180" ht="22.5" customHeight="1">
      <c r="A180" s="50"/>
      <c r="B180" s="50"/>
      <c r="C180" s="50"/>
      <c r="D180" s="180"/>
      <c r="E180" s="183"/>
      <c r="F180" s="50" t="s">
        <v>1407</v>
      </c>
      <c r="G180" s="50" t="str">
        <f t="shared" si="1"/>
        <v/>
      </c>
      <c r="H180" s="50"/>
      <c r="I180" s="50"/>
      <c r="J180" s="50" t="s">
        <v>1407</v>
      </c>
    </row>
    <row r="181" ht="22.5" customHeight="1">
      <c r="A181" s="50"/>
      <c r="B181" s="50"/>
      <c r="C181" s="50"/>
      <c r="D181" s="180"/>
      <c r="E181" s="183"/>
      <c r="F181" s="50" t="s">
        <v>1407</v>
      </c>
      <c r="G181" s="50" t="str">
        <f t="shared" si="1"/>
        <v/>
      </c>
      <c r="H181" s="50"/>
      <c r="I181" s="50"/>
      <c r="J181" s="50" t="s">
        <v>1407</v>
      </c>
    </row>
    <row r="182" ht="22.5" customHeight="1">
      <c r="A182" s="50"/>
      <c r="B182" s="50"/>
      <c r="C182" s="50"/>
      <c r="D182" s="180"/>
      <c r="E182" s="183"/>
      <c r="F182" s="50" t="s">
        <v>1407</v>
      </c>
      <c r="G182" s="50" t="str">
        <f t="shared" si="1"/>
        <v/>
      </c>
      <c r="H182" s="50"/>
      <c r="I182" s="50"/>
      <c r="J182" s="50" t="s">
        <v>1407</v>
      </c>
    </row>
    <row r="183" ht="22.5" customHeight="1">
      <c r="A183" s="50"/>
      <c r="B183" s="50"/>
      <c r="C183" s="50"/>
      <c r="D183" s="180"/>
      <c r="E183" s="183"/>
      <c r="F183" s="50" t="s">
        <v>1407</v>
      </c>
      <c r="G183" s="50" t="str">
        <f t="shared" si="1"/>
        <v/>
      </c>
      <c r="H183" s="50"/>
      <c r="I183" s="50"/>
      <c r="J183" s="50" t="s">
        <v>1407</v>
      </c>
    </row>
    <row r="184" ht="22.5" customHeight="1">
      <c r="A184" s="50"/>
      <c r="B184" s="50"/>
      <c r="C184" s="50"/>
      <c r="D184" s="180"/>
      <c r="E184" s="183"/>
      <c r="F184" s="50" t="s">
        <v>1407</v>
      </c>
      <c r="G184" s="50" t="str">
        <f t="shared" si="1"/>
        <v/>
      </c>
      <c r="H184" s="50"/>
      <c r="I184" s="50"/>
      <c r="J184" s="50" t="s">
        <v>1407</v>
      </c>
    </row>
    <row r="185" ht="22.5" customHeight="1">
      <c r="A185" s="50"/>
      <c r="B185" s="50"/>
      <c r="C185" s="50"/>
      <c r="D185" s="180"/>
      <c r="E185" s="183"/>
      <c r="F185" s="50" t="s">
        <v>1407</v>
      </c>
      <c r="G185" s="50" t="str">
        <f t="shared" si="1"/>
        <v/>
      </c>
      <c r="H185" s="50"/>
      <c r="I185" s="50"/>
      <c r="J185" s="50" t="s">
        <v>1407</v>
      </c>
    </row>
    <row r="186" ht="22.5" customHeight="1">
      <c r="A186" s="50"/>
      <c r="B186" s="50"/>
      <c r="C186" s="50"/>
      <c r="D186" s="180"/>
      <c r="E186" s="183"/>
      <c r="F186" s="50" t="s">
        <v>1407</v>
      </c>
      <c r="G186" s="50" t="str">
        <f t="shared" si="1"/>
        <v/>
      </c>
      <c r="H186" s="50"/>
      <c r="I186" s="50"/>
      <c r="J186" s="50" t="s">
        <v>1407</v>
      </c>
    </row>
    <row r="187" ht="22.5" customHeight="1">
      <c r="A187" s="50"/>
      <c r="B187" s="50"/>
      <c r="C187" s="50"/>
      <c r="D187" s="180"/>
      <c r="E187" s="183"/>
      <c r="F187" s="50" t="s">
        <v>1407</v>
      </c>
      <c r="G187" s="50" t="str">
        <f t="shared" si="1"/>
        <v/>
      </c>
      <c r="H187" s="50"/>
      <c r="I187" s="50"/>
      <c r="J187" s="50" t="s">
        <v>1407</v>
      </c>
    </row>
    <row r="188" ht="22.5" customHeight="1">
      <c r="A188" s="50"/>
      <c r="B188" s="50"/>
      <c r="C188" s="50"/>
      <c r="D188" s="180"/>
      <c r="E188" s="183"/>
      <c r="F188" s="50" t="s">
        <v>1407</v>
      </c>
      <c r="G188" s="50" t="str">
        <f t="shared" si="1"/>
        <v/>
      </c>
      <c r="H188" s="50"/>
      <c r="I188" s="50"/>
      <c r="J188" s="50" t="s">
        <v>1407</v>
      </c>
    </row>
    <row r="189" ht="22.5" customHeight="1">
      <c r="A189" s="50"/>
      <c r="B189" s="50"/>
      <c r="C189" s="50"/>
      <c r="D189" s="180"/>
      <c r="E189" s="183"/>
      <c r="F189" s="50" t="s">
        <v>1407</v>
      </c>
      <c r="G189" s="50" t="str">
        <f t="shared" si="1"/>
        <v/>
      </c>
      <c r="H189" s="50"/>
      <c r="I189" s="50"/>
      <c r="J189" s="50" t="s">
        <v>1407</v>
      </c>
    </row>
    <row r="190" ht="22.5" customHeight="1">
      <c r="A190" s="50"/>
      <c r="B190" s="50"/>
      <c r="C190" s="50"/>
      <c r="D190" s="180"/>
      <c r="E190" s="183"/>
      <c r="F190" s="50" t="s">
        <v>1407</v>
      </c>
      <c r="G190" s="50" t="str">
        <f t="shared" si="1"/>
        <v/>
      </c>
      <c r="H190" s="50"/>
      <c r="I190" s="50"/>
      <c r="J190" s="50" t="s">
        <v>1407</v>
      </c>
    </row>
    <row r="191" ht="22.5" customHeight="1">
      <c r="A191" s="50"/>
      <c r="B191" s="50"/>
      <c r="C191" s="50"/>
      <c r="D191" s="180"/>
      <c r="E191" s="183"/>
      <c r="F191" s="50" t="s">
        <v>1407</v>
      </c>
      <c r="G191" s="50" t="str">
        <f t="shared" si="1"/>
        <v/>
      </c>
      <c r="H191" s="50"/>
      <c r="I191" s="50"/>
      <c r="J191" s="50" t="s">
        <v>1407</v>
      </c>
    </row>
    <row r="192" ht="22.5" customHeight="1">
      <c r="A192" s="50"/>
      <c r="B192" s="50"/>
      <c r="C192" s="50"/>
      <c r="D192" s="180"/>
      <c r="E192" s="183"/>
      <c r="F192" s="50" t="s">
        <v>1407</v>
      </c>
      <c r="G192" s="50" t="str">
        <f t="shared" si="1"/>
        <v/>
      </c>
      <c r="H192" s="50"/>
      <c r="I192" s="50"/>
      <c r="J192" s="50" t="s">
        <v>1407</v>
      </c>
    </row>
    <row r="193" ht="22.5" customHeight="1">
      <c r="A193" s="50"/>
      <c r="B193" s="50"/>
      <c r="C193" s="50"/>
      <c r="D193" s="180"/>
      <c r="E193" s="183"/>
      <c r="F193" s="50" t="s">
        <v>1407</v>
      </c>
      <c r="G193" s="50" t="str">
        <f t="shared" si="1"/>
        <v/>
      </c>
      <c r="H193" s="50"/>
      <c r="I193" s="50"/>
      <c r="J193" s="50" t="s">
        <v>1407</v>
      </c>
    </row>
    <row r="194" ht="22.5" customHeight="1">
      <c r="A194" s="50"/>
      <c r="B194" s="50"/>
      <c r="C194" s="50"/>
      <c r="D194" s="180"/>
      <c r="E194" s="183"/>
      <c r="F194" s="50" t="s">
        <v>1407</v>
      </c>
      <c r="G194" s="50" t="str">
        <f t="shared" si="1"/>
        <v/>
      </c>
      <c r="H194" s="50"/>
      <c r="I194" s="50"/>
      <c r="J194" s="50" t="s">
        <v>1407</v>
      </c>
    </row>
    <row r="195" ht="22.5" customHeight="1">
      <c r="A195" s="50"/>
      <c r="B195" s="50"/>
      <c r="C195" s="50"/>
      <c r="D195" s="180"/>
      <c r="E195" s="183"/>
      <c r="F195" s="50" t="s">
        <v>1407</v>
      </c>
      <c r="G195" s="50" t="str">
        <f t="shared" si="1"/>
        <v/>
      </c>
      <c r="H195" s="50"/>
      <c r="I195" s="50"/>
      <c r="J195" s="50" t="s">
        <v>1407</v>
      </c>
    </row>
    <row r="196" ht="22.5" customHeight="1">
      <c r="A196" s="50"/>
      <c r="B196" s="50"/>
      <c r="C196" s="50"/>
      <c r="D196" s="180"/>
      <c r="E196" s="183"/>
      <c r="F196" s="50" t="s">
        <v>1407</v>
      </c>
      <c r="G196" s="50" t="str">
        <f t="shared" si="1"/>
        <v/>
      </c>
      <c r="H196" s="50"/>
      <c r="I196" s="50"/>
      <c r="J196" s="50" t="s">
        <v>1407</v>
      </c>
    </row>
    <row r="197" ht="22.5" customHeight="1">
      <c r="A197" s="50"/>
      <c r="B197" s="50"/>
      <c r="C197" s="50"/>
      <c r="D197" s="180"/>
      <c r="E197" s="183"/>
      <c r="F197" s="50" t="s">
        <v>1407</v>
      </c>
      <c r="G197" s="50"/>
      <c r="H197" s="50"/>
      <c r="I197" s="50"/>
      <c r="J197" s="50" t="s">
        <v>1407</v>
      </c>
    </row>
    <row r="198" ht="22.5" customHeight="1">
      <c r="A198" s="50"/>
      <c r="B198" s="50"/>
      <c r="C198" s="50"/>
      <c r="D198" s="180"/>
      <c r="E198" s="183"/>
      <c r="F198" s="50" t="s">
        <v>1407</v>
      </c>
      <c r="G198" s="50"/>
      <c r="H198" s="50"/>
      <c r="I198" s="50"/>
      <c r="J198" s="50" t="s">
        <v>1407</v>
      </c>
    </row>
    <row r="199" ht="22.5" customHeight="1">
      <c r="A199" s="50"/>
      <c r="B199" s="50"/>
      <c r="C199" s="50"/>
      <c r="D199" s="180"/>
      <c r="E199" s="183"/>
      <c r="F199" s="50" t="s">
        <v>1407</v>
      </c>
      <c r="G199" s="50"/>
      <c r="H199" s="50"/>
      <c r="I199" s="50"/>
      <c r="J199" s="50" t="s">
        <v>1407</v>
      </c>
    </row>
    <row r="200" ht="22.5" customHeight="1">
      <c r="A200" s="50"/>
      <c r="B200" s="50"/>
      <c r="C200" s="50"/>
      <c r="D200" s="180"/>
      <c r="E200" s="183"/>
      <c r="F200" s="50" t="s">
        <v>1407</v>
      </c>
      <c r="G200" s="50"/>
      <c r="H200" s="50"/>
      <c r="I200" s="50"/>
      <c r="J200" s="50" t="s">
        <v>1407</v>
      </c>
    </row>
    <row r="201" ht="22.5" customHeight="1">
      <c r="A201" s="50"/>
      <c r="B201" s="50"/>
      <c r="C201" s="50"/>
      <c r="D201" s="180"/>
      <c r="E201" s="183"/>
      <c r="F201" s="50" t="s">
        <v>1407</v>
      </c>
      <c r="G201" s="50"/>
      <c r="H201" s="50"/>
      <c r="I201" s="50"/>
      <c r="J201" s="50" t="s">
        <v>1407</v>
      </c>
    </row>
    <row r="202" ht="22.5" customHeight="1">
      <c r="A202" s="50"/>
      <c r="B202" s="50"/>
      <c r="C202" s="50"/>
      <c r="D202" s="180"/>
      <c r="E202" s="183"/>
      <c r="F202" s="50" t="s">
        <v>1407</v>
      </c>
      <c r="G202" s="50"/>
      <c r="H202" s="50"/>
      <c r="I202" s="50"/>
      <c r="J202" s="50" t="s">
        <v>1407</v>
      </c>
    </row>
    <row r="203" ht="22.5" customHeight="1">
      <c r="A203" s="50"/>
      <c r="B203" s="50"/>
      <c r="C203" s="50"/>
      <c r="D203" s="180"/>
      <c r="E203" s="183"/>
      <c r="F203" s="50" t="s">
        <v>1407</v>
      </c>
      <c r="G203" s="50"/>
      <c r="H203" s="50"/>
      <c r="I203" s="50"/>
      <c r="J203" s="50" t="s">
        <v>1407</v>
      </c>
    </row>
    <row r="204" ht="22.5" customHeight="1">
      <c r="A204" s="50"/>
      <c r="B204" s="50"/>
      <c r="C204" s="50"/>
      <c r="D204" s="180"/>
      <c r="E204" s="183"/>
      <c r="F204" s="50" t="s">
        <v>1407</v>
      </c>
      <c r="G204" s="50"/>
      <c r="H204" s="50"/>
      <c r="I204" s="50"/>
      <c r="J204" s="50" t="s">
        <v>1407</v>
      </c>
    </row>
    <row r="205" ht="22.5" customHeight="1">
      <c r="A205" s="50"/>
      <c r="B205" s="50"/>
      <c r="C205" s="50"/>
      <c r="D205" s="180"/>
      <c r="E205" s="183"/>
      <c r="F205" s="50" t="s">
        <v>1407</v>
      </c>
      <c r="G205" s="50"/>
      <c r="H205" s="50"/>
      <c r="I205" s="50"/>
      <c r="J205" s="50" t="s">
        <v>1407</v>
      </c>
    </row>
    <row r="206" ht="22.5" customHeight="1">
      <c r="A206" s="50"/>
      <c r="B206" s="50"/>
      <c r="C206" s="50"/>
      <c r="D206" s="180"/>
      <c r="E206" s="183"/>
      <c r="F206" s="50" t="s">
        <v>1407</v>
      </c>
      <c r="G206" s="50"/>
      <c r="H206" s="50"/>
      <c r="I206" s="50"/>
      <c r="J206" s="50" t="s">
        <v>1407</v>
      </c>
    </row>
    <row r="207" ht="22.5" customHeight="1">
      <c r="A207" s="50"/>
      <c r="B207" s="50"/>
      <c r="C207" s="50"/>
      <c r="D207" s="180"/>
      <c r="E207" s="183"/>
      <c r="F207" s="50" t="s">
        <v>1407</v>
      </c>
      <c r="G207" s="50"/>
      <c r="H207" s="50"/>
      <c r="I207" s="50"/>
      <c r="J207" s="50" t="s">
        <v>1407</v>
      </c>
    </row>
    <row r="208" ht="22.5" customHeight="1">
      <c r="A208" s="50"/>
      <c r="B208" s="50"/>
      <c r="C208" s="50"/>
      <c r="D208" s="180"/>
      <c r="E208" s="183"/>
      <c r="F208" s="50" t="s">
        <v>1407</v>
      </c>
      <c r="G208" s="50"/>
      <c r="H208" s="50"/>
      <c r="I208" s="50"/>
      <c r="J208" s="50" t="s">
        <v>1407</v>
      </c>
    </row>
    <row r="209" ht="22.5" customHeight="1">
      <c r="A209" s="50"/>
      <c r="B209" s="50"/>
      <c r="C209" s="50"/>
      <c r="D209" s="180"/>
      <c r="E209" s="183"/>
      <c r="F209" s="50" t="s">
        <v>1407</v>
      </c>
      <c r="G209" s="50"/>
      <c r="H209" s="50"/>
      <c r="I209" s="50"/>
      <c r="J209" s="50" t="s">
        <v>1407</v>
      </c>
    </row>
    <row r="210" ht="22.5" customHeight="1">
      <c r="A210" s="50"/>
      <c r="B210" s="50"/>
      <c r="C210" s="50"/>
      <c r="D210" s="180"/>
      <c r="E210" s="183"/>
      <c r="F210" s="50" t="s">
        <v>1407</v>
      </c>
      <c r="G210" s="50"/>
      <c r="H210" s="50"/>
      <c r="I210" s="50"/>
      <c r="J210" s="50" t="s">
        <v>1407</v>
      </c>
    </row>
    <row r="211" ht="22.5" customHeight="1">
      <c r="A211" s="50"/>
      <c r="B211" s="50"/>
      <c r="C211" s="50"/>
      <c r="D211" s="180"/>
      <c r="E211" s="183"/>
      <c r="F211" s="50" t="s">
        <v>1407</v>
      </c>
      <c r="G211" s="50"/>
      <c r="H211" s="50"/>
      <c r="I211" s="50"/>
      <c r="J211" s="50" t="s">
        <v>1407</v>
      </c>
    </row>
    <row r="212" ht="22.5" customHeight="1">
      <c r="A212" s="50"/>
      <c r="B212" s="50"/>
      <c r="C212" s="50"/>
      <c r="D212" s="180"/>
      <c r="E212" s="183"/>
      <c r="F212" s="50" t="s">
        <v>1407</v>
      </c>
      <c r="G212" s="50"/>
      <c r="H212" s="50"/>
      <c r="I212" s="50"/>
      <c r="J212" s="50" t="s">
        <v>1407</v>
      </c>
    </row>
    <row r="213" ht="22.5" customHeight="1">
      <c r="A213" s="50"/>
      <c r="B213" s="50"/>
      <c r="C213" s="50"/>
      <c r="D213" s="180"/>
      <c r="E213" s="183"/>
      <c r="F213" s="50" t="s">
        <v>1407</v>
      </c>
      <c r="G213" s="50"/>
      <c r="H213" s="50"/>
      <c r="I213" s="50"/>
      <c r="J213" s="50" t="s">
        <v>1407</v>
      </c>
    </row>
    <row r="214" ht="22.5" customHeight="1">
      <c r="A214" s="50"/>
      <c r="B214" s="50"/>
      <c r="C214" s="50"/>
      <c r="D214" s="180"/>
      <c r="E214" s="183"/>
      <c r="F214" s="50" t="s">
        <v>1407</v>
      </c>
      <c r="G214" s="50"/>
      <c r="H214" s="50"/>
      <c r="I214" s="50"/>
      <c r="J214" s="50" t="s">
        <v>1407</v>
      </c>
    </row>
    <row r="215" ht="22.5" customHeight="1">
      <c r="A215" s="50"/>
      <c r="B215" s="50"/>
      <c r="C215" s="50"/>
      <c r="D215" s="180"/>
      <c r="E215" s="183"/>
      <c r="F215" s="50" t="s">
        <v>1407</v>
      </c>
      <c r="G215" s="50"/>
      <c r="H215" s="50"/>
      <c r="I215" s="50"/>
      <c r="J215" s="50" t="s">
        <v>1407</v>
      </c>
    </row>
    <row r="216" ht="22.5" customHeight="1">
      <c r="A216" s="50"/>
      <c r="B216" s="50"/>
      <c r="C216" s="50"/>
      <c r="D216" s="180"/>
      <c r="E216" s="183"/>
      <c r="F216" s="50" t="s">
        <v>1407</v>
      </c>
      <c r="G216" s="50"/>
      <c r="H216" s="50"/>
      <c r="I216" s="50"/>
      <c r="J216" s="50" t="s">
        <v>1407</v>
      </c>
    </row>
    <row r="217" ht="22.5" customHeight="1">
      <c r="A217" s="50"/>
      <c r="B217" s="50"/>
      <c r="C217" s="50"/>
      <c r="D217" s="180"/>
      <c r="E217" s="183"/>
      <c r="F217" s="50" t="s">
        <v>1407</v>
      </c>
      <c r="G217" s="50"/>
      <c r="H217" s="50"/>
      <c r="I217" s="50"/>
      <c r="J217" s="50" t="s">
        <v>1407</v>
      </c>
    </row>
    <row r="218" ht="22.5" customHeight="1">
      <c r="A218" s="50"/>
      <c r="B218" s="50"/>
      <c r="C218" s="50"/>
      <c r="D218" s="180"/>
      <c r="E218" s="183"/>
      <c r="F218" s="50" t="s">
        <v>1407</v>
      </c>
      <c r="G218" s="50"/>
      <c r="H218" s="50"/>
      <c r="I218" s="50"/>
      <c r="J218" s="50" t="s">
        <v>1407</v>
      </c>
    </row>
    <row r="219" ht="22.5" customHeight="1">
      <c r="A219" s="50"/>
      <c r="B219" s="50"/>
      <c r="C219" s="50"/>
      <c r="D219" s="180"/>
      <c r="E219" s="183"/>
      <c r="F219" s="50" t="s">
        <v>1407</v>
      </c>
      <c r="G219" s="50"/>
      <c r="H219" s="50"/>
      <c r="I219" s="50"/>
      <c r="J219" s="50" t="s">
        <v>1407</v>
      </c>
    </row>
    <row r="220" ht="22.5" customHeight="1">
      <c r="A220" s="50"/>
      <c r="B220" s="50"/>
      <c r="C220" s="50"/>
      <c r="D220" s="180"/>
      <c r="E220" s="183"/>
      <c r="F220" s="50" t="s">
        <v>1407</v>
      </c>
      <c r="G220" s="50"/>
      <c r="H220" s="50"/>
      <c r="I220" s="50"/>
      <c r="J220" s="50" t="s">
        <v>1407</v>
      </c>
    </row>
    <row r="221" ht="22.5" customHeight="1">
      <c r="A221" s="50"/>
      <c r="B221" s="50"/>
      <c r="C221" s="50"/>
      <c r="D221" s="180"/>
      <c r="E221" s="183"/>
      <c r="F221" s="50" t="s">
        <v>1407</v>
      </c>
      <c r="G221" s="50"/>
      <c r="H221" s="50"/>
      <c r="I221" s="50"/>
      <c r="J221" s="50" t="s">
        <v>1407</v>
      </c>
    </row>
    <row r="222" ht="22.5" customHeight="1">
      <c r="A222" s="50"/>
      <c r="B222" s="50"/>
      <c r="C222" s="50"/>
      <c r="D222" s="180"/>
      <c r="E222" s="183"/>
      <c r="F222" s="50" t="s">
        <v>1407</v>
      </c>
      <c r="G222" s="50"/>
      <c r="H222" s="50"/>
      <c r="I222" s="50"/>
      <c r="J222" s="50" t="s">
        <v>1407</v>
      </c>
    </row>
    <row r="223" ht="22.5" customHeight="1">
      <c r="A223" s="50"/>
      <c r="B223" s="50"/>
      <c r="C223" s="50"/>
      <c r="D223" s="180"/>
      <c r="E223" s="183"/>
      <c r="F223" s="50" t="s">
        <v>1407</v>
      </c>
      <c r="G223" s="50"/>
      <c r="H223" s="50"/>
      <c r="I223" s="50"/>
      <c r="J223" s="50" t="s">
        <v>1407</v>
      </c>
    </row>
    <row r="224" ht="22.5" customHeight="1">
      <c r="A224" s="50"/>
      <c r="B224" s="50"/>
      <c r="C224" s="50"/>
      <c r="D224" s="180"/>
      <c r="E224" s="183"/>
      <c r="F224" s="50" t="s">
        <v>1407</v>
      </c>
      <c r="G224" s="50"/>
      <c r="H224" s="50"/>
      <c r="I224" s="50"/>
      <c r="J224" s="50" t="s">
        <v>1407</v>
      </c>
    </row>
    <row r="225" ht="22.5" customHeight="1">
      <c r="A225" s="50"/>
      <c r="B225" s="50"/>
      <c r="C225" s="50"/>
      <c r="D225" s="180"/>
      <c r="E225" s="183"/>
      <c r="F225" s="50" t="s">
        <v>1407</v>
      </c>
      <c r="G225" s="50"/>
      <c r="H225" s="50"/>
      <c r="I225" s="50"/>
      <c r="J225" s="50" t="s">
        <v>1407</v>
      </c>
    </row>
    <row r="226" ht="22.5" customHeight="1">
      <c r="A226" s="50"/>
      <c r="B226" s="50"/>
      <c r="C226" s="50"/>
      <c r="D226" s="180"/>
      <c r="E226" s="183"/>
      <c r="F226" s="50" t="s">
        <v>1407</v>
      </c>
      <c r="G226" s="50"/>
      <c r="H226" s="50"/>
      <c r="I226" s="50"/>
      <c r="J226" s="50" t="s">
        <v>1407</v>
      </c>
    </row>
    <row r="227" ht="22.5" customHeight="1">
      <c r="A227" s="50"/>
      <c r="B227" s="50"/>
      <c r="C227" s="50"/>
      <c r="D227" s="180"/>
      <c r="E227" s="183"/>
      <c r="F227" s="50" t="s">
        <v>1407</v>
      </c>
      <c r="G227" s="50"/>
      <c r="H227" s="50"/>
      <c r="I227" s="50"/>
      <c r="J227" s="50" t="s">
        <v>1407</v>
      </c>
    </row>
    <row r="228" ht="22.5" customHeight="1">
      <c r="A228" s="50"/>
      <c r="B228" s="50"/>
      <c r="C228" s="50"/>
      <c r="D228" s="180"/>
      <c r="E228" s="183"/>
      <c r="F228" s="50" t="s">
        <v>1407</v>
      </c>
      <c r="G228" s="50"/>
      <c r="H228" s="50"/>
      <c r="I228" s="50"/>
      <c r="J228" s="50" t="s">
        <v>1407</v>
      </c>
    </row>
    <row r="229" ht="22.5" customHeight="1">
      <c r="A229" s="50"/>
      <c r="B229" s="50"/>
      <c r="C229" s="50"/>
      <c r="D229" s="180"/>
      <c r="E229" s="183"/>
      <c r="F229" s="50" t="s">
        <v>1407</v>
      </c>
      <c r="G229" s="50"/>
      <c r="H229" s="50"/>
      <c r="I229" s="50"/>
      <c r="J229" s="50" t="s">
        <v>1407</v>
      </c>
    </row>
    <row r="230" ht="22.5" customHeight="1">
      <c r="A230" s="50"/>
      <c r="B230" s="50"/>
      <c r="C230" s="50"/>
      <c r="D230" s="180"/>
      <c r="E230" s="183"/>
      <c r="F230" s="50" t="s">
        <v>1407</v>
      </c>
      <c r="G230" s="50"/>
      <c r="H230" s="50"/>
      <c r="I230" s="50"/>
      <c r="J230" s="50" t="s">
        <v>1407</v>
      </c>
    </row>
    <row r="231" ht="22.5" customHeight="1">
      <c r="A231" s="50"/>
      <c r="B231" s="50"/>
      <c r="C231" s="50"/>
      <c r="D231" s="180"/>
      <c r="E231" s="183"/>
      <c r="F231" s="50" t="s">
        <v>1407</v>
      </c>
      <c r="G231" s="50"/>
      <c r="H231" s="50"/>
      <c r="I231" s="50"/>
      <c r="J231" s="50" t="s">
        <v>1407</v>
      </c>
    </row>
    <row r="232" ht="22.5" customHeight="1">
      <c r="A232" s="50"/>
      <c r="B232" s="50"/>
      <c r="C232" s="50"/>
      <c r="D232" s="180"/>
      <c r="E232" s="183"/>
      <c r="F232" s="50" t="s">
        <v>1407</v>
      </c>
      <c r="G232" s="50"/>
      <c r="H232" s="50"/>
      <c r="I232" s="50"/>
      <c r="J232" s="50" t="s">
        <v>1407</v>
      </c>
    </row>
    <row r="233" ht="22.5" customHeight="1">
      <c r="A233" s="50"/>
      <c r="B233" s="50"/>
      <c r="C233" s="50"/>
      <c r="D233" s="180"/>
      <c r="E233" s="183"/>
      <c r="F233" s="50" t="s">
        <v>1407</v>
      </c>
      <c r="G233" s="50"/>
      <c r="H233" s="50"/>
      <c r="I233" s="50"/>
      <c r="J233" s="50" t="s">
        <v>1407</v>
      </c>
    </row>
    <row r="234" ht="22.5" customHeight="1">
      <c r="A234" s="50"/>
      <c r="B234" s="50"/>
      <c r="C234" s="50"/>
      <c r="D234" s="180"/>
      <c r="E234" s="183"/>
      <c r="F234" s="50" t="s">
        <v>1407</v>
      </c>
      <c r="G234" s="50"/>
      <c r="H234" s="50"/>
      <c r="I234" s="50"/>
      <c r="J234" s="50" t="s">
        <v>1407</v>
      </c>
    </row>
    <row r="235" ht="22.5" customHeight="1">
      <c r="A235" s="50"/>
      <c r="B235" s="50"/>
      <c r="C235" s="50"/>
      <c r="D235" s="180"/>
      <c r="E235" s="183"/>
      <c r="F235" s="50" t="s">
        <v>1407</v>
      </c>
      <c r="G235" s="50"/>
      <c r="H235" s="50"/>
      <c r="I235" s="50"/>
      <c r="J235" s="50" t="s">
        <v>1407</v>
      </c>
    </row>
    <row r="236" ht="22.5" customHeight="1">
      <c r="A236" s="50"/>
      <c r="B236" s="50"/>
      <c r="C236" s="50"/>
      <c r="D236" s="180"/>
      <c r="E236" s="183"/>
      <c r="F236" s="50" t="s">
        <v>1407</v>
      </c>
      <c r="G236" s="50"/>
      <c r="H236" s="50"/>
      <c r="I236" s="50"/>
      <c r="J236" s="50" t="s">
        <v>1407</v>
      </c>
    </row>
    <row r="237" ht="22.5" customHeight="1">
      <c r="A237" s="50"/>
      <c r="B237" s="50"/>
      <c r="C237" s="50"/>
      <c r="D237" s="180"/>
      <c r="E237" s="183"/>
      <c r="F237" s="50" t="s">
        <v>1407</v>
      </c>
      <c r="G237" s="50"/>
      <c r="H237" s="50"/>
      <c r="I237" s="50"/>
      <c r="J237" s="50" t="s">
        <v>1407</v>
      </c>
    </row>
    <row r="238" ht="22.5" customHeight="1">
      <c r="A238" s="50"/>
      <c r="B238" s="50"/>
      <c r="C238" s="50"/>
      <c r="D238" s="180"/>
      <c r="E238" s="183"/>
      <c r="F238" s="50" t="s">
        <v>1407</v>
      </c>
      <c r="G238" s="50"/>
      <c r="H238" s="50"/>
      <c r="I238" s="50"/>
      <c r="J238" s="50" t="s">
        <v>1407</v>
      </c>
    </row>
    <row r="239" ht="22.5" customHeight="1">
      <c r="A239" s="50"/>
      <c r="B239" s="50"/>
      <c r="C239" s="50"/>
      <c r="D239" s="180"/>
      <c r="E239" s="183"/>
      <c r="F239" s="50" t="s">
        <v>1407</v>
      </c>
      <c r="G239" s="50"/>
      <c r="H239" s="50"/>
      <c r="I239" s="50"/>
      <c r="J239" s="50" t="s">
        <v>1407</v>
      </c>
    </row>
    <row r="240" ht="22.5" customHeight="1">
      <c r="A240" s="50"/>
      <c r="B240" s="50"/>
      <c r="C240" s="50"/>
      <c r="D240" s="180"/>
      <c r="E240" s="183"/>
      <c r="F240" s="50" t="s">
        <v>1407</v>
      </c>
      <c r="G240" s="50"/>
      <c r="H240" s="50"/>
      <c r="I240" s="50"/>
      <c r="J240" s="50" t="s">
        <v>1407</v>
      </c>
    </row>
    <row r="241" ht="22.5" customHeight="1">
      <c r="A241" s="50"/>
      <c r="B241" s="50"/>
      <c r="C241" s="50"/>
      <c r="D241" s="180"/>
      <c r="E241" s="183"/>
      <c r="F241" s="50" t="s">
        <v>1407</v>
      </c>
      <c r="G241" s="50"/>
      <c r="H241" s="50"/>
      <c r="I241" s="50"/>
      <c r="J241" s="50" t="s">
        <v>1407</v>
      </c>
    </row>
    <row r="242" ht="22.5" customHeight="1">
      <c r="A242" s="50"/>
      <c r="B242" s="50"/>
      <c r="C242" s="50"/>
      <c r="D242" s="180"/>
      <c r="E242" s="183"/>
      <c r="F242" s="50" t="s">
        <v>1407</v>
      </c>
      <c r="G242" s="50"/>
      <c r="H242" s="50"/>
      <c r="I242" s="50"/>
      <c r="J242" s="50" t="s">
        <v>1407</v>
      </c>
    </row>
    <row r="243" ht="22.5" customHeight="1">
      <c r="A243" s="50"/>
      <c r="B243" s="50"/>
      <c r="C243" s="50"/>
      <c r="D243" s="180"/>
      <c r="E243" s="183"/>
      <c r="F243" s="50" t="s">
        <v>1407</v>
      </c>
      <c r="G243" s="50"/>
      <c r="H243" s="50"/>
      <c r="I243" s="50"/>
      <c r="J243" s="50" t="s">
        <v>1407</v>
      </c>
    </row>
    <row r="244" ht="22.5" customHeight="1">
      <c r="A244" s="50"/>
      <c r="B244" s="50"/>
      <c r="C244" s="50"/>
      <c r="D244" s="180"/>
      <c r="E244" s="183"/>
      <c r="F244" s="50" t="s">
        <v>1407</v>
      </c>
      <c r="G244" s="50"/>
      <c r="H244" s="50"/>
      <c r="I244" s="50"/>
      <c r="J244" s="50" t="s">
        <v>1407</v>
      </c>
    </row>
    <row r="245" ht="22.5" customHeight="1">
      <c r="A245" s="50"/>
      <c r="B245" s="50"/>
      <c r="C245" s="50"/>
      <c r="D245" s="180"/>
      <c r="E245" s="183"/>
      <c r="F245" s="50" t="s">
        <v>1407</v>
      </c>
      <c r="G245" s="50"/>
      <c r="H245" s="50"/>
      <c r="I245" s="50"/>
      <c r="J245" s="50" t="s">
        <v>1407</v>
      </c>
    </row>
    <row r="246" ht="22.5" customHeight="1">
      <c r="A246" s="50"/>
      <c r="B246" s="50"/>
      <c r="C246" s="50"/>
      <c r="D246" s="180"/>
      <c r="E246" s="183"/>
      <c r="F246" s="50" t="s">
        <v>1407</v>
      </c>
      <c r="G246" s="50"/>
      <c r="H246" s="50"/>
      <c r="I246" s="50"/>
      <c r="J246" s="50" t="s">
        <v>1407</v>
      </c>
    </row>
    <row r="247" ht="22.5" customHeight="1">
      <c r="A247" s="50"/>
      <c r="B247" s="50"/>
      <c r="C247" s="50"/>
      <c r="D247" s="180"/>
      <c r="E247" s="183"/>
      <c r="F247" s="50" t="s">
        <v>1407</v>
      </c>
      <c r="G247" s="50"/>
      <c r="H247" s="50"/>
      <c r="I247" s="50"/>
      <c r="J247" s="50" t="s">
        <v>1407</v>
      </c>
    </row>
    <row r="248" ht="22.5" customHeight="1">
      <c r="A248" s="50"/>
      <c r="B248" s="50"/>
      <c r="C248" s="50"/>
      <c r="D248" s="180"/>
      <c r="E248" s="183"/>
      <c r="F248" s="50" t="s">
        <v>1407</v>
      </c>
      <c r="G248" s="50"/>
      <c r="H248" s="50"/>
      <c r="I248" s="50"/>
      <c r="J248" s="50" t="s">
        <v>1407</v>
      </c>
    </row>
    <row r="249" ht="22.5" customHeight="1">
      <c r="A249" s="50"/>
      <c r="B249" s="50"/>
      <c r="C249" s="50"/>
      <c r="D249" s="180"/>
      <c r="E249" s="183"/>
      <c r="F249" s="50" t="s">
        <v>1407</v>
      </c>
      <c r="G249" s="50"/>
      <c r="H249" s="50"/>
      <c r="I249" s="50"/>
      <c r="J249" s="50" t="s">
        <v>1407</v>
      </c>
    </row>
    <row r="250" ht="22.5" customHeight="1">
      <c r="A250" s="50"/>
      <c r="B250" s="50"/>
      <c r="C250" s="50"/>
      <c r="D250" s="180"/>
      <c r="E250" s="183"/>
      <c r="F250" s="50" t="s">
        <v>1407</v>
      </c>
      <c r="G250" s="50"/>
      <c r="H250" s="50"/>
      <c r="I250" s="50"/>
      <c r="J250" s="50" t="s">
        <v>1407</v>
      </c>
    </row>
    <row r="251" ht="22.5" customHeight="1">
      <c r="A251" s="50"/>
      <c r="B251" s="50"/>
      <c r="C251" s="50"/>
      <c r="D251" s="180"/>
      <c r="E251" s="183"/>
      <c r="F251" s="50" t="s">
        <v>1407</v>
      </c>
      <c r="G251" s="50"/>
      <c r="H251" s="50"/>
      <c r="I251" s="50"/>
      <c r="J251" s="50" t="s">
        <v>1407</v>
      </c>
    </row>
    <row r="252" ht="22.5" customHeight="1">
      <c r="A252" s="50"/>
      <c r="B252" s="50"/>
      <c r="C252" s="50"/>
      <c r="D252" s="180"/>
      <c r="E252" s="183"/>
      <c r="F252" s="50" t="s">
        <v>1407</v>
      </c>
      <c r="G252" s="50"/>
      <c r="H252" s="50"/>
      <c r="I252" s="50"/>
      <c r="J252" s="50" t="s">
        <v>1407</v>
      </c>
    </row>
    <row r="253" ht="22.5" customHeight="1">
      <c r="A253" s="50"/>
      <c r="B253" s="50"/>
      <c r="C253" s="50"/>
      <c r="D253" s="180"/>
      <c r="E253" s="183"/>
      <c r="F253" s="50" t="s">
        <v>1407</v>
      </c>
      <c r="G253" s="50"/>
      <c r="H253" s="50"/>
      <c r="I253" s="50"/>
      <c r="J253" s="50" t="s">
        <v>1407</v>
      </c>
    </row>
    <row r="254" ht="22.5" customHeight="1">
      <c r="A254" s="50"/>
      <c r="B254" s="50"/>
      <c r="C254" s="50"/>
      <c r="D254" s="180"/>
      <c r="E254" s="183"/>
      <c r="F254" s="50" t="s">
        <v>1407</v>
      </c>
      <c r="G254" s="50"/>
      <c r="H254" s="50"/>
      <c r="I254" s="50"/>
      <c r="J254" s="50" t="s">
        <v>1407</v>
      </c>
    </row>
    <row r="255" ht="22.5" customHeight="1">
      <c r="A255" s="50"/>
      <c r="B255" s="50"/>
      <c r="C255" s="50"/>
      <c r="D255" s="180"/>
      <c r="E255" s="183"/>
      <c r="F255" s="50" t="s">
        <v>1407</v>
      </c>
      <c r="G255" s="50"/>
      <c r="H255" s="50"/>
      <c r="I255" s="50"/>
      <c r="J255" s="50" t="s">
        <v>1407</v>
      </c>
    </row>
    <row r="256" ht="22.5" customHeight="1">
      <c r="A256" s="50"/>
      <c r="B256" s="50"/>
      <c r="C256" s="50"/>
      <c r="D256" s="180"/>
      <c r="E256" s="183"/>
      <c r="F256" s="50" t="s">
        <v>1407</v>
      </c>
      <c r="G256" s="50"/>
      <c r="H256" s="50"/>
      <c r="I256" s="50"/>
      <c r="J256" s="50" t="s">
        <v>1407</v>
      </c>
    </row>
    <row r="257" ht="22.5" customHeight="1">
      <c r="A257" s="50"/>
      <c r="B257" s="50"/>
      <c r="C257" s="50"/>
      <c r="D257" s="180"/>
      <c r="E257" s="183"/>
      <c r="F257" s="50" t="s">
        <v>1407</v>
      </c>
      <c r="G257" s="50"/>
      <c r="H257" s="50"/>
      <c r="I257" s="50"/>
      <c r="J257" s="50" t="s">
        <v>1407</v>
      </c>
    </row>
    <row r="258" ht="22.5" customHeight="1">
      <c r="A258" s="50"/>
      <c r="B258" s="50"/>
      <c r="C258" s="50"/>
      <c r="D258" s="180"/>
      <c r="E258" s="183"/>
      <c r="F258" s="50" t="s">
        <v>1407</v>
      </c>
      <c r="G258" s="50"/>
      <c r="H258" s="50"/>
      <c r="I258" s="50"/>
      <c r="J258" s="50" t="s">
        <v>1407</v>
      </c>
    </row>
    <row r="259" ht="22.5" customHeight="1">
      <c r="A259" s="50"/>
      <c r="B259" s="50"/>
      <c r="C259" s="50"/>
      <c r="D259" s="180"/>
      <c r="E259" s="183"/>
      <c r="F259" s="50" t="s">
        <v>1407</v>
      </c>
      <c r="G259" s="50"/>
      <c r="H259" s="50"/>
      <c r="I259" s="50"/>
      <c r="J259" s="50" t="s">
        <v>1407</v>
      </c>
    </row>
    <row r="260" ht="22.5" customHeight="1">
      <c r="A260" s="50"/>
      <c r="B260" s="50"/>
      <c r="C260" s="50"/>
      <c r="D260" s="180"/>
      <c r="E260" s="183"/>
      <c r="F260" s="50" t="s">
        <v>1407</v>
      </c>
      <c r="G260" s="50"/>
      <c r="H260" s="50"/>
      <c r="I260" s="50"/>
      <c r="J260" s="50" t="s">
        <v>1407</v>
      </c>
    </row>
    <row r="261" ht="22.5" customHeight="1">
      <c r="A261" s="50"/>
      <c r="B261" s="50"/>
      <c r="C261" s="50"/>
      <c r="D261" s="180"/>
      <c r="E261" s="183"/>
      <c r="F261" s="50" t="s">
        <v>1407</v>
      </c>
      <c r="G261" s="50"/>
      <c r="H261" s="50"/>
      <c r="I261" s="50"/>
      <c r="J261" s="50" t="s">
        <v>1407</v>
      </c>
    </row>
    <row r="262" ht="22.5" customHeight="1">
      <c r="A262" s="50"/>
      <c r="B262" s="50"/>
      <c r="C262" s="50"/>
      <c r="D262" s="180"/>
      <c r="E262" s="183"/>
      <c r="F262" s="50" t="s">
        <v>1407</v>
      </c>
      <c r="G262" s="50"/>
      <c r="H262" s="50"/>
      <c r="I262" s="50"/>
      <c r="J262" s="50" t="s">
        <v>1407</v>
      </c>
    </row>
    <row r="263" ht="22.5" customHeight="1">
      <c r="A263" s="50"/>
      <c r="B263" s="50"/>
      <c r="C263" s="50"/>
      <c r="D263" s="180"/>
      <c r="E263" s="183"/>
      <c r="F263" s="50" t="s">
        <v>1407</v>
      </c>
      <c r="G263" s="50"/>
      <c r="H263" s="50"/>
      <c r="I263" s="50"/>
      <c r="J263" s="50" t="s">
        <v>1407</v>
      </c>
    </row>
    <row r="264" ht="22.5" customHeight="1">
      <c r="A264" s="50"/>
      <c r="B264" s="50"/>
      <c r="C264" s="50"/>
      <c r="D264" s="180"/>
      <c r="E264" s="183"/>
      <c r="F264" s="50" t="s">
        <v>1407</v>
      </c>
      <c r="G264" s="50"/>
      <c r="H264" s="50"/>
      <c r="I264" s="50"/>
      <c r="J264" s="50" t="s">
        <v>1407</v>
      </c>
    </row>
    <row r="265" ht="22.5" customHeight="1">
      <c r="A265" s="50"/>
      <c r="B265" s="50"/>
      <c r="C265" s="50"/>
      <c r="D265" s="180"/>
      <c r="E265" s="183"/>
      <c r="F265" s="50" t="s">
        <v>1407</v>
      </c>
      <c r="G265" s="50"/>
      <c r="H265" s="50"/>
      <c r="I265" s="50"/>
      <c r="J265" s="50" t="s">
        <v>1407</v>
      </c>
    </row>
    <row r="266" ht="22.5" customHeight="1">
      <c r="A266" s="50"/>
      <c r="B266" s="50"/>
      <c r="C266" s="50"/>
      <c r="D266" s="180"/>
      <c r="E266" s="183"/>
      <c r="F266" s="50" t="s">
        <v>1407</v>
      </c>
      <c r="G266" s="50"/>
      <c r="H266" s="50"/>
      <c r="I266" s="50"/>
      <c r="J266" s="50" t="s">
        <v>1407</v>
      </c>
    </row>
    <row r="267" ht="22.5" customHeight="1">
      <c r="A267" s="50"/>
      <c r="B267" s="50"/>
      <c r="C267" s="50"/>
      <c r="D267" s="180"/>
      <c r="E267" s="183"/>
      <c r="F267" s="50" t="s">
        <v>1407</v>
      </c>
      <c r="G267" s="50"/>
      <c r="H267" s="50"/>
      <c r="I267" s="50"/>
      <c r="J267" s="50" t="s">
        <v>1407</v>
      </c>
    </row>
    <row r="268" ht="22.5" customHeight="1">
      <c r="A268" s="50"/>
      <c r="B268" s="50"/>
      <c r="C268" s="50"/>
      <c r="D268" s="180"/>
      <c r="E268" s="183"/>
      <c r="F268" s="50" t="s">
        <v>1407</v>
      </c>
      <c r="G268" s="50"/>
      <c r="H268" s="50"/>
      <c r="I268" s="50"/>
      <c r="J268" s="50" t="s">
        <v>1407</v>
      </c>
    </row>
    <row r="269" ht="22.5" customHeight="1">
      <c r="A269" s="50"/>
      <c r="B269" s="50"/>
      <c r="C269" s="50"/>
      <c r="D269" s="180"/>
      <c r="E269" s="183"/>
      <c r="F269" s="50" t="s">
        <v>1407</v>
      </c>
      <c r="G269" s="50"/>
      <c r="H269" s="50"/>
      <c r="I269" s="50"/>
      <c r="J269" s="50" t="s">
        <v>1407</v>
      </c>
    </row>
    <row r="270" ht="22.5" customHeight="1">
      <c r="A270" s="50"/>
      <c r="B270" s="50"/>
      <c r="C270" s="50"/>
      <c r="D270" s="180"/>
      <c r="E270" s="183"/>
      <c r="F270" s="50" t="s">
        <v>1407</v>
      </c>
      <c r="G270" s="50"/>
      <c r="H270" s="50"/>
      <c r="I270" s="50"/>
      <c r="J270" s="50" t="s">
        <v>1407</v>
      </c>
    </row>
    <row r="271" ht="22.5" customHeight="1">
      <c r="A271" s="50"/>
      <c r="B271" s="50"/>
      <c r="C271" s="50"/>
      <c r="D271" s="180"/>
      <c r="E271" s="183"/>
      <c r="F271" s="50" t="s">
        <v>1407</v>
      </c>
      <c r="G271" s="50"/>
      <c r="H271" s="50"/>
      <c r="I271" s="50"/>
      <c r="J271" s="50" t="s">
        <v>1407</v>
      </c>
    </row>
    <row r="272" ht="22.5" customHeight="1">
      <c r="A272" s="50"/>
      <c r="B272" s="50"/>
      <c r="C272" s="50"/>
      <c r="D272" s="180"/>
      <c r="E272" s="183"/>
      <c r="F272" s="50" t="s">
        <v>1407</v>
      </c>
      <c r="G272" s="50"/>
      <c r="H272" s="50"/>
      <c r="I272" s="50"/>
      <c r="J272" s="50" t="s">
        <v>1407</v>
      </c>
    </row>
    <row r="273" ht="22.5" customHeight="1">
      <c r="A273" s="50"/>
      <c r="B273" s="50"/>
      <c r="C273" s="50"/>
      <c r="D273" s="180"/>
      <c r="E273" s="183"/>
      <c r="F273" s="50" t="s">
        <v>1407</v>
      </c>
      <c r="G273" s="50"/>
      <c r="H273" s="50"/>
      <c r="I273" s="50"/>
      <c r="J273" s="50" t="s">
        <v>1407</v>
      </c>
    </row>
    <row r="274" ht="22.5" customHeight="1">
      <c r="A274" s="50"/>
      <c r="B274" s="50"/>
      <c r="C274" s="50"/>
      <c r="D274" s="180"/>
      <c r="E274" s="183"/>
      <c r="F274" s="50" t="s">
        <v>1407</v>
      </c>
      <c r="G274" s="50"/>
      <c r="H274" s="50"/>
      <c r="I274" s="50"/>
      <c r="J274" s="50" t="s">
        <v>1407</v>
      </c>
    </row>
    <row r="275" ht="22.5" customHeight="1">
      <c r="A275" s="50"/>
      <c r="B275" s="50"/>
      <c r="C275" s="50"/>
      <c r="D275" s="180"/>
      <c r="E275" s="183"/>
      <c r="F275" s="50" t="s">
        <v>1407</v>
      </c>
      <c r="G275" s="50"/>
      <c r="H275" s="50"/>
      <c r="I275" s="50"/>
      <c r="J275" s="50" t="s">
        <v>1407</v>
      </c>
    </row>
    <row r="276" ht="22.5" customHeight="1">
      <c r="A276" s="50"/>
      <c r="B276" s="50"/>
      <c r="C276" s="50"/>
      <c r="D276" s="180"/>
      <c r="E276" s="183"/>
      <c r="F276" s="50" t="s">
        <v>1407</v>
      </c>
      <c r="G276" s="50"/>
      <c r="H276" s="50"/>
      <c r="I276" s="50"/>
      <c r="J276" s="50" t="s">
        <v>1407</v>
      </c>
    </row>
    <row r="277" ht="22.5" customHeight="1">
      <c r="A277" s="50"/>
      <c r="B277" s="50"/>
      <c r="C277" s="50"/>
      <c r="D277" s="180"/>
      <c r="E277" s="183"/>
      <c r="F277" s="50" t="s">
        <v>1407</v>
      </c>
      <c r="G277" s="50"/>
      <c r="H277" s="50"/>
      <c r="I277" s="50"/>
      <c r="J277" s="50" t="s">
        <v>1407</v>
      </c>
    </row>
    <row r="278" ht="22.5" customHeight="1">
      <c r="A278" s="50"/>
      <c r="B278" s="50"/>
      <c r="C278" s="50"/>
      <c r="D278" s="180"/>
      <c r="E278" s="183"/>
      <c r="F278" s="50" t="s">
        <v>1407</v>
      </c>
      <c r="G278" s="50"/>
      <c r="H278" s="50"/>
      <c r="I278" s="50"/>
      <c r="J278" s="50" t="s">
        <v>1407</v>
      </c>
    </row>
    <row r="279" ht="22.5" customHeight="1">
      <c r="A279" s="50"/>
      <c r="B279" s="50"/>
      <c r="C279" s="50"/>
      <c r="D279" s="180"/>
      <c r="E279" s="183"/>
      <c r="F279" s="50" t="s">
        <v>1407</v>
      </c>
      <c r="G279" s="50"/>
      <c r="H279" s="50"/>
      <c r="I279" s="50"/>
      <c r="J279" s="50" t="s">
        <v>1407</v>
      </c>
    </row>
    <row r="280" ht="22.5" customHeight="1">
      <c r="A280" s="50"/>
      <c r="B280" s="50"/>
      <c r="C280" s="50"/>
      <c r="D280" s="180"/>
      <c r="E280" s="183"/>
      <c r="F280" s="50" t="s">
        <v>1407</v>
      </c>
      <c r="G280" s="50"/>
      <c r="H280" s="50"/>
      <c r="I280" s="50"/>
      <c r="J280" s="50" t="s">
        <v>1407</v>
      </c>
    </row>
    <row r="281" ht="22.5" customHeight="1">
      <c r="A281" s="50"/>
      <c r="B281" s="50"/>
      <c r="C281" s="50"/>
      <c r="D281" s="180"/>
      <c r="E281" s="183"/>
      <c r="F281" s="50" t="s">
        <v>1407</v>
      </c>
      <c r="G281" s="50"/>
      <c r="H281" s="50"/>
      <c r="I281" s="50"/>
      <c r="J281" s="50" t="s">
        <v>1407</v>
      </c>
    </row>
    <row r="282" ht="22.5" customHeight="1">
      <c r="A282" s="50"/>
      <c r="B282" s="50"/>
      <c r="C282" s="50"/>
      <c r="D282" s="180"/>
      <c r="E282" s="183"/>
      <c r="F282" s="50" t="s">
        <v>1407</v>
      </c>
      <c r="G282" s="50"/>
      <c r="H282" s="50"/>
      <c r="I282" s="50"/>
      <c r="J282" s="50" t="s">
        <v>1407</v>
      </c>
    </row>
    <row r="283" ht="22.5" customHeight="1">
      <c r="A283" s="50"/>
      <c r="B283" s="50"/>
      <c r="C283" s="50"/>
      <c r="D283" s="180"/>
      <c r="E283" s="183"/>
      <c r="F283" s="50" t="s">
        <v>1407</v>
      </c>
      <c r="G283" s="50"/>
      <c r="H283" s="50"/>
      <c r="I283" s="50"/>
      <c r="J283" s="50" t="s">
        <v>1407</v>
      </c>
    </row>
    <row r="284" ht="22.5" customHeight="1">
      <c r="A284" s="50"/>
      <c r="B284" s="50"/>
      <c r="C284" s="50"/>
      <c r="D284" s="180"/>
      <c r="E284" s="183"/>
      <c r="F284" s="50" t="s">
        <v>1407</v>
      </c>
      <c r="G284" s="50"/>
      <c r="H284" s="50"/>
      <c r="I284" s="50"/>
      <c r="J284" s="50" t="s">
        <v>1407</v>
      </c>
    </row>
    <row r="285" ht="22.5" customHeight="1">
      <c r="A285" s="50"/>
      <c r="B285" s="50"/>
      <c r="C285" s="50"/>
      <c r="D285" s="180"/>
      <c r="E285" s="183"/>
      <c r="F285" s="50" t="s">
        <v>1407</v>
      </c>
      <c r="G285" s="50"/>
      <c r="H285" s="50"/>
      <c r="I285" s="50"/>
      <c r="J285" s="50" t="s">
        <v>1407</v>
      </c>
    </row>
    <row r="286" ht="22.5" customHeight="1">
      <c r="A286" s="50"/>
      <c r="B286" s="50"/>
      <c r="C286" s="50"/>
      <c r="D286" s="180"/>
      <c r="E286" s="183"/>
      <c r="F286" s="50" t="s">
        <v>1407</v>
      </c>
      <c r="G286" s="50"/>
      <c r="H286" s="50"/>
      <c r="I286" s="50"/>
      <c r="J286" s="50" t="s">
        <v>1407</v>
      </c>
    </row>
    <row r="287" ht="22.5" customHeight="1">
      <c r="A287" s="50"/>
      <c r="B287" s="50"/>
      <c r="C287" s="50"/>
      <c r="D287" s="180"/>
      <c r="E287" s="183"/>
      <c r="F287" s="50" t="s">
        <v>1407</v>
      </c>
      <c r="G287" s="50"/>
      <c r="H287" s="50"/>
      <c r="I287" s="50"/>
      <c r="J287" s="50" t="s">
        <v>1407</v>
      </c>
    </row>
    <row r="288" ht="22.5" customHeight="1">
      <c r="A288" s="50"/>
      <c r="B288" s="50"/>
      <c r="C288" s="50"/>
      <c r="D288" s="180"/>
      <c r="E288" s="183"/>
      <c r="F288" s="50" t="s">
        <v>1407</v>
      </c>
      <c r="G288" s="50"/>
      <c r="H288" s="50"/>
      <c r="I288" s="50"/>
      <c r="J288" s="50" t="s">
        <v>1407</v>
      </c>
    </row>
    <row r="289" ht="22.5" customHeight="1">
      <c r="A289" s="50"/>
      <c r="B289" s="50"/>
      <c r="C289" s="50"/>
      <c r="D289" s="180"/>
      <c r="E289" s="183"/>
      <c r="F289" s="50" t="s">
        <v>1407</v>
      </c>
      <c r="G289" s="50"/>
      <c r="H289" s="50"/>
      <c r="I289" s="50"/>
      <c r="J289" s="50" t="s">
        <v>1407</v>
      </c>
    </row>
    <row r="290" ht="22.5" customHeight="1">
      <c r="A290" s="50"/>
      <c r="B290" s="50"/>
      <c r="C290" s="50"/>
      <c r="D290" s="180"/>
      <c r="E290" s="183"/>
      <c r="F290" s="50" t="s">
        <v>1407</v>
      </c>
      <c r="G290" s="50"/>
      <c r="H290" s="50"/>
      <c r="I290" s="50"/>
      <c r="J290" s="50" t="s">
        <v>1407</v>
      </c>
    </row>
    <row r="291" ht="22.5" customHeight="1">
      <c r="A291" s="50"/>
      <c r="B291" s="50"/>
      <c r="C291" s="50"/>
      <c r="D291" s="180"/>
      <c r="E291" s="183"/>
      <c r="F291" s="50" t="s">
        <v>1407</v>
      </c>
      <c r="G291" s="50"/>
      <c r="H291" s="50"/>
      <c r="I291" s="50"/>
      <c r="J291" s="50" t="s">
        <v>1407</v>
      </c>
    </row>
    <row r="292" ht="22.5" customHeight="1">
      <c r="A292" s="50"/>
      <c r="B292" s="50"/>
      <c r="C292" s="50"/>
      <c r="D292" s="180"/>
      <c r="E292" s="183"/>
      <c r="F292" s="50" t="s">
        <v>1407</v>
      </c>
      <c r="G292" s="50"/>
      <c r="H292" s="50"/>
      <c r="I292" s="50"/>
      <c r="J292" s="50" t="s">
        <v>1407</v>
      </c>
    </row>
    <row r="293" ht="22.5" customHeight="1">
      <c r="A293" s="50"/>
      <c r="B293" s="50"/>
      <c r="C293" s="50"/>
      <c r="D293" s="180"/>
      <c r="E293" s="183"/>
      <c r="F293" s="50" t="s">
        <v>1407</v>
      </c>
      <c r="G293" s="50"/>
      <c r="H293" s="50"/>
      <c r="I293" s="50"/>
      <c r="J293" s="50" t="s">
        <v>1407</v>
      </c>
    </row>
    <row r="294" ht="22.5" customHeight="1">
      <c r="A294" s="50"/>
      <c r="B294" s="50"/>
      <c r="C294" s="50"/>
      <c r="D294" s="180"/>
      <c r="E294" s="183"/>
      <c r="F294" s="50" t="s">
        <v>1407</v>
      </c>
      <c r="G294" s="50"/>
      <c r="H294" s="50"/>
      <c r="I294" s="50"/>
      <c r="J294" s="50" t="s">
        <v>1407</v>
      </c>
    </row>
    <row r="295" ht="22.5" customHeight="1">
      <c r="A295" s="50"/>
      <c r="B295" s="50"/>
      <c r="C295" s="50"/>
      <c r="D295" s="180"/>
      <c r="E295" s="183"/>
      <c r="F295" s="50" t="s">
        <v>1407</v>
      </c>
      <c r="G295" s="50"/>
      <c r="H295" s="50"/>
      <c r="I295" s="50"/>
      <c r="J295" s="50" t="s">
        <v>1407</v>
      </c>
    </row>
    <row r="296" ht="22.5" customHeight="1">
      <c r="A296" s="50"/>
      <c r="B296" s="50"/>
      <c r="C296" s="50"/>
      <c r="D296" s="180"/>
      <c r="E296" s="183"/>
      <c r="F296" s="50" t="s">
        <v>1407</v>
      </c>
      <c r="G296" s="50"/>
      <c r="H296" s="50"/>
      <c r="I296" s="50"/>
      <c r="J296" s="50" t="s">
        <v>1407</v>
      </c>
    </row>
    <row r="297" ht="22.5" customHeight="1">
      <c r="A297" s="50"/>
      <c r="B297" s="50"/>
      <c r="C297" s="50"/>
      <c r="D297" s="180"/>
      <c r="E297" s="183"/>
      <c r="F297" s="50" t="s">
        <v>1407</v>
      </c>
      <c r="G297" s="50"/>
      <c r="H297" s="50"/>
      <c r="I297" s="50"/>
      <c r="J297" s="50" t="s">
        <v>1407</v>
      </c>
    </row>
    <row r="298" ht="22.5" customHeight="1">
      <c r="A298" s="50"/>
      <c r="B298" s="50"/>
      <c r="C298" s="50"/>
      <c r="D298" s="180"/>
      <c r="E298" s="183"/>
      <c r="F298" s="50" t="s">
        <v>1407</v>
      </c>
      <c r="G298" s="50"/>
      <c r="H298" s="50"/>
      <c r="I298" s="50"/>
      <c r="J298" s="50" t="s">
        <v>1407</v>
      </c>
    </row>
    <row r="299" ht="22.5" customHeight="1">
      <c r="A299" s="50"/>
      <c r="B299" s="50"/>
      <c r="C299" s="50"/>
      <c r="D299" s="180"/>
      <c r="E299" s="183"/>
      <c r="F299" s="50" t="s">
        <v>1407</v>
      </c>
      <c r="G299" s="50"/>
      <c r="H299" s="50"/>
      <c r="I299" s="50"/>
      <c r="J299" s="50" t="s">
        <v>1407</v>
      </c>
    </row>
    <row r="300" ht="22.5" customHeight="1">
      <c r="A300" s="50"/>
      <c r="B300" s="50"/>
      <c r="C300" s="50"/>
      <c r="D300" s="180"/>
      <c r="E300" s="183"/>
      <c r="F300" s="50" t="s">
        <v>1407</v>
      </c>
      <c r="G300" s="50"/>
      <c r="H300" s="50"/>
      <c r="I300" s="50"/>
      <c r="J300" s="50" t="s">
        <v>1407</v>
      </c>
    </row>
    <row r="301" ht="22.5" customHeight="1">
      <c r="A301" s="50"/>
      <c r="B301" s="50"/>
      <c r="C301" s="50"/>
      <c r="D301" s="180"/>
      <c r="E301" s="183"/>
      <c r="F301" s="50" t="s">
        <v>1407</v>
      </c>
      <c r="G301" s="50"/>
      <c r="H301" s="50"/>
      <c r="I301" s="50"/>
      <c r="J301" s="50" t="s">
        <v>1407</v>
      </c>
    </row>
    <row r="302" ht="22.5" customHeight="1">
      <c r="A302" s="50"/>
      <c r="B302" s="50"/>
      <c r="C302" s="50"/>
      <c r="D302" s="180"/>
      <c r="E302" s="183"/>
      <c r="F302" s="50" t="s">
        <v>1407</v>
      </c>
      <c r="G302" s="50"/>
      <c r="H302" s="50"/>
      <c r="I302" s="50"/>
      <c r="J302" s="50" t="s">
        <v>1407</v>
      </c>
    </row>
    <row r="303" ht="22.5" customHeight="1">
      <c r="A303" s="50"/>
      <c r="B303" s="50"/>
      <c r="C303" s="50"/>
      <c r="D303" s="180"/>
      <c r="E303" s="183"/>
      <c r="F303" s="50" t="s">
        <v>1407</v>
      </c>
      <c r="G303" s="50"/>
      <c r="H303" s="50"/>
      <c r="I303" s="50"/>
      <c r="J303" s="50" t="s">
        <v>1407</v>
      </c>
    </row>
    <row r="304" ht="22.5" customHeight="1">
      <c r="A304" s="50"/>
      <c r="B304" s="50"/>
      <c r="C304" s="50"/>
      <c r="D304" s="180"/>
      <c r="E304" s="183"/>
      <c r="F304" s="50" t="s">
        <v>1407</v>
      </c>
      <c r="G304" s="50"/>
      <c r="H304" s="50"/>
      <c r="I304" s="50"/>
      <c r="J304" s="50" t="s">
        <v>1407</v>
      </c>
    </row>
    <row r="305" ht="22.5" customHeight="1">
      <c r="A305" s="50"/>
      <c r="B305" s="50"/>
      <c r="C305" s="50"/>
      <c r="D305" s="180"/>
      <c r="E305" s="183"/>
      <c r="F305" s="50" t="s">
        <v>1407</v>
      </c>
      <c r="G305" s="50"/>
      <c r="H305" s="50"/>
      <c r="I305" s="50"/>
      <c r="J305" s="50" t="s">
        <v>1407</v>
      </c>
    </row>
    <row r="306" ht="22.5" customHeight="1">
      <c r="A306" s="50"/>
      <c r="B306" s="50"/>
      <c r="C306" s="50"/>
      <c r="D306" s="180"/>
      <c r="E306" s="183"/>
      <c r="F306" s="50" t="s">
        <v>1407</v>
      </c>
      <c r="G306" s="50"/>
      <c r="H306" s="50"/>
      <c r="I306" s="50"/>
      <c r="J306" s="50" t="s">
        <v>1407</v>
      </c>
    </row>
    <row r="307" ht="22.5" customHeight="1">
      <c r="A307" s="50"/>
      <c r="B307" s="50"/>
      <c r="C307" s="50"/>
      <c r="D307" s="180"/>
      <c r="E307" s="183"/>
      <c r="F307" s="50" t="s">
        <v>1407</v>
      </c>
      <c r="G307" s="50"/>
      <c r="H307" s="50"/>
      <c r="I307" s="50"/>
      <c r="J307" s="50" t="s">
        <v>1407</v>
      </c>
    </row>
    <row r="308" ht="22.5" customHeight="1">
      <c r="A308" s="50"/>
      <c r="B308" s="50"/>
      <c r="C308" s="50"/>
      <c r="D308" s="180"/>
      <c r="E308" s="183"/>
      <c r="F308" s="50" t="s">
        <v>1407</v>
      </c>
      <c r="G308" s="50"/>
      <c r="H308" s="50"/>
      <c r="I308" s="50"/>
      <c r="J308" s="50" t="s">
        <v>1407</v>
      </c>
    </row>
    <row r="309" ht="22.5" customHeight="1">
      <c r="A309" s="50"/>
      <c r="B309" s="50"/>
      <c r="C309" s="50"/>
      <c r="D309" s="180"/>
      <c r="E309" s="183"/>
      <c r="F309" s="50" t="s">
        <v>1407</v>
      </c>
      <c r="G309" s="50"/>
      <c r="H309" s="50"/>
      <c r="I309" s="50"/>
      <c r="J309" s="50" t="s">
        <v>1407</v>
      </c>
    </row>
    <row r="310" ht="22.5" customHeight="1">
      <c r="A310" s="50"/>
      <c r="B310" s="50"/>
      <c r="C310" s="50"/>
      <c r="D310" s="180"/>
      <c r="E310" s="183"/>
      <c r="F310" s="50" t="s">
        <v>1407</v>
      </c>
      <c r="G310" s="50"/>
      <c r="H310" s="50"/>
      <c r="I310" s="50"/>
      <c r="J310" s="50" t="s">
        <v>1407</v>
      </c>
    </row>
    <row r="311" ht="22.5" customHeight="1">
      <c r="A311" s="50"/>
      <c r="B311" s="50"/>
      <c r="C311" s="50"/>
      <c r="D311" s="180"/>
      <c r="E311" s="183"/>
      <c r="F311" s="50" t="s">
        <v>1407</v>
      </c>
      <c r="G311" s="50"/>
      <c r="H311" s="50"/>
      <c r="I311" s="50"/>
      <c r="J311" s="50" t="s">
        <v>1407</v>
      </c>
    </row>
    <row r="312" ht="22.5" customHeight="1">
      <c r="A312" s="50"/>
      <c r="B312" s="50"/>
      <c r="C312" s="50"/>
      <c r="D312" s="180"/>
      <c r="E312" s="183"/>
      <c r="F312" s="50" t="s">
        <v>1407</v>
      </c>
      <c r="G312" s="50"/>
      <c r="H312" s="50"/>
      <c r="I312" s="50"/>
      <c r="J312" s="50" t="s">
        <v>1407</v>
      </c>
    </row>
    <row r="313" ht="22.5" customHeight="1">
      <c r="A313" s="50"/>
      <c r="B313" s="50"/>
      <c r="C313" s="50"/>
      <c r="D313" s="180"/>
      <c r="E313" s="183"/>
      <c r="F313" s="50" t="s">
        <v>1407</v>
      </c>
      <c r="G313" s="50"/>
      <c r="H313" s="50"/>
      <c r="I313" s="50"/>
      <c r="J313" s="50" t="s">
        <v>1407</v>
      </c>
    </row>
    <row r="314" ht="22.5" customHeight="1">
      <c r="A314" s="50"/>
      <c r="B314" s="50"/>
      <c r="C314" s="50"/>
      <c r="D314" s="180"/>
      <c r="E314" s="183"/>
      <c r="F314" s="50" t="s">
        <v>1407</v>
      </c>
      <c r="G314" s="50"/>
      <c r="H314" s="50"/>
      <c r="I314" s="50"/>
      <c r="J314" s="50" t="s">
        <v>1407</v>
      </c>
    </row>
    <row r="315" ht="22.5" customHeight="1">
      <c r="A315" s="50"/>
      <c r="B315" s="50"/>
      <c r="C315" s="50"/>
      <c r="D315" s="180"/>
      <c r="E315" s="183"/>
      <c r="F315" s="50" t="s">
        <v>1407</v>
      </c>
      <c r="G315" s="50"/>
      <c r="H315" s="50"/>
      <c r="I315" s="50"/>
      <c r="J315" s="50" t="s">
        <v>1407</v>
      </c>
    </row>
    <row r="316" ht="22.5" customHeight="1">
      <c r="A316" s="50"/>
      <c r="B316" s="50"/>
      <c r="C316" s="50"/>
      <c r="D316" s="180"/>
      <c r="E316" s="183"/>
      <c r="F316" s="50" t="s">
        <v>1407</v>
      </c>
      <c r="G316" s="50"/>
      <c r="H316" s="50"/>
      <c r="I316" s="50"/>
      <c r="J316" s="50" t="s">
        <v>1407</v>
      </c>
    </row>
    <row r="317" ht="22.5" customHeight="1">
      <c r="A317" s="50"/>
      <c r="B317" s="50"/>
      <c r="C317" s="50"/>
      <c r="D317" s="180"/>
      <c r="E317" s="183"/>
      <c r="F317" s="50" t="s">
        <v>1407</v>
      </c>
      <c r="G317" s="50"/>
      <c r="H317" s="50"/>
      <c r="I317" s="50"/>
      <c r="J317" s="50" t="s">
        <v>1407</v>
      </c>
    </row>
    <row r="318" ht="22.5" customHeight="1">
      <c r="A318" s="50"/>
      <c r="B318" s="50"/>
      <c r="C318" s="50"/>
      <c r="D318" s="180"/>
      <c r="E318" s="183"/>
      <c r="F318" s="50" t="s">
        <v>1407</v>
      </c>
      <c r="G318" s="50"/>
      <c r="H318" s="50"/>
      <c r="I318" s="50"/>
      <c r="J318" s="50" t="s">
        <v>1407</v>
      </c>
    </row>
    <row r="319" ht="22.5" customHeight="1">
      <c r="A319" s="50"/>
      <c r="B319" s="50"/>
      <c r="C319" s="50"/>
      <c r="D319" s="180"/>
      <c r="E319" s="183"/>
      <c r="F319" s="50" t="s">
        <v>1407</v>
      </c>
      <c r="G319" s="50"/>
      <c r="H319" s="50"/>
      <c r="I319" s="50"/>
      <c r="J319" s="50" t="s">
        <v>1407</v>
      </c>
    </row>
    <row r="320" ht="22.5" customHeight="1">
      <c r="A320" s="50"/>
      <c r="B320" s="50"/>
      <c r="C320" s="50"/>
      <c r="D320" s="180"/>
      <c r="E320" s="183"/>
      <c r="F320" s="50" t="s">
        <v>1407</v>
      </c>
      <c r="G320" s="50"/>
      <c r="H320" s="50"/>
      <c r="I320" s="50"/>
      <c r="J320" s="50" t="s">
        <v>1407</v>
      </c>
    </row>
    <row r="321" ht="22.5" customHeight="1">
      <c r="A321" s="50"/>
      <c r="B321" s="50"/>
      <c r="C321" s="50"/>
      <c r="D321" s="180"/>
      <c r="E321" s="183"/>
      <c r="F321" s="50" t="s">
        <v>1407</v>
      </c>
      <c r="G321" s="50"/>
      <c r="H321" s="50"/>
      <c r="I321" s="50"/>
      <c r="J321" s="50" t="s">
        <v>1407</v>
      </c>
    </row>
    <row r="322" ht="22.5" customHeight="1">
      <c r="A322" s="50"/>
      <c r="B322" s="50"/>
      <c r="C322" s="50"/>
      <c r="D322" s="180"/>
      <c r="E322" s="183"/>
      <c r="F322" s="50" t="s">
        <v>1407</v>
      </c>
      <c r="G322" s="50"/>
      <c r="H322" s="50"/>
      <c r="I322" s="50"/>
      <c r="J322" s="50" t="s">
        <v>1407</v>
      </c>
    </row>
    <row r="323" ht="22.5" customHeight="1">
      <c r="A323" s="50"/>
      <c r="B323" s="50"/>
      <c r="C323" s="50"/>
      <c r="D323" s="180"/>
      <c r="E323" s="183"/>
      <c r="F323" s="50" t="s">
        <v>1407</v>
      </c>
      <c r="G323" s="50"/>
      <c r="H323" s="50"/>
      <c r="I323" s="50"/>
      <c r="J323" s="50" t="s">
        <v>1407</v>
      </c>
    </row>
    <row r="324" ht="22.5" customHeight="1">
      <c r="A324" s="50"/>
      <c r="B324" s="50"/>
      <c r="C324" s="50"/>
      <c r="D324" s="180"/>
      <c r="E324" s="183"/>
      <c r="F324" s="50" t="s">
        <v>1407</v>
      </c>
      <c r="G324" s="50"/>
      <c r="H324" s="50"/>
      <c r="I324" s="50"/>
      <c r="J324" s="50" t="s">
        <v>1407</v>
      </c>
    </row>
    <row r="325" ht="22.5" customHeight="1">
      <c r="A325" s="50"/>
      <c r="B325" s="50"/>
      <c r="C325" s="50"/>
      <c r="D325" s="180"/>
      <c r="E325" s="183"/>
      <c r="F325" s="50" t="s">
        <v>1407</v>
      </c>
      <c r="G325" s="50"/>
      <c r="H325" s="50"/>
      <c r="I325" s="50"/>
      <c r="J325" s="50" t="s">
        <v>1407</v>
      </c>
    </row>
    <row r="326" ht="22.5" customHeight="1">
      <c r="A326" s="50"/>
      <c r="B326" s="50"/>
      <c r="C326" s="50"/>
      <c r="D326" s="180"/>
      <c r="E326" s="183"/>
      <c r="F326" s="50" t="s">
        <v>1407</v>
      </c>
      <c r="G326" s="50"/>
      <c r="H326" s="50"/>
      <c r="I326" s="50"/>
      <c r="J326" s="50" t="s">
        <v>1407</v>
      </c>
    </row>
    <row r="327" ht="22.5" customHeight="1">
      <c r="A327" s="50"/>
      <c r="B327" s="50"/>
      <c r="C327" s="50"/>
      <c r="D327" s="180"/>
      <c r="E327" s="183"/>
      <c r="F327" s="50" t="s">
        <v>1407</v>
      </c>
      <c r="G327" s="50"/>
      <c r="H327" s="50"/>
      <c r="I327" s="50"/>
      <c r="J327" s="50" t="s">
        <v>1407</v>
      </c>
    </row>
    <row r="328" ht="22.5" customHeight="1">
      <c r="A328" s="50"/>
      <c r="B328" s="50"/>
      <c r="C328" s="50"/>
      <c r="D328" s="180"/>
      <c r="E328" s="183"/>
      <c r="F328" s="50" t="s">
        <v>1407</v>
      </c>
      <c r="G328" s="50"/>
      <c r="H328" s="50"/>
      <c r="I328" s="50"/>
      <c r="J328" s="50" t="s">
        <v>1407</v>
      </c>
    </row>
    <row r="329" ht="22.5" customHeight="1">
      <c r="A329" s="50"/>
      <c r="B329" s="50"/>
      <c r="C329" s="50"/>
      <c r="D329" s="180"/>
      <c r="E329" s="183"/>
      <c r="F329" s="50" t="s">
        <v>1407</v>
      </c>
      <c r="G329" s="50"/>
      <c r="H329" s="50"/>
      <c r="I329" s="50"/>
      <c r="J329" s="50" t="s">
        <v>1407</v>
      </c>
    </row>
    <row r="330" ht="22.5" customHeight="1">
      <c r="A330" s="50"/>
      <c r="B330" s="50"/>
      <c r="C330" s="50"/>
      <c r="D330" s="180"/>
      <c r="E330" s="183"/>
      <c r="F330" s="50" t="s">
        <v>1407</v>
      </c>
      <c r="G330" s="50"/>
      <c r="H330" s="50"/>
      <c r="I330" s="50"/>
      <c r="J330" s="50" t="s">
        <v>1407</v>
      </c>
    </row>
    <row r="331" ht="22.5" customHeight="1">
      <c r="A331" s="50"/>
      <c r="B331" s="50"/>
      <c r="C331" s="50"/>
      <c r="D331" s="180"/>
      <c r="E331" s="183"/>
      <c r="F331" s="50" t="s">
        <v>1407</v>
      </c>
      <c r="G331" s="50"/>
      <c r="H331" s="50"/>
      <c r="I331" s="50"/>
      <c r="J331" s="50" t="s">
        <v>1407</v>
      </c>
    </row>
    <row r="332" ht="22.5" customHeight="1">
      <c r="A332" s="50"/>
      <c r="B332" s="50"/>
      <c r="C332" s="50"/>
      <c r="D332" s="180"/>
      <c r="E332" s="183"/>
      <c r="F332" s="50" t="s">
        <v>1407</v>
      </c>
      <c r="G332" s="50"/>
      <c r="H332" s="50"/>
      <c r="I332" s="50"/>
      <c r="J332" s="50" t="s">
        <v>1407</v>
      </c>
    </row>
    <row r="333" ht="22.5" customHeight="1">
      <c r="A333" s="50"/>
      <c r="B333" s="50"/>
      <c r="C333" s="50"/>
      <c r="D333" s="180"/>
      <c r="E333" s="183"/>
      <c r="F333" s="50" t="s">
        <v>1407</v>
      </c>
      <c r="G333" s="50"/>
      <c r="H333" s="50"/>
      <c r="I333" s="50"/>
      <c r="J333" s="50" t="s">
        <v>1407</v>
      </c>
    </row>
    <row r="334" ht="22.5" customHeight="1">
      <c r="A334" s="50"/>
      <c r="B334" s="50"/>
      <c r="C334" s="50"/>
      <c r="D334" s="180"/>
      <c r="E334" s="183"/>
      <c r="F334" s="50" t="s">
        <v>1407</v>
      </c>
      <c r="G334" s="50"/>
      <c r="H334" s="50"/>
      <c r="I334" s="50"/>
      <c r="J334" s="50" t="s">
        <v>1407</v>
      </c>
    </row>
    <row r="335" ht="22.5" customHeight="1">
      <c r="A335" s="50"/>
      <c r="B335" s="50"/>
      <c r="C335" s="50"/>
      <c r="D335" s="180"/>
      <c r="E335" s="183"/>
      <c r="F335" s="50" t="s">
        <v>1407</v>
      </c>
      <c r="G335" s="50"/>
      <c r="H335" s="50"/>
      <c r="I335" s="50"/>
      <c r="J335" s="50" t="s">
        <v>1407</v>
      </c>
    </row>
    <row r="336" ht="22.5" customHeight="1">
      <c r="A336" s="50"/>
      <c r="B336" s="50"/>
      <c r="C336" s="50"/>
      <c r="D336" s="180"/>
      <c r="E336" s="183"/>
      <c r="F336" s="50" t="s">
        <v>1407</v>
      </c>
      <c r="G336" s="50"/>
      <c r="H336" s="50"/>
      <c r="I336" s="50"/>
      <c r="J336" s="50" t="s">
        <v>1407</v>
      </c>
    </row>
    <row r="337" ht="22.5" customHeight="1">
      <c r="A337" s="50"/>
      <c r="B337" s="50"/>
      <c r="C337" s="50"/>
      <c r="D337" s="180"/>
      <c r="E337" s="183"/>
      <c r="F337" s="50" t="s">
        <v>1407</v>
      </c>
      <c r="G337" s="50"/>
      <c r="H337" s="50"/>
      <c r="I337" s="50"/>
      <c r="J337" s="50" t="s">
        <v>1407</v>
      </c>
    </row>
    <row r="338" ht="22.5" customHeight="1">
      <c r="A338" s="50"/>
      <c r="B338" s="50"/>
      <c r="C338" s="50"/>
      <c r="D338" s="180"/>
      <c r="E338" s="183"/>
      <c r="F338" s="50" t="s">
        <v>1407</v>
      </c>
      <c r="G338" s="50"/>
      <c r="H338" s="50"/>
      <c r="I338" s="50"/>
      <c r="J338" s="50" t="s">
        <v>1407</v>
      </c>
    </row>
    <row r="339" ht="22.5" customHeight="1">
      <c r="A339" s="50"/>
      <c r="B339" s="50"/>
      <c r="C339" s="50"/>
      <c r="D339" s="180"/>
      <c r="E339" s="183"/>
      <c r="F339" s="50" t="s">
        <v>1407</v>
      </c>
      <c r="G339" s="50"/>
      <c r="H339" s="50"/>
      <c r="I339" s="50"/>
      <c r="J339" s="50" t="s">
        <v>1407</v>
      </c>
    </row>
    <row r="340" ht="22.5" customHeight="1">
      <c r="A340" s="50"/>
      <c r="B340" s="50"/>
      <c r="C340" s="50"/>
      <c r="D340" s="180"/>
      <c r="E340" s="183"/>
      <c r="F340" s="50" t="s">
        <v>1407</v>
      </c>
      <c r="G340" s="50"/>
      <c r="H340" s="50"/>
      <c r="I340" s="50"/>
      <c r="J340" s="50" t="s">
        <v>1407</v>
      </c>
    </row>
    <row r="341" ht="22.5" customHeight="1">
      <c r="A341" s="50"/>
      <c r="B341" s="50"/>
      <c r="C341" s="50"/>
      <c r="D341" s="180"/>
      <c r="E341" s="183"/>
      <c r="F341" s="50" t="s">
        <v>1407</v>
      </c>
      <c r="G341" s="50"/>
      <c r="H341" s="50"/>
      <c r="I341" s="50"/>
      <c r="J341" s="50" t="s">
        <v>1407</v>
      </c>
    </row>
    <row r="342" ht="22.5" customHeight="1">
      <c r="A342" s="50"/>
      <c r="B342" s="50"/>
      <c r="C342" s="50"/>
      <c r="D342" s="180"/>
      <c r="E342" s="183"/>
      <c r="F342" s="50" t="s">
        <v>1407</v>
      </c>
      <c r="G342" s="50"/>
      <c r="H342" s="50"/>
      <c r="I342" s="50"/>
      <c r="J342" s="50" t="s">
        <v>1407</v>
      </c>
    </row>
    <row r="343" ht="22.5" customHeight="1">
      <c r="A343" s="50"/>
      <c r="B343" s="50"/>
      <c r="C343" s="50"/>
      <c r="D343" s="180"/>
      <c r="E343" s="183"/>
      <c r="F343" s="50" t="s">
        <v>1407</v>
      </c>
      <c r="G343" s="50"/>
      <c r="H343" s="50"/>
      <c r="I343" s="50"/>
      <c r="J343" s="50" t="s">
        <v>1407</v>
      </c>
    </row>
    <row r="344" ht="22.5" customHeight="1">
      <c r="A344" s="50"/>
      <c r="B344" s="50"/>
      <c r="C344" s="50"/>
      <c r="D344" s="180"/>
      <c r="E344" s="183"/>
      <c r="F344" s="50" t="s">
        <v>1407</v>
      </c>
      <c r="G344" s="50"/>
      <c r="H344" s="50"/>
      <c r="I344" s="50"/>
      <c r="J344" s="50" t="s">
        <v>1407</v>
      </c>
    </row>
    <row r="345" ht="22.5" customHeight="1">
      <c r="A345" s="50"/>
      <c r="B345" s="50"/>
      <c r="C345" s="50"/>
      <c r="D345" s="180"/>
      <c r="E345" s="183"/>
      <c r="F345" s="50" t="s">
        <v>1407</v>
      </c>
      <c r="G345" s="50"/>
      <c r="H345" s="50"/>
      <c r="I345" s="50"/>
      <c r="J345" s="50" t="s">
        <v>1407</v>
      </c>
    </row>
    <row r="346" ht="22.5" customHeight="1">
      <c r="A346" s="50"/>
      <c r="B346" s="50"/>
      <c r="C346" s="50"/>
      <c r="D346" s="180"/>
      <c r="E346" s="183"/>
      <c r="F346" s="50" t="s">
        <v>1407</v>
      </c>
      <c r="G346" s="50"/>
      <c r="H346" s="50"/>
      <c r="I346" s="50"/>
      <c r="J346" s="50" t="s">
        <v>1407</v>
      </c>
    </row>
    <row r="347" ht="22.5" customHeight="1">
      <c r="A347" s="50"/>
      <c r="B347" s="50"/>
      <c r="C347" s="50"/>
      <c r="D347" s="180"/>
      <c r="E347" s="183"/>
      <c r="F347" s="50" t="s">
        <v>1407</v>
      </c>
      <c r="G347" s="50"/>
      <c r="H347" s="50"/>
      <c r="I347" s="50"/>
      <c r="J347" s="50" t="s">
        <v>1407</v>
      </c>
    </row>
    <row r="348" ht="22.5" customHeight="1">
      <c r="A348" s="50"/>
      <c r="B348" s="50"/>
      <c r="C348" s="50"/>
      <c r="D348" s="180"/>
      <c r="E348" s="183"/>
      <c r="F348" s="50" t="s">
        <v>1407</v>
      </c>
      <c r="G348" s="50"/>
      <c r="H348" s="50"/>
      <c r="I348" s="50"/>
      <c r="J348" s="50" t="s">
        <v>1407</v>
      </c>
    </row>
    <row r="349" ht="22.5" customHeight="1">
      <c r="A349" s="50"/>
      <c r="B349" s="50"/>
      <c r="C349" s="50"/>
      <c r="D349" s="180"/>
      <c r="E349" s="183"/>
      <c r="F349" s="50" t="s">
        <v>1407</v>
      </c>
      <c r="G349" s="50"/>
      <c r="H349" s="50"/>
      <c r="I349" s="50"/>
      <c r="J349" s="50" t="s">
        <v>1407</v>
      </c>
    </row>
    <row r="350" ht="22.5" customHeight="1">
      <c r="A350" s="50"/>
      <c r="B350" s="50"/>
      <c r="C350" s="50"/>
      <c r="D350" s="180"/>
      <c r="E350" s="183"/>
      <c r="F350" s="50" t="s">
        <v>1407</v>
      </c>
      <c r="G350" s="50"/>
      <c r="H350" s="50"/>
      <c r="I350" s="50"/>
      <c r="J350" s="50" t="s">
        <v>1407</v>
      </c>
    </row>
    <row r="351" ht="22.5" customHeight="1">
      <c r="A351" s="50"/>
      <c r="B351" s="50"/>
      <c r="C351" s="50"/>
      <c r="D351" s="180"/>
      <c r="E351" s="183"/>
      <c r="F351" s="50" t="s">
        <v>1407</v>
      </c>
      <c r="G351" s="50"/>
      <c r="H351" s="50"/>
      <c r="I351" s="50"/>
      <c r="J351" s="50" t="s">
        <v>1407</v>
      </c>
    </row>
    <row r="352" ht="22.5" customHeight="1">
      <c r="A352" s="50"/>
      <c r="B352" s="50"/>
      <c r="C352" s="50"/>
      <c r="D352" s="180"/>
      <c r="E352" s="183"/>
      <c r="F352" s="50" t="s">
        <v>1407</v>
      </c>
      <c r="G352" s="50"/>
      <c r="H352" s="50"/>
      <c r="I352" s="50"/>
      <c r="J352" s="50" t="s">
        <v>1407</v>
      </c>
    </row>
    <row r="353" ht="22.5" customHeight="1">
      <c r="A353" s="50"/>
      <c r="B353" s="50"/>
      <c r="C353" s="50"/>
      <c r="D353" s="180"/>
      <c r="E353" s="183"/>
      <c r="F353" s="50" t="s">
        <v>1407</v>
      </c>
      <c r="G353" s="50"/>
      <c r="H353" s="50"/>
      <c r="I353" s="50"/>
      <c r="J353" s="50" t="s">
        <v>1407</v>
      </c>
    </row>
    <row r="354" ht="22.5" customHeight="1">
      <c r="A354" s="50"/>
      <c r="B354" s="50"/>
      <c r="C354" s="50"/>
      <c r="D354" s="180"/>
      <c r="E354" s="183"/>
      <c r="F354" s="50" t="s">
        <v>1407</v>
      </c>
      <c r="G354" s="50"/>
      <c r="H354" s="50"/>
      <c r="I354" s="50"/>
      <c r="J354" s="50" t="s">
        <v>1407</v>
      </c>
    </row>
    <row r="355" ht="22.5" customHeight="1">
      <c r="A355" s="50"/>
      <c r="B355" s="50"/>
      <c r="C355" s="50"/>
      <c r="D355" s="180"/>
      <c r="E355" s="183"/>
      <c r="F355" s="50" t="s">
        <v>1407</v>
      </c>
      <c r="G355" s="50"/>
      <c r="H355" s="50"/>
      <c r="I355" s="50"/>
      <c r="J355" s="50" t="s">
        <v>1407</v>
      </c>
    </row>
    <row r="356" ht="22.5" customHeight="1">
      <c r="A356" s="50"/>
      <c r="B356" s="50"/>
      <c r="C356" s="50"/>
      <c r="D356" s="180"/>
      <c r="E356" s="183"/>
      <c r="F356" s="50" t="s">
        <v>1407</v>
      </c>
      <c r="G356" s="50"/>
      <c r="H356" s="50"/>
      <c r="I356" s="50"/>
      <c r="J356" s="50" t="s">
        <v>1407</v>
      </c>
    </row>
    <row r="357" ht="22.5" customHeight="1">
      <c r="A357" s="50"/>
      <c r="B357" s="50"/>
      <c r="C357" s="50"/>
      <c r="D357" s="180"/>
      <c r="E357" s="183"/>
      <c r="F357" s="50" t="s">
        <v>1407</v>
      </c>
      <c r="G357" s="50"/>
      <c r="H357" s="50"/>
      <c r="I357" s="50"/>
      <c r="J357" s="50" t="s">
        <v>1407</v>
      </c>
    </row>
    <row r="358" ht="22.5" customHeight="1">
      <c r="A358" s="50"/>
      <c r="B358" s="50"/>
      <c r="C358" s="50"/>
      <c r="D358" s="180"/>
      <c r="E358" s="183"/>
      <c r="F358" s="50" t="s">
        <v>1407</v>
      </c>
      <c r="G358" s="50"/>
      <c r="H358" s="50"/>
      <c r="I358" s="50"/>
      <c r="J358" s="50" t="s">
        <v>1407</v>
      </c>
    </row>
    <row r="359" ht="22.5" customHeight="1">
      <c r="A359" s="50"/>
      <c r="B359" s="50"/>
      <c r="C359" s="50"/>
      <c r="D359" s="180"/>
      <c r="E359" s="183"/>
      <c r="F359" s="50" t="s">
        <v>1407</v>
      </c>
      <c r="G359" s="50"/>
      <c r="H359" s="50"/>
      <c r="I359" s="50"/>
      <c r="J359" s="50" t="s">
        <v>1407</v>
      </c>
    </row>
    <row r="360" ht="22.5" customHeight="1">
      <c r="A360" s="50"/>
      <c r="B360" s="50"/>
      <c r="C360" s="50"/>
      <c r="D360" s="180"/>
      <c r="E360" s="183"/>
      <c r="F360" s="50" t="s">
        <v>1407</v>
      </c>
      <c r="G360" s="50"/>
      <c r="H360" s="50"/>
      <c r="I360" s="50"/>
      <c r="J360" s="50" t="s">
        <v>1407</v>
      </c>
    </row>
    <row r="361" ht="22.5" customHeight="1">
      <c r="A361" s="50"/>
      <c r="B361" s="50"/>
      <c r="C361" s="50"/>
      <c r="D361" s="180"/>
      <c r="E361" s="183"/>
      <c r="F361" s="50" t="s">
        <v>1407</v>
      </c>
      <c r="G361" s="50"/>
      <c r="H361" s="50"/>
      <c r="I361" s="50"/>
      <c r="J361" s="50" t="s">
        <v>1407</v>
      </c>
    </row>
    <row r="362" ht="22.5" customHeight="1">
      <c r="A362" s="50"/>
      <c r="B362" s="50"/>
      <c r="C362" s="50"/>
      <c r="D362" s="180"/>
      <c r="E362" s="183"/>
      <c r="F362" s="50" t="s">
        <v>1407</v>
      </c>
      <c r="G362" s="50"/>
      <c r="H362" s="50"/>
      <c r="I362" s="50"/>
      <c r="J362" s="50" t="s">
        <v>1407</v>
      </c>
    </row>
    <row r="363" ht="22.5" customHeight="1">
      <c r="A363" s="50"/>
      <c r="B363" s="50"/>
      <c r="C363" s="50"/>
      <c r="D363" s="180"/>
      <c r="E363" s="183"/>
      <c r="F363" s="50" t="s">
        <v>1407</v>
      </c>
      <c r="G363" s="50"/>
      <c r="H363" s="50"/>
      <c r="I363" s="50"/>
      <c r="J363" s="50" t="s">
        <v>1407</v>
      </c>
    </row>
    <row r="364" ht="22.5" customHeight="1">
      <c r="A364" s="50"/>
      <c r="B364" s="50"/>
      <c r="C364" s="50"/>
      <c r="D364" s="180"/>
      <c r="E364" s="183"/>
      <c r="F364" s="50" t="s">
        <v>1407</v>
      </c>
      <c r="G364" s="50"/>
      <c r="H364" s="50"/>
      <c r="I364" s="50"/>
      <c r="J364" s="50" t="s">
        <v>1407</v>
      </c>
    </row>
    <row r="365" ht="22.5" customHeight="1">
      <c r="A365" s="50"/>
      <c r="B365" s="50"/>
      <c r="C365" s="50"/>
      <c r="D365" s="180"/>
      <c r="E365" s="183"/>
      <c r="F365" s="50" t="s">
        <v>1407</v>
      </c>
      <c r="G365" s="50"/>
      <c r="H365" s="50"/>
      <c r="I365" s="50"/>
      <c r="J365" s="50" t="s">
        <v>1407</v>
      </c>
    </row>
    <row r="366" ht="22.5" customHeight="1">
      <c r="A366" s="50"/>
      <c r="B366" s="50"/>
      <c r="C366" s="50"/>
      <c r="D366" s="180"/>
      <c r="E366" s="183"/>
      <c r="F366" s="50" t="s">
        <v>1407</v>
      </c>
      <c r="G366" s="50"/>
      <c r="H366" s="50"/>
      <c r="I366" s="50"/>
      <c r="J366" s="50" t="s">
        <v>1407</v>
      </c>
    </row>
    <row r="367" ht="22.5" customHeight="1">
      <c r="A367" s="50"/>
      <c r="B367" s="50"/>
      <c r="C367" s="50"/>
      <c r="D367" s="180"/>
      <c r="E367" s="183"/>
      <c r="F367" s="50" t="s">
        <v>1407</v>
      </c>
      <c r="G367" s="50"/>
      <c r="H367" s="50"/>
      <c r="I367" s="50"/>
      <c r="J367" s="50" t="s">
        <v>1407</v>
      </c>
    </row>
    <row r="368" ht="22.5" customHeight="1">
      <c r="A368" s="50"/>
      <c r="B368" s="50"/>
      <c r="C368" s="50"/>
      <c r="D368" s="180"/>
      <c r="E368" s="183"/>
      <c r="F368" s="50" t="s">
        <v>1407</v>
      </c>
      <c r="G368" s="50"/>
      <c r="H368" s="50"/>
      <c r="I368" s="50"/>
      <c r="J368" s="50" t="s">
        <v>1407</v>
      </c>
    </row>
    <row r="369" ht="22.5" customHeight="1">
      <c r="A369" s="50"/>
      <c r="B369" s="50"/>
      <c r="C369" s="50"/>
      <c r="D369" s="180"/>
      <c r="E369" s="183"/>
      <c r="F369" s="50" t="s">
        <v>1407</v>
      </c>
      <c r="G369" s="50"/>
      <c r="H369" s="50"/>
      <c r="I369" s="50"/>
      <c r="J369" s="50" t="s">
        <v>1407</v>
      </c>
    </row>
    <row r="370" ht="22.5" customHeight="1">
      <c r="A370" s="50"/>
      <c r="B370" s="50"/>
      <c r="C370" s="50"/>
      <c r="D370" s="180"/>
      <c r="E370" s="183"/>
      <c r="F370" s="50" t="s">
        <v>1407</v>
      </c>
      <c r="G370" s="50"/>
      <c r="H370" s="50"/>
      <c r="I370" s="50"/>
      <c r="J370" s="50" t="s">
        <v>1407</v>
      </c>
    </row>
    <row r="371" ht="22.5" customHeight="1">
      <c r="A371" s="50"/>
      <c r="B371" s="50"/>
      <c r="C371" s="50"/>
      <c r="D371" s="180"/>
      <c r="E371" s="183"/>
      <c r="F371" s="50" t="s">
        <v>1407</v>
      </c>
      <c r="G371" s="50"/>
      <c r="H371" s="50"/>
      <c r="I371" s="50"/>
      <c r="J371" s="50" t="s">
        <v>1407</v>
      </c>
    </row>
    <row r="372" ht="22.5" customHeight="1">
      <c r="A372" s="50"/>
      <c r="B372" s="50"/>
      <c r="C372" s="50"/>
      <c r="D372" s="180"/>
      <c r="E372" s="183"/>
      <c r="F372" s="50" t="s">
        <v>1407</v>
      </c>
      <c r="G372" s="50"/>
      <c r="H372" s="50"/>
      <c r="I372" s="50"/>
      <c r="J372" s="50" t="s">
        <v>1407</v>
      </c>
    </row>
    <row r="373" ht="22.5" customHeight="1">
      <c r="A373" s="50"/>
      <c r="B373" s="50"/>
      <c r="C373" s="50"/>
      <c r="D373" s="180"/>
      <c r="E373" s="183"/>
      <c r="F373" s="50" t="s">
        <v>1407</v>
      </c>
      <c r="G373" s="50"/>
      <c r="H373" s="50"/>
      <c r="I373" s="50"/>
      <c r="J373" s="50" t="s">
        <v>1407</v>
      </c>
    </row>
    <row r="374" ht="22.5" customHeight="1">
      <c r="A374" s="50"/>
      <c r="B374" s="50"/>
      <c r="C374" s="50"/>
      <c r="D374" s="180"/>
      <c r="E374" s="183"/>
      <c r="F374" s="50" t="s">
        <v>1407</v>
      </c>
      <c r="G374" s="50"/>
      <c r="H374" s="50"/>
      <c r="I374" s="50"/>
      <c r="J374" s="50" t="s">
        <v>1407</v>
      </c>
    </row>
    <row r="375" ht="22.5" customHeight="1">
      <c r="A375" s="50"/>
      <c r="B375" s="50"/>
      <c r="C375" s="50"/>
      <c r="D375" s="180"/>
      <c r="E375" s="183"/>
      <c r="F375" s="50" t="s">
        <v>1407</v>
      </c>
      <c r="G375" s="50"/>
      <c r="H375" s="50"/>
      <c r="I375" s="50"/>
      <c r="J375" s="50" t="s">
        <v>1407</v>
      </c>
    </row>
    <row r="376" ht="22.5" customHeight="1">
      <c r="A376" s="50"/>
      <c r="B376" s="50"/>
      <c r="C376" s="50"/>
      <c r="D376" s="180"/>
      <c r="E376" s="183"/>
      <c r="F376" s="50" t="s">
        <v>1407</v>
      </c>
      <c r="G376" s="50"/>
      <c r="H376" s="50"/>
      <c r="I376" s="50"/>
      <c r="J376" s="50" t="s">
        <v>1407</v>
      </c>
    </row>
    <row r="377" ht="22.5" customHeight="1">
      <c r="A377" s="50"/>
      <c r="B377" s="50"/>
      <c r="C377" s="50"/>
      <c r="D377" s="180"/>
      <c r="E377" s="183"/>
      <c r="F377" s="50" t="s">
        <v>1407</v>
      </c>
      <c r="G377" s="50"/>
      <c r="H377" s="50"/>
      <c r="I377" s="50"/>
      <c r="J377" s="50" t="s">
        <v>1407</v>
      </c>
    </row>
    <row r="378" ht="22.5" customHeight="1">
      <c r="A378" s="50"/>
      <c r="B378" s="50"/>
      <c r="C378" s="50"/>
      <c r="D378" s="180"/>
      <c r="E378" s="183"/>
      <c r="F378" s="50" t="s">
        <v>1407</v>
      </c>
      <c r="G378" s="50"/>
      <c r="H378" s="50"/>
      <c r="I378" s="50"/>
      <c r="J378" s="50" t="s">
        <v>1407</v>
      </c>
    </row>
    <row r="379" ht="22.5" customHeight="1">
      <c r="A379" s="50"/>
      <c r="B379" s="50"/>
      <c r="C379" s="50"/>
      <c r="D379" s="180"/>
      <c r="E379" s="183"/>
      <c r="F379" s="50" t="s">
        <v>1407</v>
      </c>
      <c r="G379" s="50"/>
      <c r="H379" s="50"/>
      <c r="I379" s="50"/>
      <c r="J379" s="50" t="s">
        <v>1407</v>
      </c>
    </row>
    <row r="380" ht="22.5" customHeight="1">
      <c r="A380" s="50"/>
      <c r="B380" s="50"/>
      <c r="C380" s="50"/>
      <c r="D380" s="180"/>
      <c r="E380" s="183"/>
      <c r="F380" s="50" t="s">
        <v>1407</v>
      </c>
      <c r="G380" s="50"/>
      <c r="H380" s="50"/>
      <c r="I380" s="50"/>
      <c r="J380" s="50" t="s">
        <v>1407</v>
      </c>
    </row>
    <row r="381" ht="22.5" customHeight="1">
      <c r="A381" s="50"/>
      <c r="B381" s="50"/>
      <c r="C381" s="50"/>
      <c r="D381" s="180"/>
      <c r="E381" s="183"/>
      <c r="F381" s="50" t="s">
        <v>1407</v>
      </c>
      <c r="G381" s="50"/>
      <c r="H381" s="50"/>
      <c r="I381" s="50"/>
      <c r="J381" s="50" t="s">
        <v>1407</v>
      </c>
    </row>
    <row r="382" ht="22.5" customHeight="1">
      <c r="A382" s="50"/>
      <c r="B382" s="50"/>
      <c r="C382" s="50"/>
      <c r="D382" s="180"/>
      <c r="E382" s="183"/>
      <c r="F382" s="50" t="s">
        <v>1407</v>
      </c>
      <c r="G382" s="50"/>
      <c r="H382" s="50"/>
      <c r="I382" s="50"/>
      <c r="J382" s="50" t="s">
        <v>1407</v>
      </c>
    </row>
    <row r="383" ht="22.5" customHeight="1">
      <c r="A383" s="50"/>
      <c r="B383" s="50"/>
      <c r="C383" s="50"/>
      <c r="D383" s="180"/>
      <c r="E383" s="183"/>
      <c r="F383" s="50" t="s">
        <v>1407</v>
      </c>
      <c r="G383" s="50"/>
      <c r="H383" s="50"/>
      <c r="I383" s="50"/>
      <c r="J383" s="50" t="s">
        <v>1407</v>
      </c>
    </row>
    <row r="384" ht="22.5" customHeight="1">
      <c r="A384" s="50"/>
      <c r="B384" s="50"/>
      <c r="C384" s="50"/>
      <c r="D384" s="180"/>
      <c r="E384" s="183"/>
      <c r="F384" s="50" t="s">
        <v>1407</v>
      </c>
      <c r="G384" s="50"/>
      <c r="H384" s="50"/>
      <c r="I384" s="50"/>
      <c r="J384" s="50" t="s">
        <v>1407</v>
      </c>
    </row>
    <row r="385" ht="22.5" customHeight="1">
      <c r="A385" s="50"/>
      <c r="B385" s="50"/>
      <c r="C385" s="50"/>
      <c r="D385" s="180"/>
      <c r="E385" s="183"/>
      <c r="F385" s="50" t="s">
        <v>1407</v>
      </c>
      <c r="G385" s="50"/>
      <c r="H385" s="50"/>
      <c r="I385" s="50"/>
      <c r="J385" s="50" t="s">
        <v>1407</v>
      </c>
    </row>
    <row r="386" ht="22.5" customHeight="1">
      <c r="A386" s="50"/>
      <c r="B386" s="50"/>
      <c r="C386" s="50"/>
      <c r="D386" s="180"/>
      <c r="E386" s="183"/>
      <c r="F386" s="50" t="s">
        <v>1407</v>
      </c>
      <c r="G386" s="50"/>
      <c r="H386" s="50"/>
      <c r="I386" s="50"/>
      <c r="J386" s="50" t="s">
        <v>1407</v>
      </c>
    </row>
    <row r="387" ht="22.5" customHeight="1">
      <c r="A387" s="50"/>
      <c r="B387" s="50"/>
      <c r="C387" s="50"/>
      <c r="D387" s="180"/>
      <c r="E387" s="183"/>
      <c r="F387" s="50" t="s">
        <v>1407</v>
      </c>
      <c r="G387" s="50"/>
      <c r="H387" s="50"/>
      <c r="I387" s="50"/>
      <c r="J387" s="50" t="s">
        <v>1407</v>
      </c>
    </row>
    <row r="388" ht="22.5" customHeight="1">
      <c r="A388" s="50"/>
      <c r="B388" s="50"/>
      <c r="C388" s="50"/>
      <c r="D388" s="180"/>
      <c r="E388" s="183"/>
      <c r="F388" s="50" t="s">
        <v>1407</v>
      </c>
      <c r="G388" s="50"/>
      <c r="H388" s="50"/>
      <c r="I388" s="50"/>
      <c r="J388" s="50" t="s">
        <v>1407</v>
      </c>
    </row>
    <row r="389" ht="22.5" customHeight="1">
      <c r="A389" s="50"/>
      <c r="B389" s="50"/>
      <c r="C389" s="50"/>
      <c r="D389" s="180"/>
      <c r="E389" s="183"/>
      <c r="F389" s="50" t="s">
        <v>1407</v>
      </c>
      <c r="G389" s="50"/>
      <c r="H389" s="50"/>
      <c r="I389" s="50"/>
      <c r="J389" s="50" t="s">
        <v>1407</v>
      </c>
    </row>
    <row r="390" ht="22.5" customHeight="1">
      <c r="A390" s="50"/>
      <c r="B390" s="50"/>
      <c r="C390" s="50"/>
      <c r="D390" s="180"/>
      <c r="E390" s="183"/>
      <c r="F390" s="50" t="s">
        <v>1407</v>
      </c>
      <c r="G390" s="50"/>
      <c r="H390" s="50"/>
      <c r="I390" s="50"/>
      <c r="J390" s="50" t="s">
        <v>1407</v>
      </c>
    </row>
    <row r="391" ht="22.5" customHeight="1">
      <c r="A391" s="50"/>
      <c r="B391" s="50"/>
      <c r="C391" s="50"/>
      <c r="D391" s="180"/>
      <c r="E391" s="183"/>
      <c r="F391" s="50" t="s">
        <v>1407</v>
      </c>
      <c r="G391" s="50"/>
      <c r="H391" s="50"/>
      <c r="I391" s="50"/>
      <c r="J391" s="50" t="s">
        <v>1407</v>
      </c>
    </row>
    <row r="392" ht="22.5" customHeight="1">
      <c r="A392" s="50"/>
      <c r="B392" s="50"/>
      <c r="C392" s="50"/>
      <c r="D392" s="180"/>
      <c r="E392" s="183"/>
      <c r="F392" s="50" t="s">
        <v>1407</v>
      </c>
      <c r="G392" s="50"/>
      <c r="H392" s="50"/>
      <c r="I392" s="50"/>
      <c r="J392" s="50" t="s">
        <v>1407</v>
      </c>
    </row>
    <row r="393" ht="22.5" customHeight="1">
      <c r="A393" s="50"/>
      <c r="B393" s="50"/>
      <c r="C393" s="50"/>
      <c r="D393" s="180"/>
      <c r="E393" s="183"/>
      <c r="F393" s="50" t="s">
        <v>1407</v>
      </c>
      <c r="G393" s="50"/>
      <c r="H393" s="50"/>
      <c r="I393" s="50"/>
      <c r="J393" s="50" t="s">
        <v>1407</v>
      </c>
    </row>
    <row r="394" ht="22.5" customHeight="1">
      <c r="A394" s="50"/>
      <c r="B394" s="50"/>
      <c r="C394" s="50"/>
      <c r="D394" s="180"/>
      <c r="E394" s="183"/>
      <c r="F394" s="50" t="s">
        <v>1407</v>
      </c>
      <c r="G394" s="50"/>
      <c r="H394" s="50"/>
      <c r="I394" s="50"/>
      <c r="J394" s="50" t="s">
        <v>1407</v>
      </c>
    </row>
    <row r="395" ht="22.5" customHeight="1">
      <c r="A395" s="50"/>
      <c r="B395" s="50"/>
      <c r="C395" s="50"/>
      <c r="D395" s="180"/>
      <c r="E395" s="183"/>
      <c r="F395" s="50" t="s">
        <v>1407</v>
      </c>
      <c r="G395" s="50"/>
      <c r="H395" s="50"/>
      <c r="I395" s="50"/>
      <c r="J395" s="50" t="s">
        <v>1407</v>
      </c>
    </row>
    <row r="396" ht="22.5" customHeight="1">
      <c r="A396" s="50"/>
      <c r="B396" s="50"/>
      <c r="C396" s="50"/>
      <c r="D396" s="180"/>
      <c r="E396" s="183"/>
      <c r="F396" s="50" t="s">
        <v>1407</v>
      </c>
      <c r="G396" s="50"/>
      <c r="H396" s="50"/>
      <c r="I396" s="50"/>
      <c r="J396" s="50" t="s">
        <v>1407</v>
      </c>
    </row>
    <row r="397" ht="22.5" customHeight="1">
      <c r="A397" s="50"/>
      <c r="B397" s="50"/>
      <c r="C397" s="50"/>
      <c r="D397" s="180"/>
      <c r="E397" s="183"/>
      <c r="F397" s="50" t="s">
        <v>1407</v>
      </c>
      <c r="G397" s="50"/>
      <c r="H397" s="50"/>
      <c r="I397" s="50"/>
      <c r="J397" s="50" t="s">
        <v>1407</v>
      </c>
    </row>
    <row r="398" ht="22.5" customHeight="1">
      <c r="A398" s="50"/>
      <c r="B398" s="50"/>
      <c r="C398" s="50"/>
      <c r="D398" s="180"/>
      <c r="E398" s="183"/>
      <c r="F398" s="50" t="s">
        <v>1407</v>
      </c>
      <c r="G398" s="50"/>
      <c r="H398" s="50"/>
      <c r="I398" s="50"/>
      <c r="J398" s="50" t="s">
        <v>1407</v>
      </c>
    </row>
    <row r="399" ht="22.5" customHeight="1">
      <c r="A399" s="50"/>
      <c r="B399" s="50"/>
      <c r="C399" s="50"/>
      <c r="D399" s="180"/>
      <c r="E399" s="183"/>
      <c r="F399" s="50" t="s">
        <v>1407</v>
      </c>
      <c r="G399" s="50"/>
      <c r="H399" s="50"/>
      <c r="I399" s="50"/>
      <c r="J399" s="50" t="s">
        <v>1407</v>
      </c>
    </row>
    <row r="400" ht="22.5" customHeight="1">
      <c r="A400" s="50"/>
      <c r="B400" s="50"/>
      <c r="C400" s="50"/>
      <c r="D400" s="180"/>
      <c r="E400" s="183"/>
      <c r="F400" s="50" t="s">
        <v>1407</v>
      </c>
      <c r="G400" s="50"/>
      <c r="H400" s="50"/>
      <c r="I400" s="50"/>
      <c r="J400" s="50" t="s">
        <v>1407</v>
      </c>
    </row>
    <row r="401" ht="22.5" customHeight="1">
      <c r="A401" s="50"/>
      <c r="B401" s="50"/>
      <c r="C401" s="50"/>
      <c r="D401" s="180"/>
      <c r="E401" s="183"/>
      <c r="F401" s="50" t="s">
        <v>1407</v>
      </c>
      <c r="G401" s="50"/>
      <c r="H401" s="50"/>
      <c r="I401" s="50"/>
      <c r="J401" s="50" t="s">
        <v>1407</v>
      </c>
    </row>
    <row r="402" ht="22.5" customHeight="1">
      <c r="A402" s="50"/>
      <c r="B402" s="50"/>
      <c r="C402" s="50"/>
      <c r="D402" s="180"/>
      <c r="E402" s="183"/>
      <c r="F402" s="50" t="s">
        <v>1407</v>
      </c>
      <c r="G402" s="50"/>
      <c r="H402" s="50"/>
      <c r="I402" s="50"/>
      <c r="J402" s="50" t="s">
        <v>1407</v>
      </c>
    </row>
    <row r="403" ht="22.5" customHeight="1">
      <c r="A403" s="50"/>
      <c r="B403" s="50"/>
      <c r="C403" s="50"/>
      <c r="D403" s="180"/>
      <c r="E403" s="183"/>
      <c r="F403" s="50" t="s">
        <v>1407</v>
      </c>
      <c r="G403" s="50"/>
      <c r="H403" s="50"/>
      <c r="I403" s="50"/>
      <c r="J403" s="50" t="s">
        <v>1407</v>
      </c>
    </row>
    <row r="404" ht="22.5" customHeight="1">
      <c r="A404" s="50"/>
      <c r="B404" s="50"/>
      <c r="C404" s="50"/>
      <c r="D404" s="180"/>
      <c r="E404" s="183"/>
      <c r="F404" s="50" t="s">
        <v>1407</v>
      </c>
      <c r="G404" s="50"/>
      <c r="H404" s="50"/>
      <c r="I404" s="50"/>
      <c r="J404" s="50" t="s">
        <v>1407</v>
      </c>
    </row>
    <row r="405" ht="22.5" customHeight="1">
      <c r="A405" s="50"/>
      <c r="B405" s="50"/>
      <c r="C405" s="50"/>
      <c r="D405" s="180"/>
      <c r="E405" s="183"/>
      <c r="F405" s="50" t="s">
        <v>1407</v>
      </c>
      <c r="G405" s="50"/>
      <c r="H405" s="50"/>
      <c r="I405" s="50"/>
      <c r="J405" s="50" t="s">
        <v>1407</v>
      </c>
    </row>
    <row r="406" ht="22.5" customHeight="1">
      <c r="A406" s="50"/>
      <c r="B406" s="50"/>
      <c r="C406" s="50"/>
      <c r="D406" s="180"/>
      <c r="E406" s="183"/>
      <c r="F406" s="50" t="s">
        <v>1407</v>
      </c>
      <c r="G406" s="50"/>
      <c r="H406" s="50"/>
      <c r="I406" s="50"/>
      <c r="J406" s="50" t="s">
        <v>1407</v>
      </c>
    </row>
    <row r="407" ht="22.5" customHeight="1">
      <c r="A407" s="50"/>
      <c r="B407" s="50"/>
      <c r="C407" s="50"/>
      <c r="D407" s="180"/>
      <c r="E407" s="183"/>
      <c r="F407" s="50" t="s">
        <v>1407</v>
      </c>
      <c r="G407" s="50"/>
      <c r="H407" s="50"/>
      <c r="I407" s="50"/>
      <c r="J407" s="50" t="s">
        <v>1407</v>
      </c>
    </row>
    <row r="408" ht="22.5" customHeight="1">
      <c r="A408" s="50"/>
      <c r="B408" s="50"/>
      <c r="C408" s="50"/>
      <c r="D408" s="180"/>
      <c r="E408" s="183"/>
      <c r="F408" s="50" t="s">
        <v>1407</v>
      </c>
      <c r="G408" s="50"/>
      <c r="H408" s="50"/>
      <c r="I408" s="50"/>
      <c r="J408" s="50" t="s">
        <v>1407</v>
      </c>
    </row>
    <row r="409" ht="22.5" customHeight="1">
      <c r="A409" s="50"/>
      <c r="B409" s="50"/>
      <c r="C409" s="50"/>
      <c r="D409" s="180"/>
      <c r="E409" s="183"/>
      <c r="F409" s="50" t="s">
        <v>1407</v>
      </c>
      <c r="G409" s="50"/>
      <c r="H409" s="50"/>
      <c r="I409" s="50"/>
      <c r="J409" s="50" t="s">
        <v>1407</v>
      </c>
    </row>
    <row r="410" ht="22.5" customHeight="1">
      <c r="A410" s="50"/>
      <c r="B410" s="50"/>
      <c r="C410" s="50"/>
      <c r="D410" s="180"/>
      <c r="E410" s="183"/>
      <c r="F410" s="50" t="s">
        <v>1407</v>
      </c>
      <c r="G410" s="50"/>
      <c r="H410" s="50"/>
      <c r="I410" s="50"/>
      <c r="J410" s="50" t="s">
        <v>1407</v>
      </c>
    </row>
    <row r="411" ht="22.5" customHeight="1">
      <c r="A411" s="50"/>
      <c r="B411" s="50"/>
      <c r="C411" s="50"/>
      <c r="D411" s="180"/>
      <c r="E411" s="183"/>
      <c r="F411" s="50" t="s">
        <v>1407</v>
      </c>
      <c r="G411" s="50"/>
      <c r="H411" s="50"/>
      <c r="I411" s="50"/>
      <c r="J411" s="50" t="s">
        <v>1407</v>
      </c>
    </row>
    <row r="412" ht="22.5" customHeight="1">
      <c r="A412" s="50"/>
      <c r="B412" s="50"/>
      <c r="C412" s="50"/>
      <c r="D412" s="180"/>
      <c r="E412" s="183"/>
      <c r="F412" s="50" t="s">
        <v>1407</v>
      </c>
      <c r="G412" s="50"/>
      <c r="H412" s="50"/>
      <c r="I412" s="50"/>
      <c r="J412" s="50" t="s">
        <v>1407</v>
      </c>
    </row>
    <row r="413" ht="22.5" customHeight="1">
      <c r="A413" s="50"/>
      <c r="B413" s="50"/>
      <c r="C413" s="50"/>
      <c r="D413" s="180"/>
      <c r="E413" s="183"/>
      <c r="F413" s="50" t="s">
        <v>1407</v>
      </c>
      <c r="G413" s="50"/>
      <c r="H413" s="50"/>
      <c r="I413" s="50"/>
      <c r="J413" s="50" t="s">
        <v>1407</v>
      </c>
    </row>
    <row r="414" ht="22.5" customHeight="1">
      <c r="A414" s="50"/>
      <c r="B414" s="50"/>
      <c r="C414" s="50"/>
      <c r="D414" s="180"/>
      <c r="E414" s="183"/>
      <c r="F414" s="50" t="s">
        <v>1407</v>
      </c>
      <c r="G414" s="50"/>
      <c r="H414" s="50"/>
      <c r="I414" s="50"/>
      <c r="J414" s="50" t="s">
        <v>1407</v>
      </c>
    </row>
    <row r="415" ht="22.5" customHeight="1">
      <c r="A415" s="50"/>
      <c r="B415" s="50"/>
      <c r="C415" s="50"/>
      <c r="D415" s="180"/>
      <c r="E415" s="183"/>
      <c r="F415" s="50" t="s">
        <v>1407</v>
      </c>
      <c r="G415" s="50"/>
      <c r="H415" s="50"/>
      <c r="I415" s="50"/>
      <c r="J415" s="50" t="s">
        <v>1407</v>
      </c>
    </row>
    <row r="416" ht="22.5" customHeight="1">
      <c r="A416" s="50"/>
      <c r="B416" s="50"/>
      <c r="C416" s="50"/>
      <c r="D416" s="180"/>
      <c r="E416" s="183"/>
      <c r="F416" s="50" t="s">
        <v>1407</v>
      </c>
      <c r="G416" s="50"/>
      <c r="H416" s="50"/>
      <c r="I416" s="50"/>
      <c r="J416" s="50" t="s">
        <v>1407</v>
      </c>
    </row>
    <row r="417" ht="22.5" customHeight="1">
      <c r="A417" s="50"/>
      <c r="B417" s="50"/>
      <c r="C417" s="50"/>
      <c r="D417" s="180"/>
      <c r="E417" s="183"/>
      <c r="F417" s="50" t="s">
        <v>1407</v>
      </c>
      <c r="G417" s="50"/>
      <c r="H417" s="50"/>
      <c r="I417" s="50"/>
      <c r="J417" s="50" t="s">
        <v>1407</v>
      </c>
    </row>
    <row r="418" ht="22.5" customHeight="1">
      <c r="A418" s="50"/>
      <c r="B418" s="50"/>
      <c r="C418" s="50"/>
      <c r="D418" s="180"/>
      <c r="E418" s="183"/>
      <c r="F418" s="50" t="s">
        <v>1407</v>
      </c>
      <c r="G418" s="50"/>
      <c r="H418" s="50"/>
      <c r="I418" s="50"/>
      <c r="J418" s="50" t="s">
        <v>1407</v>
      </c>
    </row>
    <row r="419" ht="22.5" customHeight="1">
      <c r="A419" s="50"/>
      <c r="B419" s="50"/>
      <c r="C419" s="50"/>
      <c r="D419" s="180"/>
      <c r="E419" s="183"/>
      <c r="F419" s="50" t="s">
        <v>1407</v>
      </c>
      <c r="G419" s="50"/>
      <c r="H419" s="50"/>
      <c r="I419" s="50"/>
      <c r="J419" s="50" t="s">
        <v>1407</v>
      </c>
    </row>
    <row r="420" ht="22.5" customHeight="1">
      <c r="A420" s="50"/>
      <c r="B420" s="50"/>
      <c r="C420" s="50"/>
      <c r="D420" s="180"/>
      <c r="E420" s="183"/>
      <c r="F420" s="50" t="s">
        <v>1407</v>
      </c>
      <c r="G420" s="50"/>
      <c r="H420" s="50"/>
      <c r="I420" s="50"/>
      <c r="J420" s="50" t="s">
        <v>1407</v>
      </c>
    </row>
    <row r="421" ht="22.5" customHeight="1">
      <c r="A421" s="50"/>
      <c r="B421" s="50"/>
      <c r="C421" s="50"/>
      <c r="D421" s="180"/>
      <c r="E421" s="183"/>
      <c r="F421" s="50" t="s">
        <v>1407</v>
      </c>
      <c r="G421" s="50"/>
      <c r="H421" s="50"/>
      <c r="I421" s="50"/>
      <c r="J421" s="50" t="s">
        <v>1407</v>
      </c>
    </row>
    <row r="422" ht="22.5" customHeight="1">
      <c r="A422" s="50"/>
      <c r="B422" s="50"/>
      <c r="C422" s="50"/>
      <c r="D422" s="180"/>
      <c r="E422" s="183"/>
      <c r="F422" s="50" t="s">
        <v>1407</v>
      </c>
      <c r="G422" s="50"/>
      <c r="H422" s="50"/>
      <c r="I422" s="50"/>
      <c r="J422" s="50" t="s">
        <v>1407</v>
      </c>
    </row>
    <row r="423" ht="22.5" customHeight="1">
      <c r="A423" s="50"/>
      <c r="B423" s="50"/>
      <c r="C423" s="50"/>
      <c r="D423" s="180"/>
      <c r="E423" s="183"/>
      <c r="F423" s="50" t="s">
        <v>1407</v>
      </c>
      <c r="G423" s="50"/>
      <c r="H423" s="50"/>
      <c r="I423" s="50"/>
      <c r="J423" s="50" t="s">
        <v>1407</v>
      </c>
    </row>
    <row r="424" ht="22.5" customHeight="1">
      <c r="A424" s="50"/>
      <c r="B424" s="50"/>
      <c r="C424" s="50"/>
      <c r="D424" s="180"/>
      <c r="E424" s="183"/>
      <c r="F424" s="50" t="s">
        <v>1407</v>
      </c>
      <c r="G424" s="50"/>
      <c r="H424" s="50"/>
      <c r="I424" s="50"/>
      <c r="J424" s="50" t="s">
        <v>1407</v>
      </c>
    </row>
    <row r="425" ht="22.5" customHeight="1">
      <c r="A425" s="50"/>
      <c r="B425" s="50"/>
      <c r="C425" s="50"/>
      <c r="D425" s="180"/>
      <c r="E425" s="183"/>
      <c r="F425" s="50" t="s">
        <v>1407</v>
      </c>
      <c r="G425" s="50"/>
      <c r="H425" s="50"/>
      <c r="I425" s="50"/>
      <c r="J425" s="50" t="s">
        <v>1407</v>
      </c>
    </row>
    <row r="426" ht="22.5" customHeight="1">
      <c r="A426" s="50"/>
      <c r="B426" s="50"/>
      <c r="C426" s="50"/>
      <c r="D426" s="180"/>
      <c r="E426" s="183"/>
      <c r="F426" s="50" t="s">
        <v>1407</v>
      </c>
      <c r="G426" s="50"/>
      <c r="H426" s="50"/>
      <c r="I426" s="50"/>
      <c r="J426" s="50" t="s">
        <v>1407</v>
      </c>
    </row>
    <row r="427" ht="22.5" customHeight="1">
      <c r="A427" s="50"/>
      <c r="B427" s="50"/>
      <c r="C427" s="50"/>
      <c r="D427" s="180"/>
      <c r="E427" s="183"/>
      <c r="F427" s="50" t="s">
        <v>1407</v>
      </c>
      <c r="G427" s="50"/>
      <c r="H427" s="50"/>
      <c r="I427" s="50"/>
      <c r="J427" s="50" t="s">
        <v>1407</v>
      </c>
    </row>
    <row r="428" ht="22.5" customHeight="1">
      <c r="A428" s="50"/>
      <c r="B428" s="50"/>
      <c r="C428" s="50"/>
      <c r="D428" s="180"/>
      <c r="E428" s="183"/>
      <c r="F428" s="50" t="s">
        <v>1407</v>
      </c>
      <c r="G428" s="50"/>
      <c r="H428" s="50"/>
      <c r="I428" s="50"/>
      <c r="J428" s="50" t="s">
        <v>1407</v>
      </c>
    </row>
    <row r="429" ht="22.5" customHeight="1">
      <c r="A429" s="50"/>
      <c r="B429" s="50"/>
      <c r="C429" s="50"/>
      <c r="D429" s="180"/>
      <c r="E429" s="183"/>
      <c r="F429" s="50" t="s">
        <v>1407</v>
      </c>
      <c r="G429" s="50"/>
      <c r="H429" s="50"/>
      <c r="I429" s="50"/>
      <c r="J429" s="50" t="s">
        <v>1407</v>
      </c>
    </row>
    <row r="430" ht="22.5" customHeight="1">
      <c r="A430" s="50"/>
      <c r="B430" s="50"/>
      <c r="C430" s="50"/>
      <c r="D430" s="180"/>
      <c r="E430" s="183"/>
      <c r="F430" s="50" t="s">
        <v>1407</v>
      </c>
      <c r="G430" s="50"/>
      <c r="H430" s="50"/>
      <c r="I430" s="50"/>
      <c r="J430" s="50" t="s">
        <v>1407</v>
      </c>
    </row>
    <row r="431" ht="22.5" customHeight="1">
      <c r="A431" s="50"/>
      <c r="B431" s="50"/>
      <c r="C431" s="50"/>
      <c r="D431" s="180"/>
      <c r="E431" s="183"/>
      <c r="F431" s="50" t="s">
        <v>1407</v>
      </c>
      <c r="G431" s="50"/>
      <c r="H431" s="50"/>
      <c r="I431" s="50"/>
      <c r="J431" s="50" t="s">
        <v>1407</v>
      </c>
    </row>
    <row r="432" ht="22.5" customHeight="1">
      <c r="A432" s="50"/>
      <c r="B432" s="50"/>
      <c r="C432" s="50"/>
      <c r="D432" s="180"/>
      <c r="E432" s="183"/>
      <c r="F432" s="50" t="s">
        <v>1407</v>
      </c>
      <c r="G432" s="50"/>
      <c r="H432" s="50"/>
      <c r="I432" s="50"/>
      <c r="J432" s="50" t="s">
        <v>1407</v>
      </c>
    </row>
    <row r="433" ht="22.5" customHeight="1">
      <c r="A433" s="50"/>
      <c r="B433" s="50"/>
      <c r="C433" s="50"/>
      <c r="D433" s="180"/>
      <c r="E433" s="183"/>
      <c r="F433" s="50" t="s">
        <v>1407</v>
      </c>
      <c r="G433" s="50"/>
      <c r="H433" s="50"/>
      <c r="I433" s="50"/>
      <c r="J433" s="50" t="s">
        <v>1407</v>
      </c>
    </row>
    <row r="434" ht="22.5" customHeight="1">
      <c r="A434" s="50"/>
      <c r="B434" s="50"/>
      <c r="C434" s="50"/>
      <c r="D434" s="180"/>
      <c r="E434" s="183"/>
      <c r="F434" s="50" t="s">
        <v>1407</v>
      </c>
      <c r="G434" s="50"/>
      <c r="H434" s="50"/>
      <c r="I434" s="50"/>
      <c r="J434" s="50" t="s">
        <v>1407</v>
      </c>
    </row>
    <row r="435" ht="22.5" customHeight="1">
      <c r="A435" s="50"/>
      <c r="B435" s="50"/>
      <c r="C435" s="50"/>
      <c r="D435" s="180"/>
      <c r="E435" s="183"/>
      <c r="F435" s="50" t="s">
        <v>1407</v>
      </c>
      <c r="G435" s="50"/>
      <c r="H435" s="50"/>
      <c r="I435" s="50"/>
      <c r="J435" s="50" t="s">
        <v>1407</v>
      </c>
    </row>
    <row r="436" ht="22.5" customHeight="1">
      <c r="A436" s="50"/>
      <c r="B436" s="50"/>
      <c r="C436" s="50"/>
      <c r="D436" s="180"/>
      <c r="E436" s="183"/>
      <c r="F436" s="50" t="s">
        <v>1407</v>
      </c>
      <c r="G436" s="50"/>
      <c r="H436" s="50"/>
      <c r="I436" s="50"/>
      <c r="J436" s="50" t="s">
        <v>1407</v>
      </c>
    </row>
    <row r="437" ht="22.5" customHeight="1">
      <c r="A437" s="50"/>
      <c r="B437" s="50"/>
      <c r="C437" s="50"/>
      <c r="D437" s="180"/>
      <c r="E437" s="183"/>
      <c r="F437" s="50" t="s">
        <v>1407</v>
      </c>
      <c r="G437" s="50"/>
      <c r="H437" s="50"/>
      <c r="I437" s="50"/>
      <c r="J437" s="50" t="s">
        <v>1407</v>
      </c>
    </row>
    <row r="438" ht="22.5" customHeight="1">
      <c r="A438" s="50"/>
      <c r="B438" s="50"/>
      <c r="C438" s="50"/>
      <c r="D438" s="180"/>
      <c r="E438" s="183"/>
      <c r="F438" s="50" t="s">
        <v>1407</v>
      </c>
      <c r="G438" s="50"/>
      <c r="H438" s="50"/>
      <c r="I438" s="50"/>
      <c r="J438" s="50" t="s">
        <v>1407</v>
      </c>
    </row>
    <row r="439" ht="22.5" customHeight="1">
      <c r="A439" s="50"/>
      <c r="B439" s="50"/>
      <c r="C439" s="50"/>
      <c r="D439" s="180"/>
      <c r="E439" s="183"/>
      <c r="F439" s="50" t="s">
        <v>1407</v>
      </c>
      <c r="G439" s="50"/>
      <c r="H439" s="50"/>
      <c r="I439" s="50"/>
      <c r="J439" s="50" t="s">
        <v>1407</v>
      </c>
    </row>
    <row r="440" ht="22.5" customHeight="1">
      <c r="A440" s="50"/>
      <c r="B440" s="50"/>
      <c r="C440" s="50"/>
      <c r="D440" s="180"/>
      <c r="E440" s="183"/>
      <c r="F440" s="50" t="s">
        <v>1407</v>
      </c>
      <c r="G440" s="50"/>
      <c r="H440" s="50"/>
      <c r="I440" s="50"/>
      <c r="J440" s="50" t="s">
        <v>1407</v>
      </c>
    </row>
    <row r="441" ht="22.5" customHeight="1">
      <c r="A441" s="50"/>
      <c r="B441" s="50"/>
      <c r="C441" s="50"/>
      <c r="D441" s="180"/>
      <c r="E441" s="183"/>
      <c r="F441" s="50" t="s">
        <v>1407</v>
      </c>
      <c r="G441" s="50"/>
      <c r="H441" s="50"/>
      <c r="I441" s="50"/>
      <c r="J441" s="50" t="s">
        <v>1407</v>
      </c>
    </row>
    <row r="442" ht="22.5" customHeight="1">
      <c r="A442" s="50"/>
      <c r="B442" s="50"/>
      <c r="C442" s="50"/>
      <c r="D442" s="180"/>
      <c r="E442" s="183"/>
      <c r="F442" s="50" t="s">
        <v>1407</v>
      </c>
      <c r="G442" s="50"/>
      <c r="H442" s="50"/>
      <c r="I442" s="50"/>
      <c r="J442" s="50" t="s">
        <v>1407</v>
      </c>
    </row>
    <row r="443" ht="22.5" customHeight="1">
      <c r="A443" s="50"/>
      <c r="B443" s="50"/>
      <c r="C443" s="50"/>
      <c r="D443" s="180"/>
      <c r="E443" s="183"/>
      <c r="F443" s="50" t="s">
        <v>1407</v>
      </c>
      <c r="G443" s="50"/>
      <c r="H443" s="50"/>
      <c r="I443" s="50"/>
      <c r="J443" s="50" t="s">
        <v>1407</v>
      </c>
    </row>
    <row r="444" ht="22.5" customHeight="1">
      <c r="A444" s="50"/>
      <c r="B444" s="50"/>
      <c r="C444" s="50"/>
      <c r="D444" s="180"/>
      <c r="E444" s="183"/>
      <c r="F444" s="50" t="s">
        <v>1407</v>
      </c>
      <c r="G444" s="50"/>
      <c r="H444" s="50"/>
      <c r="I444" s="50"/>
      <c r="J444" s="50" t="s">
        <v>1407</v>
      </c>
    </row>
    <row r="445" ht="22.5" customHeight="1">
      <c r="A445" s="50"/>
      <c r="B445" s="50"/>
      <c r="C445" s="50"/>
      <c r="D445" s="180"/>
      <c r="E445" s="183"/>
      <c r="F445" s="50" t="s">
        <v>1407</v>
      </c>
      <c r="G445" s="50"/>
      <c r="H445" s="50"/>
      <c r="I445" s="50"/>
      <c r="J445" s="50" t="s">
        <v>1407</v>
      </c>
    </row>
    <row r="446" ht="22.5" customHeight="1">
      <c r="A446" s="50"/>
      <c r="B446" s="50"/>
      <c r="C446" s="50"/>
      <c r="D446" s="180"/>
      <c r="E446" s="183"/>
      <c r="F446" s="50" t="s">
        <v>1407</v>
      </c>
      <c r="G446" s="50"/>
      <c r="H446" s="50"/>
      <c r="I446" s="50"/>
      <c r="J446" s="50" t="s">
        <v>1407</v>
      </c>
    </row>
    <row r="447" ht="22.5" customHeight="1">
      <c r="A447" s="50"/>
      <c r="B447" s="50"/>
      <c r="C447" s="50"/>
      <c r="D447" s="180"/>
      <c r="E447" s="183"/>
      <c r="F447" s="50" t="s">
        <v>1407</v>
      </c>
      <c r="G447" s="50"/>
      <c r="H447" s="50"/>
      <c r="I447" s="50"/>
      <c r="J447" s="50" t="s">
        <v>1407</v>
      </c>
    </row>
    <row r="448" ht="22.5" customHeight="1">
      <c r="A448" s="50"/>
      <c r="B448" s="50"/>
      <c r="C448" s="50"/>
      <c r="D448" s="180"/>
      <c r="E448" s="183"/>
      <c r="F448" s="50" t="s">
        <v>1407</v>
      </c>
      <c r="G448" s="50"/>
      <c r="H448" s="50"/>
      <c r="I448" s="50"/>
      <c r="J448" s="50" t="s">
        <v>1407</v>
      </c>
    </row>
    <row r="449" ht="22.5" customHeight="1">
      <c r="A449" s="50"/>
      <c r="B449" s="50"/>
      <c r="C449" s="50"/>
      <c r="D449" s="180"/>
      <c r="E449" s="183"/>
      <c r="F449" s="50" t="s">
        <v>1407</v>
      </c>
      <c r="G449" s="50"/>
      <c r="H449" s="50"/>
      <c r="I449" s="50"/>
      <c r="J449" s="50" t="s">
        <v>1407</v>
      </c>
    </row>
    <row r="450" ht="22.5" customHeight="1">
      <c r="A450" s="50"/>
      <c r="B450" s="50"/>
      <c r="C450" s="50"/>
      <c r="D450" s="180"/>
      <c r="E450" s="183"/>
      <c r="F450" s="50" t="s">
        <v>1407</v>
      </c>
      <c r="G450" s="50"/>
      <c r="H450" s="50"/>
      <c r="I450" s="50"/>
      <c r="J450" s="50" t="s">
        <v>1407</v>
      </c>
    </row>
    <row r="451" ht="22.5" customHeight="1">
      <c r="A451" s="50"/>
      <c r="B451" s="50"/>
      <c r="C451" s="50"/>
      <c r="D451" s="180"/>
      <c r="E451" s="183"/>
      <c r="F451" s="50" t="s">
        <v>1407</v>
      </c>
      <c r="G451" s="50"/>
      <c r="H451" s="50"/>
      <c r="I451" s="50"/>
      <c r="J451" s="50" t="s">
        <v>1407</v>
      </c>
    </row>
    <row r="452" ht="22.5" customHeight="1">
      <c r="A452" s="50"/>
      <c r="B452" s="50"/>
      <c r="C452" s="50"/>
      <c r="D452" s="180"/>
      <c r="E452" s="183"/>
      <c r="F452" s="50" t="s">
        <v>1407</v>
      </c>
      <c r="G452" s="50"/>
      <c r="H452" s="50"/>
      <c r="I452" s="50"/>
      <c r="J452" s="50" t="s">
        <v>1407</v>
      </c>
    </row>
    <row r="453" ht="22.5" customHeight="1">
      <c r="A453" s="50"/>
      <c r="B453" s="50"/>
      <c r="C453" s="50"/>
      <c r="D453" s="180"/>
      <c r="E453" s="183"/>
      <c r="F453" s="50" t="s">
        <v>1407</v>
      </c>
      <c r="G453" s="50"/>
      <c r="H453" s="50"/>
      <c r="I453" s="50"/>
      <c r="J453" s="50" t="s">
        <v>1407</v>
      </c>
    </row>
    <row r="454" ht="22.5" customHeight="1">
      <c r="A454" s="50"/>
      <c r="B454" s="50"/>
      <c r="C454" s="50"/>
      <c r="D454" s="180"/>
      <c r="E454" s="183"/>
      <c r="F454" s="50" t="s">
        <v>1407</v>
      </c>
      <c r="G454" s="50"/>
      <c r="H454" s="50"/>
      <c r="I454" s="50"/>
      <c r="J454" s="50" t="s">
        <v>1407</v>
      </c>
    </row>
    <row r="455" ht="22.5" customHeight="1">
      <c r="A455" s="50"/>
      <c r="B455" s="50"/>
      <c r="C455" s="50"/>
      <c r="D455" s="180"/>
      <c r="E455" s="183"/>
      <c r="F455" s="50" t="s">
        <v>1407</v>
      </c>
      <c r="G455" s="50"/>
      <c r="H455" s="50"/>
      <c r="I455" s="50"/>
      <c r="J455" s="50" t="s">
        <v>1407</v>
      </c>
    </row>
    <row r="456" ht="22.5" customHeight="1">
      <c r="A456" s="50"/>
      <c r="B456" s="50"/>
      <c r="C456" s="50"/>
      <c r="D456" s="180"/>
      <c r="E456" s="183"/>
      <c r="F456" s="50" t="s">
        <v>1407</v>
      </c>
      <c r="G456" s="50"/>
      <c r="H456" s="50"/>
      <c r="I456" s="50"/>
      <c r="J456" s="50" t="s">
        <v>1407</v>
      </c>
    </row>
    <row r="457" ht="22.5" customHeight="1">
      <c r="A457" s="50"/>
      <c r="B457" s="50"/>
      <c r="C457" s="50"/>
      <c r="D457" s="180"/>
      <c r="E457" s="183"/>
      <c r="F457" s="50" t="s">
        <v>1407</v>
      </c>
      <c r="G457" s="50"/>
      <c r="H457" s="50"/>
      <c r="I457" s="50"/>
      <c r="J457" s="50" t="s">
        <v>1407</v>
      </c>
    </row>
    <row r="458" ht="22.5" customHeight="1">
      <c r="A458" s="50"/>
      <c r="B458" s="50"/>
      <c r="C458" s="50"/>
      <c r="D458" s="180"/>
      <c r="E458" s="183"/>
      <c r="F458" s="50" t="s">
        <v>1407</v>
      </c>
      <c r="G458" s="50"/>
      <c r="H458" s="50"/>
      <c r="I458" s="50"/>
      <c r="J458" s="50" t="s">
        <v>1407</v>
      </c>
    </row>
    <row r="459" ht="22.5" customHeight="1">
      <c r="A459" s="50"/>
      <c r="B459" s="50"/>
      <c r="C459" s="50"/>
      <c r="D459" s="180"/>
      <c r="E459" s="183"/>
      <c r="F459" s="50" t="s">
        <v>1407</v>
      </c>
      <c r="G459" s="50"/>
      <c r="H459" s="50"/>
      <c r="I459" s="50"/>
      <c r="J459" s="50" t="s">
        <v>1407</v>
      </c>
    </row>
    <row r="460" ht="22.5" customHeight="1">
      <c r="A460" s="50"/>
      <c r="B460" s="50"/>
      <c r="C460" s="50"/>
      <c r="D460" s="180"/>
      <c r="E460" s="183"/>
      <c r="F460" s="50" t="s">
        <v>1407</v>
      </c>
      <c r="G460" s="50"/>
      <c r="H460" s="50"/>
      <c r="I460" s="50"/>
      <c r="J460" s="50" t="s">
        <v>1407</v>
      </c>
    </row>
    <row r="461" ht="22.5" customHeight="1">
      <c r="A461" s="50"/>
      <c r="B461" s="50"/>
      <c r="C461" s="50"/>
      <c r="D461" s="180"/>
      <c r="E461" s="183"/>
      <c r="F461" s="50" t="s">
        <v>1407</v>
      </c>
      <c r="G461" s="50"/>
      <c r="H461" s="50"/>
      <c r="I461" s="50"/>
      <c r="J461" s="50" t="s">
        <v>1407</v>
      </c>
    </row>
    <row r="462" ht="22.5" customHeight="1">
      <c r="A462" s="50"/>
      <c r="B462" s="50"/>
      <c r="C462" s="50"/>
      <c r="D462" s="180"/>
      <c r="E462" s="183"/>
      <c r="F462" s="50" t="s">
        <v>1407</v>
      </c>
      <c r="G462" s="50"/>
      <c r="H462" s="50"/>
      <c r="I462" s="50"/>
      <c r="J462" s="50" t="s">
        <v>1407</v>
      </c>
    </row>
    <row r="463" ht="22.5" customHeight="1">
      <c r="A463" s="50"/>
      <c r="B463" s="50"/>
      <c r="C463" s="50"/>
      <c r="D463" s="180"/>
      <c r="E463" s="183"/>
      <c r="F463" s="50" t="s">
        <v>1407</v>
      </c>
      <c r="G463" s="50"/>
      <c r="H463" s="50"/>
      <c r="I463" s="50"/>
      <c r="J463" s="50" t="s">
        <v>1407</v>
      </c>
    </row>
    <row r="464" ht="22.5" customHeight="1">
      <c r="A464" s="50"/>
      <c r="B464" s="50"/>
      <c r="C464" s="50"/>
      <c r="D464" s="180"/>
      <c r="E464" s="183"/>
      <c r="F464" s="50" t="s">
        <v>1407</v>
      </c>
      <c r="G464" s="50"/>
      <c r="H464" s="50"/>
      <c r="I464" s="50"/>
      <c r="J464" s="50" t="s">
        <v>1407</v>
      </c>
    </row>
    <row r="465" ht="22.5" customHeight="1">
      <c r="A465" s="50"/>
      <c r="B465" s="50"/>
      <c r="C465" s="50"/>
      <c r="D465" s="180"/>
      <c r="E465" s="183"/>
      <c r="F465" s="50" t="s">
        <v>1407</v>
      </c>
      <c r="G465" s="50"/>
      <c r="H465" s="50"/>
      <c r="I465" s="50"/>
      <c r="J465" s="50" t="s">
        <v>1407</v>
      </c>
    </row>
    <row r="466" ht="22.5" customHeight="1">
      <c r="A466" s="50"/>
      <c r="B466" s="50"/>
      <c r="C466" s="50"/>
      <c r="D466" s="180"/>
      <c r="E466" s="183"/>
      <c r="F466" s="50" t="s">
        <v>1407</v>
      </c>
      <c r="G466" s="50"/>
      <c r="H466" s="50"/>
      <c r="I466" s="50"/>
      <c r="J466" s="50" t="s">
        <v>1407</v>
      </c>
    </row>
    <row r="467" ht="22.5" customHeight="1">
      <c r="A467" s="50"/>
      <c r="B467" s="50"/>
      <c r="C467" s="50"/>
      <c r="D467" s="180"/>
      <c r="E467" s="183"/>
      <c r="F467" s="50" t="s">
        <v>1407</v>
      </c>
      <c r="G467" s="50"/>
      <c r="H467" s="50"/>
      <c r="I467" s="50"/>
      <c r="J467" s="50" t="s">
        <v>1407</v>
      </c>
    </row>
    <row r="468" ht="22.5" customHeight="1">
      <c r="A468" s="50"/>
      <c r="B468" s="50"/>
      <c r="C468" s="50"/>
      <c r="D468" s="180"/>
      <c r="E468" s="183"/>
      <c r="F468" s="50" t="s">
        <v>1407</v>
      </c>
      <c r="G468" s="50"/>
      <c r="H468" s="50"/>
      <c r="I468" s="50"/>
      <c r="J468" s="50" t="s">
        <v>1407</v>
      </c>
    </row>
    <row r="469" ht="22.5" customHeight="1">
      <c r="A469" s="50"/>
      <c r="B469" s="50"/>
      <c r="C469" s="50"/>
      <c r="D469" s="180"/>
      <c r="E469" s="183"/>
      <c r="F469" s="50" t="s">
        <v>1407</v>
      </c>
      <c r="G469" s="50"/>
      <c r="H469" s="50"/>
      <c r="I469" s="50"/>
      <c r="J469" s="50" t="s">
        <v>1407</v>
      </c>
    </row>
    <row r="470" ht="22.5" customHeight="1">
      <c r="A470" s="50"/>
      <c r="B470" s="50"/>
      <c r="C470" s="50"/>
      <c r="D470" s="180"/>
      <c r="E470" s="183"/>
      <c r="F470" s="50" t="s">
        <v>1407</v>
      </c>
      <c r="G470" s="50"/>
      <c r="H470" s="50"/>
      <c r="I470" s="50"/>
      <c r="J470" s="50" t="s">
        <v>1407</v>
      </c>
    </row>
    <row r="471" ht="22.5" customHeight="1">
      <c r="A471" s="50"/>
      <c r="B471" s="50"/>
      <c r="C471" s="50"/>
      <c r="D471" s="180"/>
      <c r="E471" s="183"/>
      <c r="F471" s="50" t="s">
        <v>1407</v>
      </c>
      <c r="G471" s="50"/>
      <c r="H471" s="50"/>
      <c r="I471" s="50"/>
      <c r="J471" s="50" t="s">
        <v>1407</v>
      </c>
    </row>
    <row r="472" ht="22.5" customHeight="1">
      <c r="A472" s="50"/>
      <c r="B472" s="50"/>
      <c r="C472" s="50"/>
      <c r="D472" s="180"/>
      <c r="E472" s="183"/>
      <c r="F472" s="50" t="s">
        <v>1407</v>
      </c>
      <c r="G472" s="50"/>
      <c r="H472" s="50"/>
      <c r="I472" s="50"/>
      <c r="J472" s="50" t="s">
        <v>1407</v>
      </c>
    </row>
    <row r="473" ht="22.5" customHeight="1">
      <c r="A473" s="50"/>
      <c r="B473" s="50"/>
      <c r="C473" s="50"/>
      <c r="D473" s="180"/>
      <c r="E473" s="183"/>
      <c r="F473" s="50" t="s">
        <v>1407</v>
      </c>
      <c r="G473" s="50"/>
      <c r="H473" s="50"/>
      <c r="I473" s="50"/>
      <c r="J473" s="50" t="s">
        <v>1407</v>
      </c>
    </row>
    <row r="474" ht="22.5" customHeight="1">
      <c r="A474" s="50"/>
      <c r="B474" s="50"/>
      <c r="C474" s="50"/>
      <c r="D474" s="180"/>
      <c r="E474" s="183"/>
      <c r="F474" s="50" t="s">
        <v>1407</v>
      </c>
      <c r="G474" s="50"/>
      <c r="H474" s="50"/>
      <c r="I474" s="50"/>
      <c r="J474" s="50" t="s">
        <v>1407</v>
      </c>
    </row>
    <row r="475" ht="22.5" customHeight="1">
      <c r="A475" s="50"/>
      <c r="B475" s="50"/>
      <c r="C475" s="50"/>
      <c r="D475" s="180"/>
      <c r="E475" s="183"/>
      <c r="F475" s="50" t="s">
        <v>1407</v>
      </c>
      <c r="G475" s="50"/>
      <c r="H475" s="50"/>
      <c r="I475" s="50"/>
      <c r="J475" s="50" t="s">
        <v>1407</v>
      </c>
    </row>
    <row r="476" ht="22.5" customHeight="1">
      <c r="A476" s="50"/>
      <c r="B476" s="50"/>
      <c r="C476" s="50"/>
      <c r="D476" s="180"/>
      <c r="E476" s="183"/>
      <c r="F476" s="50" t="s">
        <v>1407</v>
      </c>
      <c r="G476" s="50"/>
      <c r="H476" s="50"/>
      <c r="I476" s="50"/>
      <c r="J476" s="50" t="s">
        <v>1407</v>
      </c>
    </row>
    <row r="477" ht="22.5" customHeight="1">
      <c r="A477" s="50"/>
      <c r="B477" s="50"/>
      <c r="C477" s="50"/>
      <c r="D477" s="180"/>
      <c r="E477" s="183"/>
      <c r="F477" s="50" t="s">
        <v>1407</v>
      </c>
      <c r="G477" s="50"/>
      <c r="H477" s="50"/>
      <c r="I477" s="50"/>
      <c r="J477" s="50" t="s">
        <v>1407</v>
      </c>
    </row>
    <row r="478" ht="22.5" customHeight="1">
      <c r="A478" s="50"/>
      <c r="B478" s="50"/>
      <c r="C478" s="50"/>
      <c r="D478" s="180"/>
      <c r="E478" s="183"/>
      <c r="F478" s="50" t="s">
        <v>1407</v>
      </c>
      <c r="G478" s="50"/>
      <c r="H478" s="50"/>
      <c r="I478" s="50"/>
      <c r="J478" s="50" t="s">
        <v>1407</v>
      </c>
    </row>
    <row r="479" ht="22.5" customHeight="1">
      <c r="A479" s="50"/>
      <c r="B479" s="50"/>
      <c r="C479" s="50"/>
      <c r="D479" s="180"/>
      <c r="E479" s="183"/>
      <c r="F479" s="50" t="s">
        <v>1407</v>
      </c>
      <c r="G479" s="50"/>
      <c r="H479" s="50"/>
      <c r="I479" s="50"/>
      <c r="J479" s="50" t="s">
        <v>1407</v>
      </c>
    </row>
    <row r="480" ht="22.5" customHeight="1">
      <c r="A480" s="50"/>
      <c r="B480" s="50"/>
      <c r="C480" s="50"/>
      <c r="D480" s="180"/>
      <c r="E480" s="183"/>
      <c r="F480" s="50" t="s">
        <v>1407</v>
      </c>
      <c r="G480" s="50"/>
      <c r="H480" s="50"/>
      <c r="I480" s="50"/>
      <c r="J480" s="50" t="s">
        <v>1407</v>
      </c>
    </row>
    <row r="481" ht="22.5" customHeight="1">
      <c r="A481" s="50"/>
      <c r="B481" s="50"/>
      <c r="C481" s="50"/>
      <c r="D481" s="180"/>
      <c r="E481" s="183"/>
      <c r="F481" s="50" t="s">
        <v>1407</v>
      </c>
      <c r="G481" s="50"/>
      <c r="H481" s="50"/>
      <c r="I481" s="50"/>
      <c r="J481" s="50" t="s">
        <v>1407</v>
      </c>
    </row>
    <row r="482" ht="22.5" customHeight="1">
      <c r="A482" s="50"/>
      <c r="B482" s="50"/>
      <c r="C482" s="50"/>
      <c r="D482" s="180"/>
      <c r="E482" s="183"/>
      <c r="F482" s="50" t="s">
        <v>1407</v>
      </c>
      <c r="G482" s="50"/>
      <c r="H482" s="50"/>
      <c r="I482" s="50"/>
      <c r="J482" s="50" t="s">
        <v>1407</v>
      </c>
    </row>
    <row r="483" ht="22.5" customHeight="1">
      <c r="A483" s="50"/>
      <c r="B483" s="50"/>
      <c r="C483" s="50"/>
      <c r="D483" s="180"/>
      <c r="E483" s="183"/>
      <c r="F483" s="50" t="s">
        <v>1407</v>
      </c>
      <c r="G483" s="50"/>
      <c r="H483" s="50"/>
      <c r="I483" s="50"/>
      <c r="J483" s="50" t="s">
        <v>1407</v>
      </c>
    </row>
    <row r="484" ht="22.5" customHeight="1">
      <c r="A484" s="50"/>
      <c r="B484" s="50"/>
      <c r="C484" s="50"/>
      <c r="D484" s="180"/>
      <c r="E484" s="183"/>
      <c r="F484" s="50" t="s">
        <v>1407</v>
      </c>
      <c r="G484" s="50"/>
      <c r="H484" s="50"/>
      <c r="I484" s="50"/>
      <c r="J484" s="50" t="s">
        <v>1407</v>
      </c>
    </row>
    <row r="485" ht="22.5" customHeight="1">
      <c r="A485" s="50"/>
      <c r="B485" s="50"/>
      <c r="C485" s="50"/>
      <c r="D485" s="180"/>
      <c r="E485" s="183"/>
      <c r="F485" s="50" t="s">
        <v>1407</v>
      </c>
      <c r="G485" s="50"/>
      <c r="H485" s="50"/>
      <c r="I485" s="50"/>
      <c r="J485" s="50" t="s">
        <v>1407</v>
      </c>
    </row>
    <row r="486" ht="22.5" customHeight="1">
      <c r="A486" s="50"/>
      <c r="B486" s="50"/>
      <c r="C486" s="50"/>
      <c r="D486" s="180"/>
      <c r="E486" s="183"/>
      <c r="F486" s="50" t="s">
        <v>1407</v>
      </c>
      <c r="G486" s="50"/>
      <c r="H486" s="50"/>
      <c r="I486" s="50"/>
      <c r="J486" s="50" t="s">
        <v>1407</v>
      </c>
    </row>
    <row r="487" ht="22.5" customHeight="1">
      <c r="A487" s="50"/>
      <c r="B487" s="50"/>
      <c r="C487" s="50"/>
      <c r="D487" s="180"/>
      <c r="E487" s="183"/>
      <c r="F487" s="50" t="s">
        <v>1407</v>
      </c>
      <c r="G487" s="50"/>
      <c r="H487" s="50"/>
      <c r="I487" s="50"/>
      <c r="J487" s="50" t="s">
        <v>1407</v>
      </c>
    </row>
    <row r="488" ht="22.5" customHeight="1">
      <c r="A488" s="50"/>
      <c r="B488" s="50"/>
      <c r="C488" s="50"/>
      <c r="D488" s="180"/>
      <c r="E488" s="183"/>
      <c r="F488" s="50" t="s">
        <v>1407</v>
      </c>
      <c r="G488" s="50"/>
      <c r="H488" s="50"/>
      <c r="I488" s="50"/>
      <c r="J488" s="50" t="s">
        <v>1407</v>
      </c>
    </row>
    <row r="489" ht="22.5" customHeight="1">
      <c r="A489" s="50"/>
      <c r="B489" s="50"/>
      <c r="C489" s="50"/>
      <c r="D489" s="180"/>
      <c r="E489" s="183"/>
      <c r="F489" s="50" t="s">
        <v>1407</v>
      </c>
      <c r="G489" s="50"/>
      <c r="H489" s="50"/>
      <c r="I489" s="50"/>
      <c r="J489" s="50" t="s">
        <v>1407</v>
      </c>
    </row>
    <row r="490" ht="22.5" customHeight="1">
      <c r="A490" s="50"/>
      <c r="B490" s="50"/>
      <c r="C490" s="50"/>
      <c r="D490" s="180"/>
      <c r="E490" s="183"/>
      <c r="F490" s="50" t="s">
        <v>1407</v>
      </c>
      <c r="G490" s="50"/>
      <c r="H490" s="50"/>
      <c r="I490" s="50"/>
      <c r="J490" s="50" t="s">
        <v>1407</v>
      </c>
    </row>
    <row r="491" ht="22.5" customHeight="1">
      <c r="A491" s="50"/>
      <c r="B491" s="50"/>
      <c r="C491" s="50"/>
      <c r="D491" s="180"/>
      <c r="E491" s="183"/>
      <c r="F491" s="50" t="s">
        <v>1407</v>
      </c>
      <c r="G491" s="50"/>
      <c r="H491" s="50"/>
      <c r="I491" s="50"/>
      <c r="J491" s="50" t="s">
        <v>1407</v>
      </c>
    </row>
    <row r="492" ht="22.5" customHeight="1">
      <c r="A492" s="50"/>
      <c r="B492" s="50"/>
      <c r="C492" s="50"/>
      <c r="D492" s="180"/>
      <c r="E492" s="183"/>
      <c r="F492" s="50" t="s">
        <v>1407</v>
      </c>
      <c r="G492" s="50"/>
      <c r="H492" s="50"/>
      <c r="I492" s="50"/>
      <c r="J492" s="50" t="s">
        <v>1407</v>
      </c>
    </row>
    <row r="493" ht="22.5" customHeight="1">
      <c r="A493" s="50"/>
      <c r="B493" s="50"/>
      <c r="C493" s="50"/>
      <c r="D493" s="180"/>
      <c r="E493" s="183"/>
      <c r="F493" s="50" t="s">
        <v>1407</v>
      </c>
      <c r="G493" s="50"/>
      <c r="H493" s="50"/>
      <c r="I493" s="50"/>
      <c r="J493" s="50" t="s">
        <v>1407</v>
      </c>
    </row>
    <row r="494" ht="22.5" customHeight="1">
      <c r="A494" s="50"/>
      <c r="B494" s="50"/>
      <c r="C494" s="50"/>
      <c r="D494" s="180"/>
      <c r="E494" s="183"/>
      <c r="F494" s="50" t="s">
        <v>1407</v>
      </c>
      <c r="G494" s="50"/>
      <c r="H494" s="50"/>
      <c r="I494" s="50"/>
      <c r="J494" s="50" t="s">
        <v>1407</v>
      </c>
    </row>
    <row r="495" ht="22.5" customHeight="1">
      <c r="A495" s="50"/>
      <c r="B495" s="50"/>
      <c r="C495" s="50"/>
      <c r="D495" s="180"/>
      <c r="E495" s="183"/>
      <c r="F495" s="50" t="s">
        <v>1407</v>
      </c>
      <c r="G495" s="50"/>
      <c r="H495" s="50"/>
      <c r="I495" s="50"/>
      <c r="J495" s="50" t="s">
        <v>1407</v>
      </c>
    </row>
    <row r="496" ht="22.5" customHeight="1">
      <c r="A496" s="50"/>
      <c r="B496" s="50"/>
      <c r="C496" s="50"/>
      <c r="D496" s="180"/>
      <c r="E496" s="183"/>
      <c r="F496" s="50" t="s">
        <v>1407</v>
      </c>
      <c r="G496" s="50"/>
      <c r="H496" s="50"/>
      <c r="I496" s="50"/>
      <c r="J496" s="50" t="s">
        <v>1407</v>
      </c>
    </row>
    <row r="497" ht="22.5" customHeight="1">
      <c r="A497" s="50"/>
      <c r="B497" s="50"/>
      <c r="C497" s="50"/>
      <c r="D497" s="180"/>
      <c r="E497" s="183"/>
      <c r="F497" s="50" t="s">
        <v>1407</v>
      </c>
      <c r="G497" s="50"/>
      <c r="H497" s="50"/>
      <c r="I497" s="50"/>
      <c r="J497" s="50" t="s">
        <v>1407</v>
      </c>
    </row>
    <row r="498" ht="22.5" customHeight="1">
      <c r="A498" s="50"/>
      <c r="B498" s="50"/>
      <c r="C498" s="50"/>
      <c r="D498" s="180"/>
      <c r="E498" s="183"/>
      <c r="F498" s="50" t="s">
        <v>1407</v>
      </c>
      <c r="G498" s="50"/>
      <c r="H498" s="50"/>
      <c r="I498" s="50"/>
      <c r="J498" s="50" t="s">
        <v>1407</v>
      </c>
    </row>
    <row r="499" ht="22.5" customHeight="1">
      <c r="A499" s="50"/>
      <c r="B499" s="50"/>
      <c r="C499" s="50"/>
      <c r="D499" s="180"/>
      <c r="E499" s="183"/>
      <c r="F499" s="50" t="s">
        <v>1407</v>
      </c>
      <c r="G499" s="50"/>
      <c r="H499" s="50"/>
      <c r="I499" s="50"/>
      <c r="J499" s="50" t="s">
        <v>1407</v>
      </c>
    </row>
    <row r="500" ht="22.5" customHeight="1">
      <c r="A500" s="50"/>
      <c r="B500" s="50"/>
      <c r="C500" s="50"/>
      <c r="D500" s="180"/>
      <c r="E500" s="183"/>
      <c r="F500" s="50" t="s">
        <v>1407</v>
      </c>
      <c r="G500" s="50"/>
      <c r="H500" s="50"/>
      <c r="I500" s="50"/>
      <c r="J500" s="50" t="s">
        <v>1407</v>
      </c>
    </row>
    <row r="501" ht="22.5" customHeight="1">
      <c r="A501" s="50"/>
      <c r="B501" s="50"/>
      <c r="C501" s="50"/>
      <c r="D501" s="180"/>
      <c r="E501" s="183"/>
      <c r="F501" s="50" t="s">
        <v>1407</v>
      </c>
      <c r="G501" s="50"/>
      <c r="H501" s="50"/>
      <c r="I501" s="50"/>
      <c r="J501" s="50" t="s">
        <v>1407</v>
      </c>
    </row>
    <row r="502" ht="22.5" customHeight="1">
      <c r="A502" s="50"/>
      <c r="B502" s="50"/>
      <c r="C502" s="50"/>
      <c r="D502" s="180"/>
      <c r="E502" s="183"/>
      <c r="F502" s="50" t="s">
        <v>1407</v>
      </c>
      <c r="G502" s="50"/>
      <c r="H502" s="50"/>
      <c r="I502" s="50"/>
      <c r="J502" s="50" t="s">
        <v>1407</v>
      </c>
    </row>
    <row r="503" ht="22.5" customHeight="1">
      <c r="A503" s="50"/>
      <c r="B503" s="50"/>
      <c r="C503" s="50"/>
      <c r="D503" s="180"/>
      <c r="E503" s="183"/>
      <c r="F503" s="50" t="s">
        <v>1407</v>
      </c>
      <c r="G503" s="50"/>
      <c r="H503" s="50"/>
      <c r="I503" s="50"/>
      <c r="J503" s="50" t="s">
        <v>1407</v>
      </c>
    </row>
    <row r="504" ht="22.5" customHeight="1">
      <c r="A504" s="50"/>
      <c r="B504" s="50"/>
      <c r="C504" s="50"/>
      <c r="D504" s="180"/>
      <c r="E504" s="183"/>
      <c r="F504" s="50" t="s">
        <v>1407</v>
      </c>
      <c r="G504" s="50"/>
      <c r="H504" s="50"/>
      <c r="I504" s="50"/>
      <c r="J504" s="50" t="s">
        <v>1407</v>
      </c>
    </row>
    <row r="505" ht="22.5" customHeight="1">
      <c r="A505" s="50"/>
      <c r="B505" s="50"/>
      <c r="C505" s="50"/>
      <c r="D505" s="180"/>
      <c r="E505" s="183"/>
      <c r="F505" s="50" t="s">
        <v>1407</v>
      </c>
      <c r="G505" s="50"/>
      <c r="H505" s="50"/>
      <c r="I505" s="50"/>
      <c r="J505" s="50" t="s">
        <v>1407</v>
      </c>
    </row>
    <row r="506" ht="22.5" customHeight="1">
      <c r="A506" s="50"/>
      <c r="B506" s="50"/>
      <c r="C506" s="50"/>
      <c r="D506" s="180"/>
      <c r="E506" s="183"/>
      <c r="F506" s="50" t="s">
        <v>1407</v>
      </c>
      <c r="G506" s="50"/>
      <c r="H506" s="50"/>
      <c r="I506" s="50"/>
      <c r="J506" s="50" t="s">
        <v>1407</v>
      </c>
    </row>
    <row r="507" ht="22.5" customHeight="1">
      <c r="A507" s="50"/>
      <c r="B507" s="50"/>
      <c r="C507" s="50"/>
      <c r="D507" s="180"/>
      <c r="E507" s="183"/>
      <c r="F507" s="50" t="s">
        <v>1407</v>
      </c>
      <c r="G507" s="50"/>
      <c r="H507" s="50"/>
      <c r="I507" s="50"/>
      <c r="J507" s="50" t="s">
        <v>1407</v>
      </c>
    </row>
    <row r="508" ht="22.5" customHeight="1">
      <c r="A508" s="50"/>
      <c r="B508" s="50"/>
      <c r="C508" s="50"/>
      <c r="D508" s="180"/>
      <c r="E508" s="183"/>
      <c r="F508" s="50" t="s">
        <v>1407</v>
      </c>
      <c r="G508" s="50"/>
      <c r="H508" s="50"/>
      <c r="I508" s="50"/>
      <c r="J508" s="50" t="s">
        <v>1407</v>
      </c>
    </row>
    <row r="509" ht="22.5" customHeight="1">
      <c r="A509" s="50"/>
      <c r="B509" s="50"/>
      <c r="C509" s="50"/>
      <c r="D509" s="180"/>
      <c r="E509" s="183"/>
      <c r="F509" s="50" t="s">
        <v>1407</v>
      </c>
      <c r="G509" s="50"/>
      <c r="H509" s="50"/>
      <c r="I509" s="50"/>
      <c r="J509" s="50" t="s">
        <v>1407</v>
      </c>
    </row>
    <row r="510" ht="22.5" customHeight="1">
      <c r="A510" s="50"/>
      <c r="B510" s="50"/>
      <c r="C510" s="50"/>
      <c r="D510" s="180"/>
      <c r="E510" s="183"/>
      <c r="F510" s="50" t="s">
        <v>1407</v>
      </c>
      <c r="G510" s="50"/>
      <c r="H510" s="50"/>
      <c r="I510" s="50"/>
      <c r="J510" s="50" t="s">
        <v>1407</v>
      </c>
    </row>
    <row r="511" ht="22.5" customHeight="1">
      <c r="A511" s="50"/>
      <c r="B511" s="50"/>
      <c r="C511" s="50"/>
      <c r="D511" s="180"/>
      <c r="E511" s="183"/>
      <c r="F511" s="50" t="s">
        <v>1407</v>
      </c>
      <c r="G511" s="50"/>
      <c r="H511" s="50"/>
      <c r="I511" s="50"/>
      <c r="J511" s="50" t="s">
        <v>1407</v>
      </c>
    </row>
    <row r="512" ht="22.5" customHeight="1">
      <c r="A512" s="50"/>
      <c r="B512" s="50"/>
      <c r="C512" s="50"/>
      <c r="D512" s="180"/>
      <c r="E512" s="183"/>
      <c r="F512" s="50" t="s">
        <v>1407</v>
      </c>
      <c r="G512" s="50"/>
      <c r="H512" s="50"/>
      <c r="I512" s="50"/>
      <c r="J512" s="50" t="s">
        <v>1407</v>
      </c>
    </row>
    <row r="513" ht="22.5" customHeight="1">
      <c r="A513" s="50"/>
      <c r="B513" s="50"/>
      <c r="C513" s="50"/>
      <c r="D513" s="180"/>
      <c r="E513" s="183"/>
      <c r="F513" s="50" t="s">
        <v>1407</v>
      </c>
      <c r="G513" s="50"/>
      <c r="H513" s="50"/>
      <c r="I513" s="50"/>
      <c r="J513" s="50" t="s">
        <v>1407</v>
      </c>
    </row>
    <row r="514" ht="22.5" customHeight="1">
      <c r="A514" s="50"/>
      <c r="B514" s="50"/>
      <c r="C514" s="50"/>
      <c r="D514" s="180"/>
      <c r="E514" s="183"/>
      <c r="F514" s="50" t="s">
        <v>1407</v>
      </c>
      <c r="G514" s="50"/>
      <c r="H514" s="50"/>
      <c r="I514" s="50"/>
      <c r="J514" s="50" t="s">
        <v>1407</v>
      </c>
    </row>
    <row r="515" ht="22.5" customHeight="1">
      <c r="A515" s="50"/>
      <c r="B515" s="50"/>
      <c r="C515" s="50"/>
      <c r="D515" s="180"/>
      <c r="E515" s="183"/>
      <c r="F515" s="50" t="s">
        <v>1407</v>
      </c>
      <c r="G515" s="50"/>
      <c r="H515" s="50"/>
      <c r="I515" s="50"/>
      <c r="J515" s="50" t="s">
        <v>1407</v>
      </c>
    </row>
    <row r="516" ht="22.5" customHeight="1">
      <c r="A516" s="50"/>
      <c r="B516" s="50"/>
      <c r="C516" s="50"/>
      <c r="D516" s="180"/>
      <c r="E516" s="183"/>
      <c r="F516" s="50" t="s">
        <v>1407</v>
      </c>
      <c r="G516" s="50"/>
      <c r="H516" s="50"/>
      <c r="I516" s="50"/>
      <c r="J516" s="50" t="s">
        <v>1407</v>
      </c>
    </row>
    <row r="517" ht="22.5" customHeight="1">
      <c r="A517" s="50"/>
      <c r="B517" s="50"/>
      <c r="C517" s="50"/>
      <c r="D517" s="180"/>
      <c r="E517" s="183"/>
      <c r="F517" s="50" t="s">
        <v>1407</v>
      </c>
      <c r="G517" s="50"/>
      <c r="H517" s="50"/>
      <c r="I517" s="50"/>
      <c r="J517" s="50" t="s">
        <v>1407</v>
      </c>
    </row>
    <row r="518" ht="22.5" customHeight="1">
      <c r="A518" s="50"/>
      <c r="B518" s="50"/>
      <c r="C518" s="50"/>
      <c r="D518" s="180"/>
      <c r="E518" s="183"/>
      <c r="F518" s="50" t="s">
        <v>1407</v>
      </c>
      <c r="G518" s="50"/>
      <c r="H518" s="50"/>
      <c r="I518" s="50"/>
      <c r="J518" s="50" t="s">
        <v>1407</v>
      </c>
    </row>
    <row r="519" ht="22.5" customHeight="1">
      <c r="A519" s="50"/>
      <c r="B519" s="50"/>
      <c r="C519" s="50"/>
      <c r="D519" s="180"/>
      <c r="E519" s="183"/>
      <c r="F519" s="50" t="s">
        <v>1407</v>
      </c>
      <c r="G519" s="50"/>
      <c r="H519" s="50"/>
      <c r="I519" s="50"/>
      <c r="J519" s="50" t="s">
        <v>1407</v>
      </c>
    </row>
    <row r="520" ht="22.5" customHeight="1">
      <c r="A520" s="50"/>
      <c r="B520" s="50"/>
      <c r="C520" s="50"/>
      <c r="D520" s="180"/>
      <c r="E520" s="183"/>
      <c r="F520" s="50" t="s">
        <v>1407</v>
      </c>
      <c r="G520" s="50"/>
      <c r="H520" s="50"/>
      <c r="I520" s="50"/>
      <c r="J520" s="50" t="s">
        <v>1407</v>
      </c>
    </row>
    <row r="521" ht="22.5" customHeight="1">
      <c r="A521" s="50"/>
      <c r="B521" s="50"/>
      <c r="C521" s="50"/>
      <c r="D521" s="180"/>
      <c r="E521" s="183"/>
      <c r="F521" s="50" t="s">
        <v>1407</v>
      </c>
      <c r="G521" s="50"/>
      <c r="H521" s="50"/>
      <c r="I521" s="50"/>
      <c r="J521" s="50" t="s">
        <v>1407</v>
      </c>
    </row>
    <row r="522" ht="22.5" customHeight="1">
      <c r="A522" s="50"/>
      <c r="B522" s="50"/>
      <c r="C522" s="50"/>
      <c r="D522" s="180"/>
      <c r="E522" s="183"/>
      <c r="F522" s="50" t="s">
        <v>1407</v>
      </c>
      <c r="G522" s="50"/>
      <c r="H522" s="50"/>
      <c r="I522" s="50"/>
      <c r="J522" s="50" t="s">
        <v>1407</v>
      </c>
    </row>
    <row r="523" ht="22.5" customHeight="1">
      <c r="A523" s="50"/>
      <c r="B523" s="50"/>
      <c r="C523" s="50"/>
      <c r="D523" s="180"/>
      <c r="E523" s="183"/>
      <c r="F523" s="50" t="s">
        <v>1407</v>
      </c>
      <c r="G523" s="50"/>
      <c r="H523" s="50"/>
      <c r="I523" s="50"/>
      <c r="J523" s="50" t="s">
        <v>1407</v>
      </c>
    </row>
    <row r="524" ht="22.5" customHeight="1">
      <c r="A524" s="50"/>
      <c r="B524" s="50"/>
      <c r="C524" s="50"/>
      <c r="D524" s="180"/>
      <c r="E524" s="183"/>
      <c r="F524" s="50" t="s">
        <v>1407</v>
      </c>
      <c r="G524" s="50"/>
      <c r="H524" s="50"/>
      <c r="I524" s="50"/>
      <c r="J524" s="50" t="s">
        <v>1407</v>
      </c>
    </row>
    <row r="525" ht="22.5" customHeight="1">
      <c r="A525" s="50"/>
      <c r="B525" s="50"/>
      <c r="C525" s="50"/>
      <c r="D525" s="180"/>
      <c r="E525" s="183"/>
      <c r="F525" s="50" t="s">
        <v>1407</v>
      </c>
      <c r="G525" s="50"/>
      <c r="H525" s="50"/>
      <c r="I525" s="50"/>
      <c r="J525" s="50" t="s">
        <v>1407</v>
      </c>
    </row>
    <row r="526" ht="22.5" customHeight="1">
      <c r="A526" s="50"/>
      <c r="B526" s="50"/>
      <c r="C526" s="50"/>
      <c r="D526" s="180"/>
      <c r="E526" s="183"/>
      <c r="F526" s="50" t="s">
        <v>1407</v>
      </c>
      <c r="G526" s="50"/>
      <c r="H526" s="50"/>
      <c r="I526" s="50"/>
      <c r="J526" s="50" t="s">
        <v>1407</v>
      </c>
    </row>
    <row r="527" ht="22.5" customHeight="1">
      <c r="A527" s="50"/>
      <c r="B527" s="50"/>
      <c r="C527" s="50"/>
      <c r="D527" s="180"/>
      <c r="E527" s="183"/>
      <c r="F527" s="50" t="s">
        <v>1407</v>
      </c>
      <c r="G527" s="50"/>
      <c r="H527" s="50"/>
      <c r="I527" s="50"/>
      <c r="J527" s="50" t="s">
        <v>1407</v>
      </c>
    </row>
    <row r="528" ht="22.5" customHeight="1">
      <c r="A528" s="50"/>
      <c r="B528" s="50"/>
      <c r="C528" s="50"/>
      <c r="D528" s="180"/>
      <c r="E528" s="183"/>
      <c r="F528" s="50" t="s">
        <v>1407</v>
      </c>
      <c r="G528" s="50"/>
      <c r="H528" s="50"/>
      <c r="I528" s="50"/>
      <c r="J528" s="50" t="s">
        <v>1407</v>
      </c>
    </row>
    <row r="529" ht="22.5" customHeight="1">
      <c r="A529" s="50"/>
      <c r="B529" s="50"/>
      <c r="C529" s="50"/>
      <c r="D529" s="180"/>
      <c r="E529" s="183"/>
      <c r="F529" s="50" t="s">
        <v>1407</v>
      </c>
      <c r="G529" s="50"/>
      <c r="H529" s="50"/>
      <c r="I529" s="50"/>
      <c r="J529" s="50" t="s">
        <v>1407</v>
      </c>
    </row>
    <row r="530" ht="22.5" customHeight="1">
      <c r="A530" s="50"/>
      <c r="B530" s="50"/>
      <c r="C530" s="50"/>
      <c r="D530" s="180"/>
      <c r="E530" s="183"/>
      <c r="F530" s="50" t="s">
        <v>1407</v>
      </c>
      <c r="G530" s="50"/>
      <c r="H530" s="50"/>
      <c r="I530" s="50"/>
      <c r="J530" s="50" t="s">
        <v>1407</v>
      </c>
    </row>
    <row r="531" ht="22.5" customHeight="1">
      <c r="A531" s="50"/>
      <c r="B531" s="50"/>
      <c r="C531" s="50"/>
      <c r="D531" s="180"/>
      <c r="E531" s="183"/>
      <c r="F531" s="50" t="s">
        <v>1407</v>
      </c>
      <c r="G531" s="50"/>
      <c r="H531" s="50"/>
      <c r="I531" s="50"/>
      <c r="J531" s="50" t="s">
        <v>1407</v>
      </c>
    </row>
    <row r="532" ht="22.5" customHeight="1">
      <c r="A532" s="50"/>
      <c r="B532" s="50"/>
      <c r="C532" s="50"/>
      <c r="D532" s="180"/>
      <c r="E532" s="183"/>
      <c r="F532" s="50" t="s">
        <v>1407</v>
      </c>
      <c r="G532" s="50"/>
      <c r="H532" s="50"/>
      <c r="I532" s="50"/>
      <c r="J532" s="50" t="s">
        <v>1407</v>
      </c>
    </row>
    <row r="533" ht="22.5" customHeight="1">
      <c r="A533" s="50"/>
      <c r="B533" s="50"/>
      <c r="C533" s="50"/>
      <c r="D533" s="180"/>
      <c r="E533" s="183"/>
      <c r="F533" s="50" t="s">
        <v>1407</v>
      </c>
      <c r="G533" s="50"/>
      <c r="H533" s="50"/>
      <c r="I533" s="50"/>
      <c r="J533" s="50" t="s">
        <v>1407</v>
      </c>
    </row>
    <row r="534" ht="22.5" customHeight="1">
      <c r="A534" s="50"/>
      <c r="B534" s="50"/>
      <c r="C534" s="50"/>
      <c r="D534" s="180"/>
      <c r="E534" s="183"/>
      <c r="F534" s="50" t="s">
        <v>1407</v>
      </c>
      <c r="G534" s="50"/>
      <c r="H534" s="50"/>
      <c r="I534" s="50"/>
      <c r="J534" s="50" t="s">
        <v>1407</v>
      </c>
    </row>
    <row r="535" ht="22.5" customHeight="1">
      <c r="A535" s="50"/>
      <c r="B535" s="50"/>
      <c r="C535" s="50"/>
      <c r="D535" s="180"/>
      <c r="E535" s="183"/>
      <c r="F535" s="50" t="s">
        <v>1407</v>
      </c>
      <c r="G535" s="50"/>
      <c r="H535" s="50"/>
      <c r="I535" s="50"/>
      <c r="J535" s="50" t="s">
        <v>1407</v>
      </c>
    </row>
    <row r="536" ht="22.5" customHeight="1">
      <c r="A536" s="50"/>
      <c r="B536" s="50"/>
      <c r="C536" s="50"/>
      <c r="D536" s="180"/>
      <c r="E536" s="183"/>
      <c r="F536" s="50" t="s">
        <v>1407</v>
      </c>
      <c r="G536" s="50"/>
      <c r="H536" s="50"/>
      <c r="I536" s="50"/>
      <c r="J536" s="50" t="s">
        <v>1407</v>
      </c>
    </row>
    <row r="537" ht="22.5" customHeight="1">
      <c r="A537" s="50"/>
      <c r="B537" s="50"/>
      <c r="C537" s="50"/>
      <c r="D537" s="180"/>
      <c r="E537" s="183"/>
      <c r="F537" s="50" t="s">
        <v>1407</v>
      </c>
      <c r="G537" s="50"/>
      <c r="H537" s="50"/>
      <c r="I537" s="50"/>
      <c r="J537" s="50" t="s">
        <v>1407</v>
      </c>
    </row>
    <row r="538" ht="22.5" customHeight="1">
      <c r="A538" s="50"/>
      <c r="B538" s="50"/>
      <c r="C538" s="50"/>
      <c r="D538" s="180"/>
      <c r="E538" s="183"/>
      <c r="F538" s="50" t="s">
        <v>1407</v>
      </c>
      <c r="G538" s="50"/>
      <c r="H538" s="50"/>
      <c r="I538" s="50"/>
      <c r="J538" s="50" t="s">
        <v>1407</v>
      </c>
    </row>
    <row r="539" ht="22.5" customHeight="1">
      <c r="A539" s="50"/>
      <c r="B539" s="50"/>
      <c r="C539" s="50"/>
      <c r="D539" s="180"/>
      <c r="E539" s="183"/>
      <c r="F539" s="50" t="s">
        <v>1407</v>
      </c>
      <c r="G539" s="50"/>
      <c r="H539" s="50"/>
      <c r="I539" s="50"/>
      <c r="J539" s="50" t="s">
        <v>1407</v>
      </c>
    </row>
    <row r="540" ht="22.5" customHeight="1">
      <c r="A540" s="50"/>
      <c r="B540" s="50"/>
      <c r="C540" s="50"/>
      <c r="D540" s="180"/>
      <c r="E540" s="183"/>
      <c r="F540" s="50" t="s">
        <v>1407</v>
      </c>
      <c r="G540" s="50"/>
      <c r="H540" s="50"/>
      <c r="I540" s="50"/>
      <c r="J540" s="50" t="s">
        <v>1407</v>
      </c>
    </row>
    <row r="541" ht="22.5" customHeight="1">
      <c r="A541" s="50"/>
      <c r="B541" s="50"/>
      <c r="C541" s="50"/>
      <c r="D541" s="180"/>
      <c r="E541" s="183"/>
      <c r="F541" s="50" t="s">
        <v>1407</v>
      </c>
      <c r="G541" s="50"/>
      <c r="H541" s="50"/>
      <c r="I541" s="50"/>
      <c r="J541" s="50" t="s">
        <v>1407</v>
      </c>
    </row>
    <row r="542" ht="22.5" customHeight="1">
      <c r="A542" s="50"/>
      <c r="B542" s="50"/>
      <c r="C542" s="50"/>
      <c r="D542" s="180"/>
      <c r="E542" s="183"/>
      <c r="F542" s="50" t="s">
        <v>1407</v>
      </c>
      <c r="G542" s="50"/>
      <c r="H542" s="50"/>
      <c r="I542" s="50"/>
      <c r="J542" s="50" t="s">
        <v>1407</v>
      </c>
    </row>
    <row r="543" ht="22.5" customHeight="1">
      <c r="A543" s="50"/>
      <c r="B543" s="50"/>
      <c r="C543" s="50"/>
      <c r="D543" s="180"/>
      <c r="E543" s="183"/>
      <c r="F543" s="50" t="s">
        <v>1407</v>
      </c>
      <c r="G543" s="50"/>
      <c r="H543" s="50"/>
      <c r="I543" s="50"/>
      <c r="J543" s="50" t="s">
        <v>1407</v>
      </c>
    </row>
    <row r="544" ht="22.5" customHeight="1">
      <c r="A544" s="50"/>
      <c r="B544" s="50"/>
      <c r="C544" s="50"/>
      <c r="D544" s="180"/>
      <c r="E544" s="183"/>
      <c r="F544" s="50" t="s">
        <v>1407</v>
      </c>
      <c r="G544" s="50"/>
      <c r="H544" s="50"/>
      <c r="I544" s="50"/>
      <c r="J544" s="50" t="s">
        <v>1407</v>
      </c>
    </row>
    <row r="545" ht="22.5" customHeight="1">
      <c r="A545" s="50"/>
      <c r="B545" s="50"/>
      <c r="C545" s="50"/>
      <c r="D545" s="180"/>
      <c r="E545" s="183"/>
      <c r="F545" s="50" t="s">
        <v>1407</v>
      </c>
      <c r="G545" s="50"/>
      <c r="H545" s="50"/>
      <c r="I545" s="50"/>
      <c r="J545" s="50" t="s">
        <v>1407</v>
      </c>
    </row>
    <row r="546" ht="22.5" customHeight="1">
      <c r="A546" s="50"/>
      <c r="B546" s="50"/>
      <c r="C546" s="50"/>
      <c r="D546" s="180"/>
      <c r="E546" s="183"/>
      <c r="F546" s="50" t="s">
        <v>1407</v>
      </c>
      <c r="G546" s="50"/>
      <c r="H546" s="50"/>
      <c r="I546" s="50"/>
      <c r="J546" s="50" t="s">
        <v>1407</v>
      </c>
    </row>
    <row r="547" ht="22.5" customHeight="1">
      <c r="A547" s="50"/>
      <c r="B547" s="50"/>
      <c r="C547" s="50"/>
      <c r="D547" s="180"/>
      <c r="E547" s="183"/>
      <c r="F547" s="50" t="s">
        <v>1407</v>
      </c>
      <c r="G547" s="50"/>
      <c r="H547" s="50"/>
      <c r="I547" s="50"/>
      <c r="J547" s="50" t="s">
        <v>1407</v>
      </c>
    </row>
    <row r="548" ht="22.5" customHeight="1">
      <c r="A548" s="50"/>
      <c r="B548" s="50"/>
      <c r="C548" s="50"/>
      <c r="D548" s="180"/>
      <c r="E548" s="183"/>
      <c r="F548" s="50" t="s">
        <v>1407</v>
      </c>
      <c r="G548" s="50"/>
      <c r="H548" s="50"/>
      <c r="I548" s="50"/>
      <c r="J548" s="50" t="s">
        <v>1407</v>
      </c>
    </row>
    <row r="549" ht="22.5" customHeight="1">
      <c r="A549" s="50"/>
      <c r="B549" s="50"/>
      <c r="C549" s="50"/>
      <c r="D549" s="180"/>
      <c r="E549" s="183"/>
      <c r="F549" s="50" t="s">
        <v>1407</v>
      </c>
      <c r="G549" s="50"/>
      <c r="H549" s="50"/>
      <c r="I549" s="50"/>
      <c r="J549" s="50" t="s">
        <v>1407</v>
      </c>
    </row>
    <row r="550" ht="22.5" customHeight="1">
      <c r="A550" s="50"/>
      <c r="B550" s="50"/>
      <c r="C550" s="50"/>
      <c r="D550" s="180"/>
      <c r="E550" s="183"/>
      <c r="F550" s="50" t="s">
        <v>1407</v>
      </c>
      <c r="G550" s="50"/>
      <c r="H550" s="50"/>
      <c r="I550" s="50"/>
      <c r="J550" s="50" t="s">
        <v>1407</v>
      </c>
    </row>
    <row r="551" ht="22.5" customHeight="1">
      <c r="A551" s="50"/>
      <c r="B551" s="50"/>
      <c r="C551" s="50"/>
      <c r="D551" s="180"/>
      <c r="E551" s="183"/>
      <c r="F551" s="50" t="s">
        <v>1407</v>
      </c>
      <c r="G551" s="50"/>
      <c r="H551" s="50"/>
      <c r="I551" s="50"/>
      <c r="J551" s="50" t="s">
        <v>1407</v>
      </c>
    </row>
    <row r="552" ht="22.5" customHeight="1">
      <c r="A552" s="50"/>
      <c r="B552" s="50"/>
      <c r="C552" s="50"/>
      <c r="D552" s="180"/>
      <c r="E552" s="183"/>
      <c r="F552" s="50" t="s">
        <v>1407</v>
      </c>
      <c r="G552" s="50"/>
      <c r="H552" s="50"/>
      <c r="I552" s="50"/>
      <c r="J552" s="50" t="s">
        <v>1407</v>
      </c>
    </row>
    <row r="553" ht="22.5" customHeight="1">
      <c r="A553" s="50"/>
      <c r="B553" s="50"/>
      <c r="C553" s="50"/>
      <c r="D553" s="180"/>
      <c r="E553" s="183"/>
      <c r="F553" s="50" t="s">
        <v>1407</v>
      </c>
      <c r="G553" s="50"/>
      <c r="H553" s="50"/>
      <c r="I553" s="50"/>
      <c r="J553" s="50" t="s">
        <v>1407</v>
      </c>
    </row>
    <row r="554" ht="22.5" customHeight="1">
      <c r="A554" s="50"/>
      <c r="B554" s="50"/>
      <c r="C554" s="50"/>
      <c r="D554" s="180"/>
      <c r="E554" s="183"/>
      <c r="F554" s="50" t="s">
        <v>1407</v>
      </c>
      <c r="G554" s="50"/>
      <c r="H554" s="50"/>
      <c r="I554" s="50"/>
      <c r="J554" s="50" t="s">
        <v>1407</v>
      </c>
    </row>
    <row r="555" ht="22.5" customHeight="1">
      <c r="A555" s="50"/>
      <c r="B555" s="50"/>
      <c r="C555" s="50"/>
      <c r="D555" s="180"/>
      <c r="E555" s="183"/>
      <c r="F555" s="50" t="s">
        <v>1407</v>
      </c>
      <c r="G555" s="50"/>
      <c r="H555" s="50"/>
      <c r="I555" s="50"/>
      <c r="J555" s="50" t="s">
        <v>1407</v>
      </c>
    </row>
    <row r="556" ht="22.5" customHeight="1">
      <c r="A556" s="50"/>
      <c r="B556" s="50"/>
      <c r="C556" s="50"/>
      <c r="D556" s="180"/>
      <c r="E556" s="183"/>
      <c r="F556" s="50" t="s">
        <v>1407</v>
      </c>
      <c r="G556" s="50"/>
      <c r="H556" s="50"/>
      <c r="I556" s="50"/>
      <c r="J556" s="50" t="s">
        <v>1407</v>
      </c>
    </row>
    <row r="557" ht="22.5" customHeight="1">
      <c r="A557" s="50"/>
      <c r="B557" s="50"/>
      <c r="C557" s="50"/>
      <c r="D557" s="180"/>
      <c r="E557" s="183"/>
      <c r="F557" s="50" t="s">
        <v>1407</v>
      </c>
      <c r="G557" s="50"/>
      <c r="H557" s="50"/>
      <c r="I557" s="50"/>
      <c r="J557" s="50" t="s">
        <v>1407</v>
      </c>
    </row>
    <row r="558" ht="22.5" customHeight="1">
      <c r="A558" s="50"/>
      <c r="B558" s="50"/>
      <c r="C558" s="50"/>
      <c r="D558" s="180"/>
      <c r="E558" s="183"/>
      <c r="F558" s="50" t="s">
        <v>1407</v>
      </c>
      <c r="G558" s="50"/>
      <c r="H558" s="50"/>
      <c r="I558" s="50"/>
      <c r="J558" s="50" t="s">
        <v>1407</v>
      </c>
    </row>
    <row r="559" ht="22.5" customHeight="1">
      <c r="A559" s="50"/>
      <c r="B559" s="50"/>
      <c r="C559" s="50"/>
      <c r="D559" s="180"/>
      <c r="E559" s="183"/>
      <c r="F559" s="50" t="s">
        <v>1407</v>
      </c>
      <c r="G559" s="50"/>
      <c r="H559" s="50"/>
      <c r="I559" s="50"/>
      <c r="J559" s="50" t="s">
        <v>1407</v>
      </c>
    </row>
    <row r="560" ht="22.5" customHeight="1">
      <c r="A560" s="50"/>
      <c r="B560" s="50"/>
      <c r="C560" s="50"/>
      <c r="D560" s="180"/>
      <c r="E560" s="183"/>
      <c r="F560" s="50" t="s">
        <v>1407</v>
      </c>
      <c r="G560" s="50"/>
      <c r="H560" s="50"/>
      <c r="I560" s="50"/>
      <c r="J560" s="50" t="s">
        <v>1407</v>
      </c>
    </row>
    <row r="561" ht="22.5" customHeight="1">
      <c r="A561" s="50"/>
      <c r="B561" s="50"/>
      <c r="C561" s="50"/>
      <c r="D561" s="180"/>
      <c r="E561" s="183"/>
      <c r="F561" s="50" t="s">
        <v>1407</v>
      </c>
      <c r="G561" s="50"/>
      <c r="H561" s="50"/>
      <c r="I561" s="50"/>
      <c r="J561" s="50" t="s">
        <v>1407</v>
      </c>
    </row>
    <row r="562" ht="22.5" customHeight="1">
      <c r="A562" s="50"/>
      <c r="B562" s="50"/>
      <c r="C562" s="50"/>
      <c r="D562" s="180"/>
      <c r="E562" s="183"/>
      <c r="F562" s="50" t="s">
        <v>1407</v>
      </c>
      <c r="G562" s="50"/>
      <c r="H562" s="50"/>
      <c r="I562" s="50"/>
      <c r="J562" s="50" t="s">
        <v>1407</v>
      </c>
    </row>
    <row r="563" ht="22.5" customHeight="1">
      <c r="A563" s="50"/>
      <c r="B563" s="50"/>
      <c r="C563" s="50"/>
      <c r="D563" s="180"/>
      <c r="E563" s="183"/>
      <c r="F563" s="50" t="s">
        <v>1407</v>
      </c>
      <c r="G563" s="50"/>
      <c r="H563" s="50"/>
      <c r="I563" s="50"/>
      <c r="J563" s="50" t="s">
        <v>1407</v>
      </c>
    </row>
    <row r="564" ht="22.5" customHeight="1">
      <c r="A564" s="50"/>
      <c r="B564" s="50"/>
      <c r="C564" s="50"/>
      <c r="D564" s="180"/>
      <c r="E564" s="183"/>
      <c r="F564" s="50" t="s">
        <v>1407</v>
      </c>
      <c r="G564" s="50"/>
      <c r="H564" s="50"/>
      <c r="I564" s="50"/>
      <c r="J564" s="50" t="s">
        <v>1407</v>
      </c>
    </row>
    <row r="565" ht="22.5" customHeight="1">
      <c r="A565" s="50"/>
      <c r="B565" s="50"/>
      <c r="C565" s="50"/>
      <c r="D565" s="180"/>
      <c r="E565" s="183"/>
      <c r="F565" s="50" t="s">
        <v>1407</v>
      </c>
      <c r="G565" s="50"/>
      <c r="H565" s="50"/>
      <c r="I565" s="50"/>
      <c r="J565" s="50" t="s">
        <v>1407</v>
      </c>
    </row>
    <row r="566" ht="22.5" customHeight="1">
      <c r="A566" s="50"/>
      <c r="B566" s="50"/>
      <c r="C566" s="50"/>
      <c r="D566" s="180"/>
      <c r="E566" s="183"/>
      <c r="F566" s="50" t="s">
        <v>1407</v>
      </c>
      <c r="G566" s="50"/>
      <c r="H566" s="50"/>
      <c r="I566" s="50"/>
      <c r="J566" s="50" t="s">
        <v>1407</v>
      </c>
    </row>
    <row r="567" ht="22.5" customHeight="1">
      <c r="A567" s="50"/>
      <c r="B567" s="50"/>
      <c r="C567" s="50"/>
      <c r="D567" s="180"/>
      <c r="E567" s="183"/>
      <c r="F567" s="50" t="s">
        <v>1407</v>
      </c>
      <c r="G567" s="50"/>
      <c r="H567" s="50"/>
      <c r="I567" s="50"/>
      <c r="J567" s="50" t="s">
        <v>1407</v>
      </c>
    </row>
    <row r="568" ht="22.5" customHeight="1">
      <c r="A568" s="50"/>
      <c r="B568" s="50"/>
      <c r="C568" s="50"/>
      <c r="D568" s="180"/>
      <c r="E568" s="183"/>
      <c r="F568" s="50" t="s">
        <v>1407</v>
      </c>
      <c r="G568" s="50"/>
      <c r="H568" s="50"/>
      <c r="I568" s="50"/>
      <c r="J568" s="50" t="s">
        <v>1407</v>
      </c>
    </row>
    <row r="569" ht="22.5" customHeight="1">
      <c r="A569" s="50"/>
      <c r="B569" s="50"/>
      <c r="C569" s="50"/>
      <c r="D569" s="180"/>
      <c r="E569" s="183"/>
      <c r="F569" s="50" t="s">
        <v>1407</v>
      </c>
      <c r="G569" s="50"/>
      <c r="H569" s="50"/>
      <c r="I569" s="50"/>
      <c r="J569" s="50" t="s">
        <v>1407</v>
      </c>
    </row>
    <row r="570" ht="22.5" customHeight="1">
      <c r="A570" s="50"/>
      <c r="B570" s="50"/>
      <c r="C570" s="50"/>
      <c r="D570" s="180"/>
      <c r="E570" s="183"/>
      <c r="F570" s="50" t="s">
        <v>1407</v>
      </c>
      <c r="G570" s="50"/>
      <c r="H570" s="50"/>
      <c r="I570" s="50"/>
      <c r="J570" s="50" t="s">
        <v>1407</v>
      </c>
    </row>
    <row r="571" ht="22.5" customHeight="1">
      <c r="A571" s="50"/>
      <c r="B571" s="50"/>
      <c r="C571" s="50"/>
      <c r="D571" s="180"/>
      <c r="E571" s="183"/>
      <c r="F571" s="50" t="s">
        <v>1407</v>
      </c>
      <c r="G571" s="50"/>
      <c r="H571" s="50"/>
      <c r="I571" s="50"/>
      <c r="J571" s="50" t="s">
        <v>1407</v>
      </c>
    </row>
    <row r="572" ht="22.5" customHeight="1">
      <c r="A572" s="50"/>
      <c r="B572" s="50"/>
      <c r="C572" s="50"/>
      <c r="D572" s="180"/>
      <c r="E572" s="183"/>
      <c r="F572" s="50" t="s">
        <v>1407</v>
      </c>
      <c r="G572" s="50"/>
      <c r="H572" s="50"/>
      <c r="I572" s="50"/>
      <c r="J572" s="50" t="s">
        <v>1407</v>
      </c>
    </row>
    <row r="573" ht="22.5" customHeight="1">
      <c r="A573" s="50"/>
      <c r="B573" s="50"/>
      <c r="C573" s="50"/>
      <c r="D573" s="180"/>
      <c r="E573" s="183"/>
      <c r="F573" s="50" t="s">
        <v>1407</v>
      </c>
      <c r="G573" s="50"/>
      <c r="H573" s="50"/>
      <c r="I573" s="50"/>
      <c r="J573" s="50" t="s">
        <v>1407</v>
      </c>
    </row>
    <row r="574" ht="22.5" customHeight="1">
      <c r="A574" s="50"/>
      <c r="B574" s="50"/>
      <c r="C574" s="50"/>
      <c r="D574" s="180"/>
      <c r="E574" s="183"/>
      <c r="F574" s="50" t="s">
        <v>1407</v>
      </c>
      <c r="G574" s="50"/>
      <c r="H574" s="50"/>
      <c r="I574" s="50"/>
      <c r="J574" s="50" t="s">
        <v>1407</v>
      </c>
    </row>
    <row r="575" ht="22.5" customHeight="1">
      <c r="A575" s="50"/>
      <c r="B575" s="50"/>
      <c r="C575" s="50"/>
      <c r="D575" s="180"/>
      <c r="E575" s="183"/>
      <c r="F575" s="50" t="s">
        <v>1407</v>
      </c>
      <c r="G575" s="50"/>
      <c r="H575" s="50"/>
      <c r="I575" s="50"/>
      <c r="J575" s="50" t="s">
        <v>1407</v>
      </c>
    </row>
    <row r="576" ht="22.5" customHeight="1">
      <c r="A576" s="50"/>
      <c r="B576" s="50"/>
      <c r="C576" s="50"/>
      <c r="D576" s="180"/>
      <c r="E576" s="183"/>
      <c r="F576" s="50" t="s">
        <v>1407</v>
      </c>
      <c r="G576" s="50"/>
      <c r="H576" s="50"/>
      <c r="I576" s="50"/>
      <c r="J576" s="50" t="s">
        <v>1407</v>
      </c>
    </row>
    <row r="577" ht="22.5" customHeight="1">
      <c r="A577" s="50"/>
      <c r="B577" s="50"/>
      <c r="C577" s="50"/>
      <c r="D577" s="180"/>
      <c r="E577" s="183"/>
      <c r="F577" s="50" t="s">
        <v>1407</v>
      </c>
      <c r="G577" s="50"/>
      <c r="H577" s="50"/>
      <c r="I577" s="50"/>
      <c r="J577" s="50" t="s">
        <v>1407</v>
      </c>
    </row>
    <row r="578" ht="22.5" customHeight="1">
      <c r="A578" s="50"/>
      <c r="B578" s="50"/>
      <c r="C578" s="50"/>
      <c r="D578" s="180"/>
      <c r="E578" s="183"/>
      <c r="F578" s="50" t="s">
        <v>1407</v>
      </c>
      <c r="G578" s="50"/>
      <c r="H578" s="50"/>
      <c r="I578" s="50"/>
      <c r="J578" s="50" t="s">
        <v>1407</v>
      </c>
    </row>
    <row r="579" ht="22.5" customHeight="1">
      <c r="A579" s="50"/>
      <c r="B579" s="50"/>
      <c r="C579" s="50"/>
      <c r="D579" s="180"/>
      <c r="E579" s="183"/>
      <c r="F579" s="50" t="s">
        <v>1407</v>
      </c>
      <c r="G579" s="50"/>
      <c r="H579" s="50"/>
      <c r="I579" s="50"/>
      <c r="J579" s="50" t="s">
        <v>1407</v>
      </c>
    </row>
    <row r="580" ht="22.5" customHeight="1">
      <c r="A580" s="50"/>
      <c r="B580" s="50"/>
      <c r="C580" s="50"/>
      <c r="D580" s="180"/>
      <c r="E580" s="183"/>
      <c r="F580" s="50" t="s">
        <v>1407</v>
      </c>
      <c r="G580" s="50"/>
      <c r="H580" s="50"/>
      <c r="I580" s="50"/>
      <c r="J580" s="50" t="s">
        <v>1407</v>
      </c>
    </row>
    <row r="581" ht="22.5" customHeight="1">
      <c r="A581" s="50"/>
      <c r="B581" s="50"/>
      <c r="C581" s="50"/>
      <c r="D581" s="180"/>
      <c r="E581" s="183"/>
      <c r="F581" s="50" t="s">
        <v>1407</v>
      </c>
      <c r="G581" s="50"/>
      <c r="H581" s="50"/>
      <c r="I581" s="50"/>
      <c r="J581" s="50" t="s">
        <v>1407</v>
      </c>
    </row>
    <row r="582" ht="22.5" customHeight="1">
      <c r="A582" s="50"/>
      <c r="B582" s="50"/>
      <c r="C582" s="50"/>
      <c r="D582" s="180"/>
      <c r="E582" s="183"/>
      <c r="F582" s="50" t="s">
        <v>1407</v>
      </c>
      <c r="G582" s="50"/>
      <c r="H582" s="50"/>
      <c r="I582" s="50"/>
      <c r="J582" s="50" t="s">
        <v>1407</v>
      </c>
    </row>
    <row r="583" ht="22.5" customHeight="1">
      <c r="A583" s="50"/>
      <c r="B583" s="50"/>
      <c r="C583" s="50"/>
      <c r="D583" s="180"/>
      <c r="E583" s="183"/>
      <c r="F583" s="50" t="s">
        <v>1407</v>
      </c>
      <c r="G583" s="50"/>
      <c r="H583" s="50"/>
      <c r="I583" s="50"/>
      <c r="J583" s="50" t="s">
        <v>1407</v>
      </c>
    </row>
    <row r="584" ht="22.5" customHeight="1">
      <c r="A584" s="50"/>
      <c r="B584" s="50"/>
      <c r="C584" s="50"/>
      <c r="D584" s="180"/>
      <c r="E584" s="183"/>
      <c r="F584" s="50" t="s">
        <v>1407</v>
      </c>
      <c r="G584" s="50"/>
      <c r="H584" s="50"/>
      <c r="I584" s="50"/>
      <c r="J584" s="50" t="s">
        <v>1407</v>
      </c>
    </row>
    <row r="585" ht="22.5" customHeight="1">
      <c r="A585" s="50"/>
      <c r="B585" s="50"/>
      <c r="C585" s="50"/>
      <c r="D585" s="180"/>
      <c r="E585" s="183"/>
      <c r="F585" s="50" t="s">
        <v>1407</v>
      </c>
      <c r="G585" s="50"/>
      <c r="H585" s="50"/>
      <c r="I585" s="50"/>
      <c r="J585" s="50" t="s">
        <v>1407</v>
      </c>
    </row>
    <row r="586" ht="22.5" customHeight="1">
      <c r="A586" s="50"/>
      <c r="B586" s="50"/>
      <c r="C586" s="50"/>
      <c r="D586" s="180"/>
      <c r="E586" s="183"/>
      <c r="F586" s="50" t="s">
        <v>1407</v>
      </c>
      <c r="G586" s="50"/>
      <c r="H586" s="50"/>
      <c r="I586" s="50"/>
      <c r="J586" s="50" t="s">
        <v>1407</v>
      </c>
    </row>
    <row r="587" ht="22.5" customHeight="1">
      <c r="A587" s="50"/>
      <c r="B587" s="50"/>
      <c r="C587" s="50"/>
      <c r="D587" s="180"/>
      <c r="E587" s="183"/>
      <c r="F587" s="50" t="s">
        <v>1407</v>
      </c>
      <c r="G587" s="50"/>
      <c r="H587" s="50"/>
      <c r="I587" s="50"/>
      <c r="J587" s="50" t="s">
        <v>1407</v>
      </c>
    </row>
    <row r="588" ht="22.5" customHeight="1">
      <c r="A588" s="50"/>
      <c r="B588" s="50"/>
      <c r="C588" s="50"/>
      <c r="D588" s="180"/>
      <c r="E588" s="183"/>
      <c r="F588" s="50" t="s">
        <v>1407</v>
      </c>
      <c r="G588" s="50"/>
      <c r="H588" s="50"/>
      <c r="I588" s="50"/>
      <c r="J588" s="50" t="s">
        <v>1407</v>
      </c>
    </row>
    <row r="589" ht="22.5" customHeight="1">
      <c r="A589" s="50"/>
      <c r="B589" s="50"/>
      <c r="C589" s="50"/>
      <c r="D589" s="180"/>
      <c r="E589" s="183"/>
      <c r="F589" s="50" t="s">
        <v>1407</v>
      </c>
      <c r="G589" s="50"/>
      <c r="H589" s="50"/>
      <c r="I589" s="50"/>
      <c r="J589" s="50" t="s">
        <v>1407</v>
      </c>
    </row>
    <row r="590" ht="22.5" customHeight="1">
      <c r="A590" s="50"/>
      <c r="B590" s="50"/>
      <c r="C590" s="50"/>
      <c r="D590" s="180"/>
      <c r="E590" s="183"/>
      <c r="F590" s="50" t="s">
        <v>1407</v>
      </c>
      <c r="G590" s="50"/>
      <c r="H590" s="50"/>
      <c r="I590" s="50"/>
      <c r="J590" s="50" t="s">
        <v>1407</v>
      </c>
    </row>
    <row r="591" ht="22.5" customHeight="1">
      <c r="A591" s="50"/>
      <c r="B591" s="50"/>
      <c r="C591" s="50"/>
      <c r="D591" s="180"/>
      <c r="E591" s="183"/>
      <c r="F591" s="50" t="s">
        <v>1407</v>
      </c>
      <c r="G591" s="50"/>
      <c r="H591" s="50"/>
      <c r="I591" s="50"/>
      <c r="J591" s="50" t="s">
        <v>1407</v>
      </c>
    </row>
    <row r="592" ht="22.5" customHeight="1">
      <c r="A592" s="50"/>
      <c r="B592" s="50"/>
      <c r="C592" s="50"/>
      <c r="D592" s="180"/>
      <c r="E592" s="183"/>
      <c r="F592" s="50" t="s">
        <v>1407</v>
      </c>
      <c r="G592" s="50"/>
      <c r="H592" s="50"/>
      <c r="I592" s="50"/>
      <c r="J592" s="50" t="s">
        <v>1407</v>
      </c>
    </row>
    <row r="593" ht="22.5" customHeight="1">
      <c r="A593" s="50"/>
      <c r="B593" s="50"/>
      <c r="C593" s="50"/>
      <c r="D593" s="180"/>
      <c r="E593" s="183"/>
      <c r="F593" s="50" t="s">
        <v>1407</v>
      </c>
      <c r="G593" s="50"/>
      <c r="H593" s="50"/>
      <c r="I593" s="50"/>
      <c r="J593" s="50" t="s">
        <v>1407</v>
      </c>
    </row>
    <row r="594" ht="22.5" customHeight="1">
      <c r="A594" s="50"/>
      <c r="B594" s="50"/>
      <c r="C594" s="50"/>
      <c r="D594" s="180"/>
      <c r="E594" s="183"/>
      <c r="F594" s="50" t="s">
        <v>1407</v>
      </c>
      <c r="G594" s="50"/>
      <c r="H594" s="50"/>
      <c r="I594" s="50"/>
      <c r="J594" s="50" t="s">
        <v>1407</v>
      </c>
    </row>
    <row r="595" ht="22.5" customHeight="1">
      <c r="A595" s="50"/>
      <c r="B595" s="50"/>
      <c r="C595" s="50"/>
      <c r="D595" s="180"/>
      <c r="E595" s="183"/>
      <c r="F595" s="50" t="s">
        <v>1407</v>
      </c>
      <c r="G595" s="50"/>
      <c r="H595" s="50"/>
      <c r="I595" s="50"/>
      <c r="J595" s="50" t="s">
        <v>1407</v>
      </c>
    </row>
    <row r="596" ht="22.5" customHeight="1">
      <c r="A596" s="50"/>
      <c r="B596" s="50"/>
      <c r="C596" s="50"/>
      <c r="D596" s="180"/>
      <c r="E596" s="183"/>
      <c r="F596" s="50" t="s">
        <v>1407</v>
      </c>
      <c r="G596" s="50"/>
      <c r="H596" s="50"/>
      <c r="I596" s="50"/>
      <c r="J596" s="50" t="s">
        <v>1407</v>
      </c>
    </row>
    <row r="597" ht="22.5" customHeight="1">
      <c r="A597" s="50"/>
      <c r="B597" s="50"/>
      <c r="C597" s="50"/>
      <c r="D597" s="180"/>
      <c r="E597" s="183"/>
      <c r="F597" s="50" t="s">
        <v>1407</v>
      </c>
      <c r="G597" s="50"/>
      <c r="H597" s="50"/>
      <c r="I597" s="50"/>
      <c r="J597" s="50" t="s">
        <v>1407</v>
      </c>
    </row>
    <row r="598" ht="22.5" customHeight="1">
      <c r="A598" s="50"/>
      <c r="B598" s="50"/>
      <c r="C598" s="50"/>
      <c r="D598" s="180"/>
      <c r="E598" s="183"/>
      <c r="F598" s="50" t="s">
        <v>1407</v>
      </c>
      <c r="G598" s="50"/>
      <c r="H598" s="50"/>
      <c r="I598" s="50"/>
      <c r="J598" s="50" t="s">
        <v>1407</v>
      </c>
    </row>
    <row r="599" ht="22.5" customHeight="1">
      <c r="A599" s="50"/>
      <c r="B599" s="50"/>
      <c r="C599" s="50"/>
      <c r="D599" s="180"/>
      <c r="E599" s="183"/>
      <c r="F599" s="50" t="s">
        <v>1407</v>
      </c>
      <c r="G599" s="50"/>
      <c r="H599" s="50"/>
      <c r="I599" s="50"/>
      <c r="J599" s="50" t="s">
        <v>1407</v>
      </c>
    </row>
    <row r="600" ht="22.5" customHeight="1">
      <c r="A600" s="50"/>
      <c r="B600" s="50"/>
      <c r="C600" s="50"/>
      <c r="D600" s="180"/>
      <c r="E600" s="183"/>
      <c r="F600" s="50" t="s">
        <v>1407</v>
      </c>
      <c r="G600" s="50"/>
      <c r="H600" s="50"/>
      <c r="I600" s="50"/>
      <c r="J600" s="50" t="s">
        <v>1407</v>
      </c>
    </row>
    <row r="601" ht="22.5" customHeight="1">
      <c r="A601" s="50"/>
      <c r="B601" s="50"/>
      <c r="C601" s="50"/>
      <c r="D601" s="180"/>
      <c r="E601" s="183"/>
      <c r="F601" s="50" t="s">
        <v>1407</v>
      </c>
      <c r="G601" s="50"/>
      <c r="H601" s="50"/>
      <c r="I601" s="50"/>
      <c r="J601" s="50" t="s">
        <v>1407</v>
      </c>
    </row>
    <row r="602" ht="22.5" customHeight="1">
      <c r="A602" s="50"/>
      <c r="B602" s="50"/>
      <c r="C602" s="50"/>
      <c r="D602" s="180"/>
      <c r="E602" s="183"/>
      <c r="F602" s="50" t="s">
        <v>1407</v>
      </c>
      <c r="G602" s="50"/>
      <c r="H602" s="50"/>
      <c r="I602" s="50"/>
      <c r="J602" s="50" t="s">
        <v>1407</v>
      </c>
    </row>
    <row r="603" ht="22.5" customHeight="1">
      <c r="A603" s="50"/>
      <c r="B603" s="50"/>
      <c r="C603" s="50"/>
      <c r="D603" s="180"/>
      <c r="E603" s="183"/>
      <c r="F603" s="50" t="s">
        <v>1407</v>
      </c>
      <c r="G603" s="50"/>
      <c r="H603" s="50"/>
      <c r="I603" s="50"/>
      <c r="J603" s="50" t="s">
        <v>1407</v>
      </c>
    </row>
    <row r="604" ht="22.5" customHeight="1">
      <c r="A604" s="50"/>
      <c r="B604" s="50"/>
      <c r="C604" s="50"/>
      <c r="D604" s="180"/>
      <c r="E604" s="183"/>
      <c r="F604" s="50" t="s">
        <v>1407</v>
      </c>
      <c r="G604" s="50"/>
      <c r="H604" s="50"/>
      <c r="I604" s="50"/>
      <c r="J604" s="50" t="s">
        <v>1407</v>
      </c>
    </row>
    <row r="605" ht="22.5" customHeight="1">
      <c r="A605" s="50"/>
      <c r="B605" s="50"/>
      <c r="C605" s="50"/>
      <c r="D605" s="180"/>
      <c r="E605" s="183"/>
      <c r="F605" s="50" t="s">
        <v>1407</v>
      </c>
      <c r="G605" s="50"/>
      <c r="H605" s="50"/>
      <c r="I605" s="50"/>
      <c r="J605" s="50" t="s">
        <v>1407</v>
      </c>
    </row>
    <row r="606" ht="22.5" customHeight="1">
      <c r="A606" s="50"/>
      <c r="B606" s="50"/>
      <c r="C606" s="50"/>
      <c r="D606" s="180"/>
      <c r="E606" s="183"/>
      <c r="F606" s="50" t="s">
        <v>1407</v>
      </c>
      <c r="G606" s="50"/>
      <c r="H606" s="50"/>
      <c r="I606" s="50"/>
      <c r="J606" s="50" t="s">
        <v>1407</v>
      </c>
    </row>
    <row r="607" ht="22.5" customHeight="1">
      <c r="A607" s="50"/>
      <c r="B607" s="50"/>
      <c r="C607" s="50"/>
      <c r="D607" s="180"/>
      <c r="E607" s="183"/>
      <c r="F607" s="50" t="s">
        <v>1407</v>
      </c>
      <c r="G607" s="50"/>
      <c r="H607" s="50"/>
      <c r="I607" s="50"/>
      <c r="J607" s="50" t="s">
        <v>1407</v>
      </c>
    </row>
    <row r="608" ht="22.5" customHeight="1">
      <c r="A608" s="50"/>
      <c r="B608" s="50"/>
      <c r="C608" s="50"/>
      <c r="D608" s="180"/>
      <c r="E608" s="183"/>
      <c r="F608" s="50" t="s">
        <v>1407</v>
      </c>
      <c r="G608" s="50"/>
      <c r="H608" s="50"/>
      <c r="I608" s="50"/>
      <c r="J608" s="50" t="s">
        <v>1407</v>
      </c>
    </row>
    <row r="609" ht="22.5" customHeight="1">
      <c r="A609" s="50"/>
      <c r="B609" s="50"/>
      <c r="C609" s="50"/>
      <c r="D609" s="180"/>
      <c r="E609" s="183"/>
      <c r="F609" s="50" t="s">
        <v>1407</v>
      </c>
      <c r="G609" s="50"/>
      <c r="H609" s="50"/>
      <c r="I609" s="50"/>
      <c r="J609" s="50" t="s">
        <v>1407</v>
      </c>
    </row>
    <row r="610" ht="22.5" customHeight="1">
      <c r="A610" s="50"/>
      <c r="B610" s="50"/>
      <c r="C610" s="50"/>
      <c r="D610" s="180"/>
      <c r="E610" s="183"/>
      <c r="F610" s="50" t="s">
        <v>1407</v>
      </c>
      <c r="G610" s="50"/>
      <c r="H610" s="50"/>
      <c r="I610" s="50"/>
      <c r="J610" s="50" t="s">
        <v>1407</v>
      </c>
    </row>
    <row r="611" ht="22.5" customHeight="1">
      <c r="A611" s="50"/>
      <c r="B611" s="50"/>
      <c r="C611" s="50"/>
      <c r="D611" s="180"/>
      <c r="E611" s="183"/>
      <c r="F611" s="50" t="s">
        <v>1407</v>
      </c>
      <c r="G611" s="50"/>
      <c r="H611" s="50"/>
      <c r="I611" s="50"/>
      <c r="J611" s="50" t="s">
        <v>1407</v>
      </c>
    </row>
    <row r="612" ht="22.5" customHeight="1">
      <c r="A612" s="50"/>
      <c r="B612" s="50"/>
      <c r="C612" s="50"/>
      <c r="D612" s="180"/>
      <c r="E612" s="183"/>
      <c r="F612" s="50" t="s">
        <v>1407</v>
      </c>
      <c r="G612" s="50"/>
      <c r="H612" s="50"/>
      <c r="I612" s="50"/>
      <c r="J612" s="50" t="s">
        <v>1407</v>
      </c>
    </row>
    <row r="613" ht="22.5" customHeight="1">
      <c r="A613" s="50"/>
      <c r="B613" s="50"/>
      <c r="C613" s="50"/>
      <c r="D613" s="180"/>
      <c r="E613" s="183"/>
      <c r="F613" s="50" t="s">
        <v>1407</v>
      </c>
      <c r="G613" s="50"/>
      <c r="H613" s="50"/>
      <c r="I613" s="50"/>
      <c r="J613" s="50" t="s">
        <v>1407</v>
      </c>
    </row>
    <row r="614" ht="22.5" customHeight="1">
      <c r="A614" s="50"/>
      <c r="B614" s="50"/>
      <c r="C614" s="50"/>
      <c r="D614" s="180"/>
      <c r="E614" s="183"/>
      <c r="F614" s="50" t="s">
        <v>1407</v>
      </c>
      <c r="G614" s="50"/>
      <c r="H614" s="50"/>
      <c r="I614" s="50"/>
      <c r="J614" s="50" t="s">
        <v>1407</v>
      </c>
    </row>
    <row r="615" ht="22.5" customHeight="1">
      <c r="A615" s="50"/>
      <c r="B615" s="50"/>
      <c r="C615" s="50"/>
      <c r="D615" s="180"/>
      <c r="E615" s="183"/>
      <c r="F615" s="50" t="s">
        <v>1407</v>
      </c>
      <c r="G615" s="50"/>
      <c r="H615" s="50"/>
      <c r="I615" s="50"/>
      <c r="J615" s="50" t="s">
        <v>1407</v>
      </c>
    </row>
    <row r="616" ht="22.5" customHeight="1">
      <c r="A616" s="50"/>
      <c r="B616" s="50"/>
      <c r="C616" s="50"/>
      <c r="D616" s="180"/>
      <c r="E616" s="183"/>
      <c r="F616" s="50" t="s">
        <v>1407</v>
      </c>
      <c r="G616" s="50"/>
      <c r="H616" s="50"/>
      <c r="I616" s="50"/>
      <c r="J616" s="50" t="s">
        <v>1407</v>
      </c>
    </row>
    <row r="617" ht="22.5" customHeight="1">
      <c r="A617" s="50"/>
      <c r="B617" s="50"/>
      <c r="C617" s="50"/>
      <c r="D617" s="180"/>
      <c r="E617" s="183"/>
      <c r="F617" s="50" t="s">
        <v>1407</v>
      </c>
      <c r="G617" s="50"/>
      <c r="H617" s="50"/>
      <c r="I617" s="50"/>
      <c r="J617" s="50" t="s">
        <v>1407</v>
      </c>
    </row>
    <row r="618" ht="22.5" customHeight="1">
      <c r="A618" s="50"/>
      <c r="B618" s="50"/>
      <c r="C618" s="50"/>
      <c r="D618" s="180"/>
      <c r="E618" s="183"/>
      <c r="F618" s="50" t="s">
        <v>1407</v>
      </c>
      <c r="G618" s="50"/>
      <c r="H618" s="50"/>
      <c r="I618" s="50"/>
      <c r="J618" s="50" t="s">
        <v>1407</v>
      </c>
    </row>
    <row r="619" ht="22.5" customHeight="1">
      <c r="A619" s="50"/>
      <c r="B619" s="50"/>
      <c r="C619" s="50"/>
      <c r="D619" s="180"/>
      <c r="E619" s="183"/>
      <c r="F619" s="50" t="s">
        <v>1407</v>
      </c>
      <c r="G619" s="50"/>
      <c r="H619" s="50"/>
      <c r="I619" s="50"/>
      <c r="J619" s="50" t="s">
        <v>1407</v>
      </c>
    </row>
    <row r="620" ht="22.5" customHeight="1">
      <c r="A620" s="50"/>
      <c r="B620" s="50"/>
      <c r="C620" s="50"/>
      <c r="D620" s="180"/>
      <c r="E620" s="183"/>
      <c r="F620" s="50" t="s">
        <v>1407</v>
      </c>
      <c r="G620" s="50"/>
      <c r="H620" s="50"/>
      <c r="I620" s="50"/>
      <c r="J620" s="50" t="s">
        <v>1407</v>
      </c>
    </row>
    <row r="621" ht="22.5" customHeight="1">
      <c r="A621" s="50"/>
      <c r="B621" s="50"/>
      <c r="C621" s="50"/>
      <c r="D621" s="180"/>
      <c r="E621" s="183"/>
      <c r="F621" s="50" t="s">
        <v>1407</v>
      </c>
      <c r="G621" s="50"/>
      <c r="H621" s="50"/>
      <c r="I621" s="50"/>
      <c r="J621" s="50" t="s">
        <v>1407</v>
      </c>
    </row>
    <row r="622" ht="22.5" customHeight="1">
      <c r="A622" s="50"/>
      <c r="B622" s="50"/>
      <c r="C622" s="50"/>
      <c r="D622" s="180"/>
      <c r="E622" s="183"/>
      <c r="F622" s="50" t="s">
        <v>1407</v>
      </c>
      <c r="G622" s="50"/>
      <c r="H622" s="50"/>
      <c r="I622" s="50"/>
      <c r="J622" s="50" t="s">
        <v>1407</v>
      </c>
    </row>
    <row r="623" ht="22.5" customHeight="1">
      <c r="A623" s="50"/>
      <c r="B623" s="50"/>
      <c r="C623" s="50"/>
      <c r="D623" s="180"/>
      <c r="E623" s="183"/>
      <c r="F623" s="50" t="s">
        <v>1407</v>
      </c>
      <c r="G623" s="50"/>
      <c r="H623" s="50"/>
      <c r="I623" s="50"/>
      <c r="J623" s="50" t="s">
        <v>1407</v>
      </c>
    </row>
    <row r="624" ht="22.5" customHeight="1">
      <c r="A624" s="50"/>
      <c r="B624" s="50"/>
      <c r="C624" s="50"/>
      <c r="D624" s="180"/>
      <c r="E624" s="183"/>
      <c r="F624" s="50" t="s">
        <v>1407</v>
      </c>
      <c r="G624" s="50"/>
      <c r="H624" s="50"/>
      <c r="I624" s="50"/>
      <c r="J624" s="50" t="s">
        <v>1407</v>
      </c>
    </row>
    <row r="625" ht="22.5" customHeight="1">
      <c r="A625" s="50"/>
      <c r="B625" s="50"/>
      <c r="C625" s="50"/>
      <c r="D625" s="180"/>
      <c r="E625" s="183"/>
      <c r="F625" s="50" t="s">
        <v>1407</v>
      </c>
      <c r="G625" s="50"/>
      <c r="H625" s="50"/>
      <c r="I625" s="50"/>
      <c r="J625" s="50" t="s">
        <v>1407</v>
      </c>
    </row>
    <row r="626" ht="22.5" customHeight="1">
      <c r="A626" s="50"/>
      <c r="B626" s="50"/>
      <c r="C626" s="50"/>
      <c r="D626" s="180"/>
      <c r="E626" s="183"/>
      <c r="F626" s="50" t="s">
        <v>1407</v>
      </c>
      <c r="G626" s="50"/>
      <c r="H626" s="50"/>
      <c r="I626" s="50"/>
      <c r="J626" s="50" t="s">
        <v>1407</v>
      </c>
    </row>
    <row r="627" ht="22.5" customHeight="1">
      <c r="A627" s="50"/>
      <c r="B627" s="50"/>
      <c r="C627" s="50"/>
      <c r="D627" s="180"/>
      <c r="E627" s="183"/>
      <c r="F627" s="50" t="s">
        <v>1407</v>
      </c>
      <c r="G627" s="50"/>
      <c r="H627" s="50"/>
      <c r="I627" s="50"/>
      <c r="J627" s="50" t="s">
        <v>1407</v>
      </c>
    </row>
    <row r="628" ht="22.5" customHeight="1">
      <c r="A628" s="50"/>
      <c r="B628" s="50"/>
      <c r="C628" s="50"/>
      <c r="D628" s="180"/>
      <c r="E628" s="183"/>
      <c r="F628" s="50" t="s">
        <v>1407</v>
      </c>
      <c r="G628" s="50"/>
      <c r="H628" s="50"/>
      <c r="I628" s="50"/>
      <c r="J628" s="50" t="s">
        <v>1407</v>
      </c>
    </row>
    <row r="629" ht="22.5" customHeight="1">
      <c r="A629" s="50"/>
      <c r="B629" s="50"/>
      <c r="C629" s="50"/>
      <c r="D629" s="180"/>
      <c r="E629" s="183"/>
      <c r="F629" s="50" t="s">
        <v>1407</v>
      </c>
      <c r="G629" s="50"/>
      <c r="H629" s="50"/>
      <c r="I629" s="50"/>
      <c r="J629" s="50" t="s">
        <v>1407</v>
      </c>
    </row>
    <row r="630" ht="22.5" customHeight="1">
      <c r="A630" s="50"/>
      <c r="B630" s="50"/>
      <c r="C630" s="50"/>
      <c r="D630" s="180"/>
      <c r="E630" s="183"/>
      <c r="F630" s="50" t="s">
        <v>1407</v>
      </c>
      <c r="G630" s="50"/>
      <c r="H630" s="50"/>
      <c r="I630" s="50"/>
      <c r="J630" s="50" t="s">
        <v>1407</v>
      </c>
    </row>
    <row r="631" ht="22.5" customHeight="1">
      <c r="A631" s="50"/>
      <c r="B631" s="50"/>
      <c r="C631" s="50"/>
      <c r="D631" s="180"/>
      <c r="E631" s="183"/>
      <c r="F631" s="50" t="s">
        <v>1407</v>
      </c>
      <c r="G631" s="50"/>
      <c r="H631" s="50"/>
      <c r="I631" s="50"/>
      <c r="J631" s="50" t="s">
        <v>1407</v>
      </c>
    </row>
    <row r="632" ht="22.5" customHeight="1">
      <c r="A632" s="50"/>
      <c r="B632" s="50"/>
      <c r="C632" s="50"/>
      <c r="D632" s="180"/>
      <c r="E632" s="183"/>
      <c r="F632" s="50" t="s">
        <v>1407</v>
      </c>
      <c r="G632" s="50"/>
      <c r="H632" s="50"/>
      <c r="I632" s="50"/>
      <c r="J632" s="50" t="s">
        <v>1407</v>
      </c>
    </row>
    <row r="633" ht="22.5" customHeight="1">
      <c r="A633" s="50"/>
      <c r="B633" s="50"/>
      <c r="C633" s="50"/>
      <c r="D633" s="180"/>
      <c r="E633" s="183"/>
      <c r="F633" s="50" t="s">
        <v>1407</v>
      </c>
      <c r="G633" s="50"/>
      <c r="H633" s="50"/>
      <c r="I633" s="50"/>
      <c r="J633" s="50" t="s">
        <v>1407</v>
      </c>
    </row>
    <row r="634" ht="22.5" customHeight="1">
      <c r="A634" s="50"/>
      <c r="B634" s="50"/>
      <c r="C634" s="50"/>
      <c r="D634" s="180"/>
      <c r="E634" s="183"/>
      <c r="F634" s="50" t="s">
        <v>1407</v>
      </c>
      <c r="G634" s="50"/>
      <c r="H634" s="50"/>
      <c r="I634" s="50"/>
      <c r="J634" s="50" t="s">
        <v>1407</v>
      </c>
    </row>
    <row r="635" ht="22.5" customHeight="1">
      <c r="A635" s="50"/>
      <c r="B635" s="50"/>
      <c r="C635" s="50"/>
      <c r="D635" s="180"/>
      <c r="E635" s="183"/>
      <c r="F635" s="50" t="s">
        <v>1407</v>
      </c>
      <c r="G635" s="50"/>
      <c r="H635" s="50"/>
      <c r="I635" s="50"/>
      <c r="J635" s="50" t="s">
        <v>1407</v>
      </c>
    </row>
    <row r="636" ht="22.5" customHeight="1">
      <c r="A636" s="50"/>
      <c r="B636" s="50"/>
      <c r="C636" s="50"/>
      <c r="D636" s="180"/>
      <c r="E636" s="183"/>
      <c r="F636" s="50" t="s">
        <v>1407</v>
      </c>
      <c r="G636" s="50"/>
      <c r="H636" s="50"/>
      <c r="I636" s="50"/>
      <c r="J636" s="50" t="s">
        <v>1407</v>
      </c>
    </row>
    <row r="637" ht="22.5" customHeight="1">
      <c r="A637" s="50"/>
      <c r="B637" s="50"/>
      <c r="C637" s="50"/>
      <c r="D637" s="180"/>
      <c r="E637" s="183"/>
      <c r="F637" s="50" t="s">
        <v>1407</v>
      </c>
      <c r="G637" s="50"/>
      <c r="H637" s="50"/>
      <c r="I637" s="50"/>
      <c r="J637" s="50" t="s">
        <v>1407</v>
      </c>
    </row>
    <row r="638" ht="22.5" customHeight="1">
      <c r="A638" s="50"/>
      <c r="B638" s="50"/>
      <c r="C638" s="50"/>
      <c r="D638" s="180"/>
      <c r="E638" s="183"/>
      <c r="F638" s="50" t="s">
        <v>1407</v>
      </c>
      <c r="G638" s="50"/>
      <c r="H638" s="50"/>
      <c r="I638" s="50"/>
      <c r="J638" s="50" t="s">
        <v>1407</v>
      </c>
    </row>
    <row r="639" ht="22.5" customHeight="1">
      <c r="A639" s="50"/>
      <c r="B639" s="50"/>
      <c r="C639" s="50"/>
      <c r="D639" s="180"/>
      <c r="E639" s="183"/>
      <c r="F639" s="50" t="s">
        <v>1407</v>
      </c>
      <c r="G639" s="50"/>
      <c r="H639" s="50"/>
      <c r="I639" s="50"/>
      <c r="J639" s="50" t="s">
        <v>1407</v>
      </c>
    </row>
    <row r="640" ht="22.5" customHeight="1">
      <c r="A640" s="50"/>
      <c r="B640" s="50"/>
      <c r="C640" s="50"/>
      <c r="D640" s="180"/>
      <c r="E640" s="183"/>
      <c r="F640" s="50" t="s">
        <v>1407</v>
      </c>
      <c r="G640" s="50"/>
      <c r="H640" s="50"/>
      <c r="I640" s="50"/>
      <c r="J640" s="50" t="s">
        <v>1407</v>
      </c>
    </row>
    <row r="641" ht="22.5" customHeight="1">
      <c r="A641" s="50"/>
      <c r="B641" s="50"/>
      <c r="C641" s="50"/>
      <c r="D641" s="180"/>
      <c r="E641" s="183"/>
      <c r="F641" s="50" t="s">
        <v>1407</v>
      </c>
      <c r="G641" s="50"/>
      <c r="H641" s="50"/>
      <c r="I641" s="50"/>
      <c r="J641" s="50" t="s">
        <v>1407</v>
      </c>
    </row>
    <row r="642" ht="22.5" customHeight="1">
      <c r="A642" s="50"/>
      <c r="B642" s="50"/>
      <c r="C642" s="50"/>
      <c r="D642" s="180"/>
      <c r="E642" s="183"/>
      <c r="F642" s="50" t="s">
        <v>1407</v>
      </c>
      <c r="G642" s="50"/>
      <c r="H642" s="50"/>
      <c r="I642" s="50"/>
      <c r="J642" s="50" t="s">
        <v>1407</v>
      </c>
    </row>
    <row r="643" ht="22.5" customHeight="1">
      <c r="A643" s="50"/>
      <c r="B643" s="50"/>
      <c r="C643" s="50"/>
      <c r="D643" s="180"/>
      <c r="E643" s="183"/>
      <c r="F643" s="50" t="s">
        <v>1407</v>
      </c>
      <c r="G643" s="50"/>
      <c r="H643" s="50"/>
      <c r="I643" s="50"/>
      <c r="J643" s="50" t="s">
        <v>1407</v>
      </c>
    </row>
    <row r="644" ht="22.5" customHeight="1">
      <c r="A644" s="50"/>
      <c r="B644" s="50"/>
      <c r="C644" s="50"/>
      <c r="D644" s="180"/>
      <c r="E644" s="183"/>
      <c r="F644" s="50" t="s">
        <v>1407</v>
      </c>
      <c r="G644" s="50"/>
      <c r="H644" s="50"/>
      <c r="I644" s="50"/>
      <c r="J644" s="50" t="s">
        <v>1407</v>
      </c>
    </row>
    <row r="645" ht="22.5" customHeight="1">
      <c r="A645" s="50"/>
      <c r="B645" s="50"/>
      <c r="C645" s="50"/>
      <c r="D645" s="180"/>
      <c r="E645" s="183"/>
      <c r="F645" s="50" t="s">
        <v>1407</v>
      </c>
      <c r="G645" s="50"/>
      <c r="H645" s="50"/>
      <c r="I645" s="50"/>
      <c r="J645" s="50" t="s">
        <v>1407</v>
      </c>
    </row>
    <row r="646" ht="22.5" customHeight="1">
      <c r="A646" s="50"/>
      <c r="B646" s="50"/>
      <c r="C646" s="50"/>
      <c r="D646" s="180"/>
      <c r="E646" s="183"/>
      <c r="F646" s="50" t="s">
        <v>1407</v>
      </c>
      <c r="G646" s="50"/>
      <c r="H646" s="50"/>
      <c r="I646" s="50"/>
      <c r="J646" s="50" t="s">
        <v>1407</v>
      </c>
    </row>
    <row r="647" ht="22.5" customHeight="1">
      <c r="A647" s="50"/>
      <c r="B647" s="50"/>
      <c r="C647" s="50"/>
      <c r="D647" s="180"/>
      <c r="E647" s="183"/>
      <c r="F647" s="50" t="s">
        <v>1407</v>
      </c>
      <c r="G647" s="50"/>
      <c r="H647" s="50"/>
      <c r="I647" s="50"/>
      <c r="J647" s="50" t="s">
        <v>1407</v>
      </c>
    </row>
    <row r="648" ht="22.5" customHeight="1">
      <c r="A648" s="50"/>
      <c r="B648" s="50"/>
      <c r="C648" s="50"/>
      <c r="D648" s="180"/>
      <c r="E648" s="183"/>
      <c r="F648" s="50" t="s">
        <v>1407</v>
      </c>
      <c r="G648" s="50"/>
      <c r="H648" s="50"/>
      <c r="I648" s="50"/>
      <c r="J648" s="50" t="s">
        <v>1407</v>
      </c>
    </row>
    <row r="649" ht="22.5" customHeight="1">
      <c r="A649" s="50"/>
      <c r="B649" s="50"/>
      <c r="C649" s="50"/>
      <c r="D649" s="180"/>
      <c r="E649" s="183"/>
      <c r="F649" s="50" t="s">
        <v>1407</v>
      </c>
      <c r="G649" s="50"/>
      <c r="H649" s="50"/>
      <c r="I649" s="50"/>
      <c r="J649" s="50" t="s">
        <v>1407</v>
      </c>
    </row>
    <row r="650" ht="22.5" customHeight="1">
      <c r="A650" s="50"/>
      <c r="B650" s="50"/>
      <c r="C650" s="50"/>
      <c r="D650" s="180"/>
      <c r="E650" s="183"/>
      <c r="F650" s="50" t="s">
        <v>1407</v>
      </c>
      <c r="G650" s="50"/>
      <c r="H650" s="50"/>
      <c r="I650" s="50"/>
      <c r="J650" s="50" t="s">
        <v>1407</v>
      </c>
    </row>
    <row r="651" ht="22.5" customHeight="1">
      <c r="A651" s="50"/>
      <c r="B651" s="50"/>
      <c r="C651" s="50"/>
      <c r="D651" s="180"/>
      <c r="E651" s="183"/>
      <c r="F651" s="50" t="s">
        <v>1407</v>
      </c>
      <c r="G651" s="50"/>
      <c r="H651" s="50"/>
      <c r="I651" s="50"/>
      <c r="J651" s="50" t="s">
        <v>1407</v>
      </c>
    </row>
    <row r="652" ht="22.5" customHeight="1">
      <c r="A652" s="50"/>
      <c r="B652" s="50"/>
      <c r="C652" s="50"/>
      <c r="D652" s="180"/>
      <c r="E652" s="183"/>
      <c r="F652" s="50" t="s">
        <v>1407</v>
      </c>
      <c r="G652" s="50"/>
      <c r="H652" s="50"/>
      <c r="I652" s="50"/>
      <c r="J652" s="50" t="s">
        <v>1407</v>
      </c>
    </row>
    <row r="653" ht="22.5" customHeight="1">
      <c r="A653" s="50"/>
      <c r="B653" s="50"/>
      <c r="C653" s="50"/>
      <c r="D653" s="180"/>
      <c r="E653" s="183"/>
      <c r="F653" s="50" t="s">
        <v>1407</v>
      </c>
      <c r="G653" s="50"/>
      <c r="H653" s="50"/>
      <c r="I653" s="50"/>
      <c r="J653" s="50" t="s">
        <v>1407</v>
      </c>
    </row>
    <row r="654" ht="22.5" customHeight="1">
      <c r="A654" s="50"/>
      <c r="B654" s="50"/>
      <c r="C654" s="50"/>
      <c r="D654" s="180"/>
      <c r="E654" s="183"/>
      <c r="F654" s="50" t="s">
        <v>1407</v>
      </c>
      <c r="G654" s="50"/>
      <c r="H654" s="50"/>
      <c r="I654" s="50"/>
      <c r="J654" s="50" t="s">
        <v>1407</v>
      </c>
    </row>
    <row r="655" ht="22.5" customHeight="1">
      <c r="A655" s="50"/>
      <c r="B655" s="50"/>
      <c r="C655" s="50"/>
      <c r="D655" s="180"/>
      <c r="E655" s="183"/>
      <c r="F655" s="50" t="s">
        <v>1407</v>
      </c>
      <c r="G655" s="50"/>
      <c r="H655" s="50"/>
      <c r="I655" s="50"/>
      <c r="J655" s="50" t="s">
        <v>1407</v>
      </c>
    </row>
    <row r="656" ht="22.5" customHeight="1">
      <c r="A656" s="50"/>
      <c r="B656" s="50"/>
      <c r="C656" s="50"/>
      <c r="D656" s="180"/>
      <c r="E656" s="183"/>
      <c r="F656" s="50" t="s">
        <v>1407</v>
      </c>
      <c r="G656" s="50"/>
      <c r="H656" s="50"/>
      <c r="I656" s="50"/>
      <c r="J656" s="50" t="s">
        <v>1407</v>
      </c>
    </row>
    <row r="657" ht="22.5" customHeight="1">
      <c r="A657" s="50"/>
      <c r="B657" s="50"/>
      <c r="C657" s="50"/>
      <c r="D657" s="180"/>
      <c r="E657" s="183"/>
      <c r="F657" s="50" t="s">
        <v>1407</v>
      </c>
      <c r="G657" s="50"/>
      <c r="H657" s="50"/>
      <c r="I657" s="50"/>
      <c r="J657" s="50" t="s">
        <v>1407</v>
      </c>
    </row>
    <row r="658" ht="22.5" customHeight="1">
      <c r="A658" s="50"/>
      <c r="B658" s="50"/>
      <c r="C658" s="50"/>
      <c r="D658" s="180"/>
      <c r="E658" s="183"/>
      <c r="F658" s="50" t="s">
        <v>1407</v>
      </c>
      <c r="G658" s="50"/>
      <c r="H658" s="50"/>
      <c r="I658" s="50"/>
      <c r="J658" s="50" t="s">
        <v>1407</v>
      </c>
    </row>
    <row r="659" ht="22.5" customHeight="1">
      <c r="A659" s="50"/>
      <c r="B659" s="50"/>
      <c r="C659" s="50"/>
      <c r="D659" s="180"/>
      <c r="E659" s="183"/>
      <c r="F659" s="50" t="s">
        <v>1407</v>
      </c>
      <c r="G659" s="50"/>
      <c r="H659" s="50"/>
      <c r="I659" s="50"/>
      <c r="J659" s="50" t="s">
        <v>1407</v>
      </c>
    </row>
    <row r="660" ht="22.5" customHeight="1">
      <c r="A660" s="50"/>
      <c r="B660" s="50"/>
      <c r="C660" s="50"/>
      <c r="D660" s="180"/>
      <c r="E660" s="183"/>
      <c r="F660" s="50" t="s">
        <v>1407</v>
      </c>
      <c r="G660" s="50"/>
      <c r="H660" s="50"/>
      <c r="I660" s="50"/>
      <c r="J660" s="50" t="s">
        <v>1407</v>
      </c>
    </row>
    <row r="661" ht="22.5" customHeight="1">
      <c r="A661" s="50"/>
      <c r="B661" s="50"/>
      <c r="C661" s="50"/>
      <c r="D661" s="180"/>
      <c r="E661" s="183"/>
      <c r="F661" s="50" t="s">
        <v>1407</v>
      </c>
      <c r="G661" s="50"/>
      <c r="H661" s="50"/>
      <c r="I661" s="50"/>
      <c r="J661" s="50" t="s">
        <v>1407</v>
      </c>
    </row>
    <row r="662" ht="22.5" customHeight="1">
      <c r="A662" s="50"/>
      <c r="B662" s="50"/>
      <c r="C662" s="50"/>
      <c r="D662" s="180"/>
      <c r="E662" s="183"/>
      <c r="F662" s="50" t="s">
        <v>1407</v>
      </c>
      <c r="G662" s="50"/>
      <c r="H662" s="50"/>
      <c r="I662" s="50"/>
      <c r="J662" s="50" t="s">
        <v>1407</v>
      </c>
    </row>
    <row r="663" ht="22.5" customHeight="1">
      <c r="A663" s="50"/>
      <c r="B663" s="50"/>
      <c r="C663" s="50"/>
      <c r="D663" s="180"/>
      <c r="E663" s="183"/>
      <c r="F663" s="50" t="s">
        <v>1407</v>
      </c>
      <c r="G663" s="50"/>
      <c r="H663" s="50"/>
      <c r="I663" s="50"/>
      <c r="J663" s="50" t="s">
        <v>1407</v>
      </c>
    </row>
    <row r="664" ht="22.5" customHeight="1">
      <c r="A664" s="50"/>
      <c r="B664" s="50"/>
      <c r="C664" s="50"/>
      <c r="D664" s="180"/>
      <c r="E664" s="183"/>
      <c r="F664" s="50" t="s">
        <v>1407</v>
      </c>
      <c r="G664" s="50"/>
      <c r="H664" s="50"/>
      <c r="I664" s="50"/>
      <c r="J664" s="50" t="s">
        <v>1407</v>
      </c>
    </row>
    <row r="665" ht="22.5" customHeight="1">
      <c r="A665" s="50"/>
      <c r="B665" s="50"/>
      <c r="C665" s="50"/>
      <c r="D665" s="180"/>
      <c r="E665" s="183"/>
      <c r="F665" s="50" t="s">
        <v>1407</v>
      </c>
      <c r="G665" s="50"/>
      <c r="H665" s="50"/>
      <c r="I665" s="50"/>
      <c r="J665" s="50" t="s">
        <v>1407</v>
      </c>
    </row>
    <row r="666" ht="22.5" customHeight="1">
      <c r="A666" s="50"/>
      <c r="B666" s="50"/>
      <c r="C666" s="50"/>
      <c r="D666" s="180"/>
      <c r="E666" s="183"/>
      <c r="F666" s="50" t="s">
        <v>1407</v>
      </c>
      <c r="G666" s="50"/>
      <c r="H666" s="50"/>
      <c r="I666" s="50"/>
      <c r="J666" s="50" t="s">
        <v>1407</v>
      </c>
    </row>
    <row r="667" ht="22.5" customHeight="1">
      <c r="A667" s="50"/>
      <c r="B667" s="50"/>
      <c r="C667" s="50"/>
      <c r="D667" s="180"/>
      <c r="E667" s="183"/>
      <c r="F667" s="50" t="s">
        <v>1407</v>
      </c>
      <c r="G667" s="50"/>
      <c r="H667" s="50"/>
      <c r="I667" s="50"/>
      <c r="J667" s="50" t="s">
        <v>1407</v>
      </c>
    </row>
    <row r="668" ht="22.5" customHeight="1">
      <c r="A668" s="50"/>
      <c r="B668" s="50"/>
      <c r="C668" s="50"/>
      <c r="D668" s="180"/>
      <c r="E668" s="183"/>
      <c r="F668" s="50" t="s">
        <v>1407</v>
      </c>
      <c r="G668" s="50"/>
      <c r="H668" s="50"/>
      <c r="I668" s="50"/>
      <c r="J668" s="50" t="s">
        <v>1407</v>
      </c>
    </row>
    <row r="669" ht="22.5" customHeight="1">
      <c r="A669" s="50"/>
      <c r="B669" s="50"/>
      <c r="C669" s="50"/>
      <c r="D669" s="180"/>
      <c r="E669" s="183"/>
      <c r="F669" s="50" t="s">
        <v>1407</v>
      </c>
      <c r="G669" s="50"/>
      <c r="H669" s="50"/>
      <c r="I669" s="50"/>
      <c r="J669" s="50" t="s">
        <v>1407</v>
      </c>
    </row>
    <row r="670" ht="22.5" customHeight="1">
      <c r="A670" s="50"/>
      <c r="B670" s="50"/>
      <c r="C670" s="50"/>
      <c r="D670" s="180"/>
      <c r="E670" s="183"/>
      <c r="F670" s="50" t="s">
        <v>1407</v>
      </c>
      <c r="G670" s="50"/>
      <c r="H670" s="50"/>
      <c r="I670" s="50"/>
      <c r="J670" s="50" t="s">
        <v>1407</v>
      </c>
    </row>
    <row r="671" ht="22.5" customHeight="1">
      <c r="A671" s="50"/>
      <c r="B671" s="50"/>
      <c r="C671" s="50"/>
      <c r="D671" s="180"/>
      <c r="E671" s="183"/>
      <c r="F671" s="50" t="s">
        <v>1407</v>
      </c>
      <c r="G671" s="50"/>
      <c r="H671" s="50"/>
      <c r="I671" s="50"/>
      <c r="J671" s="50" t="s">
        <v>1407</v>
      </c>
    </row>
    <row r="672" ht="22.5" customHeight="1">
      <c r="A672" s="50"/>
      <c r="B672" s="50"/>
      <c r="C672" s="50"/>
      <c r="D672" s="180"/>
      <c r="E672" s="183"/>
      <c r="F672" s="50" t="s">
        <v>1407</v>
      </c>
      <c r="G672" s="50"/>
      <c r="H672" s="50"/>
      <c r="I672" s="50"/>
      <c r="J672" s="50" t="s">
        <v>1407</v>
      </c>
    </row>
    <row r="673" ht="22.5" customHeight="1">
      <c r="A673" s="50"/>
      <c r="B673" s="50"/>
      <c r="C673" s="50"/>
      <c r="D673" s="180"/>
      <c r="E673" s="183"/>
      <c r="F673" s="50" t="s">
        <v>1407</v>
      </c>
      <c r="G673" s="50"/>
      <c r="H673" s="50"/>
      <c r="I673" s="50"/>
      <c r="J673" s="50" t="s">
        <v>1407</v>
      </c>
    </row>
    <row r="674" ht="22.5" customHeight="1">
      <c r="A674" s="50"/>
      <c r="B674" s="50"/>
      <c r="C674" s="50"/>
      <c r="D674" s="180"/>
      <c r="E674" s="183"/>
      <c r="F674" s="50" t="s">
        <v>1407</v>
      </c>
      <c r="G674" s="50"/>
      <c r="H674" s="50"/>
      <c r="I674" s="50"/>
      <c r="J674" s="50" t="s">
        <v>1407</v>
      </c>
    </row>
    <row r="675" ht="22.5" customHeight="1">
      <c r="A675" s="50"/>
      <c r="B675" s="50"/>
      <c r="C675" s="50"/>
      <c r="D675" s="180"/>
      <c r="E675" s="183"/>
      <c r="F675" s="50" t="s">
        <v>1407</v>
      </c>
      <c r="G675" s="50"/>
      <c r="H675" s="50"/>
      <c r="I675" s="50"/>
      <c r="J675" s="50" t="s">
        <v>1407</v>
      </c>
    </row>
    <row r="676" ht="22.5" customHeight="1">
      <c r="A676" s="50"/>
      <c r="B676" s="50"/>
      <c r="C676" s="50"/>
      <c r="D676" s="180"/>
      <c r="E676" s="183"/>
      <c r="F676" s="50" t="s">
        <v>1407</v>
      </c>
      <c r="G676" s="50"/>
      <c r="H676" s="50"/>
      <c r="I676" s="50"/>
      <c r="J676" s="50" t="s">
        <v>1407</v>
      </c>
    </row>
    <row r="677" ht="22.5" customHeight="1">
      <c r="A677" s="50"/>
      <c r="B677" s="50"/>
      <c r="C677" s="50"/>
      <c r="D677" s="180"/>
      <c r="E677" s="183"/>
      <c r="F677" s="50" t="s">
        <v>1407</v>
      </c>
      <c r="G677" s="50"/>
      <c r="H677" s="50"/>
      <c r="I677" s="50"/>
      <c r="J677" s="50" t="s">
        <v>1407</v>
      </c>
    </row>
    <row r="678" ht="22.5" customHeight="1">
      <c r="A678" s="50"/>
      <c r="B678" s="50"/>
      <c r="C678" s="50"/>
      <c r="D678" s="180"/>
      <c r="E678" s="183"/>
      <c r="F678" s="50" t="s">
        <v>1407</v>
      </c>
      <c r="G678" s="50"/>
      <c r="H678" s="50"/>
      <c r="I678" s="50"/>
      <c r="J678" s="50" t="s">
        <v>1407</v>
      </c>
    </row>
    <row r="679" ht="22.5" customHeight="1">
      <c r="A679" s="50"/>
      <c r="B679" s="50"/>
      <c r="C679" s="50"/>
      <c r="D679" s="180"/>
      <c r="E679" s="183"/>
      <c r="F679" s="50" t="s">
        <v>1407</v>
      </c>
      <c r="G679" s="50"/>
      <c r="H679" s="50"/>
      <c r="I679" s="50"/>
      <c r="J679" s="50" t="s">
        <v>1407</v>
      </c>
    </row>
    <row r="680" ht="22.5" customHeight="1">
      <c r="A680" s="50"/>
      <c r="B680" s="50"/>
      <c r="C680" s="50"/>
      <c r="D680" s="180"/>
      <c r="E680" s="183"/>
      <c r="F680" s="50" t="s">
        <v>1407</v>
      </c>
      <c r="G680" s="50"/>
      <c r="H680" s="50"/>
      <c r="I680" s="50"/>
      <c r="J680" s="50" t="s">
        <v>1407</v>
      </c>
    </row>
    <row r="681" ht="22.5" customHeight="1">
      <c r="A681" s="50"/>
      <c r="B681" s="50"/>
      <c r="C681" s="50"/>
      <c r="D681" s="180"/>
      <c r="E681" s="183"/>
      <c r="F681" s="50" t="s">
        <v>1407</v>
      </c>
      <c r="G681" s="50"/>
      <c r="H681" s="50"/>
      <c r="I681" s="50"/>
      <c r="J681" s="50" t="s">
        <v>1407</v>
      </c>
    </row>
    <row r="682" ht="22.5" customHeight="1">
      <c r="A682" s="50"/>
      <c r="B682" s="50"/>
      <c r="C682" s="50"/>
      <c r="D682" s="180"/>
      <c r="E682" s="183"/>
      <c r="F682" s="50" t="s">
        <v>1407</v>
      </c>
      <c r="G682" s="50"/>
      <c r="H682" s="50"/>
      <c r="I682" s="50"/>
      <c r="J682" s="50" t="s">
        <v>1407</v>
      </c>
    </row>
    <row r="683" ht="22.5" customHeight="1">
      <c r="A683" s="50"/>
      <c r="B683" s="50"/>
      <c r="C683" s="50"/>
      <c r="D683" s="180"/>
      <c r="E683" s="183"/>
      <c r="F683" s="50" t="s">
        <v>1407</v>
      </c>
      <c r="G683" s="50"/>
      <c r="H683" s="50"/>
      <c r="I683" s="50"/>
      <c r="J683" s="50" t="s">
        <v>1407</v>
      </c>
    </row>
    <row r="684" ht="22.5" customHeight="1">
      <c r="A684" s="50"/>
      <c r="B684" s="50"/>
      <c r="C684" s="50"/>
      <c r="D684" s="180"/>
      <c r="E684" s="183"/>
      <c r="F684" s="50" t="s">
        <v>1407</v>
      </c>
      <c r="G684" s="50"/>
      <c r="H684" s="50"/>
      <c r="I684" s="50"/>
      <c r="J684" s="50" t="s">
        <v>1407</v>
      </c>
    </row>
    <row r="685" ht="22.5" customHeight="1">
      <c r="A685" s="50"/>
      <c r="B685" s="50"/>
      <c r="C685" s="50"/>
      <c r="D685" s="180"/>
      <c r="E685" s="183"/>
      <c r="F685" s="50" t="s">
        <v>1407</v>
      </c>
      <c r="G685" s="50"/>
      <c r="H685" s="50"/>
      <c r="I685" s="50"/>
      <c r="J685" s="50" t="s">
        <v>1407</v>
      </c>
    </row>
    <row r="686" ht="22.5" customHeight="1">
      <c r="A686" s="50"/>
      <c r="B686" s="50"/>
      <c r="C686" s="50"/>
      <c r="D686" s="180"/>
      <c r="E686" s="183"/>
      <c r="F686" s="50" t="s">
        <v>1407</v>
      </c>
      <c r="G686" s="50"/>
      <c r="H686" s="50"/>
      <c r="I686" s="50"/>
      <c r="J686" s="50" t="s">
        <v>1407</v>
      </c>
    </row>
    <row r="687" ht="22.5" customHeight="1">
      <c r="A687" s="50"/>
      <c r="B687" s="50"/>
      <c r="C687" s="50"/>
      <c r="D687" s="180"/>
      <c r="E687" s="183"/>
      <c r="F687" s="50" t="s">
        <v>1407</v>
      </c>
      <c r="G687" s="50"/>
      <c r="H687" s="50"/>
      <c r="I687" s="50"/>
      <c r="J687" s="50" t="s">
        <v>1407</v>
      </c>
    </row>
    <row r="688" ht="22.5" customHeight="1">
      <c r="A688" s="50"/>
      <c r="B688" s="50"/>
      <c r="C688" s="50"/>
      <c r="D688" s="180"/>
      <c r="E688" s="183"/>
      <c r="F688" s="50" t="s">
        <v>1407</v>
      </c>
      <c r="G688" s="50"/>
      <c r="H688" s="50"/>
      <c r="I688" s="50"/>
      <c r="J688" s="50" t="s">
        <v>1407</v>
      </c>
    </row>
    <row r="689" ht="22.5" customHeight="1">
      <c r="A689" s="50"/>
      <c r="B689" s="50"/>
      <c r="C689" s="50"/>
      <c r="D689" s="180"/>
      <c r="E689" s="183"/>
      <c r="F689" s="50" t="s">
        <v>1407</v>
      </c>
      <c r="G689" s="50"/>
      <c r="H689" s="50"/>
      <c r="I689" s="50"/>
      <c r="J689" s="50" t="s">
        <v>1407</v>
      </c>
    </row>
    <row r="690" ht="22.5" customHeight="1">
      <c r="A690" s="50"/>
      <c r="B690" s="50"/>
      <c r="C690" s="50"/>
      <c r="D690" s="180"/>
      <c r="E690" s="183"/>
      <c r="F690" s="50" t="s">
        <v>1407</v>
      </c>
      <c r="G690" s="50"/>
      <c r="H690" s="50"/>
      <c r="I690" s="50"/>
      <c r="J690" s="50" t="s">
        <v>1407</v>
      </c>
    </row>
    <row r="691" ht="22.5" customHeight="1">
      <c r="A691" s="50"/>
      <c r="B691" s="50"/>
      <c r="C691" s="50"/>
      <c r="D691" s="180"/>
      <c r="E691" s="183"/>
      <c r="F691" s="50" t="s">
        <v>1407</v>
      </c>
      <c r="G691" s="50"/>
      <c r="H691" s="50"/>
      <c r="I691" s="50"/>
      <c r="J691" s="50" t="s">
        <v>1407</v>
      </c>
    </row>
    <row r="692" ht="22.5" customHeight="1">
      <c r="A692" s="50"/>
      <c r="B692" s="50"/>
      <c r="C692" s="50"/>
      <c r="D692" s="180"/>
      <c r="E692" s="183"/>
      <c r="F692" s="50" t="s">
        <v>1407</v>
      </c>
      <c r="G692" s="50"/>
      <c r="H692" s="50"/>
      <c r="I692" s="50"/>
      <c r="J692" s="50" t="s">
        <v>1407</v>
      </c>
    </row>
    <row r="693" ht="22.5" customHeight="1">
      <c r="A693" s="50"/>
      <c r="B693" s="50"/>
      <c r="C693" s="50"/>
      <c r="D693" s="180"/>
      <c r="E693" s="183"/>
      <c r="F693" s="50" t="s">
        <v>1407</v>
      </c>
      <c r="G693" s="50"/>
      <c r="H693" s="50"/>
      <c r="I693" s="50"/>
      <c r="J693" s="50" t="s">
        <v>1407</v>
      </c>
    </row>
    <row r="694" ht="22.5" customHeight="1">
      <c r="A694" s="50"/>
      <c r="B694" s="50"/>
      <c r="C694" s="50"/>
      <c r="D694" s="180"/>
      <c r="E694" s="183"/>
      <c r="F694" s="50" t="s">
        <v>1407</v>
      </c>
      <c r="G694" s="50"/>
      <c r="H694" s="50"/>
      <c r="I694" s="50"/>
      <c r="J694" s="50" t="s">
        <v>1407</v>
      </c>
    </row>
    <row r="695" ht="22.5" customHeight="1">
      <c r="A695" s="50"/>
      <c r="B695" s="50"/>
      <c r="C695" s="50"/>
      <c r="D695" s="180"/>
      <c r="E695" s="183"/>
      <c r="F695" s="50" t="s">
        <v>1407</v>
      </c>
      <c r="G695" s="50"/>
      <c r="H695" s="50"/>
      <c r="I695" s="50"/>
      <c r="J695" s="50" t="s">
        <v>1407</v>
      </c>
    </row>
    <row r="696" ht="22.5" customHeight="1">
      <c r="A696" s="50"/>
      <c r="B696" s="50"/>
      <c r="C696" s="50"/>
      <c r="D696" s="180"/>
      <c r="E696" s="183"/>
      <c r="F696" s="50" t="s">
        <v>1407</v>
      </c>
      <c r="G696" s="50"/>
      <c r="H696" s="50"/>
      <c r="I696" s="50"/>
      <c r="J696" s="50" t="s">
        <v>1407</v>
      </c>
    </row>
    <row r="697" ht="22.5" customHeight="1">
      <c r="A697" s="50"/>
      <c r="B697" s="50"/>
      <c r="C697" s="50"/>
      <c r="D697" s="180"/>
      <c r="E697" s="183"/>
      <c r="F697" s="50" t="s">
        <v>1407</v>
      </c>
      <c r="G697" s="50"/>
      <c r="H697" s="50"/>
      <c r="I697" s="50"/>
      <c r="J697" s="50" t="s">
        <v>1407</v>
      </c>
    </row>
    <row r="698" ht="22.5" customHeight="1">
      <c r="A698" s="50"/>
      <c r="B698" s="50"/>
      <c r="C698" s="50"/>
      <c r="D698" s="180"/>
      <c r="E698" s="183"/>
      <c r="F698" s="50" t="s">
        <v>1407</v>
      </c>
      <c r="G698" s="50"/>
      <c r="H698" s="50"/>
      <c r="I698" s="50"/>
      <c r="J698" s="50" t="s">
        <v>1407</v>
      </c>
    </row>
    <row r="699" ht="22.5" customHeight="1">
      <c r="A699" s="50"/>
      <c r="B699" s="50"/>
      <c r="C699" s="50"/>
      <c r="D699" s="180"/>
      <c r="E699" s="183"/>
      <c r="F699" s="50" t="s">
        <v>1407</v>
      </c>
      <c r="G699" s="50"/>
      <c r="H699" s="50"/>
      <c r="I699" s="50"/>
      <c r="J699" s="50" t="s">
        <v>1407</v>
      </c>
    </row>
    <row r="700" ht="22.5" customHeight="1">
      <c r="A700" s="50"/>
      <c r="B700" s="50"/>
      <c r="C700" s="50"/>
      <c r="D700" s="180"/>
      <c r="E700" s="183"/>
      <c r="F700" s="50" t="s">
        <v>1407</v>
      </c>
      <c r="G700" s="50"/>
      <c r="H700" s="50"/>
      <c r="I700" s="50"/>
      <c r="J700" s="50" t="s">
        <v>1407</v>
      </c>
    </row>
    <row r="701" ht="22.5" customHeight="1">
      <c r="A701" s="50"/>
      <c r="B701" s="50"/>
      <c r="C701" s="50"/>
      <c r="D701" s="180"/>
      <c r="E701" s="183"/>
      <c r="F701" s="50" t="s">
        <v>1407</v>
      </c>
      <c r="G701" s="50"/>
      <c r="H701" s="50"/>
      <c r="I701" s="50"/>
      <c r="J701" s="50" t="s">
        <v>1407</v>
      </c>
    </row>
    <row r="702" ht="22.5" customHeight="1">
      <c r="A702" s="50"/>
      <c r="B702" s="50"/>
      <c r="C702" s="50"/>
      <c r="D702" s="180"/>
      <c r="E702" s="183"/>
      <c r="F702" s="50" t="s">
        <v>1407</v>
      </c>
      <c r="G702" s="50"/>
      <c r="H702" s="50"/>
      <c r="I702" s="50"/>
      <c r="J702" s="50" t="s">
        <v>1407</v>
      </c>
    </row>
    <row r="703" ht="22.5" customHeight="1">
      <c r="A703" s="50"/>
      <c r="B703" s="50"/>
      <c r="C703" s="50"/>
      <c r="D703" s="180"/>
      <c r="E703" s="183"/>
      <c r="F703" s="50" t="s">
        <v>1407</v>
      </c>
      <c r="G703" s="50"/>
      <c r="H703" s="50"/>
      <c r="I703" s="50"/>
      <c r="J703" s="50" t="s">
        <v>1407</v>
      </c>
    </row>
    <row r="704" ht="22.5" customHeight="1">
      <c r="A704" s="50"/>
      <c r="B704" s="50"/>
      <c r="C704" s="50"/>
      <c r="D704" s="180"/>
      <c r="E704" s="183"/>
      <c r="F704" s="50" t="s">
        <v>1407</v>
      </c>
      <c r="G704" s="50"/>
      <c r="H704" s="50"/>
      <c r="I704" s="50"/>
      <c r="J704" s="50" t="s">
        <v>1407</v>
      </c>
    </row>
    <row r="705" ht="22.5" customHeight="1">
      <c r="A705" s="50"/>
      <c r="B705" s="50"/>
      <c r="C705" s="50"/>
      <c r="D705" s="180"/>
      <c r="E705" s="183"/>
      <c r="F705" s="50" t="s">
        <v>1407</v>
      </c>
      <c r="G705" s="50"/>
      <c r="H705" s="50"/>
      <c r="I705" s="50"/>
      <c r="J705" s="50" t="s">
        <v>1407</v>
      </c>
    </row>
    <row r="706" ht="22.5" customHeight="1">
      <c r="A706" s="50"/>
      <c r="B706" s="50"/>
      <c r="C706" s="50"/>
      <c r="D706" s="180"/>
      <c r="E706" s="183"/>
      <c r="F706" s="50" t="s">
        <v>1407</v>
      </c>
      <c r="G706" s="50"/>
      <c r="H706" s="50"/>
      <c r="I706" s="50"/>
      <c r="J706" s="50" t="s">
        <v>1407</v>
      </c>
    </row>
    <row r="707" ht="22.5" customHeight="1">
      <c r="A707" s="50"/>
      <c r="B707" s="50"/>
      <c r="C707" s="50"/>
      <c r="D707" s="180"/>
      <c r="E707" s="183"/>
      <c r="F707" s="50" t="s">
        <v>1407</v>
      </c>
      <c r="G707" s="50"/>
      <c r="H707" s="50"/>
      <c r="I707" s="50"/>
      <c r="J707" s="50" t="s">
        <v>1407</v>
      </c>
    </row>
    <row r="708" ht="22.5" customHeight="1">
      <c r="A708" s="50"/>
      <c r="B708" s="50"/>
      <c r="C708" s="50"/>
      <c r="D708" s="180"/>
      <c r="E708" s="183"/>
      <c r="F708" s="50" t="s">
        <v>1407</v>
      </c>
      <c r="G708" s="50"/>
      <c r="H708" s="50"/>
      <c r="I708" s="50"/>
      <c r="J708" s="50" t="s">
        <v>1407</v>
      </c>
    </row>
    <row r="709" ht="22.5" customHeight="1">
      <c r="A709" s="50"/>
      <c r="B709" s="50"/>
      <c r="C709" s="50"/>
      <c r="D709" s="180"/>
      <c r="E709" s="183"/>
      <c r="F709" s="50" t="s">
        <v>1407</v>
      </c>
      <c r="G709" s="50"/>
      <c r="H709" s="50"/>
      <c r="I709" s="50"/>
      <c r="J709" s="50" t="s">
        <v>1407</v>
      </c>
    </row>
    <row r="710" ht="22.5" customHeight="1">
      <c r="A710" s="50"/>
      <c r="B710" s="50"/>
      <c r="C710" s="50"/>
      <c r="D710" s="180"/>
      <c r="E710" s="183"/>
      <c r="F710" s="50" t="s">
        <v>1407</v>
      </c>
      <c r="G710" s="50"/>
      <c r="H710" s="50"/>
      <c r="I710" s="50"/>
      <c r="J710" s="50" t="s">
        <v>1407</v>
      </c>
    </row>
    <row r="711" ht="22.5" customHeight="1">
      <c r="A711" s="50"/>
      <c r="B711" s="50"/>
      <c r="C711" s="50"/>
      <c r="D711" s="180"/>
      <c r="E711" s="183"/>
      <c r="F711" s="50" t="s">
        <v>1407</v>
      </c>
      <c r="G711" s="50"/>
      <c r="H711" s="50"/>
      <c r="I711" s="50"/>
      <c r="J711" s="50" t="s">
        <v>1407</v>
      </c>
    </row>
    <row r="712" ht="22.5" customHeight="1">
      <c r="A712" s="50"/>
      <c r="B712" s="50"/>
      <c r="C712" s="50"/>
      <c r="D712" s="180"/>
      <c r="E712" s="183"/>
      <c r="F712" s="50" t="s">
        <v>1407</v>
      </c>
      <c r="G712" s="50"/>
      <c r="H712" s="50"/>
      <c r="I712" s="50"/>
      <c r="J712" s="50" t="s">
        <v>1407</v>
      </c>
    </row>
    <row r="713" ht="22.5" customHeight="1">
      <c r="A713" s="50"/>
      <c r="B713" s="50"/>
      <c r="C713" s="50"/>
      <c r="D713" s="180"/>
      <c r="E713" s="183"/>
      <c r="F713" s="50" t="s">
        <v>1407</v>
      </c>
      <c r="G713" s="50"/>
      <c r="H713" s="50"/>
      <c r="I713" s="50"/>
      <c r="J713" s="50" t="s">
        <v>1407</v>
      </c>
    </row>
    <row r="714" ht="22.5" customHeight="1">
      <c r="A714" s="50"/>
      <c r="B714" s="50"/>
      <c r="C714" s="50"/>
      <c r="D714" s="180"/>
      <c r="E714" s="183"/>
      <c r="F714" s="50" t="s">
        <v>1407</v>
      </c>
      <c r="G714" s="50"/>
      <c r="H714" s="50"/>
      <c r="I714" s="50"/>
      <c r="J714" s="50" t="s">
        <v>1407</v>
      </c>
    </row>
    <row r="715" ht="22.5" customHeight="1">
      <c r="A715" s="50"/>
      <c r="B715" s="50"/>
      <c r="C715" s="50"/>
      <c r="D715" s="180"/>
      <c r="E715" s="183"/>
      <c r="F715" s="50" t="s">
        <v>1407</v>
      </c>
      <c r="G715" s="50"/>
      <c r="H715" s="50"/>
      <c r="I715" s="50"/>
      <c r="J715" s="50" t="s">
        <v>1407</v>
      </c>
    </row>
    <row r="716" ht="22.5" customHeight="1">
      <c r="A716" s="50"/>
      <c r="B716" s="50"/>
      <c r="C716" s="50"/>
      <c r="D716" s="180"/>
      <c r="E716" s="183"/>
      <c r="F716" s="50" t="s">
        <v>1407</v>
      </c>
      <c r="G716" s="50"/>
      <c r="H716" s="50"/>
      <c r="I716" s="50"/>
      <c r="J716" s="50" t="s">
        <v>1407</v>
      </c>
    </row>
    <row r="717" ht="22.5" customHeight="1">
      <c r="A717" s="50"/>
      <c r="B717" s="50"/>
      <c r="C717" s="50"/>
      <c r="D717" s="180"/>
      <c r="E717" s="183"/>
      <c r="F717" s="50" t="s">
        <v>1407</v>
      </c>
      <c r="G717" s="50"/>
      <c r="H717" s="50"/>
      <c r="I717" s="50"/>
      <c r="J717" s="50" t="s">
        <v>1407</v>
      </c>
    </row>
    <row r="718" ht="22.5" customHeight="1">
      <c r="A718" s="50"/>
      <c r="B718" s="50"/>
      <c r="C718" s="50"/>
      <c r="D718" s="180"/>
      <c r="E718" s="183"/>
      <c r="F718" s="50" t="s">
        <v>1407</v>
      </c>
      <c r="G718" s="50"/>
      <c r="H718" s="50"/>
      <c r="I718" s="50"/>
      <c r="J718" s="50" t="s">
        <v>1407</v>
      </c>
    </row>
    <row r="719" ht="22.5" customHeight="1">
      <c r="A719" s="50"/>
      <c r="B719" s="50"/>
      <c r="C719" s="50"/>
      <c r="D719" s="180"/>
      <c r="E719" s="183"/>
      <c r="F719" s="50" t="s">
        <v>1407</v>
      </c>
      <c r="G719" s="50"/>
      <c r="H719" s="50"/>
      <c r="I719" s="50"/>
      <c r="J719" s="50" t="s">
        <v>1407</v>
      </c>
    </row>
    <row r="720" ht="22.5" customHeight="1">
      <c r="A720" s="50"/>
      <c r="B720" s="50"/>
      <c r="C720" s="50"/>
      <c r="D720" s="180"/>
      <c r="E720" s="183"/>
      <c r="F720" s="50" t="s">
        <v>1407</v>
      </c>
      <c r="G720" s="50"/>
      <c r="H720" s="50"/>
      <c r="I720" s="50"/>
      <c r="J720" s="50" t="s">
        <v>1407</v>
      </c>
    </row>
    <row r="721" ht="22.5" customHeight="1">
      <c r="A721" s="50"/>
      <c r="B721" s="50"/>
      <c r="C721" s="50"/>
      <c r="D721" s="180"/>
      <c r="E721" s="183"/>
      <c r="F721" s="50" t="s">
        <v>1407</v>
      </c>
      <c r="G721" s="50"/>
      <c r="H721" s="50"/>
      <c r="I721" s="50"/>
      <c r="J721" s="50" t="s">
        <v>1407</v>
      </c>
    </row>
    <row r="722" ht="22.5" customHeight="1">
      <c r="A722" s="50"/>
      <c r="B722" s="50"/>
      <c r="C722" s="50"/>
      <c r="D722" s="180"/>
      <c r="E722" s="183"/>
      <c r="F722" s="50" t="s">
        <v>1407</v>
      </c>
      <c r="G722" s="50"/>
      <c r="H722" s="50"/>
      <c r="I722" s="50"/>
      <c r="J722" s="50" t="s">
        <v>1407</v>
      </c>
    </row>
    <row r="723" ht="22.5" customHeight="1">
      <c r="A723" s="50"/>
      <c r="B723" s="50"/>
      <c r="C723" s="50"/>
      <c r="D723" s="180"/>
      <c r="E723" s="183"/>
      <c r="F723" s="50" t="s">
        <v>1407</v>
      </c>
      <c r="G723" s="50"/>
      <c r="H723" s="50"/>
      <c r="I723" s="50"/>
      <c r="J723" s="50" t="s">
        <v>1407</v>
      </c>
    </row>
    <row r="724" ht="22.5" customHeight="1">
      <c r="A724" s="50"/>
      <c r="B724" s="50"/>
      <c r="C724" s="50"/>
      <c r="D724" s="180"/>
      <c r="E724" s="183"/>
      <c r="F724" s="50" t="s">
        <v>1407</v>
      </c>
      <c r="G724" s="50"/>
      <c r="H724" s="50"/>
      <c r="I724" s="50"/>
      <c r="J724" s="50" t="s">
        <v>1407</v>
      </c>
    </row>
    <row r="725" ht="22.5" customHeight="1">
      <c r="A725" s="50"/>
      <c r="B725" s="50"/>
      <c r="C725" s="50"/>
      <c r="D725" s="180"/>
      <c r="E725" s="183"/>
      <c r="F725" s="50" t="s">
        <v>1407</v>
      </c>
      <c r="G725" s="50"/>
      <c r="H725" s="50"/>
      <c r="I725" s="50"/>
      <c r="J725" s="50" t="s">
        <v>1407</v>
      </c>
    </row>
    <row r="726" ht="22.5" customHeight="1">
      <c r="A726" s="50"/>
      <c r="B726" s="50"/>
      <c r="C726" s="50"/>
      <c r="D726" s="180"/>
      <c r="E726" s="183"/>
      <c r="F726" s="50" t="s">
        <v>1407</v>
      </c>
      <c r="G726" s="50"/>
      <c r="H726" s="50"/>
      <c r="I726" s="50"/>
      <c r="J726" s="50" t="s">
        <v>1407</v>
      </c>
    </row>
    <row r="727" ht="22.5" customHeight="1">
      <c r="A727" s="50"/>
      <c r="B727" s="50"/>
      <c r="C727" s="50"/>
      <c r="D727" s="180"/>
      <c r="E727" s="183"/>
      <c r="F727" s="50" t="s">
        <v>1407</v>
      </c>
      <c r="G727" s="50"/>
      <c r="H727" s="50"/>
      <c r="I727" s="50"/>
      <c r="J727" s="50" t="s">
        <v>1407</v>
      </c>
    </row>
    <row r="728" ht="22.5" customHeight="1">
      <c r="A728" s="50"/>
      <c r="B728" s="50"/>
      <c r="C728" s="50"/>
      <c r="D728" s="180"/>
      <c r="E728" s="183"/>
      <c r="F728" s="50" t="s">
        <v>1407</v>
      </c>
      <c r="G728" s="50"/>
      <c r="H728" s="50"/>
      <c r="I728" s="50"/>
      <c r="J728" s="50" t="s">
        <v>1407</v>
      </c>
    </row>
    <row r="729" ht="22.5" customHeight="1">
      <c r="A729" s="50"/>
      <c r="B729" s="50"/>
      <c r="C729" s="50"/>
      <c r="D729" s="180"/>
      <c r="E729" s="183"/>
      <c r="F729" s="50" t="s">
        <v>1407</v>
      </c>
      <c r="G729" s="50"/>
      <c r="H729" s="50"/>
      <c r="I729" s="50"/>
      <c r="J729" s="50" t="s">
        <v>1407</v>
      </c>
    </row>
    <row r="730" ht="22.5" customHeight="1">
      <c r="A730" s="50"/>
      <c r="B730" s="50"/>
      <c r="C730" s="50"/>
      <c r="D730" s="180"/>
      <c r="E730" s="183"/>
      <c r="F730" s="50" t="s">
        <v>1407</v>
      </c>
      <c r="G730" s="50"/>
      <c r="H730" s="50"/>
      <c r="I730" s="50"/>
      <c r="J730" s="50" t="s">
        <v>1407</v>
      </c>
    </row>
    <row r="731" ht="22.5" customHeight="1">
      <c r="A731" s="50"/>
      <c r="B731" s="50"/>
      <c r="C731" s="50"/>
      <c r="D731" s="180"/>
      <c r="E731" s="183"/>
      <c r="F731" s="50" t="s">
        <v>1407</v>
      </c>
      <c r="G731" s="50"/>
      <c r="H731" s="50"/>
      <c r="I731" s="50"/>
      <c r="J731" s="50" t="s">
        <v>1407</v>
      </c>
    </row>
    <row r="732" ht="22.5" customHeight="1">
      <c r="A732" s="50"/>
      <c r="B732" s="50"/>
      <c r="C732" s="50"/>
      <c r="D732" s="180"/>
      <c r="E732" s="183"/>
      <c r="F732" s="50" t="s">
        <v>1407</v>
      </c>
      <c r="G732" s="50"/>
      <c r="H732" s="50"/>
      <c r="I732" s="50"/>
      <c r="J732" s="50" t="s">
        <v>1407</v>
      </c>
    </row>
    <row r="733" ht="22.5" customHeight="1">
      <c r="A733" s="50"/>
      <c r="B733" s="50"/>
      <c r="C733" s="50"/>
      <c r="D733" s="180"/>
      <c r="E733" s="183"/>
      <c r="F733" s="50" t="s">
        <v>1407</v>
      </c>
      <c r="G733" s="50"/>
      <c r="H733" s="50"/>
      <c r="I733" s="50"/>
      <c r="J733" s="50" t="s">
        <v>1407</v>
      </c>
    </row>
    <row r="734" ht="22.5" customHeight="1">
      <c r="A734" s="50"/>
      <c r="B734" s="50"/>
      <c r="C734" s="50"/>
      <c r="D734" s="180"/>
      <c r="E734" s="183"/>
      <c r="F734" s="50" t="s">
        <v>1407</v>
      </c>
      <c r="G734" s="50"/>
      <c r="H734" s="50"/>
      <c r="I734" s="50"/>
      <c r="J734" s="50" t="s">
        <v>1407</v>
      </c>
    </row>
    <row r="735" ht="22.5" customHeight="1">
      <c r="A735" s="50"/>
      <c r="B735" s="50"/>
      <c r="C735" s="50"/>
      <c r="D735" s="180"/>
      <c r="E735" s="183"/>
      <c r="F735" s="50" t="s">
        <v>1407</v>
      </c>
      <c r="G735" s="50"/>
      <c r="H735" s="50"/>
      <c r="I735" s="50"/>
      <c r="J735" s="50" t="s">
        <v>1407</v>
      </c>
    </row>
    <row r="736" ht="22.5" customHeight="1">
      <c r="A736" s="50"/>
      <c r="B736" s="50"/>
      <c r="C736" s="50"/>
      <c r="D736" s="180"/>
      <c r="E736" s="183"/>
      <c r="F736" s="50" t="s">
        <v>1407</v>
      </c>
      <c r="G736" s="50"/>
      <c r="H736" s="50"/>
      <c r="I736" s="50"/>
      <c r="J736" s="50" t="s">
        <v>1407</v>
      </c>
    </row>
    <row r="737" ht="22.5" customHeight="1">
      <c r="A737" s="50"/>
      <c r="B737" s="50"/>
      <c r="C737" s="50"/>
      <c r="D737" s="180"/>
      <c r="E737" s="183"/>
      <c r="F737" s="50" t="s">
        <v>1407</v>
      </c>
      <c r="G737" s="50"/>
      <c r="H737" s="50"/>
      <c r="I737" s="50"/>
      <c r="J737" s="50" t="s">
        <v>1407</v>
      </c>
    </row>
    <row r="738" ht="22.5" customHeight="1">
      <c r="A738" s="50"/>
      <c r="B738" s="50"/>
      <c r="C738" s="50"/>
      <c r="D738" s="180"/>
      <c r="E738" s="183"/>
      <c r="F738" s="50" t="s">
        <v>1407</v>
      </c>
      <c r="G738" s="50"/>
      <c r="H738" s="50"/>
      <c r="I738" s="50"/>
      <c r="J738" s="50" t="s">
        <v>1407</v>
      </c>
    </row>
    <row r="739" ht="22.5" customHeight="1">
      <c r="A739" s="50"/>
      <c r="B739" s="50"/>
      <c r="C739" s="50"/>
      <c r="D739" s="180"/>
      <c r="E739" s="183"/>
      <c r="F739" s="50" t="s">
        <v>1407</v>
      </c>
      <c r="G739" s="50"/>
      <c r="H739" s="50"/>
      <c r="I739" s="50"/>
      <c r="J739" s="50" t="s">
        <v>1407</v>
      </c>
    </row>
    <row r="740" ht="22.5" customHeight="1">
      <c r="A740" s="50"/>
      <c r="B740" s="50"/>
      <c r="C740" s="50"/>
      <c r="D740" s="180"/>
      <c r="E740" s="183"/>
      <c r="F740" s="50" t="s">
        <v>1407</v>
      </c>
      <c r="G740" s="50"/>
      <c r="H740" s="50"/>
      <c r="I740" s="50"/>
      <c r="J740" s="50" t="s">
        <v>1407</v>
      </c>
    </row>
    <row r="741" ht="22.5" customHeight="1">
      <c r="A741" s="50"/>
      <c r="B741" s="50"/>
      <c r="C741" s="50"/>
      <c r="D741" s="180"/>
      <c r="E741" s="183"/>
      <c r="F741" s="50" t="s">
        <v>1407</v>
      </c>
      <c r="G741" s="50"/>
      <c r="H741" s="50"/>
      <c r="I741" s="50"/>
      <c r="J741" s="50" t="s">
        <v>1407</v>
      </c>
    </row>
    <row r="742" ht="22.5" customHeight="1">
      <c r="A742" s="50"/>
      <c r="B742" s="50"/>
      <c r="C742" s="50"/>
      <c r="D742" s="180"/>
      <c r="E742" s="183"/>
      <c r="F742" s="50" t="s">
        <v>1407</v>
      </c>
      <c r="G742" s="50"/>
      <c r="H742" s="50"/>
      <c r="I742" s="50"/>
      <c r="J742" s="50" t="s">
        <v>1407</v>
      </c>
    </row>
    <row r="743" ht="22.5" customHeight="1">
      <c r="A743" s="50"/>
      <c r="B743" s="50"/>
      <c r="C743" s="50"/>
      <c r="D743" s="180"/>
      <c r="E743" s="183"/>
      <c r="F743" s="50" t="s">
        <v>1407</v>
      </c>
      <c r="G743" s="50"/>
      <c r="H743" s="50"/>
      <c r="I743" s="50"/>
      <c r="J743" s="50" t="s">
        <v>1407</v>
      </c>
    </row>
    <row r="744" ht="22.5" customHeight="1">
      <c r="A744" s="50"/>
      <c r="B744" s="50"/>
      <c r="C744" s="50"/>
      <c r="D744" s="180"/>
      <c r="E744" s="183"/>
      <c r="F744" s="50" t="s">
        <v>1407</v>
      </c>
      <c r="G744" s="50"/>
      <c r="H744" s="50"/>
      <c r="I744" s="50"/>
      <c r="J744" s="50" t="s">
        <v>1407</v>
      </c>
    </row>
    <row r="745" ht="22.5" customHeight="1">
      <c r="A745" s="50"/>
      <c r="B745" s="50"/>
      <c r="C745" s="50"/>
      <c r="D745" s="180"/>
      <c r="E745" s="183"/>
      <c r="F745" s="50" t="s">
        <v>1407</v>
      </c>
      <c r="G745" s="50"/>
      <c r="H745" s="50"/>
      <c r="I745" s="50"/>
      <c r="J745" s="50" t="s">
        <v>1407</v>
      </c>
    </row>
    <row r="746" ht="22.5" customHeight="1">
      <c r="A746" s="50"/>
      <c r="B746" s="50"/>
      <c r="C746" s="50"/>
      <c r="D746" s="180"/>
      <c r="E746" s="183"/>
      <c r="F746" s="50" t="s">
        <v>1407</v>
      </c>
      <c r="G746" s="50"/>
      <c r="H746" s="50"/>
      <c r="I746" s="50"/>
      <c r="J746" s="50" t="s">
        <v>1407</v>
      </c>
    </row>
    <row r="747" ht="22.5" customHeight="1">
      <c r="A747" s="50"/>
      <c r="B747" s="50"/>
      <c r="C747" s="50"/>
      <c r="D747" s="180"/>
      <c r="E747" s="183"/>
      <c r="F747" s="50" t="s">
        <v>1407</v>
      </c>
      <c r="G747" s="50"/>
      <c r="H747" s="50"/>
      <c r="I747" s="50"/>
      <c r="J747" s="50" t="s">
        <v>1407</v>
      </c>
    </row>
    <row r="748" ht="22.5" customHeight="1">
      <c r="A748" s="50"/>
      <c r="B748" s="50"/>
      <c r="C748" s="50"/>
      <c r="D748" s="180"/>
      <c r="E748" s="183"/>
      <c r="F748" s="50" t="s">
        <v>1407</v>
      </c>
      <c r="G748" s="50"/>
      <c r="H748" s="50"/>
      <c r="I748" s="50"/>
      <c r="J748" s="50" t="s">
        <v>1407</v>
      </c>
    </row>
    <row r="749" ht="22.5" customHeight="1">
      <c r="A749" s="50"/>
      <c r="B749" s="50"/>
      <c r="C749" s="50"/>
      <c r="D749" s="180"/>
      <c r="E749" s="183"/>
      <c r="F749" s="50" t="s">
        <v>1407</v>
      </c>
      <c r="G749" s="50"/>
      <c r="H749" s="50"/>
      <c r="I749" s="50"/>
      <c r="J749" s="50" t="s">
        <v>1407</v>
      </c>
    </row>
    <row r="750" ht="22.5" customHeight="1">
      <c r="A750" s="50"/>
      <c r="B750" s="50"/>
      <c r="C750" s="50"/>
      <c r="D750" s="180"/>
      <c r="E750" s="183"/>
      <c r="F750" s="50" t="s">
        <v>1407</v>
      </c>
      <c r="G750" s="50"/>
      <c r="H750" s="50"/>
      <c r="I750" s="50"/>
      <c r="J750" s="50" t="s">
        <v>1407</v>
      </c>
    </row>
    <row r="751" ht="22.5" customHeight="1">
      <c r="A751" s="50"/>
      <c r="B751" s="50"/>
      <c r="C751" s="50"/>
      <c r="D751" s="180"/>
      <c r="E751" s="183"/>
      <c r="F751" s="50" t="s">
        <v>1407</v>
      </c>
      <c r="G751" s="50"/>
      <c r="H751" s="50"/>
      <c r="I751" s="50"/>
      <c r="J751" s="50" t="s">
        <v>1407</v>
      </c>
    </row>
    <row r="752" ht="22.5" customHeight="1">
      <c r="A752" s="50"/>
      <c r="B752" s="50"/>
      <c r="C752" s="50"/>
      <c r="D752" s="180"/>
      <c r="E752" s="183"/>
      <c r="F752" s="50" t="s">
        <v>1407</v>
      </c>
      <c r="G752" s="50"/>
      <c r="H752" s="50"/>
      <c r="I752" s="50"/>
      <c r="J752" s="50" t="s">
        <v>1407</v>
      </c>
    </row>
    <row r="753" ht="22.5" customHeight="1">
      <c r="A753" s="50"/>
      <c r="B753" s="50"/>
      <c r="C753" s="50"/>
      <c r="D753" s="180"/>
      <c r="E753" s="183"/>
      <c r="F753" s="50" t="s">
        <v>1407</v>
      </c>
      <c r="G753" s="50"/>
      <c r="H753" s="50"/>
      <c r="I753" s="50"/>
      <c r="J753" s="50" t="s">
        <v>1407</v>
      </c>
    </row>
    <row r="754" ht="22.5" customHeight="1">
      <c r="A754" s="50"/>
      <c r="B754" s="50"/>
      <c r="C754" s="50"/>
      <c r="D754" s="180"/>
      <c r="E754" s="183"/>
      <c r="F754" s="50" t="s">
        <v>1407</v>
      </c>
      <c r="G754" s="50"/>
      <c r="H754" s="50"/>
      <c r="I754" s="50"/>
      <c r="J754" s="50" t="s">
        <v>1407</v>
      </c>
    </row>
    <row r="755" ht="22.5" customHeight="1">
      <c r="A755" s="50"/>
      <c r="B755" s="50"/>
      <c r="C755" s="50"/>
      <c r="D755" s="180"/>
      <c r="E755" s="183"/>
      <c r="F755" s="50" t="s">
        <v>1407</v>
      </c>
      <c r="G755" s="50"/>
      <c r="H755" s="50"/>
      <c r="I755" s="50"/>
      <c r="J755" s="50" t="s">
        <v>1407</v>
      </c>
    </row>
    <row r="756" ht="22.5" customHeight="1">
      <c r="A756" s="50"/>
      <c r="B756" s="50"/>
      <c r="C756" s="50"/>
      <c r="D756" s="180"/>
      <c r="E756" s="183"/>
      <c r="F756" s="50" t="s">
        <v>1407</v>
      </c>
      <c r="G756" s="50"/>
      <c r="H756" s="50"/>
      <c r="I756" s="50"/>
      <c r="J756" s="50" t="s">
        <v>1407</v>
      </c>
    </row>
    <row r="757" ht="22.5" customHeight="1">
      <c r="A757" s="50"/>
      <c r="B757" s="50"/>
      <c r="C757" s="50"/>
      <c r="D757" s="180"/>
      <c r="E757" s="183"/>
      <c r="F757" s="50" t="s">
        <v>1407</v>
      </c>
      <c r="G757" s="50"/>
      <c r="H757" s="50"/>
      <c r="I757" s="50"/>
      <c r="J757" s="50" t="s">
        <v>1407</v>
      </c>
    </row>
    <row r="758" ht="22.5" customHeight="1">
      <c r="A758" s="50"/>
      <c r="B758" s="50"/>
      <c r="C758" s="50"/>
      <c r="D758" s="180"/>
      <c r="E758" s="183"/>
      <c r="F758" s="50" t="s">
        <v>1407</v>
      </c>
      <c r="G758" s="50"/>
      <c r="H758" s="50"/>
      <c r="I758" s="50"/>
      <c r="J758" s="50" t="s">
        <v>1407</v>
      </c>
    </row>
    <row r="759" ht="22.5" customHeight="1">
      <c r="A759" s="50"/>
      <c r="B759" s="50"/>
      <c r="C759" s="50"/>
      <c r="D759" s="180"/>
      <c r="E759" s="183"/>
      <c r="F759" s="50" t="s">
        <v>1407</v>
      </c>
      <c r="G759" s="50"/>
      <c r="H759" s="50"/>
      <c r="I759" s="50"/>
      <c r="J759" s="50" t="s">
        <v>1407</v>
      </c>
    </row>
    <row r="760" ht="22.5" customHeight="1">
      <c r="A760" s="50"/>
      <c r="B760" s="50"/>
      <c r="C760" s="50"/>
      <c r="D760" s="180"/>
      <c r="E760" s="183"/>
      <c r="F760" s="50" t="s">
        <v>1407</v>
      </c>
      <c r="G760" s="50"/>
      <c r="H760" s="50"/>
      <c r="I760" s="50"/>
      <c r="J760" s="50" t="s">
        <v>1407</v>
      </c>
    </row>
    <row r="761" ht="22.5" customHeight="1">
      <c r="A761" s="50"/>
      <c r="B761" s="50"/>
      <c r="C761" s="50"/>
      <c r="D761" s="180"/>
      <c r="E761" s="183"/>
      <c r="F761" s="50" t="s">
        <v>1407</v>
      </c>
      <c r="G761" s="50"/>
      <c r="H761" s="50"/>
      <c r="I761" s="50"/>
      <c r="J761" s="50" t="s">
        <v>1407</v>
      </c>
    </row>
    <row r="762" ht="22.5" customHeight="1">
      <c r="A762" s="50"/>
      <c r="B762" s="50"/>
      <c r="C762" s="50"/>
      <c r="D762" s="180"/>
      <c r="E762" s="183"/>
      <c r="F762" s="50" t="s">
        <v>1407</v>
      </c>
      <c r="G762" s="50"/>
      <c r="H762" s="50"/>
      <c r="I762" s="50"/>
      <c r="J762" s="50" t="s">
        <v>1407</v>
      </c>
    </row>
    <row r="763" ht="22.5" customHeight="1">
      <c r="A763" s="50"/>
      <c r="B763" s="50"/>
      <c r="C763" s="50"/>
      <c r="D763" s="180"/>
      <c r="E763" s="183"/>
      <c r="F763" s="50" t="s">
        <v>1407</v>
      </c>
      <c r="G763" s="50"/>
      <c r="H763" s="50"/>
      <c r="I763" s="50"/>
      <c r="J763" s="50" t="s">
        <v>1407</v>
      </c>
    </row>
    <row r="764" ht="22.5" customHeight="1">
      <c r="A764" s="50"/>
      <c r="B764" s="50"/>
      <c r="C764" s="50"/>
      <c r="D764" s="180"/>
      <c r="E764" s="183"/>
      <c r="F764" s="50" t="s">
        <v>1407</v>
      </c>
      <c r="G764" s="50"/>
      <c r="H764" s="50"/>
      <c r="I764" s="50"/>
      <c r="J764" s="50" t="s">
        <v>1407</v>
      </c>
    </row>
    <row r="765" ht="22.5" customHeight="1">
      <c r="A765" s="50"/>
      <c r="B765" s="50"/>
      <c r="C765" s="50"/>
      <c r="D765" s="180"/>
      <c r="E765" s="183"/>
      <c r="F765" s="50" t="s">
        <v>1407</v>
      </c>
      <c r="G765" s="50"/>
      <c r="H765" s="50"/>
      <c r="I765" s="50"/>
      <c r="J765" s="50" t="s">
        <v>1407</v>
      </c>
    </row>
    <row r="766" ht="22.5" customHeight="1">
      <c r="A766" s="50"/>
      <c r="B766" s="50"/>
      <c r="C766" s="50"/>
      <c r="D766" s="180"/>
      <c r="E766" s="183"/>
      <c r="F766" s="50" t="s">
        <v>1407</v>
      </c>
      <c r="G766" s="50"/>
      <c r="H766" s="50"/>
      <c r="I766" s="50"/>
      <c r="J766" s="50" t="s">
        <v>1407</v>
      </c>
    </row>
    <row r="767" ht="22.5" customHeight="1">
      <c r="A767" s="50"/>
      <c r="B767" s="50"/>
      <c r="C767" s="50"/>
      <c r="D767" s="180"/>
      <c r="E767" s="183"/>
      <c r="F767" s="50" t="s">
        <v>1407</v>
      </c>
      <c r="G767" s="50"/>
      <c r="H767" s="50"/>
      <c r="I767" s="50"/>
      <c r="J767" s="50" t="s">
        <v>1407</v>
      </c>
    </row>
    <row r="768" ht="22.5" customHeight="1">
      <c r="A768" s="50"/>
      <c r="B768" s="50"/>
      <c r="C768" s="50"/>
      <c r="D768" s="180"/>
      <c r="E768" s="183"/>
      <c r="F768" s="50" t="s">
        <v>1407</v>
      </c>
      <c r="G768" s="50"/>
      <c r="H768" s="50"/>
      <c r="I768" s="50"/>
      <c r="J768" s="50" t="s">
        <v>1407</v>
      </c>
    </row>
    <row r="769" ht="22.5" customHeight="1">
      <c r="A769" s="50"/>
      <c r="B769" s="50"/>
      <c r="C769" s="50"/>
      <c r="D769" s="180"/>
      <c r="E769" s="183"/>
      <c r="F769" s="50" t="s">
        <v>1407</v>
      </c>
      <c r="G769" s="50"/>
      <c r="H769" s="50"/>
      <c r="I769" s="50"/>
      <c r="J769" s="50" t="s">
        <v>1407</v>
      </c>
    </row>
    <row r="770" ht="22.5" customHeight="1">
      <c r="A770" s="50"/>
      <c r="B770" s="50"/>
      <c r="C770" s="50"/>
      <c r="D770" s="180"/>
      <c r="E770" s="183"/>
      <c r="F770" s="50" t="s">
        <v>1407</v>
      </c>
      <c r="G770" s="50"/>
      <c r="H770" s="50"/>
      <c r="I770" s="50"/>
      <c r="J770" s="50" t="s">
        <v>1407</v>
      </c>
    </row>
    <row r="771" ht="22.5" customHeight="1">
      <c r="A771" s="50"/>
      <c r="B771" s="50"/>
      <c r="C771" s="50"/>
      <c r="D771" s="180"/>
      <c r="E771" s="183"/>
      <c r="F771" s="50" t="s">
        <v>1407</v>
      </c>
      <c r="G771" s="50"/>
      <c r="H771" s="50"/>
      <c r="I771" s="50"/>
      <c r="J771" s="50" t="s">
        <v>1407</v>
      </c>
    </row>
    <row r="772" ht="22.5" customHeight="1">
      <c r="A772" s="50"/>
      <c r="B772" s="50"/>
      <c r="C772" s="50"/>
      <c r="D772" s="180"/>
      <c r="E772" s="183"/>
      <c r="F772" s="50" t="s">
        <v>1407</v>
      </c>
      <c r="G772" s="50"/>
      <c r="H772" s="50"/>
      <c r="I772" s="50"/>
      <c r="J772" s="50" t="s">
        <v>1407</v>
      </c>
    </row>
    <row r="773" ht="22.5" customHeight="1">
      <c r="A773" s="50"/>
      <c r="B773" s="50"/>
      <c r="C773" s="50"/>
      <c r="D773" s="180"/>
      <c r="E773" s="183"/>
      <c r="F773" s="50" t="s">
        <v>1407</v>
      </c>
      <c r="G773" s="50"/>
      <c r="H773" s="50"/>
      <c r="I773" s="50"/>
      <c r="J773" s="50" t="s">
        <v>1407</v>
      </c>
    </row>
    <row r="774" ht="22.5" customHeight="1">
      <c r="A774" s="50"/>
      <c r="B774" s="50"/>
      <c r="C774" s="50"/>
      <c r="D774" s="180"/>
      <c r="E774" s="183"/>
      <c r="F774" s="50" t="s">
        <v>1407</v>
      </c>
      <c r="G774" s="50"/>
      <c r="H774" s="50"/>
      <c r="I774" s="50"/>
      <c r="J774" s="50" t="s">
        <v>1407</v>
      </c>
    </row>
    <row r="775" ht="22.5" customHeight="1">
      <c r="A775" s="50"/>
      <c r="B775" s="50"/>
      <c r="C775" s="50"/>
      <c r="D775" s="180"/>
      <c r="E775" s="183"/>
      <c r="F775" s="50" t="s">
        <v>1407</v>
      </c>
      <c r="G775" s="50"/>
      <c r="H775" s="50"/>
      <c r="I775" s="50"/>
      <c r="J775" s="50" t="s">
        <v>1407</v>
      </c>
    </row>
    <row r="776" ht="22.5" customHeight="1">
      <c r="A776" s="50"/>
      <c r="B776" s="50"/>
      <c r="C776" s="50"/>
      <c r="D776" s="180"/>
      <c r="E776" s="183"/>
      <c r="F776" s="50" t="s">
        <v>1407</v>
      </c>
      <c r="G776" s="50"/>
      <c r="H776" s="50"/>
      <c r="I776" s="50"/>
      <c r="J776" s="50" t="s">
        <v>1407</v>
      </c>
    </row>
    <row r="777" ht="22.5" customHeight="1">
      <c r="A777" s="50"/>
      <c r="B777" s="50"/>
      <c r="C777" s="50"/>
      <c r="D777" s="180"/>
      <c r="E777" s="183"/>
      <c r="F777" s="50" t="s">
        <v>1407</v>
      </c>
      <c r="G777" s="50"/>
      <c r="H777" s="50"/>
      <c r="I777" s="50"/>
      <c r="J777" s="50" t="s">
        <v>1407</v>
      </c>
    </row>
    <row r="778" ht="22.5" customHeight="1">
      <c r="A778" s="50"/>
      <c r="B778" s="50"/>
      <c r="C778" s="50"/>
      <c r="D778" s="180"/>
      <c r="E778" s="183"/>
      <c r="F778" s="50" t="s">
        <v>1407</v>
      </c>
      <c r="G778" s="50"/>
      <c r="H778" s="50"/>
      <c r="I778" s="50"/>
      <c r="J778" s="50" t="s">
        <v>1407</v>
      </c>
    </row>
    <row r="779" ht="22.5" customHeight="1">
      <c r="A779" s="50"/>
      <c r="B779" s="50"/>
      <c r="C779" s="50"/>
      <c r="D779" s="180"/>
      <c r="E779" s="183"/>
      <c r="F779" s="50" t="s">
        <v>1407</v>
      </c>
      <c r="G779" s="50"/>
      <c r="H779" s="50"/>
      <c r="I779" s="50"/>
      <c r="J779" s="50" t="s">
        <v>1407</v>
      </c>
    </row>
    <row r="780" ht="22.5" customHeight="1">
      <c r="A780" s="50"/>
      <c r="B780" s="50"/>
      <c r="C780" s="50"/>
      <c r="D780" s="180"/>
      <c r="E780" s="183"/>
      <c r="F780" s="50" t="s">
        <v>1407</v>
      </c>
      <c r="G780" s="50"/>
      <c r="H780" s="50"/>
      <c r="I780" s="50"/>
      <c r="J780" s="50" t="s">
        <v>1407</v>
      </c>
    </row>
    <row r="781" ht="22.5" customHeight="1">
      <c r="A781" s="50"/>
      <c r="B781" s="50"/>
      <c r="C781" s="50"/>
      <c r="D781" s="180"/>
      <c r="E781" s="183"/>
      <c r="F781" s="50" t="s">
        <v>1407</v>
      </c>
      <c r="G781" s="50"/>
      <c r="H781" s="50"/>
      <c r="I781" s="50"/>
      <c r="J781" s="50" t="s">
        <v>1407</v>
      </c>
    </row>
    <row r="782" ht="22.5" customHeight="1">
      <c r="A782" s="50"/>
      <c r="B782" s="50"/>
      <c r="C782" s="50"/>
      <c r="D782" s="180"/>
      <c r="E782" s="183"/>
      <c r="F782" s="50" t="s">
        <v>1407</v>
      </c>
      <c r="G782" s="50"/>
      <c r="H782" s="50"/>
      <c r="I782" s="50"/>
      <c r="J782" s="50" t="s">
        <v>1407</v>
      </c>
    </row>
    <row r="783" ht="22.5" customHeight="1">
      <c r="A783" s="50"/>
      <c r="B783" s="50"/>
      <c r="C783" s="50"/>
      <c r="D783" s="180"/>
      <c r="E783" s="183"/>
      <c r="F783" s="50" t="s">
        <v>1407</v>
      </c>
      <c r="G783" s="50"/>
      <c r="H783" s="50"/>
      <c r="I783" s="50"/>
      <c r="J783" s="50" t="s">
        <v>1407</v>
      </c>
    </row>
    <row r="784" ht="22.5" customHeight="1">
      <c r="A784" s="50"/>
      <c r="B784" s="50"/>
      <c r="C784" s="50"/>
      <c r="D784" s="180"/>
      <c r="E784" s="183"/>
      <c r="F784" s="50" t="s">
        <v>1407</v>
      </c>
      <c r="G784" s="50"/>
      <c r="H784" s="50"/>
      <c r="I784" s="50"/>
      <c r="J784" s="50" t="s">
        <v>1407</v>
      </c>
    </row>
    <row r="785" ht="22.5" customHeight="1">
      <c r="A785" s="50"/>
      <c r="B785" s="50"/>
      <c r="C785" s="50"/>
      <c r="D785" s="180"/>
      <c r="E785" s="183"/>
      <c r="F785" s="50" t="s">
        <v>1407</v>
      </c>
      <c r="G785" s="50"/>
      <c r="H785" s="50"/>
      <c r="I785" s="50"/>
      <c r="J785" s="50" t="s">
        <v>1407</v>
      </c>
    </row>
    <row r="786" ht="22.5" customHeight="1">
      <c r="A786" s="50"/>
      <c r="B786" s="50"/>
      <c r="C786" s="50"/>
      <c r="D786" s="180"/>
      <c r="E786" s="183"/>
      <c r="F786" s="50" t="s">
        <v>1407</v>
      </c>
      <c r="G786" s="50"/>
      <c r="H786" s="50"/>
      <c r="I786" s="50"/>
      <c r="J786" s="50" t="s">
        <v>1407</v>
      </c>
    </row>
    <row r="787" ht="22.5" customHeight="1">
      <c r="A787" s="50"/>
      <c r="B787" s="50"/>
      <c r="C787" s="50"/>
      <c r="D787" s="180"/>
      <c r="E787" s="183"/>
      <c r="F787" s="50" t="s">
        <v>1407</v>
      </c>
      <c r="G787" s="50"/>
      <c r="H787" s="50"/>
      <c r="I787" s="50"/>
      <c r="J787" s="50" t="s">
        <v>1407</v>
      </c>
    </row>
    <row r="788" ht="22.5" customHeight="1">
      <c r="A788" s="50"/>
      <c r="B788" s="50"/>
      <c r="C788" s="50"/>
      <c r="D788" s="180"/>
      <c r="E788" s="183"/>
      <c r="F788" s="50" t="s">
        <v>1407</v>
      </c>
      <c r="G788" s="50"/>
      <c r="H788" s="50"/>
      <c r="I788" s="50"/>
      <c r="J788" s="50" t="s">
        <v>1407</v>
      </c>
    </row>
    <row r="789" ht="22.5" customHeight="1">
      <c r="A789" s="50"/>
      <c r="B789" s="50"/>
      <c r="C789" s="50"/>
      <c r="D789" s="180"/>
      <c r="E789" s="183"/>
      <c r="F789" s="50" t="s">
        <v>1407</v>
      </c>
      <c r="G789" s="50"/>
      <c r="H789" s="50"/>
      <c r="I789" s="50"/>
      <c r="J789" s="50" t="s">
        <v>1407</v>
      </c>
    </row>
    <row r="790" ht="22.5" customHeight="1">
      <c r="A790" s="50"/>
      <c r="B790" s="50"/>
      <c r="C790" s="50"/>
      <c r="D790" s="180"/>
      <c r="E790" s="183"/>
      <c r="F790" s="50" t="s">
        <v>1407</v>
      </c>
      <c r="G790" s="50"/>
      <c r="H790" s="50"/>
      <c r="I790" s="50"/>
      <c r="J790" s="50" t="s">
        <v>1407</v>
      </c>
    </row>
    <row r="791" ht="22.5" customHeight="1">
      <c r="A791" s="50"/>
      <c r="B791" s="50"/>
      <c r="C791" s="50"/>
      <c r="D791" s="180"/>
      <c r="E791" s="183"/>
      <c r="F791" s="50" t="s">
        <v>1407</v>
      </c>
      <c r="G791" s="50"/>
      <c r="H791" s="50"/>
      <c r="I791" s="50"/>
      <c r="J791" s="50" t="s">
        <v>1407</v>
      </c>
    </row>
    <row r="792" ht="22.5" customHeight="1">
      <c r="A792" s="50"/>
      <c r="B792" s="50"/>
      <c r="C792" s="50"/>
      <c r="D792" s="180"/>
      <c r="E792" s="183"/>
      <c r="F792" s="50" t="s">
        <v>1407</v>
      </c>
      <c r="G792" s="50"/>
      <c r="H792" s="50"/>
      <c r="I792" s="50"/>
      <c r="J792" s="50" t="s">
        <v>1407</v>
      </c>
    </row>
    <row r="793" ht="22.5" customHeight="1">
      <c r="A793" s="50"/>
      <c r="B793" s="50"/>
      <c r="C793" s="50"/>
      <c r="D793" s="180"/>
      <c r="E793" s="183"/>
      <c r="F793" s="50" t="s">
        <v>1407</v>
      </c>
      <c r="G793" s="50"/>
      <c r="H793" s="50"/>
      <c r="I793" s="50"/>
      <c r="J793" s="50" t="s">
        <v>1407</v>
      </c>
    </row>
    <row r="794" ht="22.5" customHeight="1">
      <c r="A794" s="50"/>
      <c r="B794" s="50"/>
      <c r="C794" s="50"/>
      <c r="D794" s="180"/>
      <c r="E794" s="183"/>
      <c r="F794" s="50" t="s">
        <v>1407</v>
      </c>
      <c r="G794" s="50"/>
      <c r="H794" s="50"/>
      <c r="I794" s="50"/>
      <c r="J794" s="50" t="s">
        <v>1407</v>
      </c>
    </row>
    <row r="795" ht="22.5" customHeight="1">
      <c r="A795" s="50"/>
      <c r="B795" s="50"/>
      <c r="C795" s="50"/>
      <c r="D795" s="180"/>
      <c r="E795" s="183"/>
      <c r="F795" s="50" t="s">
        <v>1407</v>
      </c>
      <c r="G795" s="50"/>
      <c r="H795" s="50"/>
      <c r="I795" s="50"/>
      <c r="J795" s="50" t="s">
        <v>1407</v>
      </c>
    </row>
    <row r="796" ht="22.5" customHeight="1">
      <c r="A796" s="50"/>
      <c r="B796" s="50"/>
      <c r="C796" s="50"/>
      <c r="D796" s="180"/>
      <c r="E796" s="183"/>
      <c r="F796" s="50" t="s">
        <v>1407</v>
      </c>
      <c r="G796" s="50"/>
      <c r="H796" s="50"/>
      <c r="I796" s="50"/>
      <c r="J796" s="50" t="s">
        <v>1407</v>
      </c>
    </row>
    <row r="797" ht="22.5" customHeight="1">
      <c r="A797" s="50"/>
      <c r="B797" s="50"/>
      <c r="C797" s="50"/>
      <c r="D797" s="180"/>
      <c r="E797" s="183"/>
      <c r="F797" s="50" t="s">
        <v>1407</v>
      </c>
      <c r="G797" s="50"/>
      <c r="H797" s="50"/>
      <c r="I797" s="50"/>
      <c r="J797" s="50" t="s">
        <v>1407</v>
      </c>
    </row>
    <row r="798" ht="22.5" customHeight="1">
      <c r="A798" s="50"/>
      <c r="B798" s="50"/>
      <c r="C798" s="50"/>
      <c r="D798" s="180"/>
      <c r="E798" s="183"/>
      <c r="F798" s="50" t="s">
        <v>1407</v>
      </c>
      <c r="G798" s="50"/>
      <c r="H798" s="50"/>
      <c r="I798" s="50"/>
      <c r="J798" s="50" t="s">
        <v>1407</v>
      </c>
    </row>
    <row r="799" ht="22.5" customHeight="1">
      <c r="A799" s="50"/>
      <c r="B799" s="50"/>
      <c r="C799" s="50"/>
      <c r="D799" s="180"/>
      <c r="E799" s="183"/>
      <c r="F799" s="50" t="s">
        <v>1407</v>
      </c>
      <c r="G799" s="50"/>
      <c r="H799" s="50"/>
      <c r="I799" s="50"/>
      <c r="J799" s="50" t="s">
        <v>1407</v>
      </c>
    </row>
    <row r="800" ht="22.5" customHeight="1">
      <c r="A800" s="50"/>
      <c r="B800" s="50"/>
      <c r="C800" s="50"/>
      <c r="D800" s="180"/>
      <c r="E800" s="183"/>
      <c r="F800" s="50" t="s">
        <v>1407</v>
      </c>
      <c r="G800" s="50"/>
      <c r="H800" s="50"/>
      <c r="I800" s="50"/>
      <c r="J800" s="50" t="s">
        <v>1407</v>
      </c>
    </row>
    <row r="801" ht="22.5" customHeight="1">
      <c r="A801" s="50"/>
      <c r="B801" s="50"/>
      <c r="C801" s="50"/>
      <c r="D801" s="180"/>
      <c r="E801" s="183"/>
      <c r="F801" s="50" t="s">
        <v>1407</v>
      </c>
      <c r="G801" s="50"/>
      <c r="H801" s="50"/>
      <c r="I801" s="50"/>
      <c r="J801" s="50" t="s">
        <v>1407</v>
      </c>
    </row>
    <row r="802" ht="22.5" customHeight="1">
      <c r="A802" s="50"/>
      <c r="B802" s="50"/>
      <c r="C802" s="50"/>
      <c r="D802" s="180"/>
      <c r="E802" s="183"/>
      <c r="F802" s="50" t="s">
        <v>1407</v>
      </c>
      <c r="G802" s="50"/>
      <c r="H802" s="50"/>
      <c r="I802" s="50"/>
      <c r="J802" s="50" t="s">
        <v>1407</v>
      </c>
    </row>
    <row r="803" ht="22.5" customHeight="1">
      <c r="A803" s="50"/>
      <c r="B803" s="50"/>
      <c r="C803" s="50"/>
      <c r="D803" s="180"/>
      <c r="E803" s="183"/>
      <c r="F803" s="50" t="s">
        <v>1407</v>
      </c>
      <c r="G803" s="50"/>
      <c r="H803" s="50"/>
      <c r="I803" s="50"/>
      <c r="J803" s="50" t="s">
        <v>1407</v>
      </c>
    </row>
    <row r="804" ht="22.5" customHeight="1">
      <c r="A804" s="50"/>
      <c r="B804" s="50"/>
      <c r="C804" s="50"/>
      <c r="D804" s="180"/>
      <c r="E804" s="183"/>
      <c r="F804" s="50" t="s">
        <v>1407</v>
      </c>
      <c r="G804" s="50"/>
      <c r="H804" s="50"/>
      <c r="I804" s="50"/>
      <c r="J804" s="50" t="s">
        <v>1407</v>
      </c>
    </row>
    <row r="805" ht="22.5" customHeight="1">
      <c r="A805" s="50"/>
      <c r="B805" s="50"/>
      <c r="C805" s="50"/>
      <c r="D805" s="180"/>
      <c r="E805" s="183"/>
      <c r="F805" s="50" t="s">
        <v>1407</v>
      </c>
      <c r="G805" s="50"/>
      <c r="H805" s="50"/>
      <c r="I805" s="50"/>
      <c r="J805" s="50" t="s">
        <v>1407</v>
      </c>
    </row>
    <row r="806" ht="22.5" customHeight="1">
      <c r="A806" s="50"/>
      <c r="B806" s="50"/>
      <c r="C806" s="50"/>
      <c r="D806" s="180"/>
      <c r="E806" s="183"/>
      <c r="F806" s="50" t="s">
        <v>1407</v>
      </c>
      <c r="G806" s="50"/>
      <c r="H806" s="50"/>
      <c r="I806" s="50"/>
      <c r="J806" s="50" t="s">
        <v>1407</v>
      </c>
    </row>
    <row r="807" ht="22.5" customHeight="1">
      <c r="A807" s="50"/>
      <c r="B807" s="50"/>
      <c r="C807" s="50"/>
      <c r="D807" s="180"/>
      <c r="E807" s="183"/>
      <c r="F807" s="50" t="s">
        <v>1407</v>
      </c>
      <c r="G807" s="50"/>
      <c r="H807" s="50"/>
      <c r="I807" s="50"/>
      <c r="J807" s="50" t="s">
        <v>1407</v>
      </c>
    </row>
    <row r="808" ht="22.5" customHeight="1">
      <c r="A808" s="50"/>
      <c r="B808" s="50"/>
      <c r="C808" s="50"/>
      <c r="D808" s="180"/>
      <c r="E808" s="183"/>
      <c r="F808" s="50" t="s">
        <v>1407</v>
      </c>
      <c r="G808" s="50"/>
      <c r="H808" s="50"/>
      <c r="I808" s="50"/>
      <c r="J808" s="50" t="s">
        <v>1407</v>
      </c>
    </row>
    <row r="809" ht="22.5" customHeight="1">
      <c r="A809" s="50"/>
      <c r="B809" s="50"/>
      <c r="C809" s="50"/>
      <c r="D809" s="180"/>
      <c r="E809" s="183"/>
      <c r="F809" s="50" t="s">
        <v>1407</v>
      </c>
      <c r="G809" s="50"/>
      <c r="H809" s="50"/>
      <c r="I809" s="50"/>
      <c r="J809" s="50" t="s">
        <v>1407</v>
      </c>
    </row>
    <row r="810" ht="22.5" customHeight="1">
      <c r="A810" s="50"/>
      <c r="B810" s="50"/>
      <c r="C810" s="50"/>
      <c r="D810" s="180"/>
      <c r="E810" s="183"/>
      <c r="F810" s="50" t="s">
        <v>1407</v>
      </c>
      <c r="G810" s="50"/>
      <c r="H810" s="50"/>
      <c r="I810" s="50"/>
      <c r="J810" s="50" t="s">
        <v>1407</v>
      </c>
    </row>
    <row r="811" ht="22.5" customHeight="1">
      <c r="A811" s="50"/>
      <c r="B811" s="50"/>
      <c r="C811" s="50"/>
      <c r="D811" s="180"/>
      <c r="E811" s="183"/>
      <c r="F811" s="50" t="s">
        <v>1407</v>
      </c>
      <c r="G811" s="50"/>
      <c r="H811" s="50"/>
      <c r="I811" s="50"/>
      <c r="J811" s="50" t="s">
        <v>1407</v>
      </c>
    </row>
    <row r="812" ht="22.5" customHeight="1">
      <c r="A812" s="50"/>
      <c r="B812" s="50"/>
      <c r="C812" s="50"/>
      <c r="D812" s="180"/>
      <c r="E812" s="183"/>
      <c r="F812" s="50" t="s">
        <v>1407</v>
      </c>
      <c r="G812" s="50"/>
      <c r="H812" s="50"/>
      <c r="I812" s="50"/>
      <c r="J812" s="50" t="s">
        <v>1407</v>
      </c>
    </row>
    <row r="813" ht="22.5" customHeight="1">
      <c r="A813" s="50"/>
      <c r="B813" s="50"/>
      <c r="C813" s="50"/>
      <c r="D813" s="180"/>
      <c r="E813" s="183"/>
      <c r="F813" s="50" t="s">
        <v>1407</v>
      </c>
      <c r="G813" s="50"/>
      <c r="H813" s="50"/>
      <c r="I813" s="50"/>
      <c r="J813" s="50" t="s">
        <v>1407</v>
      </c>
    </row>
    <row r="814" ht="22.5" customHeight="1">
      <c r="A814" s="50"/>
      <c r="B814" s="50"/>
      <c r="C814" s="50"/>
      <c r="D814" s="180"/>
      <c r="E814" s="183"/>
      <c r="F814" s="50" t="s">
        <v>1407</v>
      </c>
      <c r="G814" s="50"/>
      <c r="H814" s="50"/>
      <c r="I814" s="50"/>
      <c r="J814" s="50" t="s">
        <v>1407</v>
      </c>
    </row>
    <row r="815" ht="22.5" customHeight="1">
      <c r="A815" s="50"/>
      <c r="B815" s="50"/>
      <c r="C815" s="50"/>
      <c r="D815" s="180"/>
      <c r="E815" s="183"/>
      <c r="F815" s="50" t="s">
        <v>1407</v>
      </c>
      <c r="G815" s="50"/>
      <c r="H815" s="50"/>
      <c r="I815" s="50"/>
      <c r="J815" s="50" t="s">
        <v>1407</v>
      </c>
    </row>
    <row r="816" ht="22.5" customHeight="1">
      <c r="A816" s="50"/>
      <c r="B816" s="50"/>
      <c r="C816" s="50"/>
      <c r="D816" s="180"/>
      <c r="E816" s="183"/>
      <c r="F816" s="50" t="s">
        <v>1407</v>
      </c>
      <c r="G816" s="50"/>
      <c r="H816" s="50"/>
      <c r="I816" s="50"/>
      <c r="J816" s="50" t="s">
        <v>1407</v>
      </c>
    </row>
    <row r="817" ht="22.5" customHeight="1">
      <c r="A817" s="50"/>
      <c r="B817" s="50"/>
      <c r="C817" s="50"/>
      <c r="D817" s="180"/>
      <c r="E817" s="183"/>
      <c r="F817" s="50" t="s">
        <v>1407</v>
      </c>
      <c r="G817" s="50"/>
      <c r="H817" s="50"/>
      <c r="I817" s="50"/>
      <c r="J817" s="50" t="s">
        <v>1407</v>
      </c>
    </row>
    <row r="818" ht="22.5" customHeight="1">
      <c r="A818" s="50"/>
      <c r="B818" s="50"/>
      <c r="C818" s="50"/>
      <c r="D818" s="180"/>
      <c r="E818" s="183"/>
      <c r="F818" s="50" t="s">
        <v>1407</v>
      </c>
      <c r="G818" s="50"/>
      <c r="H818" s="50"/>
      <c r="I818" s="50"/>
      <c r="J818" s="50" t="s">
        <v>1407</v>
      </c>
    </row>
    <row r="819" ht="22.5" customHeight="1">
      <c r="A819" s="50"/>
      <c r="B819" s="50"/>
      <c r="C819" s="50"/>
      <c r="D819" s="180"/>
      <c r="E819" s="183"/>
      <c r="F819" s="50" t="s">
        <v>1407</v>
      </c>
      <c r="G819" s="50"/>
      <c r="H819" s="50"/>
      <c r="I819" s="50"/>
      <c r="J819" s="50" t="s">
        <v>1407</v>
      </c>
    </row>
    <row r="820" ht="22.5" customHeight="1">
      <c r="A820" s="50"/>
      <c r="B820" s="50"/>
      <c r="C820" s="50"/>
      <c r="D820" s="180"/>
      <c r="E820" s="183"/>
      <c r="F820" s="50" t="s">
        <v>1407</v>
      </c>
      <c r="G820" s="50"/>
      <c r="H820" s="50"/>
      <c r="I820" s="50"/>
      <c r="J820" s="50" t="s">
        <v>1407</v>
      </c>
    </row>
    <row r="821" ht="22.5" customHeight="1">
      <c r="A821" s="50"/>
      <c r="B821" s="50"/>
      <c r="C821" s="50"/>
      <c r="D821" s="180"/>
      <c r="E821" s="183"/>
      <c r="F821" s="50" t="s">
        <v>1407</v>
      </c>
      <c r="G821" s="50"/>
      <c r="H821" s="50"/>
      <c r="I821" s="50"/>
      <c r="J821" s="50" t="s">
        <v>1407</v>
      </c>
    </row>
    <row r="822" ht="22.5" customHeight="1">
      <c r="A822" s="50"/>
      <c r="B822" s="50"/>
      <c r="C822" s="50"/>
      <c r="D822" s="180"/>
      <c r="E822" s="183"/>
      <c r="F822" s="50" t="s">
        <v>1407</v>
      </c>
      <c r="G822" s="50"/>
      <c r="H822" s="50"/>
      <c r="I822" s="50"/>
      <c r="J822" s="50" t="s">
        <v>1407</v>
      </c>
    </row>
    <row r="823" ht="22.5" customHeight="1">
      <c r="A823" s="50"/>
      <c r="B823" s="50"/>
      <c r="C823" s="50"/>
      <c r="D823" s="180"/>
      <c r="E823" s="183"/>
      <c r="F823" s="50" t="s">
        <v>1407</v>
      </c>
      <c r="G823" s="50"/>
      <c r="H823" s="50"/>
      <c r="I823" s="50"/>
      <c r="J823" s="50" t="s">
        <v>1407</v>
      </c>
    </row>
    <row r="824" ht="22.5" customHeight="1">
      <c r="A824" s="50"/>
      <c r="B824" s="50"/>
      <c r="C824" s="50"/>
      <c r="D824" s="180"/>
      <c r="E824" s="183"/>
      <c r="F824" s="50" t="s">
        <v>1407</v>
      </c>
      <c r="G824" s="50"/>
      <c r="H824" s="50"/>
      <c r="I824" s="50"/>
      <c r="J824" s="50" t="s">
        <v>1407</v>
      </c>
    </row>
    <row r="825" ht="22.5" customHeight="1">
      <c r="A825" s="50"/>
      <c r="B825" s="50"/>
      <c r="C825" s="50"/>
      <c r="D825" s="180"/>
      <c r="E825" s="183"/>
      <c r="F825" s="50" t="s">
        <v>1407</v>
      </c>
      <c r="G825" s="50"/>
      <c r="H825" s="50"/>
      <c r="I825" s="50"/>
      <c r="J825" s="50" t="s">
        <v>1407</v>
      </c>
    </row>
    <row r="826" ht="22.5" customHeight="1">
      <c r="A826" s="50"/>
      <c r="B826" s="50"/>
      <c r="C826" s="50"/>
      <c r="D826" s="180"/>
      <c r="E826" s="183"/>
      <c r="F826" s="50" t="s">
        <v>1407</v>
      </c>
      <c r="G826" s="50"/>
      <c r="H826" s="50"/>
      <c r="I826" s="50"/>
      <c r="J826" s="50" t="s">
        <v>1407</v>
      </c>
    </row>
    <row r="827" ht="22.5" customHeight="1">
      <c r="A827" s="50"/>
      <c r="B827" s="50"/>
      <c r="C827" s="50"/>
      <c r="D827" s="180"/>
      <c r="E827" s="183"/>
      <c r="F827" s="50" t="s">
        <v>1407</v>
      </c>
      <c r="G827" s="50"/>
      <c r="H827" s="50"/>
      <c r="I827" s="50"/>
      <c r="J827" s="50" t="s">
        <v>1407</v>
      </c>
    </row>
    <row r="828" ht="22.5" customHeight="1">
      <c r="A828" s="50"/>
      <c r="B828" s="50"/>
      <c r="C828" s="50"/>
      <c r="D828" s="180"/>
      <c r="E828" s="183"/>
      <c r="F828" s="50" t="s">
        <v>1407</v>
      </c>
      <c r="G828" s="50"/>
      <c r="H828" s="50"/>
      <c r="I828" s="50"/>
      <c r="J828" s="50" t="s">
        <v>1407</v>
      </c>
    </row>
    <row r="829" ht="22.5" customHeight="1">
      <c r="A829" s="50"/>
      <c r="B829" s="50"/>
      <c r="C829" s="50"/>
      <c r="D829" s="180"/>
      <c r="E829" s="183"/>
      <c r="F829" s="50" t="s">
        <v>1407</v>
      </c>
      <c r="G829" s="50"/>
      <c r="H829" s="50"/>
      <c r="I829" s="50"/>
      <c r="J829" s="50" t="s">
        <v>1407</v>
      </c>
    </row>
    <row r="830" ht="22.5" customHeight="1">
      <c r="A830" s="50"/>
      <c r="B830" s="50"/>
      <c r="C830" s="50"/>
      <c r="D830" s="180"/>
      <c r="E830" s="183"/>
      <c r="F830" s="50" t="s">
        <v>1407</v>
      </c>
      <c r="G830" s="50"/>
      <c r="H830" s="50"/>
      <c r="I830" s="50"/>
      <c r="J830" s="50" t="s">
        <v>1407</v>
      </c>
    </row>
    <row r="831" ht="22.5" customHeight="1">
      <c r="A831" s="50"/>
      <c r="B831" s="50"/>
      <c r="C831" s="50"/>
      <c r="D831" s="180"/>
      <c r="E831" s="183"/>
      <c r="F831" s="50" t="s">
        <v>1407</v>
      </c>
      <c r="G831" s="50"/>
      <c r="H831" s="50"/>
      <c r="I831" s="50"/>
      <c r="J831" s="50" t="s">
        <v>1407</v>
      </c>
    </row>
    <row r="832" ht="22.5" customHeight="1">
      <c r="A832" s="50"/>
      <c r="B832" s="50"/>
      <c r="C832" s="50"/>
      <c r="D832" s="180"/>
      <c r="E832" s="183"/>
      <c r="F832" s="50" t="s">
        <v>1407</v>
      </c>
      <c r="G832" s="50"/>
      <c r="H832" s="50"/>
      <c r="I832" s="50"/>
      <c r="J832" s="50" t="s">
        <v>1407</v>
      </c>
    </row>
    <row r="833" ht="22.5" customHeight="1">
      <c r="A833" s="50"/>
      <c r="B833" s="50"/>
      <c r="C833" s="50"/>
      <c r="D833" s="180"/>
      <c r="E833" s="183"/>
      <c r="F833" s="50" t="s">
        <v>1407</v>
      </c>
      <c r="G833" s="50"/>
      <c r="H833" s="50"/>
      <c r="I833" s="50"/>
      <c r="J833" s="50" t="s">
        <v>1407</v>
      </c>
    </row>
    <row r="834" ht="22.5" customHeight="1">
      <c r="A834" s="50"/>
      <c r="B834" s="50"/>
      <c r="C834" s="50"/>
      <c r="D834" s="180"/>
      <c r="E834" s="183"/>
      <c r="F834" s="50" t="s">
        <v>1407</v>
      </c>
      <c r="G834" s="50"/>
      <c r="H834" s="50"/>
      <c r="I834" s="50"/>
      <c r="J834" s="50" t="s">
        <v>1407</v>
      </c>
    </row>
    <row r="835" ht="22.5" customHeight="1">
      <c r="A835" s="50"/>
      <c r="B835" s="50"/>
      <c r="C835" s="50"/>
      <c r="D835" s="180"/>
      <c r="E835" s="183"/>
      <c r="F835" s="50" t="s">
        <v>1407</v>
      </c>
      <c r="G835" s="50"/>
      <c r="H835" s="50"/>
      <c r="I835" s="50"/>
      <c r="J835" s="50" t="s">
        <v>1407</v>
      </c>
    </row>
    <row r="836" ht="22.5" customHeight="1">
      <c r="A836" s="50"/>
      <c r="B836" s="50"/>
      <c r="C836" s="50"/>
      <c r="D836" s="180"/>
      <c r="E836" s="183"/>
      <c r="F836" s="50" t="s">
        <v>1407</v>
      </c>
      <c r="G836" s="50"/>
      <c r="H836" s="50"/>
      <c r="I836" s="50"/>
      <c r="J836" s="50" t="s">
        <v>1407</v>
      </c>
    </row>
    <row r="837" ht="22.5" customHeight="1">
      <c r="A837" s="50"/>
      <c r="B837" s="50"/>
      <c r="C837" s="50"/>
      <c r="D837" s="180"/>
      <c r="E837" s="183"/>
      <c r="F837" s="50" t="s">
        <v>1407</v>
      </c>
      <c r="G837" s="50"/>
      <c r="H837" s="50"/>
      <c r="I837" s="50"/>
      <c r="J837" s="50" t="s">
        <v>1407</v>
      </c>
    </row>
    <row r="838" ht="22.5" customHeight="1">
      <c r="A838" s="50"/>
      <c r="B838" s="50"/>
      <c r="C838" s="50"/>
      <c r="D838" s="180"/>
      <c r="E838" s="183"/>
      <c r="F838" s="50" t="s">
        <v>1407</v>
      </c>
      <c r="G838" s="50"/>
      <c r="H838" s="50"/>
      <c r="I838" s="50"/>
      <c r="J838" s="50" t="s">
        <v>1407</v>
      </c>
    </row>
    <row r="839" ht="22.5" customHeight="1">
      <c r="A839" s="50"/>
      <c r="B839" s="50"/>
      <c r="C839" s="50"/>
      <c r="D839" s="180"/>
      <c r="E839" s="183"/>
      <c r="F839" s="50" t="s">
        <v>1407</v>
      </c>
      <c r="G839" s="50"/>
      <c r="H839" s="50"/>
      <c r="I839" s="50"/>
      <c r="J839" s="50" t="s">
        <v>1407</v>
      </c>
    </row>
    <row r="840" ht="22.5" customHeight="1">
      <c r="A840" s="50"/>
      <c r="B840" s="50"/>
      <c r="C840" s="50"/>
      <c r="D840" s="180"/>
      <c r="E840" s="183"/>
      <c r="F840" s="50" t="s">
        <v>1407</v>
      </c>
      <c r="G840" s="50"/>
      <c r="H840" s="50"/>
      <c r="I840" s="50"/>
      <c r="J840" s="50" t="s">
        <v>1407</v>
      </c>
    </row>
    <row r="841" ht="22.5" customHeight="1">
      <c r="A841" s="50"/>
      <c r="B841" s="50"/>
      <c r="C841" s="50"/>
      <c r="D841" s="180"/>
      <c r="E841" s="183"/>
      <c r="F841" s="50" t="s">
        <v>1407</v>
      </c>
      <c r="G841" s="50"/>
      <c r="H841" s="50"/>
      <c r="I841" s="50"/>
      <c r="J841" s="50" t="s">
        <v>1407</v>
      </c>
    </row>
    <row r="842" ht="22.5" customHeight="1">
      <c r="A842" s="50"/>
      <c r="B842" s="50"/>
      <c r="C842" s="50"/>
      <c r="D842" s="180"/>
      <c r="E842" s="183"/>
      <c r="F842" s="50" t="s">
        <v>1407</v>
      </c>
      <c r="G842" s="50"/>
      <c r="H842" s="50"/>
      <c r="I842" s="50"/>
      <c r="J842" s="50" t="s">
        <v>1407</v>
      </c>
    </row>
    <row r="843" ht="22.5" customHeight="1">
      <c r="A843" s="50"/>
      <c r="B843" s="50"/>
      <c r="C843" s="50"/>
      <c r="D843" s="180"/>
      <c r="E843" s="183"/>
      <c r="F843" s="50" t="s">
        <v>1407</v>
      </c>
      <c r="G843" s="50"/>
      <c r="H843" s="50"/>
      <c r="I843" s="50"/>
      <c r="J843" s="50" t="s">
        <v>1407</v>
      </c>
    </row>
    <row r="844" ht="22.5" customHeight="1">
      <c r="A844" s="50"/>
      <c r="B844" s="50"/>
      <c r="C844" s="50"/>
      <c r="D844" s="180"/>
      <c r="E844" s="183"/>
      <c r="F844" s="50" t="s">
        <v>1407</v>
      </c>
      <c r="G844" s="50"/>
      <c r="H844" s="50"/>
      <c r="I844" s="50"/>
      <c r="J844" s="50" t="s">
        <v>1407</v>
      </c>
    </row>
    <row r="845" ht="22.5" customHeight="1">
      <c r="A845" s="50"/>
      <c r="B845" s="50"/>
      <c r="C845" s="50"/>
      <c r="D845" s="180"/>
      <c r="E845" s="183"/>
      <c r="F845" s="50" t="s">
        <v>1407</v>
      </c>
      <c r="G845" s="50"/>
      <c r="H845" s="50"/>
      <c r="I845" s="50"/>
      <c r="J845" s="50" t="s">
        <v>1407</v>
      </c>
    </row>
    <row r="846" ht="22.5" customHeight="1">
      <c r="A846" s="50"/>
      <c r="B846" s="50"/>
      <c r="C846" s="50"/>
      <c r="D846" s="180"/>
      <c r="E846" s="183"/>
      <c r="F846" s="50" t="s">
        <v>1407</v>
      </c>
      <c r="G846" s="50"/>
      <c r="H846" s="50"/>
      <c r="I846" s="50"/>
      <c r="J846" s="50" t="s">
        <v>1407</v>
      </c>
    </row>
    <row r="847" ht="22.5" customHeight="1">
      <c r="A847" s="50"/>
      <c r="B847" s="50"/>
      <c r="C847" s="50"/>
      <c r="D847" s="180"/>
      <c r="E847" s="183"/>
      <c r="F847" s="50" t="s">
        <v>1407</v>
      </c>
      <c r="G847" s="50"/>
      <c r="H847" s="50"/>
      <c r="I847" s="50"/>
      <c r="J847" s="50" t="s">
        <v>1407</v>
      </c>
    </row>
    <row r="848" ht="22.5" customHeight="1">
      <c r="A848" s="50"/>
      <c r="B848" s="50"/>
      <c r="C848" s="50"/>
      <c r="D848" s="180"/>
      <c r="E848" s="183"/>
      <c r="F848" s="50" t="s">
        <v>1407</v>
      </c>
      <c r="G848" s="50"/>
      <c r="H848" s="50"/>
      <c r="I848" s="50"/>
      <c r="J848" s="50" t="s">
        <v>1407</v>
      </c>
    </row>
    <row r="849" ht="22.5" customHeight="1">
      <c r="A849" s="50"/>
      <c r="B849" s="50"/>
      <c r="C849" s="50"/>
      <c r="D849" s="180"/>
      <c r="E849" s="183"/>
      <c r="F849" s="50" t="s">
        <v>1407</v>
      </c>
      <c r="G849" s="50"/>
      <c r="H849" s="50"/>
      <c r="I849" s="50"/>
      <c r="J849" s="50" t="s">
        <v>1407</v>
      </c>
    </row>
    <row r="850" ht="22.5" customHeight="1">
      <c r="A850" s="50"/>
      <c r="B850" s="50"/>
      <c r="C850" s="50"/>
      <c r="D850" s="180"/>
      <c r="E850" s="183"/>
      <c r="F850" s="50" t="s">
        <v>1407</v>
      </c>
      <c r="G850" s="50"/>
      <c r="H850" s="50"/>
      <c r="I850" s="50"/>
      <c r="J850" s="50" t="s">
        <v>1407</v>
      </c>
    </row>
    <row r="851" ht="22.5" customHeight="1">
      <c r="A851" s="50"/>
      <c r="B851" s="50"/>
      <c r="C851" s="50"/>
      <c r="D851" s="180"/>
      <c r="E851" s="183"/>
      <c r="F851" s="50" t="s">
        <v>1407</v>
      </c>
      <c r="G851" s="50"/>
      <c r="H851" s="50"/>
      <c r="I851" s="50"/>
      <c r="J851" s="50" t="s">
        <v>1407</v>
      </c>
    </row>
    <row r="852" ht="22.5" customHeight="1">
      <c r="A852" s="50"/>
      <c r="B852" s="50"/>
      <c r="C852" s="50"/>
      <c r="D852" s="180"/>
      <c r="E852" s="183"/>
      <c r="F852" s="50" t="s">
        <v>1407</v>
      </c>
      <c r="G852" s="50"/>
      <c r="H852" s="50"/>
      <c r="I852" s="50"/>
      <c r="J852" s="50" t="s">
        <v>1407</v>
      </c>
    </row>
    <row r="853" ht="22.5" customHeight="1">
      <c r="A853" s="50"/>
      <c r="B853" s="50"/>
      <c r="C853" s="50"/>
      <c r="D853" s="180"/>
      <c r="E853" s="183"/>
      <c r="F853" s="50" t="s">
        <v>1407</v>
      </c>
      <c r="G853" s="50"/>
      <c r="H853" s="50"/>
      <c r="I853" s="50"/>
      <c r="J853" s="50" t="s">
        <v>1407</v>
      </c>
    </row>
    <row r="854" ht="22.5" customHeight="1">
      <c r="A854" s="50"/>
      <c r="B854" s="50"/>
      <c r="C854" s="50"/>
      <c r="D854" s="180"/>
      <c r="E854" s="183"/>
      <c r="F854" s="50" t="s">
        <v>1407</v>
      </c>
      <c r="G854" s="50"/>
      <c r="H854" s="50"/>
      <c r="I854" s="50"/>
      <c r="J854" s="50" t="s">
        <v>1407</v>
      </c>
    </row>
    <row r="855" ht="22.5" customHeight="1">
      <c r="A855" s="50"/>
      <c r="B855" s="50"/>
      <c r="C855" s="50"/>
      <c r="D855" s="180"/>
      <c r="E855" s="183"/>
      <c r="F855" s="50" t="s">
        <v>1407</v>
      </c>
      <c r="G855" s="50"/>
      <c r="H855" s="50"/>
      <c r="I855" s="50"/>
      <c r="J855" s="50" t="s">
        <v>1407</v>
      </c>
    </row>
    <row r="856" ht="22.5" customHeight="1">
      <c r="A856" s="50"/>
      <c r="B856" s="50"/>
      <c r="C856" s="50"/>
      <c r="D856" s="180"/>
      <c r="E856" s="183"/>
      <c r="F856" s="50" t="s">
        <v>1407</v>
      </c>
      <c r="G856" s="50"/>
      <c r="H856" s="50"/>
      <c r="I856" s="50"/>
      <c r="J856" s="50" t="s">
        <v>1407</v>
      </c>
    </row>
    <row r="857" ht="22.5" customHeight="1">
      <c r="A857" s="50"/>
      <c r="B857" s="50"/>
      <c r="C857" s="50"/>
      <c r="D857" s="180"/>
      <c r="E857" s="183"/>
      <c r="F857" s="50" t="s">
        <v>1407</v>
      </c>
      <c r="G857" s="50"/>
      <c r="H857" s="50"/>
      <c r="I857" s="50"/>
      <c r="J857" s="50" t="s">
        <v>1407</v>
      </c>
    </row>
    <row r="858" ht="22.5" customHeight="1">
      <c r="A858" s="50"/>
      <c r="B858" s="50"/>
      <c r="C858" s="50"/>
      <c r="D858" s="180"/>
      <c r="E858" s="183"/>
      <c r="F858" s="50" t="s">
        <v>1407</v>
      </c>
      <c r="G858" s="50"/>
      <c r="H858" s="50"/>
      <c r="I858" s="50"/>
      <c r="J858" s="50" t="s">
        <v>1407</v>
      </c>
    </row>
    <row r="859" ht="22.5" customHeight="1">
      <c r="A859" s="50"/>
      <c r="B859" s="50"/>
      <c r="C859" s="50"/>
      <c r="D859" s="180"/>
      <c r="E859" s="183"/>
      <c r="F859" s="50" t="s">
        <v>1407</v>
      </c>
      <c r="G859" s="50"/>
      <c r="H859" s="50"/>
      <c r="I859" s="50"/>
      <c r="J859" s="50" t="s">
        <v>1407</v>
      </c>
    </row>
    <row r="860" ht="22.5" customHeight="1">
      <c r="A860" s="50"/>
      <c r="B860" s="50"/>
      <c r="C860" s="50"/>
      <c r="D860" s="180"/>
      <c r="E860" s="183"/>
      <c r="F860" s="50" t="s">
        <v>1407</v>
      </c>
      <c r="G860" s="50"/>
      <c r="H860" s="50"/>
      <c r="I860" s="50"/>
      <c r="J860" s="50" t="s">
        <v>1407</v>
      </c>
    </row>
    <row r="861" ht="22.5" customHeight="1">
      <c r="A861" s="50"/>
      <c r="B861" s="50"/>
      <c r="C861" s="50"/>
      <c r="D861" s="180"/>
      <c r="E861" s="183"/>
      <c r="F861" s="50" t="s">
        <v>1407</v>
      </c>
      <c r="G861" s="50"/>
      <c r="H861" s="50"/>
      <c r="I861" s="50"/>
      <c r="J861" s="50" t="s">
        <v>1407</v>
      </c>
    </row>
    <row r="862" ht="22.5" customHeight="1">
      <c r="A862" s="50"/>
      <c r="B862" s="50"/>
      <c r="C862" s="50"/>
      <c r="D862" s="180"/>
      <c r="E862" s="183"/>
      <c r="F862" s="50" t="s">
        <v>1407</v>
      </c>
      <c r="G862" s="50"/>
      <c r="H862" s="50"/>
      <c r="I862" s="50"/>
      <c r="J862" s="50" t="s">
        <v>1407</v>
      </c>
    </row>
    <row r="863" ht="22.5" customHeight="1">
      <c r="A863" s="50"/>
      <c r="B863" s="50"/>
      <c r="C863" s="50"/>
      <c r="D863" s="180"/>
      <c r="E863" s="183"/>
      <c r="F863" s="50" t="s">
        <v>1407</v>
      </c>
      <c r="G863" s="50"/>
      <c r="H863" s="50"/>
      <c r="I863" s="50"/>
      <c r="J863" s="50" t="s">
        <v>1407</v>
      </c>
    </row>
    <row r="864" ht="22.5" customHeight="1">
      <c r="A864" s="50"/>
      <c r="B864" s="50"/>
      <c r="C864" s="50"/>
      <c r="D864" s="180"/>
      <c r="E864" s="183"/>
      <c r="F864" s="50" t="s">
        <v>1407</v>
      </c>
      <c r="G864" s="50"/>
      <c r="H864" s="50"/>
      <c r="I864" s="50"/>
      <c r="J864" s="50" t="s">
        <v>1407</v>
      </c>
    </row>
    <row r="865" ht="22.5" customHeight="1">
      <c r="A865" s="50"/>
      <c r="B865" s="50"/>
      <c r="C865" s="50"/>
      <c r="D865" s="180"/>
      <c r="E865" s="183"/>
      <c r="F865" s="50" t="s">
        <v>1407</v>
      </c>
      <c r="G865" s="50"/>
      <c r="H865" s="50"/>
      <c r="I865" s="50"/>
      <c r="J865" s="50" t="s">
        <v>1407</v>
      </c>
    </row>
    <row r="866" ht="22.5" customHeight="1">
      <c r="A866" s="50"/>
      <c r="B866" s="50"/>
      <c r="C866" s="50"/>
      <c r="D866" s="180"/>
      <c r="E866" s="183"/>
      <c r="F866" s="50" t="s">
        <v>1407</v>
      </c>
      <c r="G866" s="50"/>
      <c r="H866" s="50"/>
      <c r="I866" s="50"/>
      <c r="J866" s="50" t="s">
        <v>1407</v>
      </c>
    </row>
    <row r="867" ht="22.5" customHeight="1">
      <c r="A867" s="50"/>
      <c r="B867" s="50"/>
      <c r="C867" s="50"/>
      <c r="D867" s="180"/>
      <c r="E867" s="183"/>
      <c r="F867" s="50" t="s">
        <v>1407</v>
      </c>
      <c r="G867" s="50"/>
      <c r="H867" s="50"/>
      <c r="I867" s="50"/>
      <c r="J867" s="50" t="s">
        <v>1407</v>
      </c>
    </row>
    <row r="868" ht="22.5" customHeight="1">
      <c r="A868" s="50"/>
      <c r="B868" s="50"/>
      <c r="C868" s="50"/>
      <c r="D868" s="180"/>
      <c r="E868" s="183"/>
      <c r="F868" s="50" t="s">
        <v>1407</v>
      </c>
      <c r="G868" s="50"/>
      <c r="H868" s="50"/>
      <c r="I868" s="50"/>
      <c r="J868" s="50" t="s">
        <v>1407</v>
      </c>
    </row>
    <row r="869" ht="22.5" customHeight="1">
      <c r="A869" s="50"/>
      <c r="B869" s="50"/>
      <c r="C869" s="50"/>
      <c r="D869" s="180"/>
      <c r="E869" s="183"/>
      <c r="F869" s="50" t="s">
        <v>1407</v>
      </c>
      <c r="G869" s="50"/>
      <c r="H869" s="50"/>
      <c r="I869" s="50"/>
      <c r="J869" s="50" t="s">
        <v>1407</v>
      </c>
    </row>
    <row r="870" ht="22.5" customHeight="1">
      <c r="A870" s="50"/>
      <c r="B870" s="50"/>
      <c r="C870" s="50"/>
      <c r="D870" s="180"/>
      <c r="E870" s="183"/>
      <c r="F870" s="50" t="s">
        <v>1407</v>
      </c>
      <c r="G870" s="50"/>
      <c r="H870" s="50"/>
      <c r="I870" s="50"/>
      <c r="J870" s="50" t="s">
        <v>1407</v>
      </c>
    </row>
    <row r="871" ht="22.5" customHeight="1">
      <c r="A871" s="50"/>
      <c r="B871" s="50"/>
      <c r="C871" s="50"/>
      <c r="D871" s="180"/>
      <c r="E871" s="183"/>
      <c r="F871" s="50" t="s">
        <v>1407</v>
      </c>
      <c r="G871" s="50"/>
      <c r="H871" s="50"/>
      <c r="I871" s="50"/>
      <c r="J871" s="50" t="s">
        <v>1407</v>
      </c>
    </row>
    <row r="872" ht="22.5" customHeight="1">
      <c r="A872" s="50"/>
      <c r="B872" s="50"/>
      <c r="C872" s="50"/>
      <c r="D872" s="180"/>
      <c r="E872" s="183"/>
      <c r="F872" s="50" t="s">
        <v>1407</v>
      </c>
      <c r="G872" s="50"/>
      <c r="H872" s="50"/>
      <c r="I872" s="50"/>
      <c r="J872" s="50" t="s">
        <v>1407</v>
      </c>
    </row>
    <row r="873" ht="22.5" customHeight="1">
      <c r="A873" s="50"/>
      <c r="B873" s="50"/>
      <c r="C873" s="50"/>
      <c r="D873" s="180"/>
      <c r="E873" s="183"/>
      <c r="F873" s="50" t="s">
        <v>1407</v>
      </c>
      <c r="G873" s="50"/>
      <c r="H873" s="50"/>
      <c r="I873" s="50"/>
      <c r="J873" s="50" t="s">
        <v>1407</v>
      </c>
    </row>
    <row r="874" ht="22.5" customHeight="1">
      <c r="A874" s="50"/>
      <c r="B874" s="50"/>
      <c r="C874" s="50"/>
      <c r="D874" s="180"/>
      <c r="E874" s="183"/>
      <c r="F874" s="50" t="s">
        <v>1407</v>
      </c>
      <c r="G874" s="50"/>
      <c r="H874" s="50"/>
      <c r="I874" s="50"/>
      <c r="J874" s="50" t="s">
        <v>1407</v>
      </c>
    </row>
    <row r="875" ht="22.5" customHeight="1">
      <c r="A875" s="50"/>
      <c r="B875" s="50"/>
      <c r="C875" s="50"/>
      <c r="D875" s="180"/>
      <c r="E875" s="183"/>
      <c r="F875" s="50" t="s">
        <v>1407</v>
      </c>
      <c r="G875" s="50"/>
      <c r="H875" s="50"/>
      <c r="I875" s="50"/>
      <c r="J875" s="50" t="s">
        <v>1407</v>
      </c>
    </row>
    <row r="876" ht="22.5" customHeight="1">
      <c r="A876" s="50"/>
      <c r="B876" s="50"/>
      <c r="C876" s="50"/>
      <c r="D876" s="180"/>
      <c r="E876" s="183"/>
      <c r="F876" s="50" t="s">
        <v>1407</v>
      </c>
      <c r="G876" s="50"/>
      <c r="H876" s="50"/>
      <c r="I876" s="50"/>
      <c r="J876" s="50" t="s">
        <v>1407</v>
      </c>
    </row>
    <row r="877" ht="22.5" customHeight="1">
      <c r="A877" s="50"/>
      <c r="B877" s="50"/>
      <c r="C877" s="50"/>
      <c r="D877" s="180"/>
      <c r="E877" s="183"/>
      <c r="F877" s="50" t="s">
        <v>1407</v>
      </c>
      <c r="G877" s="50"/>
      <c r="H877" s="50"/>
      <c r="I877" s="50"/>
      <c r="J877" s="50" t="s">
        <v>1407</v>
      </c>
    </row>
    <row r="878" ht="22.5" customHeight="1">
      <c r="A878" s="50"/>
      <c r="B878" s="50"/>
      <c r="C878" s="50"/>
      <c r="D878" s="180"/>
      <c r="E878" s="183"/>
      <c r="F878" s="50" t="s">
        <v>1407</v>
      </c>
      <c r="G878" s="50"/>
      <c r="H878" s="50"/>
      <c r="I878" s="50"/>
      <c r="J878" s="50" t="s">
        <v>1407</v>
      </c>
    </row>
    <row r="879" ht="22.5" customHeight="1">
      <c r="A879" s="50"/>
      <c r="B879" s="50"/>
      <c r="C879" s="50"/>
      <c r="D879" s="180"/>
      <c r="E879" s="183"/>
      <c r="F879" s="50" t="s">
        <v>1407</v>
      </c>
      <c r="G879" s="50"/>
      <c r="H879" s="50"/>
      <c r="I879" s="50"/>
      <c r="J879" s="50" t="s">
        <v>1407</v>
      </c>
    </row>
    <row r="880" ht="22.5" customHeight="1">
      <c r="A880" s="50"/>
      <c r="B880" s="50"/>
      <c r="C880" s="50"/>
      <c r="D880" s="180"/>
      <c r="E880" s="183"/>
      <c r="F880" s="50" t="s">
        <v>1407</v>
      </c>
      <c r="G880" s="50"/>
      <c r="H880" s="50"/>
      <c r="I880" s="50"/>
      <c r="J880" s="50" t="s">
        <v>1407</v>
      </c>
    </row>
    <row r="881" ht="22.5" customHeight="1">
      <c r="A881" s="50"/>
      <c r="B881" s="50"/>
      <c r="C881" s="50"/>
      <c r="D881" s="180"/>
      <c r="E881" s="183"/>
      <c r="F881" s="50" t="s">
        <v>1407</v>
      </c>
      <c r="G881" s="50"/>
      <c r="H881" s="50"/>
      <c r="I881" s="50"/>
      <c r="J881" s="50" t="s">
        <v>1407</v>
      </c>
    </row>
    <row r="882" ht="22.5" customHeight="1">
      <c r="A882" s="50"/>
      <c r="B882" s="50"/>
      <c r="C882" s="50"/>
      <c r="D882" s="180"/>
      <c r="E882" s="183"/>
      <c r="F882" s="50" t="s">
        <v>1407</v>
      </c>
      <c r="G882" s="50"/>
      <c r="H882" s="50"/>
      <c r="I882" s="50"/>
      <c r="J882" s="50" t="s">
        <v>1407</v>
      </c>
    </row>
    <row r="883" ht="22.5" customHeight="1">
      <c r="A883" s="50"/>
      <c r="B883" s="50"/>
      <c r="C883" s="50"/>
      <c r="D883" s="180"/>
      <c r="E883" s="183"/>
      <c r="F883" s="50" t="s">
        <v>1407</v>
      </c>
      <c r="G883" s="50"/>
      <c r="H883" s="50"/>
      <c r="I883" s="50"/>
      <c r="J883" s="50" t="s">
        <v>1407</v>
      </c>
    </row>
    <row r="884" ht="22.5" customHeight="1">
      <c r="A884" s="50"/>
      <c r="B884" s="50"/>
      <c r="C884" s="50"/>
      <c r="D884" s="180"/>
      <c r="E884" s="183"/>
      <c r="F884" s="50" t="s">
        <v>1407</v>
      </c>
      <c r="G884" s="50"/>
      <c r="H884" s="50"/>
      <c r="I884" s="50"/>
      <c r="J884" s="50" t="s">
        <v>1407</v>
      </c>
    </row>
    <row r="885" ht="22.5" customHeight="1">
      <c r="A885" s="50"/>
      <c r="B885" s="50"/>
      <c r="C885" s="50"/>
      <c r="D885" s="180"/>
      <c r="E885" s="183"/>
      <c r="F885" s="50" t="s">
        <v>1407</v>
      </c>
      <c r="G885" s="50"/>
      <c r="H885" s="50"/>
      <c r="I885" s="50"/>
      <c r="J885" s="50" t="s">
        <v>1407</v>
      </c>
    </row>
    <row r="886" ht="22.5" customHeight="1">
      <c r="A886" s="50"/>
      <c r="B886" s="50"/>
      <c r="C886" s="50"/>
      <c r="D886" s="180"/>
      <c r="E886" s="183"/>
      <c r="F886" s="50" t="s">
        <v>1407</v>
      </c>
      <c r="G886" s="50"/>
      <c r="H886" s="50"/>
      <c r="I886" s="50"/>
      <c r="J886" s="50" t="s">
        <v>1407</v>
      </c>
    </row>
    <row r="887" ht="22.5" customHeight="1">
      <c r="A887" s="50"/>
      <c r="B887" s="50"/>
      <c r="C887" s="50"/>
      <c r="D887" s="180"/>
      <c r="E887" s="183"/>
      <c r="F887" s="50" t="s">
        <v>1407</v>
      </c>
      <c r="G887" s="50"/>
      <c r="H887" s="50"/>
      <c r="I887" s="50"/>
      <c r="J887" s="50" t="s">
        <v>1407</v>
      </c>
    </row>
    <row r="888" ht="22.5" customHeight="1">
      <c r="A888" s="50"/>
      <c r="B888" s="50"/>
      <c r="C888" s="50"/>
      <c r="D888" s="180"/>
      <c r="E888" s="183"/>
      <c r="F888" s="50" t="s">
        <v>1407</v>
      </c>
      <c r="G888" s="50"/>
      <c r="H888" s="50"/>
      <c r="I888" s="50"/>
      <c r="J888" s="50" t="s">
        <v>1407</v>
      </c>
    </row>
    <row r="889" ht="22.5" customHeight="1">
      <c r="A889" s="50"/>
      <c r="B889" s="50"/>
      <c r="C889" s="50"/>
      <c r="D889" s="180"/>
      <c r="E889" s="183"/>
      <c r="F889" s="50" t="s">
        <v>1407</v>
      </c>
      <c r="G889" s="50"/>
      <c r="H889" s="50"/>
      <c r="I889" s="50"/>
      <c r="J889" s="50" t="s">
        <v>1407</v>
      </c>
    </row>
    <row r="890" ht="22.5" customHeight="1">
      <c r="A890" s="50"/>
      <c r="B890" s="50"/>
      <c r="C890" s="50"/>
      <c r="D890" s="180"/>
      <c r="E890" s="183"/>
      <c r="F890" s="50" t="s">
        <v>1407</v>
      </c>
      <c r="G890" s="50"/>
      <c r="H890" s="50"/>
      <c r="I890" s="50"/>
      <c r="J890" s="50" t="s">
        <v>1407</v>
      </c>
    </row>
    <row r="891" ht="22.5" customHeight="1">
      <c r="A891" s="50"/>
      <c r="B891" s="50"/>
      <c r="C891" s="50"/>
      <c r="D891" s="180"/>
      <c r="E891" s="183"/>
      <c r="F891" s="50" t="s">
        <v>1407</v>
      </c>
      <c r="G891" s="50"/>
      <c r="H891" s="50"/>
      <c r="I891" s="50"/>
      <c r="J891" s="50" t="s">
        <v>1407</v>
      </c>
    </row>
    <row r="892" ht="22.5" customHeight="1">
      <c r="A892" s="50"/>
      <c r="B892" s="50"/>
      <c r="C892" s="50"/>
      <c r="D892" s="180"/>
      <c r="E892" s="183"/>
      <c r="F892" s="50" t="s">
        <v>1407</v>
      </c>
      <c r="G892" s="50"/>
      <c r="H892" s="50"/>
      <c r="I892" s="50"/>
      <c r="J892" s="50" t="s">
        <v>1407</v>
      </c>
    </row>
    <row r="893" ht="22.5" customHeight="1">
      <c r="A893" s="50"/>
      <c r="B893" s="50"/>
      <c r="C893" s="50"/>
      <c r="D893" s="180"/>
      <c r="E893" s="183"/>
      <c r="F893" s="50" t="s">
        <v>1407</v>
      </c>
      <c r="G893" s="50"/>
      <c r="H893" s="50"/>
      <c r="I893" s="50"/>
      <c r="J893" s="50" t="s">
        <v>1407</v>
      </c>
    </row>
    <row r="894" ht="22.5" customHeight="1">
      <c r="A894" s="50"/>
      <c r="B894" s="50"/>
      <c r="C894" s="50"/>
      <c r="D894" s="180"/>
      <c r="E894" s="183"/>
      <c r="F894" s="50" t="s">
        <v>1407</v>
      </c>
      <c r="G894" s="50"/>
      <c r="H894" s="50"/>
      <c r="I894" s="50"/>
      <c r="J894" s="50" t="s">
        <v>1407</v>
      </c>
    </row>
    <row r="895" ht="22.5" customHeight="1">
      <c r="A895" s="50"/>
      <c r="B895" s="50"/>
      <c r="C895" s="50"/>
      <c r="D895" s="180"/>
      <c r="E895" s="183"/>
      <c r="F895" s="50" t="s">
        <v>1407</v>
      </c>
      <c r="G895" s="50"/>
      <c r="H895" s="50"/>
      <c r="I895" s="50"/>
      <c r="J895" s="50" t="s">
        <v>1407</v>
      </c>
    </row>
    <row r="896" ht="22.5" customHeight="1">
      <c r="A896" s="50"/>
      <c r="B896" s="50"/>
      <c r="C896" s="50"/>
      <c r="D896" s="180"/>
      <c r="E896" s="183"/>
      <c r="F896" s="50" t="s">
        <v>1407</v>
      </c>
      <c r="G896" s="50"/>
      <c r="H896" s="50"/>
      <c r="I896" s="50"/>
      <c r="J896" s="50" t="s">
        <v>1407</v>
      </c>
    </row>
    <row r="897" ht="22.5" customHeight="1">
      <c r="A897" s="50"/>
      <c r="B897" s="50"/>
      <c r="C897" s="50"/>
      <c r="D897" s="180"/>
      <c r="E897" s="183"/>
      <c r="F897" s="50" t="s">
        <v>1407</v>
      </c>
      <c r="G897" s="50"/>
      <c r="H897" s="50"/>
      <c r="I897" s="50"/>
      <c r="J897" s="50" t="s">
        <v>1407</v>
      </c>
    </row>
    <row r="898" ht="22.5" customHeight="1">
      <c r="A898" s="50"/>
      <c r="B898" s="50"/>
      <c r="C898" s="50"/>
      <c r="D898" s="180"/>
      <c r="E898" s="183"/>
      <c r="F898" s="50" t="s">
        <v>1407</v>
      </c>
      <c r="G898" s="50"/>
      <c r="H898" s="50"/>
      <c r="I898" s="50"/>
      <c r="J898" s="50" t="s">
        <v>1407</v>
      </c>
    </row>
    <row r="899" ht="22.5" customHeight="1">
      <c r="A899" s="50"/>
      <c r="B899" s="50"/>
      <c r="C899" s="50"/>
      <c r="D899" s="180"/>
      <c r="E899" s="183"/>
      <c r="F899" s="50" t="s">
        <v>1407</v>
      </c>
      <c r="G899" s="50"/>
      <c r="H899" s="50"/>
      <c r="I899" s="50"/>
      <c r="J899" s="50" t="s">
        <v>1407</v>
      </c>
    </row>
    <row r="900" ht="22.5" customHeight="1">
      <c r="A900" s="50"/>
      <c r="B900" s="50"/>
      <c r="C900" s="50"/>
      <c r="D900" s="180"/>
      <c r="E900" s="183"/>
      <c r="F900" s="50" t="s">
        <v>1407</v>
      </c>
      <c r="G900" s="50"/>
      <c r="H900" s="50"/>
      <c r="I900" s="50"/>
      <c r="J900" s="50" t="s">
        <v>1407</v>
      </c>
    </row>
    <row r="901" ht="22.5" customHeight="1">
      <c r="A901" s="50"/>
      <c r="B901" s="50"/>
      <c r="C901" s="50"/>
      <c r="D901" s="180"/>
      <c r="E901" s="183"/>
      <c r="F901" s="50" t="s">
        <v>1407</v>
      </c>
      <c r="G901" s="50"/>
      <c r="H901" s="50"/>
      <c r="I901" s="50"/>
      <c r="J901" s="50" t="s">
        <v>1407</v>
      </c>
    </row>
    <row r="902" ht="22.5" customHeight="1">
      <c r="A902" s="50"/>
      <c r="B902" s="50"/>
      <c r="C902" s="50"/>
      <c r="D902" s="180"/>
      <c r="E902" s="183"/>
      <c r="F902" s="50" t="s">
        <v>1407</v>
      </c>
      <c r="G902" s="50"/>
      <c r="H902" s="50"/>
      <c r="I902" s="50"/>
      <c r="J902" s="50" t="s">
        <v>1407</v>
      </c>
    </row>
    <row r="903" ht="22.5" customHeight="1">
      <c r="A903" s="50"/>
      <c r="B903" s="50"/>
      <c r="C903" s="50"/>
      <c r="D903" s="180"/>
      <c r="E903" s="183"/>
      <c r="F903" s="50" t="s">
        <v>1407</v>
      </c>
      <c r="G903" s="50"/>
      <c r="H903" s="50"/>
      <c r="I903" s="50"/>
      <c r="J903" s="50" t="s">
        <v>1407</v>
      </c>
    </row>
    <row r="904" ht="22.5" customHeight="1">
      <c r="A904" s="50"/>
      <c r="B904" s="50"/>
      <c r="C904" s="50"/>
      <c r="D904" s="180"/>
      <c r="E904" s="183"/>
      <c r="F904" s="50" t="s">
        <v>1407</v>
      </c>
      <c r="G904" s="50"/>
      <c r="H904" s="50"/>
      <c r="I904" s="50"/>
      <c r="J904" s="50" t="s">
        <v>1407</v>
      </c>
    </row>
    <row r="905" ht="22.5" customHeight="1">
      <c r="A905" s="50"/>
      <c r="B905" s="50"/>
      <c r="C905" s="50"/>
      <c r="D905" s="180"/>
      <c r="E905" s="183"/>
      <c r="F905" s="50" t="s">
        <v>1407</v>
      </c>
      <c r="G905" s="50"/>
      <c r="H905" s="50"/>
      <c r="I905" s="50"/>
      <c r="J905" s="50" t="s">
        <v>1407</v>
      </c>
    </row>
    <row r="906" ht="22.5" customHeight="1">
      <c r="A906" s="50"/>
      <c r="B906" s="50"/>
      <c r="C906" s="50"/>
      <c r="D906" s="180"/>
      <c r="E906" s="183"/>
      <c r="F906" s="50" t="s">
        <v>1407</v>
      </c>
      <c r="G906" s="50"/>
      <c r="H906" s="50"/>
      <c r="I906" s="50"/>
      <c r="J906" s="50" t="s">
        <v>1407</v>
      </c>
    </row>
    <row r="907" ht="22.5" customHeight="1">
      <c r="A907" s="50"/>
      <c r="B907" s="50"/>
      <c r="C907" s="50"/>
      <c r="D907" s="180"/>
      <c r="E907" s="183"/>
      <c r="F907" s="50" t="s">
        <v>1407</v>
      </c>
      <c r="G907" s="50"/>
      <c r="H907" s="50"/>
      <c r="I907" s="50"/>
      <c r="J907" s="50" t="s">
        <v>1407</v>
      </c>
    </row>
    <row r="908" ht="22.5" customHeight="1">
      <c r="A908" s="50"/>
      <c r="B908" s="50"/>
      <c r="C908" s="50"/>
      <c r="D908" s="180"/>
      <c r="E908" s="183"/>
      <c r="F908" s="50" t="s">
        <v>1407</v>
      </c>
      <c r="G908" s="50"/>
      <c r="H908" s="50"/>
      <c r="I908" s="50"/>
      <c r="J908" s="50" t="s">
        <v>1407</v>
      </c>
    </row>
    <row r="909" ht="22.5" customHeight="1">
      <c r="A909" s="50"/>
      <c r="B909" s="50"/>
      <c r="C909" s="50"/>
      <c r="D909" s="180"/>
      <c r="E909" s="183"/>
      <c r="F909" s="50" t="s">
        <v>1407</v>
      </c>
      <c r="G909" s="50"/>
      <c r="H909" s="50"/>
      <c r="I909" s="50"/>
      <c r="J909" s="50" t="s">
        <v>1407</v>
      </c>
    </row>
    <row r="910" ht="22.5" customHeight="1">
      <c r="A910" s="50"/>
      <c r="B910" s="50"/>
      <c r="C910" s="50"/>
      <c r="D910" s="180"/>
      <c r="E910" s="183"/>
      <c r="F910" s="50" t="s">
        <v>1407</v>
      </c>
      <c r="G910" s="50"/>
      <c r="H910" s="50"/>
      <c r="I910" s="50"/>
      <c r="J910" s="50" t="s">
        <v>1407</v>
      </c>
    </row>
    <row r="911" ht="22.5" customHeight="1">
      <c r="A911" s="50"/>
      <c r="B911" s="50"/>
      <c r="C911" s="50"/>
      <c r="D911" s="180"/>
      <c r="E911" s="183"/>
      <c r="F911" s="50" t="s">
        <v>1407</v>
      </c>
      <c r="G911" s="50"/>
      <c r="H911" s="50"/>
      <c r="I911" s="50"/>
      <c r="J911" s="50" t="s">
        <v>1407</v>
      </c>
    </row>
    <row r="912" ht="22.5" customHeight="1">
      <c r="A912" s="50"/>
      <c r="B912" s="50"/>
      <c r="C912" s="50"/>
      <c r="D912" s="180"/>
      <c r="E912" s="183"/>
      <c r="F912" s="50" t="s">
        <v>1407</v>
      </c>
      <c r="G912" s="50"/>
      <c r="H912" s="50"/>
      <c r="I912" s="50"/>
      <c r="J912" s="50" t="s">
        <v>1407</v>
      </c>
    </row>
    <row r="913" ht="22.5" customHeight="1">
      <c r="A913" s="50"/>
      <c r="B913" s="50"/>
      <c r="C913" s="50"/>
      <c r="D913" s="180"/>
      <c r="E913" s="183"/>
      <c r="F913" s="50" t="s">
        <v>1407</v>
      </c>
      <c r="G913" s="50"/>
      <c r="H913" s="50"/>
      <c r="I913" s="50"/>
      <c r="J913" s="50" t="s">
        <v>1407</v>
      </c>
    </row>
    <row r="914" ht="22.5" customHeight="1">
      <c r="A914" s="50"/>
      <c r="B914" s="50"/>
      <c r="C914" s="50"/>
      <c r="D914" s="180"/>
      <c r="E914" s="183"/>
      <c r="F914" s="50" t="s">
        <v>1407</v>
      </c>
      <c r="G914" s="50"/>
      <c r="H914" s="50"/>
      <c r="I914" s="50"/>
      <c r="J914" s="50" t="s">
        <v>1407</v>
      </c>
    </row>
    <row r="915" ht="22.5" customHeight="1">
      <c r="A915" s="50"/>
      <c r="B915" s="50"/>
      <c r="C915" s="50"/>
      <c r="D915" s="180"/>
      <c r="E915" s="183"/>
      <c r="F915" s="50" t="s">
        <v>1407</v>
      </c>
      <c r="G915" s="50"/>
      <c r="H915" s="50"/>
      <c r="I915" s="50"/>
      <c r="J915" s="50" t="s">
        <v>1407</v>
      </c>
    </row>
    <row r="916" ht="22.5" customHeight="1">
      <c r="A916" s="50"/>
      <c r="B916" s="50"/>
      <c r="C916" s="50"/>
      <c r="D916" s="180"/>
      <c r="E916" s="183"/>
      <c r="F916" s="50" t="s">
        <v>1407</v>
      </c>
      <c r="G916" s="50"/>
      <c r="H916" s="50"/>
      <c r="I916" s="50"/>
      <c r="J916" s="50" t="s">
        <v>1407</v>
      </c>
    </row>
    <row r="917" ht="22.5" customHeight="1">
      <c r="A917" s="50"/>
      <c r="B917" s="50"/>
      <c r="C917" s="50"/>
      <c r="D917" s="180"/>
      <c r="E917" s="183"/>
      <c r="F917" s="50" t="s">
        <v>1407</v>
      </c>
      <c r="G917" s="50"/>
      <c r="H917" s="50"/>
      <c r="I917" s="50"/>
      <c r="J917" s="50" t="s">
        <v>1407</v>
      </c>
    </row>
    <row r="918" ht="22.5" customHeight="1">
      <c r="A918" s="50"/>
      <c r="B918" s="50"/>
      <c r="C918" s="50"/>
      <c r="D918" s="180"/>
      <c r="E918" s="183"/>
      <c r="F918" s="50" t="s">
        <v>1407</v>
      </c>
      <c r="G918" s="50"/>
      <c r="H918" s="50"/>
      <c r="I918" s="50"/>
      <c r="J918" s="50" t="s">
        <v>1407</v>
      </c>
    </row>
    <row r="919" ht="22.5" customHeight="1">
      <c r="A919" s="50"/>
      <c r="B919" s="50"/>
      <c r="C919" s="50"/>
      <c r="D919" s="180"/>
      <c r="E919" s="183"/>
      <c r="F919" s="50" t="s">
        <v>1407</v>
      </c>
      <c r="G919" s="50"/>
      <c r="H919" s="50"/>
      <c r="I919" s="50"/>
      <c r="J919" s="50" t="s">
        <v>1407</v>
      </c>
    </row>
    <row r="920" ht="22.5" customHeight="1">
      <c r="A920" s="50"/>
      <c r="B920" s="50"/>
      <c r="C920" s="50"/>
      <c r="D920" s="180"/>
      <c r="E920" s="183"/>
      <c r="F920" s="50" t="s">
        <v>1407</v>
      </c>
      <c r="G920" s="50"/>
      <c r="H920" s="50"/>
      <c r="I920" s="50"/>
      <c r="J920" s="50" t="s">
        <v>1407</v>
      </c>
    </row>
    <row r="921" ht="22.5" customHeight="1">
      <c r="A921" s="50"/>
      <c r="B921" s="50"/>
      <c r="C921" s="50"/>
      <c r="D921" s="180"/>
      <c r="E921" s="183"/>
      <c r="F921" s="50" t="s">
        <v>1407</v>
      </c>
      <c r="G921" s="50"/>
      <c r="H921" s="50"/>
      <c r="I921" s="50"/>
      <c r="J921" s="50" t="s">
        <v>1407</v>
      </c>
    </row>
    <row r="922" ht="22.5" customHeight="1">
      <c r="A922" s="50"/>
      <c r="B922" s="50"/>
      <c r="C922" s="50"/>
      <c r="D922" s="180"/>
      <c r="E922" s="183"/>
      <c r="F922" s="50" t="s">
        <v>1407</v>
      </c>
      <c r="G922" s="50"/>
      <c r="H922" s="50"/>
      <c r="I922" s="50"/>
      <c r="J922" s="50" t="s">
        <v>1407</v>
      </c>
    </row>
    <row r="923" ht="22.5" customHeight="1">
      <c r="A923" s="50"/>
      <c r="B923" s="50"/>
      <c r="C923" s="50"/>
      <c r="D923" s="180"/>
      <c r="E923" s="183"/>
      <c r="F923" s="50" t="s">
        <v>1407</v>
      </c>
      <c r="G923" s="50"/>
      <c r="H923" s="50"/>
      <c r="I923" s="50"/>
      <c r="J923" s="50" t="s">
        <v>1407</v>
      </c>
    </row>
    <row r="924" ht="22.5" customHeight="1">
      <c r="A924" s="50"/>
      <c r="B924" s="50"/>
      <c r="C924" s="50"/>
      <c r="D924" s="180"/>
      <c r="E924" s="183"/>
      <c r="F924" s="50" t="s">
        <v>1407</v>
      </c>
      <c r="G924" s="50"/>
      <c r="H924" s="50"/>
      <c r="I924" s="50"/>
      <c r="J924" s="50" t="s">
        <v>1407</v>
      </c>
    </row>
    <row r="925" ht="22.5" customHeight="1">
      <c r="A925" s="50"/>
      <c r="B925" s="50"/>
      <c r="C925" s="50"/>
      <c r="D925" s="180"/>
      <c r="E925" s="183"/>
      <c r="F925" s="50" t="s">
        <v>1407</v>
      </c>
      <c r="G925" s="50"/>
      <c r="H925" s="50"/>
      <c r="I925" s="50"/>
      <c r="J925" s="50" t="s">
        <v>1407</v>
      </c>
    </row>
    <row r="926" ht="22.5" customHeight="1">
      <c r="A926" s="50"/>
      <c r="B926" s="50"/>
      <c r="C926" s="50"/>
      <c r="D926" s="180"/>
      <c r="E926" s="183"/>
      <c r="F926" s="50" t="s">
        <v>1407</v>
      </c>
      <c r="G926" s="50"/>
      <c r="H926" s="50"/>
      <c r="I926" s="50"/>
      <c r="J926" s="50" t="s">
        <v>1407</v>
      </c>
    </row>
    <row r="927" ht="22.5" customHeight="1">
      <c r="A927" s="50"/>
      <c r="B927" s="50"/>
      <c r="C927" s="50"/>
      <c r="D927" s="180"/>
      <c r="E927" s="183"/>
      <c r="F927" s="50" t="s">
        <v>1407</v>
      </c>
      <c r="G927" s="50"/>
      <c r="H927" s="50"/>
      <c r="I927" s="50"/>
      <c r="J927" s="50" t="s">
        <v>1407</v>
      </c>
    </row>
    <row r="928" ht="22.5" customHeight="1">
      <c r="A928" s="50"/>
      <c r="B928" s="50"/>
      <c r="C928" s="50"/>
      <c r="D928" s="180"/>
      <c r="E928" s="183"/>
      <c r="F928" s="50" t="s">
        <v>1407</v>
      </c>
      <c r="G928" s="50"/>
      <c r="H928" s="50"/>
      <c r="I928" s="50"/>
      <c r="J928" s="50" t="s">
        <v>1407</v>
      </c>
    </row>
    <row r="929" ht="22.5" customHeight="1">
      <c r="A929" s="50"/>
      <c r="B929" s="50"/>
      <c r="C929" s="50"/>
      <c r="D929" s="180"/>
      <c r="E929" s="183"/>
      <c r="F929" s="50" t="s">
        <v>1407</v>
      </c>
      <c r="G929" s="50"/>
      <c r="H929" s="50"/>
      <c r="I929" s="50"/>
      <c r="J929" s="50" t="s">
        <v>1407</v>
      </c>
    </row>
    <row r="930" ht="22.5" customHeight="1">
      <c r="A930" s="50"/>
      <c r="B930" s="50"/>
      <c r="C930" s="50"/>
      <c r="D930" s="180"/>
      <c r="E930" s="183"/>
      <c r="F930" s="50" t="s">
        <v>1407</v>
      </c>
      <c r="G930" s="50"/>
      <c r="H930" s="50"/>
      <c r="I930" s="50"/>
      <c r="J930" s="50" t="s">
        <v>1407</v>
      </c>
    </row>
    <row r="931" ht="22.5" customHeight="1">
      <c r="A931" s="50"/>
      <c r="B931" s="50"/>
      <c r="C931" s="50"/>
      <c r="D931" s="180"/>
      <c r="E931" s="183"/>
      <c r="F931" s="50" t="s">
        <v>1407</v>
      </c>
      <c r="G931" s="50"/>
      <c r="H931" s="50"/>
      <c r="I931" s="50"/>
      <c r="J931" s="50" t="s">
        <v>1407</v>
      </c>
    </row>
    <row r="932" ht="22.5" customHeight="1">
      <c r="A932" s="50"/>
      <c r="B932" s="50"/>
      <c r="C932" s="50"/>
      <c r="D932" s="180"/>
      <c r="E932" s="183"/>
      <c r="F932" s="50" t="s">
        <v>1407</v>
      </c>
      <c r="G932" s="50"/>
      <c r="H932" s="50"/>
      <c r="I932" s="50"/>
      <c r="J932" s="50" t="s">
        <v>1407</v>
      </c>
    </row>
    <row r="933" ht="22.5" customHeight="1">
      <c r="A933" s="50"/>
      <c r="B933" s="50"/>
      <c r="C933" s="50"/>
      <c r="D933" s="180"/>
      <c r="E933" s="183"/>
      <c r="F933" s="50" t="s">
        <v>1407</v>
      </c>
      <c r="G933" s="50"/>
      <c r="H933" s="50"/>
      <c r="I933" s="50"/>
      <c r="J933" s="50" t="s">
        <v>1407</v>
      </c>
    </row>
    <row r="934" ht="22.5" customHeight="1">
      <c r="A934" s="50"/>
      <c r="B934" s="50"/>
      <c r="C934" s="50"/>
      <c r="D934" s="180"/>
      <c r="E934" s="183"/>
      <c r="F934" s="50" t="s">
        <v>1407</v>
      </c>
      <c r="G934" s="50"/>
      <c r="H934" s="50"/>
      <c r="I934" s="50"/>
      <c r="J934" s="50" t="s">
        <v>1407</v>
      </c>
    </row>
    <row r="935" ht="22.5" customHeight="1">
      <c r="A935" s="50"/>
      <c r="B935" s="50"/>
      <c r="C935" s="50"/>
      <c r="D935" s="180"/>
      <c r="E935" s="183"/>
      <c r="F935" s="50" t="s">
        <v>1407</v>
      </c>
      <c r="G935" s="50"/>
      <c r="H935" s="50"/>
      <c r="I935" s="50"/>
      <c r="J935" s="50" t="s">
        <v>1407</v>
      </c>
    </row>
    <row r="936" ht="22.5" customHeight="1">
      <c r="A936" s="50"/>
      <c r="B936" s="50"/>
      <c r="C936" s="50"/>
      <c r="D936" s="180"/>
      <c r="E936" s="183"/>
      <c r="F936" s="50" t="s">
        <v>1407</v>
      </c>
      <c r="G936" s="50"/>
      <c r="H936" s="50"/>
      <c r="I936" s="50"/>
      <c r="J936" s="50" t="s">
        <v>1407</v>
      </c>
    </row>
    <row r="937" ht="22.5" customHeight="1">
      <c r="A937" s="50"/>
      <c r="B937" s="50"/>
      <c r="C937" s="50"/>
      <c r="D937" s="180"/>
      <c r="E937" s="183"/>
      <c r="F937" s="50" t="s">
        <v>1407</v>
      </c>
      <c r="G937" s="50"/>
      <c r="H937" s="50"/>
      <c r="I937" s="50"/>
      <c r="J937" s="50" t="s">
        <v>1407</v>
      </c>
    </row>
    <row r="938" ht="22.5" customHeight="1">
      <c r="A938" s="50"/>
      <c r="B938" s="50"/>
      <c r="C938" s="50"/>
      <c r="D938" s="180"/>
      <c r="E938" s="183"/>
      <c r="F938" s="50" t="s">
        <v>1407</v>
      </c>
      <c r="G938" s="50"/>
      <c r="H938" s="50"/>
      <c r="I938" s="50"/>
      <c r="J938" s="50" t="s">
        <v>1407</v>
      </c>
    </row>
    <row r="939" ht="22.5" customHeight="1">
      <c r="A939" s="50"/>
      <c r="B939" s="50"/>
      <c r="C939" s="50"/>
      <c r="D939" s="180"/>
      <c r="E939" s="183"/>
      <c r="F939" s="50" t="s">
        <v>1407</v>
      </c>
      <c r="G939" s="50"/>
      <c r="H939" s="50"/>
      <c r="I939" s="50"/>
      <c r="J939" s="50" t="s">
        <v>1407</v>
      </c>
    </row>
    <row r="940" ht="22.5" customHeight="1">
      <c r="A940" s="50"/>
      <c r="B940" s="50"/>
      <c r="C940" s="50"/>
      <c r="D940" s="180"/>
      <c r="E940" s="183"/>
      <c r="F940" s="50" t="s">
        <v>1407</v>
      </c>
      <c r="G940" s="50"/>
      <c r="H940" s="50"/>
      <c r="I940" s="50"/>
      <c r="J940" s="50" t="s">
        <v>1407</v>
      </c>
    </row>
    <row r="941" ht="22.5" customHeight="1">
      <c r="A941" s="50"/>
      <c r="B941" s="50"/>
      <c r="C941" s="50"/>
      <c r="D941" s="180"/>
      <c r="E941" s="183"/>
      <c r="F941" s="50" t="s">
        <v>1407</v>
      </c>
      <c r="G941" s="50"/>
      <c r="H941" s="50"/>
      <c r="I941" s="50"/>
      <c r="J941" s="50" t="s">
        <v>1407</v>
      </c>
    </row>
    <row r="942" ht="22.5" customHeight="1">
      <c r="A942" s="50"/>
      <c r="B942" s="50"/>
      <c r="C942" s="50"/>
      <c r="D942" s="180"/>
      <c r="E942" s="183"/>
      <c r="F942" s="50" t="s">
        <v>1407</v>
      </c>
      <c r="G942" s="50"/>
      <c r="H942" s="50"/>
      <c r="I942" s="50"/>
      <c r="J942" s="50" t="s">
        <v>1407</v>
      </c>
    </row>
    <row r="943" ht="22.5" customHeight="1">
      <c r="A943" s="50"/>
      <c r="B943" s="50"/>
      <c r="C943" s="50"/>
      <c r="D943" s="180"/>
      <c r="E943" s="183"/>
      <c r="F943" s="50" t="s">
        <v>1407</v>
      </c>
      <c r="G943" s="50"/>
      <c r="H943" s="50"/>
      <c r="I943" s="50"/>
      <c r="J943" s="50" t="s">
        <v>1407</v>
      </c>
    </row>
    <row r="944" ht="22.5" customHeight="1">
      <c r="A944" s="50"/>
      <c r="B944" s="50"/>
      <c r="C944" s="50"/>
      <c r="D944" s="180"/>
      <c r="E944" s="183"/>
      <c r="F944" s="50" t="s">
        <v>1407</v>
      </c>
      <c r="G944" s="50"/>
      <c r="H944" s="50"/>
      <c r="I944" s="50"/>
      <c r="J944" s="50" t="s">
        <v>1407</v>
      </c>
    </row>
    <row r="945" ht="22.5" customHeight="1">
      <c r="A945" s="50"/>
      <c r="B945" s="50"/>
      <c r="C945" s="50"/>
      <c r="D945" s="180"/>
      <c r="E945" s="183"/>
      <c r="F945" s="50" t="s">
        <v>1407</v>
      </c>
      <c r="G945" s="50"/>
      <c r="H945" s="50"/>
      <c r="I945" s="50"/>
      <c r="J945" s="50" t="s">
        <v>1407</v>
      </c>
    </row>
    <row r="946" ht="22.5" customHeight="1">
      <c r="A946" s="50"/>
      <c r="B946" s="50"/>
      <c r="C946" s="50"/>
      <c r="D946" s="180"/>
      <c r="E946" s="183"/>
      <c r="F946" s="50" t="s">
        <v>1407</v>
      </c>
      <c r="G946" s="50"/>
      <c r="H946" s="50"/>
      <c r="I946" s="50"/>
      <c r="J946" s="50" t="s">
        <v>1407</v>
      </c>
    </row>
    <row r="947" ht="22.5" customHeight="1">
      <c r="A947" s="50"/>
      <c r="B947" s="50"/>
      <c r="C947" s="50"/>
      <c r="D947" s="180"/>
      <c r="E947" s="183"/>
      <c r="F947" s="50" t="s">
        <v>1407</v>
      </c>
      <c r="G947" s="50"/>
      <c r="H947" s="50"/>
      <c r="I947" s="50"/>
      <c r="J947" s="50" t="s">
        <v>1407</v>
      </c>
    </row>
    <row r="948" ht="22.5" customHeight="1">
      <c r="A948" s="50"/>
      <c r="B948" s="50"/>
      <c r="C948" s="50"/>
      <c r="D948" s="180"/>
      <c r="E948" s="183"/>
      <c r="F948" s="50" t="s">
        <v>1407</v>
      </c>
      <c r="G948" s="50"/>
      <c r="H948" s="50"/>
      <c r="I948" s="50"/>
      <c r="J948" s="50" t="s">
        <v>1407</v>
      </c>
    </row>
    <row r="949" ht="22.5" customHeight="1">
      <c r="A949" s="50"/>
      <c r="B949" s="50"/>
      <c r="C949" s="50"/>
      <c r="D949" s="180"/>
      <c r="E949" s="183"/>
      <c r="F949" s="50" t="s">
        <v>1407</v>
      </c>
      <c r="G949" s="50"/>
      <c r="H949" s="50"/>
      <c r="I949" s="50"/>
      <c r="J949" s="50" t="s">
        <v>1407</v>
      </c>
    </row>
    <row r="950" ht="22.5" customHeight="1">
      <c r="A950" s="50"/>
      <c r="B950" s="50"/>
      <c r="C950" s="50"/>
      <c r="D950" s="180"/>
      <c r="E950" s="183"/>
      <c r="F950" s="50" t="s">
        <v>1407</v>
      </c>
      <c r="G950" s="50"/>
      <c r="H950" s="50"/>
      <c r="I950" s="50"/>
      <c r="J950" s="50" t="s">
        <v>1407</v>
      </c>
    </row>
    <row r="951" ht="22.5" customHeight="1">
      <c r="A951" s="50"/>
      <c r="B951" s="50"/>
      <c r="C951" s="50"/>
      <c r="D951" s="180"/>
      <c r="E951" s="183"/>
      <c r="F951" s="50" t="s">
        <v>1407</v>
      </c>
      <c r="G951" s="50"/>
      <c r="H951" s="50"/>
      <c r="I951" s="50"/>
      <c r="J951" s="50" t="s">
        <v>1407</v>
      </c>
    </row>
    <row r="952" ht="22.5" customHeight="1">
      <c r="A952" s="50"/>
      <c r="B952" s="50"/>
      <c r="C952" s="50"/>
      <c r="D952" s="180"/>
      <c r="E952" s="183"/>
      <c r="F952" s="50" t="s">
        <v>1407</v>
      </c>
      <c r="G952" s="50"/>
      <c r="H952" s="50"/>
      <c r="I952" s="50"/>
      <c r="J952" s="50" t="s">
        <v>1407</v>
      </c>
    </row>
    <row r="953" ht="22.5" customHeight="1">
      <c r="A953" s="50"/>
      <c r="B953" s="50"/>
      <c r="C953" s="50"/>
      <c r="D953" s="180"/>
      <c r="E953" s="183"/>
      <c r="F953" s="50" t="s">
        <v>1407</v>
      </c>
      <c r="G953" s="50"/>
      <c r="H953" s="50"/>
      <c r="I953" s="50"/>
      <c r="J953" s="50" t="s">
        <v>1407</v>
      </c>
    </row>
    <row r="954" ht="22.5" customHeight="1">
      <c r="A954" s="50"/>
      <c r="B954" s="50"/>
      <c r="C954" s="50"/>
      <c r="D954" s="180"/>
      <c r="E954" s="183"/>
      <c r="F954" s="50" t="s">
        <v>1407</v>
      </c>
      <c r="G954" s="50"/>
      <c r="H954" s="50"/>
      <c r="I954" s="50"/>
      <c r="J954" s="50" t="s">
        <v>1407</v>
      </c>
    </row>
    <row r="955" ht="22.5" customHeight="1">
      <c r="A955" s="50"/>
      <c r="B955" s="50"/>
      <c r="C955" s="50"/>
      <c r="D955" s="180"/>
      <c r="E955" s="183"/>
      <c r="F955" s="50" t="s">
        <v>1407</v>
      </c>
      <c r="G955" s="50"/>
      <c r="H955" s="50"/>
      <c r="I955" s="50"/>
      <c r="J955" s="50" t="s">
        <v>1407</v>
      </c>
    </row>
    <row r="956" ht="22.5" customHeight="1">
      <c r="A956" s="50"/>
      <c r="B956" s="50"/>
      <c r="C956" s="50"/>
      <c r="D956" s="180"/>
      <c r="E956" s="183"/>
      <c r="F956" s="50" t="s">
        <v>1407</v>
      </c>
      <c r="G956" s="50"/>
      <c r="H956" s="50"/>
      <c r="I956" s="50"/>
      <c r="J956" s="50" t="s">
        <v>1407</v>
      </c>
    </row>
    <row r="957" ht="22.5" customHeight="1">
      <c r="A957" s="50"/>
      <c r="B957" s="50"/>
      <c r="C957" s="50"/>
      <c r="D957" s="180"/>
      <c r="E957" s="183"/>
      <c r="F957" s="50" t="s">
        <v>1407</v>
      </c>
      <c r="G957" s="50"/>
      <c r="H957" s="50"/>
      <c r="I957" s="50"/>
      <c r="J957" s="50" t="s">
        <v>1407</v>
      </c>
    </row>
    <row r="958" ht="22.5" customHeight="1">
      <c r="A958" s="50"/>
      <c r="B958" s="50"/>
      <c r="C958" s="50"/>
      <c r="D958" s="180"/>
      <c r="E958" s="183"/>
      <c r="F958" s="50" t="s">
        <v>1407</v>
      </c>
      <c r="G958" s="50"/>
      <c r="H958" s="50"/>
      <c r="I958" s="50"/>
      <c r="J958" s="50" t="s">
        <v>1407</v>
      </c>
    </row>
    <row r="959" ht="22.5" customHeight="1">
      <c r="A959" s="50"/>
      <c r="B959" s="50"/>
      <c r="C959" s="50"/>
      <c r="D959" s="180"/>
      <c r="E959" s="183"/>
      <c r="F959" s="50" t="s">
        <v>1407</v>
      </c>
      <c r="G959" s="50"/>
      <c r="H959" s="50"/>
      <c r="I959" s="50"/>
      <c r="J959" s="50" t="s">
        <v>1407</v>
      </c>
    </row>
    <row r="960" ht="22.5" customHeight="1">
      <c r="A960" s="50"/>
      <c r="B960" s="50"/>
      <c r="C960" s="50"/>
      <c r="D960" s="180"/>
      <c r="E960" s="183"/>
      <c r="F960" s="50" t="s">
        <v>1407</v>
      </c>
      <c r="G960" s="50"/>
      <c r="H960" s="50"/>
      <c r="I960" s="50"/>
      <c r="J960" s="50" t="s">
        <v>1407</v>
      </c>
    </row>
    <row r="961" ht="22.5" customHeight="1">
      <c r="A961" s="50"/>
      <c r="B961" s="50"/>
      <c r="C961" s="50"/>
      <c r="D961" s="180"/>
      <c r="E961" s="183"/>
      <c r="F961" s="50" t="s">
        <v>1407</v>
      </c>
      <c r="G961" s="50"/>
      <c r="H961" s="50"/>
      <c r="I961" s="50"/>
      <c r="J961" s="50" t="s">
        <v>1407</v>
      </c>
    </row>
    <row r="962" ht="22.5" customHeight="1">
      <c r="A962" s="50"/>
      <c r="B962" s="50"/>
      <c r="C962" s="50"/>
      <c r="D962" s="180"/>
      <c r="E962" s="183"/>
      <c r="F962" s="50" t="s">
        <v>1407</v>
      </c>
      <c r="G962" s="50"/>
      <c r="H962" s="50"/>
      <c r="I962" s="50"/>
      <c r="J962" s="50" t="s">
        <v>1407</v>
      </c>
    </row>
    <row r="963" ht="22.5" customHeight="1">
      <c r="A963" s="50"/>
      <c r="B963" s="50"/>
      <c r="C963" s="50"/>
      <c r="D963" s="180"/>
      <c r="E963" s="183"/>
      <c r="F963" s="50" t="s">
        <v>1407</v>
      </c>
      <c r="G963" s="50"/>
      <c r="H963" s="50"/>
      <c r="I963" s="50"/>
      <c r="J963" s="50" t="s">
        <v>1407</v>
      </c>
    </row>
    <row r="964" ht="22.5" customHeight="1">
      <c r="A964" s="50"/>
      <c r="B964" s="50"/>
      <c r="C964" s="50"/>
      <c r="D964" s="180"/>
      <c r="E964" s="183"/>
      <c r="F964" s="50" t="s">
        <v>1407</v>
      </c>
      <c r="G964" s="50"/>
      <c r="H964" s="50"/>
      <c r="I964" s="50"/>
      <c r="J964" s="50" t="s">
        <v>1407</v>
      </c>
    </row>
    <row r="965" ht="22.5" customHeight="1">
      <c r="A965" s="50"/>
      <c r="B965" s="50"/>
      <c r="C965" s="50"/>
      <c r="D965" s="180"/>
      <c r="E965" s="183"/>
      <c r="F965" s="50" t="s">
        <v>1407</v>
      </c>
      <c r="G965" s="50"/>
      <c r="H965" s="50"/>
      <c r="I965" s="50"/>
      <c r="J965" s="50" t="s">
        <v>1407</v>
      </c>
    </row>
    <row r="966" ht="22.5" customHeight="1">
      <c r="A966" s="50"/>
      <c r="B966" s="50"/>
      <c r="C966" s="50"/>
      <c r="D966" s="180"/>
      <c r="E966" s="183"/>
      <c r="F966" s="50" t="s">
        <v>1407</v>
      </c>
      <c r="G966" s="50"/>
      <c r="H966" s="50"/>
      <c r="I966" s="50"/>
      <c r="J966" s="50" t="s">
        <v>1407</v>
      </c>
    </row>
    <row r="967" ht="22.5" customHeight="1">
      <c r="A967" s="50"/>
      <c r="B967" s="50"/>
      <c r="C967" s="50"/>
      <c r="D967" s="180"/>
      <c r="E967" s="183"/>
      <c r="F967" s="50" t="s">
        <v>1407</v>
      </c>
      <c r="G967" s="50"/>
      <c r="H967" s="50"/>
      <c r="I967" s="50"/>
      <c r="J967" s="50" t="s">
        <v>1407</v>
      </c>
    </row>
    <row r="968" ht="22.5" customHeight="1">
      <c r="A968" s="50"/>
      <c r="B968" s="50"/>
      <c r="C968" s="50"/>
      <c r="D968" s="180"/>
      <c r="E968" s="183"/>
      <c r="F968" s="50" t="s">
        <v>1407</v>
      </c>
      <c r="G968" s="50"/>
      <c r="H968" s="50"/>
      <c r="I968" s="50"/>
      <c r="J968" s="50" t="s">
        <v>1407</v>
      </c>
    </row>
    <row r="969" ht="22.5" customHeight="1">
      <c r="A969" s="50"/>
      <c r="B969" s="50"/>
      <c r="C969" s="50"/>
      <c r="D969" s="180"/>
      <c r="E969" s="183"/>
      <c r="F969" s="50" t="s">
        <v>1407</v>
      </c>
      <c r="G969" s="50"/>
      <c r="H969" s="50"/>
      <c r="I969" s="50"/>
      <c r="J969" s="50" t="s">
        <v>1407</v>
      </c>
    </row>
    <row r="970" ht="22.5" customHeight="1">
      <c r="A970" s="50"/>
      <c r="B970" s="50"/>
      <c r="C970" s="50"/>
      <c r="D970" s="180"/>
      <c r="E970" s="183"/>
      <c r="F970" s="50" t="s">
        <v>1407</v>
      </c>
      <c r="G970" s="50"/>
      <c r="H970" s="50"/>
      <c r="I970" s="50"/>
      <c r="J970" s="50" t="s">
        <v>1407</v>
      </c>
    </row>
    <row r="971" ht="22.5" customHeight="1">
      <c r="A971" s="50"/>
      <c r="B971" s="50"/>
      <c r="C971" s="50"/>
      <c r="D971" s="180"/>
      <c r="E971" s="183"/>
      <c r="F971" s="50" t="s">
        <v>1407</v>
      </c>
      <c r="G971" s="50"/>
      <c r="H971" s="50"/>
      <c r="I971" s="50"/>
      <c r="J971" s="50" t="s">
        <v>1407</v>
      </c>
    </row>
    <row r="972" ht="22.5" customHeight="1">
      <c r="A972" s="50"/>
      <c r="B972" s="50"/>
      <c r="C972" s="50"/>
      <c r="D972" s="180"/>
      <c r="E972" s="183"/>
      <c r="F972" s="50" t="s">
        <v>1407</v>
      </c>
      <c r="G972" s="50"/>
      <c r="H972" s="50"/>
      <c r="I972" s="50"/>
      <c r="J972" s="50" t="s">
        <v>1407</v>
      </c>
    </row>
    <row r="973" ht="22.5" customHeight="1">
      <c r="A973" s="50"/>
      <c r="B973" s="50"/>
      <c r="C973" s="50"/>
      <c r="D973" s="180"/>
      <c r="E973" s="183"/>
      <c r="F973" s="50" t="s">
        <v>1407</v>
      </c>
      <c r="G973" s="50"/>
      <c r="H973" s="50"/>
      <c r="I973" s="50"/>
      <c r="J973" s="50" t="s">
        <v>1407</v>
      </c>
    </row>
    <row r="974" ht="22.5" customHeight="1">
      <c r="A974" s="50"/>
      <c r="B974" s="50"/>
      <c r="C974" s="50"/>
      <c r="D974" s="180"/>
      <c r="E974" s="183"/>
      <c r="F974" s="50" t="s">
        <v>1407</v>
      </c>
      <c r="G974" s="50"/>
      <c r="H974" s="50"/>
      <c r="I974" s="50"/>
      <c r="J974" s="50" t="s">
        <v>1407</v>
      </c>
    </row>
    <row r="975" ht="22.5" customHeight="1">
      <c r="A975" s="50"/>
      <c r="B975" s="50"/>
      <c r="C975" s="50"/>
      <c r="D975" s="180"/>
      <c r="E975" s="183"/>
      <c r="F975" s="50" t="s">
        <v>1407</v>
      </c>
      <c r="G975" s="50"/>
      <c r="H975" s="50"/>
      <c r="I975" s="50"/>
      <c r="J975" s="50" t="s">
        <v>1407</v>
      </c>
    </row>
    <row r="976" ht="22.5" customHeight="1">
      <c r="A976" s="50"/>
      <c r="B976" s="50"/>
      <c r="C976" s="50"/>
      <c r="D976" s="180"/>
      <c r="E976" s="183"/>
      <c r="F976" s="50" t="s">
        <v>1407</v>
      </c>
      <c r="G976" s="50"/>
      <c r="H976" s="50"/>
      <c r="I976" s="50"/>
      <c r="J976" s="50" t="s">
        <v>1407</v>
      </c>
    </row>
    <row r="977" ht="22.5" customHeight="1">
      <c r="A977" s="50"/>
      <c r="B977" s="50"/>
      <c r="C977" s="50"/>
      <c r="D977" s="180"/>
      <c r="E977" s="183"/>
      <c r="F977" s="50" t="s">
        <v>1407</v>
      </c>
      <c r="G977" s="50"/>
      <c r="H977" s="50"/>
      <c r="I977" s="50"/>
      <c r="J977" s="50" t="s">
        <v>1407</v>
      </c>
    </row>
    <row r="978" ht="22.5" customHeight="1">
      <c r="A978" s="50"/>
      <c r="B978" s="50"/>
      <c r="C978" s="50"/>
      <c r="D978" s="180"/>
      <c r="E978" s="183"/>
      <c r="F978" s="50" t="s">
        <v>1407</v>
      </c>
      <c r="G978" s="50"/>
      <c r="H978" s="50"/>
      <c r="I978" s="50"/>
      <c r="J978" s="50" t="s">
        <v>1407</v>
      </c>
    </row>
    <row r="979" ht="22.5" customHeight="1">
      <c r="A979" s="50"/>
      <c r="B979" s="50"/>
      <c r="C979" s="50"/>
      <c r="D979" s="180"/>
      <c r="E979" s="183"/>
      <c r="F979" s="50" t="s">
        <v>1407</v>
      </c>
      <c r="G979" s="50"/>
      <c r="H979" s="50"/>
      <c r="I979" s="50"/>
      <c r="J979" s="50" t="s">
        <v>1407</v>
      </c>
    </row>
    <row r="980" ht="22.5" customHeight="1">
      <c r="A980" s="50"/>
      <c r="B980" s="50"/>
      <c r="C980" s="50"/>
      <c r="D980" s="180"/>
      <c r="E980" s="183"/>
      <c r="F980" s="50" t="s">
        <v>1407</v>
      </c>
      <c r="G980" s="50"/>
      <c r="H980" s="50"/>
      <c r="I980" s="50"/>
      <c r="J980" s="50" t="s">
        <v>1407</v>
      </c>
    </row>
    <row r="981" ht="22.5" customHeight="1">
      <c r="A981" s="50"/>
      <c r="B981" s="50"/>
      <c r="C981" s="50"/>
      <c r="D981" s="180"/>
      <c r="E981" s="183"/>
      <c r="F981" s="50" t="s">
        <v>1407</v>
      </c>
      <c r="G981" s="50"/>
      <c r="H981" s="50"/>
      <c r="I981" s="50"/>
      <c r="J981" s="50" t="s">
        <v>1407</v>
      </c>
    </row>
    <row r="982" ht="22.5" customHeight="1">
      <c r="A982" s="50"/>
      <c r="B982" s="50"/>
      <c r="C982" s="50"/>
      <c r="D982" s="180"/>
      <c r="E982" s="183"/>
      <c r="F982" s="50" t="s">
        <v>1407</v>
      </c>
      <c r="G982" s="50"/>
      <c r="H982" s="50"/>
      <c r="I982" s="50"/>
      <c r="J982" s="50" t="s">
        <v>1407</v>
      </c>
    </row>
    <row r="983" ht="22.5" customHeight="1">
      <c r="A983" s="50"/>
      <c r="B983" s="50"/>
      <c r="C983" s="50"/>
      <c r="D983" s="180"/>
      <c r="E983" s="183"/>
      <c r="F983" s="50" t="s">
        <v>1407</v>
      </c>
      <c r="G983" s="50"/>
      <c r="H983" s="50"/>
      <c r="I983" s="50"/>
      <c r="J983" s="50" t="s">
        <v>1407</v>
      </c>
    </row>
    <row r="984" ht="22.5" customHeight="1">
      <c r="A984" s="50"/>
      <c r="B984" s="50"/>
      <c r="C984" s="50"/>
      <c r="D984" s="180"/>
      <c r="E984" s="183"/>
      <c r="F984" s="50" t="s">
        <v>1407</v>
      </c>
      <c r="G984" s="50"/>
      <c r="H984" s="50"/>
      <c r="I984" s="50"/>
      <c r="J984" s="50" t="s">
        <v>1407</v>
      </c>
    </row>
    <row r="985" ht="22.5" customHeight="1">
      <c r="A985" s="50"/>
      <c r="B985" s="50"/>
      <c r="C985" s="50"/>
      <c r="D985" s="180"/>
      <c r="E985" s="183"/>
      <c r="F985" s="50" t="s">
        <v>1407</v>
      </c>
      <c r="G985" s="50"/>
      <c r="H985" s="50"/>
      <c r="I985" s="50"/>
      <c r="J985" s="50" t="s">
        <v>1407</v>
      </c>
    </row>
    <row r="986" ht="22.5" customHeight="1">
      <c r="A986" s="50"/>
      <c r="B986" s="50"/>
      <c r="C986" s="50"/>
      <c r="D986" s="180"/>
      <c r="E986" s="183"/>
      <c r="F986" s="50" t="s">
        <v>1407</v>
      </c>
      <c r="G986" s="50"/>
      <c r="H986" s="50"/>
      <c r="I986" s="50"/>
      <c r="J986" s="50" t="s">
        <v>1407</v>
      </c>
    </row>
    <row r="987" ht="22.5" customHeight="1">
      <c r="A987" s="50"/>
      <c r="B987" s="50"/>
      <c r="C987" s="50"/>
      <c r="D987" s="180"/>
      <c r="E987" s="183"/>
      <c r="F987" s="50" t="s">
        <v>1407</v>
      </c>
      <c r="G987" s="50"/>
      <c r="H987" s="50"/>
      <c r="I987" s="50"/>
      <c r="J987" s="50" t="s">
        <v>1407</v>
      </c>
    </row>
    <row r="988" ht="22.5" customHeight="1">
      <c r="A988" s="50"/>
      <c r="B988" s="50"/>
      <c r="C988" s="50"/>
      <c r="D988" s="180"/>
      <c r="E988" s="183"/>
      <c r="F988" s="50" t="s">
        <v>1407</v>
      </c>
      <c r="G988" s="50"/>
      <c r="H988" s="50"/>
      <c r="I988" s="50"/>
      <c r="J988" s="50" t="s">
        <v>1407</v>
      </c>
    </row>
    <row r="989" ht="22.5" customHeight="1">
      <c r="A989" s="50"/>
      <c r="B989" s="50"/>
      <c r="C989" s="50"/>
      <c r="D989" s="180"/>
      <c r="E989" s="183"/>
      <c r="F989" s="50" t="s">
        <v>1407</v>
      </c>
      <c r="G989" s="50"/>
      <c r="H989" s="50"/>
      <c r="I989" s="50"/>
      <c r="J989" s="50" t="s">
        <v>1407</v>
      </c>
    </row>
    <row r="990" ht="22.5" customHeight="1">
      <c r="A990" s="50"/>
      <c r="B990" s="50"/>
      <c r="C990" s="50"/>
      <c r="D990" s="180"/>
      <c r="E990" s="183"/>
      <c r="F990" s="50" t="s">
        <v>1407</v>
      </c>
      <c r="G990" s="50"/>
      <c r="H990" s="50"/>
      <c r="I990" s="50"/>
      <c r="J990" s="50" t="s">
        <v>1407</v>
      </c>
    </row>
    <row r="991" ht="22.5" customHeight="1">
      <c r="A991" s="50"/>
      <c r="B991" s="50"/>
      <c r="C991" s="50"/>
      <c r="D991" s="180"/>
      <c r="E991" s="183"/>
      <c r="F991" s="50" t="s">
        <v>1407</v>
      </c>
      <c r="G991" s="50"/>
      <c r="H991" s="50"/>
      <c r="I991" s="50"/>
      <c r="J991" s="50" t="s">
        <v>1407</v>
      </c>
    </row>
    <row r="992" ht="22.5" customHeight="1">
      <c r="A992" s="50"/>
      <c r="B992" s="50"/>
      <c r="C992" s="50"/>
      <c r="D992" s="180"/>
      <c r="E992" s="183"/>
      <c r="F992" s="50" t="s">
        <v>1407</v>
      </c>
      <c r="G992" s="50"/>
      <c r="H992" s="50"/>
      <c r="I992" s="50"/>
      <c r="J992" s="50" t="s">
        <v>1407</v>
      </c>
    </row>
    <row r="993" ht="22.5" customHeight="1">
      <c r="A993" s="50"/>
      <c r="B993" s="50"/>
      <c r="C993" s="50"/>
      <c r="D993" s="180"/>
      <c r="E993" s="183"/>
      <c r="F993" s="50" t="s">
        <v>1407</v>
      </c>
      <c r="G993" s="50"/>
      <c r="H993" s="50"/>
      <c r="I993" s="50"/>
      <c r="J993" s="50" t="s">
        <v>1407</v>
      </c>
    </row>
    <row r="994" ht="22.5" customHeight="1">
      <c r="A994" s="50"/>
      <c r="B994" s="50"/>
      <c r="C994" s="50"/>
      <c r="D994" s="180"/>
      <c r="E994" s="183"/>
      <c r="F994" s="50" t="s">
        <v>1407</v>
      </c>
      <c r="G994" s="50"/>
      <c r="H994" s="50"/>
      <c r="I994" s="50"/>
      <c r="J994" s="50" t="s">
        <v>1407</v>
      </c>
    </row>
    <row r="995" ht="22.5" customHeight="1">
      <c r="A995" s="50"/>
      <c r="B995" s="50"/>
      <c r="C995" s="50"/>
      <c r="D995" s="180"/>
      <c r="E995" s="183"/>
      <c r="F995" s="50" t="s">
        <v>1407</v>
      </c>
      <c r="G995" s="50"/>
      <c r="H995" s="50"/>
      <c r="I995" s="50"/>
      <c r="J995" s="50" t="s">
        <v>1407</v>
      </c>
    </row>
    <row r="996" ht="22.5" customHeight="1">
      <c r="A996" s="50"/>
      <c r="B996" s="50"/>
      <c r="C996" s="50"/>
      <c r="D996" s="180"/>
      <c r="E996" s="183"/>
      <c r="F996" s="50" t="s">
        <v>1407</v>
      </c>
      <c r="G996" s="50"/>
      <c r="H996" s="50"/>
      <c r="I996" s="50"/>
      <c r="J996" s="50" t="s">
        <v>1407</v>
      </c>
    </row>
    <row r="997" ht="22.5" customHeight="1">
      <c r="A997" s="50"/>
      <c r="B997" s="50"/>
      <c r="C997" s="50"/>
      <c r="D997" s="180"/>
      <c r="E997" s="183"/>
      <c r="F997" s="50" t="s">
        <v>1407</v>
      </c>
      <c r="G997" s="50"/>
      <c r="H997" s="50"/>
      <c r="I997" s="50"/>
      <c r="J997" s="50" t="s">
        <v>1407</v>
      </c>
    </row>
    <row r="998" ht="22.5" customHeight="1">
      <c r="A998" s="50"/>
      <c r="B998" s="50"/>
      <c r="C998" s="50"/>
      <c r="D998" s="180"/>
      <c r="E998" s="183"/>
      <c r="F998" s="50" t="s">
        <v>1407</v>
      </c>
      <c r="G998" s="50"/>
      <c r="H998" s="50"/>
      <c r="I998" s="50"/>
      <c r="J998" s="50" t="s">
        <v>1407</v>
      </c>
    </row>
    <row r="999" ht="22.5" customHeight="1">
      <c r="A999" s="50"/>
      <c r="B999" s="50"/>
      <c r="C999" s="50"/>
      <c r="D999" s="180"/>
      <c r="E999" s="183"/>
      <c r="F999" s="50" t="s">
        <v>1407</v>
      </c>
      <c r="G999" s="50"/>
      <c r="H999" s="50"/>
      <c r="I999" s="50"/>
      <c r="J999" s="50" t="s">
        <v>1407</v>
      </c>
    </row>
    <row r="1000" ht="22.5" customHeight="1">
      <c r="A1000" s="50"/>
      <c r="B1000" s="50"/>
      <c r="C1000" s="50"/>
      <c r="D1000" s="180"/>
      <c r="E1000" s="183"/>
      <c r="F1000" s="50" t="s">
        <v>1407</v>
      </c>
      <c r="G1000" s="50"/>
      <c r="H1000" s="50"/>
      <c r="I1000" s="50"/>
      <c r="J1000" s="50" t="s">
        <v>1407</v>
      </c>
    </row>
  </sheetData>
  <conditionalFormatting sqref="A2:J1000">
    <cfRule type="expression" dxfId="8" priority="1">
      <formula>AND($A2&lt;&gt;"", $I2="", $C2&lt;&gt;"CANCELLED", $E2&lt;&gt;"CANCELLED", ($A2 + INT(SUBSTITUTE($J2, " DAYS", ""))) &lt; TODAY())</formula>
    </cfRule>
  </conditionalFormatting>
  <dataValidations>
    <dataValidation type="list" allowBlank="1" sqref="E2:E1000">
      <formula1>"PAID,UNPAID,PARTIAL,PDC"</formula1>
    </dataValidation>
    <dataValidation type="custom" allowBlank="1" showDropDown="1" sqref="D2:D1000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63"/>
    <col customWidth="1" min="4" max="4" width="16.25"/>
    <col customWidth="1" min="5" max="5" width="18.0"/>
    <col customWidth="1" min="6" max="6" width="21.5"/>
    <col customWidth="1" min="7" max="7" width="24.63"/>
    <col customWidth="1" min="8" max="8" width="19.75"/>
  </cols>
  <sheetData>
    <row r="1" ht="22.5" customHeight="1">
      <c r="A1" s="184" t="s">
        <v>10</v>
      </c>
      <c r="B1" s="184" t="s">
        <v>12</v>
      </c>
      <c r="C1" s="184" t="s">
        <v>1609</v>
      </c>
      <c r="D1" s="184" t="s">
        <v>1610</v>
      </c>
      <c r="E1" s="184" t="s">
        <v>1611</v>
      </c>
      <c r="F1" s="185" t="s">
        <v>1612</v>
      </c>
      <c r="G1" s="184" t="s">
        <v>1613</v>
      </c>
      <c r="H1" s="184" t="s">
        <v>1614</v>
      </c>
    </row>
    <row r="2" ht="22.5" customHeight="1">
      <c r="A2" s="50" t="s">
        <v>1209</v>
      </c>
      <c r="B2" s="72" t="str">
        <f t="array" ref="B2:B1000">IF(A2:A1000="", "", IFERROR(VLOOKUP(A2:A1000, 'ACCOUNTS RECEIVABLE'!B:C, 2, FALSE), "Invoice not found in AR tab"))</f>
        <v>KARRJACKSON INDUSTRIES</v>
      </c>
      <c r="C2" s="186" t="s">
        <v>1615</v>
      </c>
      <c r="D2" s="186">
        <v>1.000409495E9</v>
      </c>
      <c r="E2" s="187">
        <v>46181.0</v>
      </c>
      <c r="F2" s="188"/>
      <c r="G2" s="38" t="s">
        <v>1616</v>
      </c>
      <c r="H2" s="187"/>
    </row>
    <row r="3" ht="22.5" customHeight="1">
      <c r="A3" s="186"/>
      <c r="B3" s="72" t="s">
        <v>1407</v>
      </c>
      <c r="C3" s="72"/>
      <c r="D3" s="72"/>
      <c r="E3" s="72"/>
      <c r="F3" s="189"/>
      <c r="G3" s="183"/>
      <c r="H3" s="72"/>
    </row>
    <row r="4" ht="22.5" customHeight="1">
      <c r="A4" s="72"/>
      <c r="B4" s="72" t="s">
        <v>1407</v>
      </c>
      <c r="C4" s="72"/>
      <c r="D4" s="72"/>
      <c r="E4" s="72"/>
      <c r="F4" s="189"/>
      <c r="G4" s="183"/>
      <c r="H4" s="72"/>
    </row>
    <row r="5" ht="22.5" customHeight="1">
      <c r="A5" s="72"/>
      <c r="B5" s="72" t="s">
        <v>1407</v>
      </c>
      <c r="C5" s="72"/>
      <c r="D5" s="72"/>
      <c r="E5" s="72"/>
      <c r="F5" s="189"/>
      <c r="G5" s="183"/>
      <c r="H5" s="72"/>
    </row>
    <row r="6" ht="22.5" customHeight="1">
      <c r="A6" s="72"/>
      <c r="B6" s="72" t="s">
        <v>1407</v>
      </c>
      <c r="C6" s="72"/>
      <c r="D6" s="72"/>
      <c r="E6" s="72"/>
      <c r="F6" s="189"/>
      <c r="G6" s="183"/>
      <c r="H6" s="72"/>
    </row>
    <row r="7" ht="22.5" customHeight="1">
      <c r="A7" s="72"/>
      <c r="B7" s="72" t="s">
        <v>1407</v>
      </c>
      <c r="C7" s="72"/>
      <c r="D7" s="72"/>
      <c r="E7" s="72"/>
      <c r="F7" s="189"/>
      <c r="G7" s="183"/>
      <c r="H7" s="72"/>
    </row>
    <row r="8" ht="22.5" customHeight="1">
      <c r="A8" s="72"/>
      <c r="B8" s="72" t="s">
        <v>1407</v>
      </c>
      <c r="C8" s="72"/>
      <c r="D8" s="72"/>
      <c r="E8" s="72"/>
      <c r="F8" s="189"/>
      <c r="G8" s="183"/>
      <c r="H8" s="72"/>
    </row>
    <row r="9" ht="22.5" customHeight="1">
      <c r="A9" s="72"/>
      <c r="B9" s="72" t="s">
        <v>1407</v>
      </c>
      <c r="C9" s="72"/>
      <c r="D9" s="72"/>
      <c r="E9" s="72"/>
      <c r="F9" s="189"/>
      <c r="G9" s="183"/>
      <c r="H9" s="72"/>
    </row>
    <row r="10" ht="22.5" customHeight="1">
      <c r="A10" s="72"/>
      <c r="B10" s="72" t="s">
        <v>1407</v>
      </c>
      <c r="C10" s="72"/>
      <c r="D10" s="72"/>
      <c r="E10" s="72"/>
      <c r="F10" s="189"/>
      <c r="G10" s="183"/>
      <c r="H10" s="72"/>
    </row>
    <row r="11" ht="22.5" customHeight="1">
      <c r="A11" s="72"/>
      <c r="B11" s="72" t="s">
        <v>1407</v>
      </c>
      <c r="C11" s="72"/>
      <c r="D11" s="72"/>
      <c r="E11" s="72"/>
      <c r="F11" s="189"/>
      <c r="G11" s="183"/>
      <c r="H11" s="72"/>
    </row>
    <row r="12" ht="22.5" customHeight="1">
      <c r="A12" s="72"/>
      <c r="B12" s="72" t="s">
        <v>1407</v>
      </c>
      <c r="C12" s="72"/>
      <c r="D12" s="72"/>
      <c r="E12" s="72"/>
      <c r="F12" s="189"/>
      <c r="G12" s="183"/>
      <c r="H12" s="72"/>
    </row>
    <row r="13" ht="22.5" customHeight="1">
      <c r="A13" s="72"/>
      <c r="B13" s="72" t="s">
        <v>1407</v>
      </c>
      <c r="C13" s="72"/>
      <c r="D13" s="72"/>
      <c r="E13" s="72"/>
      <c r="F13" s="189"/>
      <c r="G13" s="183"/>
      <c r="H13" s="72"/>
    </row>
    <row r="14" ht="22.5" customHeight="1">
      <c r="A14" s="72"/>
      <c r="B14" s="72" t="s">
        <v>1407</v>
      </c>
      <c r="C14" s="72"/>
      <c r="D14" s="72"/>
      <c r="E14" s="72"/>
      <c r="F14" s="189"/>
      <c r="G14" s="183"/>
      <c r="H14" s="72"/>
    </row>
    <row r="15" ht="22.5" customHeight="1">
      <c r="A15" s="72"/>
      <c r="B15" s="72" t="s">
        <v>1407</v>
      </c>
      <c r="C15" s="72"/>
      <c r="D15" s="72"/>
      <c r="E15" s="72"/>
      <c r="F15" s="189"/>
      <c r="G15" s="183"/>
      <c r="H15" s="72"/>
    </row>
    <row r="16" ht="22.5" customHeight="1">
      <c r="A16" s="72"/>
      <c r="B16" s="72" t="s">
        <v>1407</v>
      </c>
      <c r="C16" s="72"/>
      <c r="D16" s="72"/>
      <c r="E16" s="72"/>
      <c r="F16" s="189"/>
      <c r="G16" s="183"/>
      <c r="H16" s="72"/>
    </row>
    <row r="17" ht="22.5" customHeight="1">
      <c r="A17" s="72"/>
      <c r="B17" s="72" t="s">
        <v>1407</v>
      </c>
      <c r="C17" s="72"/>
      <c r="D17" s="72"/>
      <c r="E17" s="72"/>
      <c r="F17" s="189"/>
      <c r="G17" s="183"/>
      <c r="H17" s="72"/>
    </row>
    <row r="18" ht="22.5" customHeight="1">
      <c r="A18" s="72"/>
      <c r="B18" s="72" t="s">
        <v>1407</v>
      </c>
      <c r="C18" s="72"/>
      <c r="D18" s="72"/>
      <c r="E18" s="72"/>
      <c r="F18" s="189"/>
      <c r="G18" s="183"/>
      <c r="H18" s="72"/>
    </row>
    <row r="19" ht="22.5" customHeight="1">
      <c r="A19" s="72"/>
      <c r="B19" s="72" t="s">
        <v>1407</v>
      </c>
      <c r="C19" s="72"/>
      <c r="D19" s="72"/>
      <c r="E19" s="72"/>
      <c r="F19" s="189"/>
      <c r="G19" s="183"/>
      <c r="H19" s="72"/>
    </row>
    <row r="20" ht="22.5" customHeight="1">
      <c r="A20" s="72"/>
      <c r="B20" s="72" t="s">
        <v>1407</v>
      </c>
      <c r="C20" s="72"/>
      <c r="D20" s="72"/>
      <c r="E20" s="72"/>
      <c r="F20" s="189"/>
      <c r="G20" s="183"/>
      <c r="H20" s="72"/>
    </row>
    <row r="21" ht="22.5" customHeight="1">
      <c r="A21" s="72"/>
      <c r="B21" s="72" t="s">
        <v>1407</v>
      </c>
      <c r="C21" s="72"/>
      <c r="D21" s="72"/>
      <c r="E21" s="72"/>
      <c r="F21" s="189"/>
      <c r="G21" s="183"/>
      <c r="H21" s="72"/>
    </row>
    <row r="22" ht="22.5" customHeight="1">
      <c r="A22" s="72"/>
      <c r="B22" s="72" t="s">
        <v>1407</v>
      </c>
      <c r="C22" s="72"/>
      <c r="D22" s="72"/>
      <c r="E22" s="72"/>
      <c r="F22" s="189"/>
      <c r="G22" s="183"/>
      <c r="H22" s="72"/>
    </row>
    <row r="23" ht="22.5" customHeight="1">
      <c r="A23" s="72"/>
      <c r="B23" s="72" t="s">
        <v>1407</v>
      </c>
      <c r="C23" s="72"/>
      <c r="D23" s="72"/>
      <c r="E23" s="72"/>
      <c r="F23" s="189"/>
      <c r="G23" s="183"/>
      <c r="H23" s="72"/>
    </row>
    <row r="24" ht="22.5" customHeight="1">
      <c r="A24" s="72"/>
      <c r="B24" s="72" t="s">
        <v>1407</v>
      </c>
      <c r="C24" s="72"/>
      <c r="D24" s="72"/>
      <c r="E24" s="72"/>
      <c r="F24" s="189"/>
      <c r="G24" s="183"/>
      <c r="H24" s="72"/>
    </row>
    <row r="25" ht="22.5" customHeight="1">
      <c r="A25" s="72"/>
      <c r="B25" s="72" t="s">
        <v>1407</v>
      </c>
      <c r="C25" s="72"/>
      <c r="D25" s="72"/>
      <c r="E25" s="72"/>
      <c r="F25" s="189"/>
      <c r="G25" s="183"/>
      <c r="H25" s="72"/>
    </row>
    <row r="26" ht="22.5" customHeight="1">
      <c r="A26" s="72"/>
      <c r="B26" s="72" t="s">
        <v>1407</v>
      </c>
      <c r="C26" s="72"/>
      <c r="D26" s="72"/>
      <c r="E26" s="72"/>
      <c r="F26" s="189"/>
      <c r="G26" s="183"/>
      <c r="H26" s="72"/>
    </row>
    <row r="27" ht="22.5" customHeight="1">
      <c r="A27" s="72"/>
      <c r="B27" s="72" t="s">
        <v>1407</v>
      </c>
      <c r="C27" s="72"/>
      <c r="D27" s="72"/>
      <c r="E27" s="72"/>
      <c r="F27" s="189"/>
      <c r="G27" s="183"/>
      <c r="H27" s="72"/>
    </row>
    <row r="28" ht="22.5" customHeight="1">
      <c r="A28" s="72"/>
      <c r="B28" s="72" t="s">
        <v>1407</v>
      </c>
      <c r="C28" s="72"/>
      <c r="D28" s="72"/>
      <c r="E28" s="72"/>
      <c r="F28" s="189"/>
      <c r="G28" s="183"/>
      <c r="H28" s="72"/>
    </row>
    <row r="29" ht="22.5" customHeight="1">
      <c r="A29" s="72"/>
      <c r="B29" s="72" t="s">
        <v>1407</v>
      </c>
      <c r="C29" s="72"/>
      <c r="D29" s="72"/>
      <c r="E29" s="72"/>
      <c r="F29" s="189"/>
      <c r="G29" s="183"/>
      <c r="H29" s="72"/>
    </row>
    <row r="30" ht="22.5" customHeight="1">
      <c r="A30" s="72"/>
      <c r="B30" s="72" t="s">
        <v>1407</v>
      </c>
      <c r="C30" s="72"/>
      <c r="D30" s="72"/>
      <c r="E30" s="72"/>
      <c r="F30" s="189"/>
      <c r="G30" s="183"/>
      <c r="H30" s="72"/>
    </row>
    <row r="31" ht="22.5" customHeight="1">
      <c r="A31" s="72"/>
      <c r="B31" s="72" t="s">
        <v>1407</v>
      </c>
      <c r="C31" s="72"/>
      <c r="D31" s="72"/>
      <c r="E31" s="72"/>
      <c r="F31" s="189"/>
      <c r="G31" s="183"/>
      <c r="H31" s="72"/>
    </row>
    <row r="32" ht="22.5" customHeight="1">
      <c r="A32" s="72"/>
      <c r="B32" s="72" t="s">
        <v>1407</v>
      </c>
      <c r="C32" s="72"/>
      <c r="D32" s="72"/>
      <c r="E32" s="72"/>
      <c r="F32" s="189"/>
      <c r="G32" s="183"/>
      <c r="H32" s="72"/>
    </row>
    <row r="33" ht="22.5" customHeight="1">
      <c r="A33" s="72"/>
      <c r="B33" s="72" t="s">
        <v>1407</v>
      </c>
      <c r="C33" s="72"/>
      <c r="D33" s="72"/>
      <c r="E33" s="72"/>
      <c r="F33" s="189"/>
      <c r="G33" s="183"/>
      <c r="H33" s="72"/>
    </row>
    <row r="34" ht="22.5" customHeight="1">
      <c r="A34" s="72"/>
      <c r="B34" s="72" t="s">
        <v>1407</v>
      </c>
      <c r="C34" s="72"/>
      <c r="D34" s="72"/>
      <c r="E34" s="72"/>
      <c r="F34" s="189"/>
      <c r="G34" s="183"/>
      <c r="H34" s="72"/>
    </row>
    <row r="35" ht="22.5" customHeight="1">
      <c r="A35" s="72"/>
      <c r="B35" s="72" t="s">
        <v>1407</v>
      </c>
      <c r="C35" s="72"/>
      <c r="D35" s="72"/>
      <c r="E35" s="72"/>
      <c r="F35" s="189"/>
      <c r="G35" s="183"/>
      <c r="H35" s="72"/>
    </row>
    <row r="36" ht="22.5" customHeight="1">
      <c r="A36" s="72"/>
      <c r="B36" s="72" t="s">
        <v>1407</v>
      </c>
      <c r="C36" s="72"/>
      <c r="D36" s="72"/>
      <c r="E36" s="72"/>
      <c r="F36" s="189"/>
      <c r="G36" s="183"/>
      <c r="H36" s="72"/>
    </row>
    <row r="37" ht="22.5" customHeight="1">
      <c r="A37" s="72"/>
      <c r="B37" s="72" t="s">
        <v>1407</v>
      </c>
      <c r="C37" s="72"/>
      <c r="D37" s="72"/>
      <c r="E37" s="72"/>
      <c r="F37" s="189"/>
      <c r="G37" s="183"/>
      <c r="H37" s="72"/>
    </row>
    <row r="38" ht="22.5" customHeight="1">
      <c r="A38" s="72"/>
      <c r="B38" s="72" t="s">
        <v>1407</v>
      </c>
      <c r="C38" s="72"/>
      <c r="D38" s="72"/>
      <c r="E38" s="72"/>
      <c r="F38" s="189"/>
      <c r="G38" s="183"/>
      <c r="H38" s="72"/>
    </row>
    <row r="39" ht="22.5" customHeight="1">
      <c r="A39" s="72"/>
      <c r="B39" s="72" t="s">
        <v>1407</v>
      </c>
      <c r="C39" s="72"/>
      <c r="D39" s="72"/>
      <c r="E39" s="72"/>
      <c r="F39" s="189"/>
      <c r="G39" s="183"/>
      <c r="H39" s="72"/>
    </row>
    <row r="40" ht="22.5" customHeight="1">
      <c r="A40" s="72"/>
      <c r="B40" s="72" t="s">
        <v>1407</v>
      </c>
      <c r="C40" s="72"/>
      <c r="D40" s="72"/>
      <c r="E40" s="72"/>
      <c r="F40" s="189"/>
      <c r="G40" s="183"/>
      <c r="H40" s="72"/>
    </row>
    <row r="41" ht="22.5" customHeight="1">
      <c r="A41" s="72"/>
      <c r="B41" s="72" t="s">
        <v>1407</v>
      </c>
      <c r="C41" s="72"/>
      <c r="D41" s="72"/>
      <c r="E41" s="72"/>
      <c r="F41" s="189"/>
      <c r="G41" s="183"/>
      <c r="H41" s="72"/>
    </row>
    <row r="42" ht="22.5" customHeight="1">
      <c r="A42" s="72"/>
      <c r="B42" s="72" t="s">
        <v>1407</v>
      </c>
      <c r="C42" s="72"/>
      <c r="D42" s="72"/>
      <c r="E42" s="72"/>
      <c r="F42" s="189"/>
      <c r="G42" s="183"/>
      <c r="H42" s="72"/>
    </row>
    <row r="43" ht="22.5" customHeight="1">
      <c r="A43" s="72"/>
      <c r="B43" s="72" t="s">
        <v>1407</v>
      </c>
      <c r="C43" s="72"/>
      <c r="D43" s="72"/>
      <c r="E43" s="72"/>
      <c r="F43" s="189"/>
      <c r="G43" s="183"/>
      <c r="H43" s="72"/>
    </row>
    <row r="44" ht="22.5" customHeight="1">
      <c r="A44" s="72"/>
      <c r="B44" s="72" t="s">
        <v>1407</v>
      </c>
      <c r="C44" s="72"/>
      <c r="D44" s="72"/>
      <c r="E44" s="72"/>
      <c r="F44" s="189"/>
      <c r="G44" s="183"/>
      <c r="H44" s="72"/>
    </row>
    <row r="45" ht="22.5" customHeight="1">
      <c r="A45" s="72"/>
      <c r="B45" s="72" t="s">
        <v>1407</v>
      </c>
      <c r="C45" s="72"/>
      <c r="D45" s="72"/>
      <c r="E45" s="72"/>
      <c r="F45" s="189"/>
      <c r="G45" s="183"/>
      <c r="H45" s="72"/>
    </row>
    <row r="46" ht="22.5" customHeight="1">
      <c r="A46" s="72"/>
      <c r="B46" s="72" t="s">
        <v>1407</v>
      </c>
      <c r="C46" s="72"/>
      <c r="D46" s="72"/>
      <c r="E46" s="72"/>
      <c r="F46" s="189"/>
      <c r="G46" s="183"/>
      <c r="H46" s="72"/>
    </row>
    <row r="47" ht="22.5" customHeight="1">
      <c r="A47" s="72"/>
      <c r="B47" s="72" t="s">
        <v>1407</v>
      </c>
      <c r="C47" s="72"/>
      <c r="D47" s="72"/>
      <c r="E47" s="72"/>
      <c r="F47" s="189"/>
      <c r="G47" s="183"/>
      <c r="H47" s="72"/>
    </row>
    <row r="48" ht="22.5" customHeight="1">
      <c r="A48" s="72"/>
      <c r="B48" s="72" t="s">
        <v>1407</v>
      </c>
      <c r="C48" s="72"/>
      <c r="D48" s="72"/>
      <c r="E48" s="72"/>
      <c r="F48" s="189"/>
      <c r="G48" s="183"/>
      <c r="H48" s="72"/>
    </row>
    <row r="49" ht="22.5" customHeight="1">
      <c r="A49" s="72"/>
      <c r="B49" s="72" t="s">
        <v>1407</v>
      </c>
      <c r="C49" s="72"/>
      <c r="D49" s="72"/>
      <c r="E49" s="72"/>
      <c r="F49" s="189"/>
      <c r="G49" s="183"/>
      <c r="H49" s="72"/>
    </row>
    <row r="50" ht="22.5" customHeight="1">
      <c r="A50" s="72"/>
      <c r="B50" s="72" t="s">
        <v>1407</v>
      </c>
      <c r="C50" s="72"/>
      <c r="D50" s="72"/>
      <c r="E50" s="72"/>
      <c r="F50" s="189"/>
      <c r="G50" s="183"/>
      <c r="H50" s="72"/>
    </row>
    <row r="51" ht="22.5" customHeight="1">
      <c r="A51" s="72"/>
      <c r="B51" s="72" t="s">
        <v>1407</v>
      </c>
      <c r="C51" s="72"/>
      <c r="D51" s="72"/>
      <c r="E51" s="72"/>
      <c r="F51" s="189"/>
      <c r="G51" s="183"/>
      <c r="H51" s="72"/>
    </row>
    <row r="52" ht="22.5" customHeight="1">
      <c r="A52" s="72"/>
      <c r="B52" s="72" t="s">
        <v>1407</v>
      </c>
      <c r="C52" s="72"/>
      <c r="D52" s="72"/>
      <c r="E52" s="72"/>
      <c r="F52" s="189"/>
      <c r="G52" s="183"/>
      <c r="H52" s="72"/>
    </row>
    <row r="53" ht="22.5" customHeight="1">
      <c r="A53" s="72"/>
      <c r="B53" s="72" t="s">
        <v>1407</v>
      </c>
      <c r="C53" s="72"/>
      <c r="D53" s="72"/>
      <c r="E53" s="72"/>
      <c r="F53" s="189"/>
      <c r="G53" s="183"/>
      <c r="H53" s="72"/>
    </row>
    <row r="54" ht="22.5" customHeight="1">
      <c r="A54" s="72"/>
      <c r="B54" s="72" t="s">
        <v>1407</v>
      </c>
      <c r="C54" s="72"/>
      <c r="D54" s="72"/>
      <c r="E54" s="72"/>
      <c r="F54" s="189"/>
      <c r="G54" s="183"/>
      <c r="H54" s="72"/>
    </row>
    <row r="55" ht="22.5" customHeight="1">
      <c r="A55" s="72"/>
      <c r="B55" s="72" t="s">
        <v>1407</v>
      </c>
      <c r="C55" s="72"/>
      <c r="D55" s="72"/>
      <c r="E55" s="72"/>
      <c r="F55" s="189"/>
      <c r="G55" s="183"/>
      <c r="H55" s="72"/>
    </row>
    <row r="56" ht="22.5" customHeight="1">
      <c r="A56" s="72"/>
      <c r="B56" s="72" t="s">
        <v>1407</v>
      </c>
      <c r="C56" s="72"/>
      <c r="D56" s="72"/>
      <c r="E56" s="72"/>
      <c r="F56" s="189"/>
      <c r="G56" s="183"/>
      <c r="H56" s="72"/>
    </row>
    <row r="57" ht="22.5" customHeight="1">
      <c r="A57" s="72"/>
      <c r="B57" s="72" t="s">
        <v>1407</v>
      </c>
      <c r="C57" s="72"/>
      <c r="D57" s="72"/>
      <c r="E57" s="72"/>
      <c r="F57" s="189"/>
      <c r="G57" s="183"/>
      <c r="H57" s="72"/>
    </row>
    <row r="58" ht="22.5" customHeight="1">
      <c r="A58" s="72"/>
      <c r="B58" s="72" t="s">
        <v>1407</v>
      </c>
      <c r="C58" s="72"/>
      <c r="D58" s="72"/>
      <c r="E58" s="72"/>
      <c r="F58" s="189"/>
      <c r="G58" s="183"/>
      <c r="H58" s="72"/>
    </row>
    <row r="59" ht="22.5" customHeight="1">
      <c r="A59" s="72"/>
      <c r="B59" s="72" t="s">
        <v>1407</v>
      </c>
      <c r="C59" s="72"/>
      <c r="D59" s="72"/>
      <c r="E59" s="72"/>
      <c r="F59" s="189"/>
      <c r="G59" s="183"/>
      <c r="H59" s="72"/>
    </row>
    <row r="60" ht="22.5" customHeight="1">
      <c r="A60" s="72"/>
      <c r="B60" s="72" t="s">
        <v>1407</v>
      </c>
      <c r="C60" s="72"/>
      <c r="D60" s="72"/>
      <c r="E60" s="72"/>
      <c r="F60" s="189"/>
      <c r="G60" s="183"/>
      <c r="H60" s="72"/>
    </row>
    <row r="61" ht="22.5" customHeight="1">
      <c r="A61" s="72"/>
      <c r="B61" s="72" t="s">
        <v>1407</v>
      </c>
      <c r="C61" s="72"/>
      <c r="D61" s="72"/>
      <c r="E61" s="72"/>
      <c r="F61" s="189"/>
      <c r="G61" s="183"/>
      <c r="H61" s="72"/>
    </row>
    <row r="62" ht="22.5" customHeight="1">
      <c r="A62" s="72"/>
      <c r="B62" s="72" t="s">
        <v>1407</v>
      </c>
      <c r="C62" s="72"/>
      <c r="D62" s="72"/>
      <c r="E62" s="72"/>
      <c r="F62" s="189"/>
      <c r="G62" s="183"/>
      <c r="H62" s="72"/>
    </row>
    <row r="63" ht="22.5" customHeight="1">
      <c r="A63" s="72"/>
      <c r="B63" s="72" t="s">
        <v>1407</v>
      </c>
      <c r="C63" s="72"/>
      <c r="D63" s="72"/>
      <c r="E63" s="72"/>
      <c r="F63" s="189"/>
      <c r="G63" s="183"/>
      <c r="H63" s="72"/>
    </row>
    <row r="64" ht="22.5" customHeight="1">
      <c r="A64" s="72"/>
      <c r="B64" s="72" t="s">
        <v>1407</v>
      </c>
      <c r="C64" s="72"/>
      <c r="D64" s="72"/>
      <c r="E64" s="72"/>
      <c r="F64" s="189"/>
      <c r="G64" s="183"/>
      <c r="H64" s="72"/>
    </row>
    <row r="65" ht="22.5" customHeight="1">
      <c r="A65" s="72"/>
      <c r="B65" s="72" t="s">
        <v>1407</v>
      </c>
      <c r="C65" s="72"/>
      <c r="D65" s="72"/>
      <c r="E65" s="72"/>
      <c r="F65" s="189"/>
      <c r="G65" s="183"/>
      <c r="H65" s="72"/>
    </row>
    <row r="66" ht="22.5" customHeight="1">
      <c r="A66" s="72"/>
      <c r="B66" s="72" t="s">
        <v>1407</v>
      </c>
      <c r="C66" s="72"/>
      <c r="D66" s="72"/>
      <c r="E66" s="72"/>
      <c r="F66" s="189"/>
      <c r="G66" s="183"/>
      <c r="H66" s="72"/>
    </row>
    <row r="67" ht="22.5" customHeight="1">
      <c r="A67" s="72"/>
      <c r="B67" s="72" t="s">
        <v>1407</v>
      </c>
      <c r="C67" s="72"/>
      <c r="D67" s="72"/>
      <c r="E67" s="72"/>
      <c r="F67" s="189"/>
      <c r="G67" s="183"/>
      <c r="H67" s="72"/>
    </row>
    <row r="68" ht="22.5" customHeight="1">
      <c r="A68" s="72"/>
      <c r="B68" s="72" t="s">
        <v>1407</v>
      </c>
      <c r="C68" s="72"/>
      <c r="D68" s="72"/>
      <c r="E68" s="72"/>
      <c r="F68" s="189"/>
      <c r="G68" s="183"/>
      <c r="H68" s="72"/>
    </row>
    <row r="69" ht="22.5" customHeight="1">
      <c r="A69" s="72"/>
      <c r="B69" s="72" t="s">
        <v>1407</v>
      </c>
      <c r="C69" s="72"/>
      <c r="D69" s="72"/>
      <c r="E69" s="72"/>
      <c r="F69" s="189"/>
      <c r="G69" s="183"/>
      <c r="H69" s="72"/>
    </row>
    <row r="70" ht="22.5" customHeight="1">
      <c r="A70" s="72"/>
      <c r="B70" s="72" t="s">
        <v>1407</v>
      </c>
      <c r="C70" s="72"/>
      <c r="D70" s="72"/>
      <c r="E70" s="72"/>
      <c r="F70" s="189"/>
      <c r="G70" s="183"/>
      <c r="H70" s="72"/>
    </row>
    <row r="71" ht="22.5" customHeight="1">
      <c r="A71" s="72"/>
      <c r="B71" s="72" t="s">
        <v>1407</v>
      </c>
      <c r="C71" s="72"/>
      <c r="D71" s="72"/>
      <c r="E71" s="72"/>
      <c r="F71" s="189"/>
      <c r="G71" s="183"/>
      <c r="H71" s="72"/>
    </row>
    <row r="72" ht="22.5" customHeight="1">
      <c r="A72" s="72"/>
      <c r="B72" s="72" t="s">
        <v>1407</v>
      </c>
      <c r="C72" s="72"/>
      <c r="D72" s="72"/>
      <c r="E72" s="72"/>
      <c r="F72" s="189"/>
      <c r="G72" s="183"/>
      <c r="H72" s="72"/>
    </row>
    <row r="73" ht="22.5" customHeight="1">
      <c r="A73" s="72"/>
      <c r="B73" s="72" t="s">
        <v>1407</v>
      </c>
      <c r="C73" s="72"/>
      <c r="D73" s="72"/>
      <c r="E73" s="72"/>
      <c r="F73" s="189"/>
      <c r="G73" s="183"/>
      <c r="H73" s="72"/>
    </row>
    <row r="74" ht="22.5" customHeight="1">
      <c r="A74" s="72"/>
      <c r="B74" s="72" t="s">
        <v>1407</v>
      </c>
      <c r="C74" s="72"/>
      <c r="D74" s="72"/>
      <c r="E74" s="72"/>
      <c r="F74" s="189"/>
      <c r="G74" s="183"/>
      <c r="H74" s="72"/>
    </row>
    <row r="75" ht="22.5" customHeight="1">
      <c r="A75" s="72"/>
      <c r="B75" s="72" t="s">
        <v>1407</v>
      </c>
      <c r="C75" s="72"/>
      <c r="D75" s="72"/>
      <c r="E75" s="72"/>
      <c r="F75" s="189"/>
      <c r="G75" s="183"/>
      <c r="H75" s="72"/>
    </row>
    <row r="76" ht="22.5" customHeight="1">
      <c r="A76" s="72"/>
      <c r="B76" s="72" t="s">
        <v>1407</v>
      </c>
      <c r="C76" s="72"/>
      <c r="D76" s="72"/>
      <c r="E76" s="72"/>
      <c r="F76" s="189"/>
      <c r="G76" s="183"/>
      <c r="H76" s="72"/>
    </row>
    <row r="77" ht="22.5" customHeight="1">
      <c r="A77" s="72"/>
      <c r="B77" s="72" t="s">
        <v>1407</v>
      </c>
      <c r="C77" s="72"/>
      <c r="D77" s="72"/>
      <c r="E77" s="72"/>
      <c r="F77" s="189"/>
      <c r="G77" s="183"/>
      <c r="H77" s="72"/>
    </row>
    <row r="78" ht="22.5" customHeight="1">
      <c r="A78" s="72"/>
      <c r="B78" s="72" t="s">
        <v>1407</v>
      </c>
      <c r="C78" s="72"/>
      <c r="D78" s="72"/>
      <c r="E78" s="72"/>
      <c r="F78" s="189"/>
      <c r="G78" s="183"/>
      <c r="H78" s="72"/>
    </row>
    <row r="79" ht="22.5" customHeight="1">
      <c r="A79" s="72"/>
      <c r="B79" s="72" t="s">
        <v>1407</v>
      </c>
      <c r="C79" s="72"/>
      <c r="D79" s="72"/>
      <c r="E79" s="72"/>
      <c r="F79" s="189"/>
      <c r="G79" s="183"/>
      <c r="H79" s="72"/>
    </row>
    <row r="80" ht="22.5" customHeight="1">
      <c r="A80" s="72"/>
      <c r="B80" s="72" t="s">
        <v>1407</v>
      </c>
      <c r="C80" s="72"/>
      <c r="D80" s="72"/>
      <c r="E80" s="72"/>
      <c r="F80" s="189"/>
      <c r="G80" s="183"/>
      <c r="H80" s="72"/>
    </row>
    <row r="81" ht="22.5" customHeight="1">
      <c r="A81" s="72"/>
      <c r="B81" s="72" t="s">
        <v>1407</v>
      </c>
      <c r="C81" s="72"/>
      <c r="D81" s="72"/>
      <c r="E81" s="72"/>
      <c r="F81" s="189"/>
      <c r="G81" s="183"/>
      <c r="H81" s="72"/>
    </row>
    <row r="82" ht="22.5" customHeight="1">
      <c r="A82" s="72"/>
      <c r="B82" s="72" t="s">
        <v>1407</v>
      </c>
      <c r="C82" s="72"/>
      <c r="D82" s="72"/>
      <c r="E82" s="72"/>
      <c r="F82" s="189"/>
      <c r="G82" s="183"/>
      <c r="H82" s="72"/>
    </row>
    <row r="83" ht="22.5" customHeight="1">
      <c r="A83" s="72"/>
      <c r="B83" s="72" t="s">
        <v>1407</v>
      </c>
      <c r="C83" s="72"/>
      <c r="D83" s="72"/>
      <c r="E83" s="72"/>
      <c r="F83" s="189"/>
      <c r="G83" s="183"/>
      <c r="H83" s="72"/>
    </row>
    <row r="84" ht="22.5" customHeight="1">
      <c r="A84" s="72"/>
      <c r="B84" s="72" t="s">
        <v>1407</v>
      </c>
      <c r="C84" s="72"/>
      <c r="D84" s="72"/>
      <c r="E84" s="72"/>
      <c r="F84" s="189"/>
      <c r="G84" s="183"/>
      <c r="H84" s="72"/>
    </row>
    <row r="85" ht="22.5" customHeight="1">
      <c r="A85" s="72"/>
      <c r="B85" s="72" t="s">
        <v>1407</v>
      </c>
      <c r="C85" s="72"/>
      <c r="D85" s="72"/>
      <c r="E85" s="72"/>
      <c r="F85" s="189"/>
      <c r="G85" s="183"/>
      <c r="H85" s="72"/>
    </row>
    <row r="86" ht="22.5" customHeight="1">
      <c r="A86" s="72"/>
      <c r="B86" s="72" t="s">
        <v>1407</v>
      </c>
      <c r="C86" s="72"/>
      <c r="D86" s="72"/>
      <c r="E86" s="72"/>
      <c r="F86" s="189"/>
      <c r="G86" s="183"/>
      <c r="H86" s="72"/>
    </row>
    <row r="87" ht="22.5" customHeight="1">
      <c r="A87" s="72"/>
      <c r="B87" s="72" t="s">
        <v>1407</v>
      </c>
      <c r="C87" s="72"/>
      <c r="D87" s="72"/>
      <c r="E87" s="72"/>
      <c r="F87" s="189"/>
      <c r="G87" s="183"/>
      <c r="H87" s="72"/>
    </row>
    <row r="88" ht="22.5" customHeight="1">
      <c r="A88" s="72"/>
      <c r="B88" s="72" t="s">
        <v>1407</v>
      </c>
      <c r="C88" s="72"/>
      <c r="D88" s="72"/>
      <c r="E88" s="72"/>
      <c r="F88" s="189"/>
      <c r="G88" s="183"/>
      <c r="H88" s="72"/>
    </row>
    <row r="89" ht="22.5" customHeight="1">
      <c r="A89" s="72"/>
      <c r="B89" s="72" t="s">
        <v>1407</v>
      </c>
      <c r="C89" s="72"/>
      <c r="D89" s="72"/>
      <c r="E89" s="72"/>
      <c r="F89" s="189"/>
      <c r="G89" s="183"/>
      <c r="H89" s="72"/>
    </row>
    <row r="90" ht="22.5" customHeight="1">
      <c r="A90" s="72"/>
      <c r="B90" s="72" t="s">
        <v>1407</v>
      </c>
      <c r="C90" s="72"/>
      <c r="D90" s="72"/>
      <c r="E90" s="72"/>
      <c r="F90" s="189"/>
      <c r="G90" s="183"/>
      <c r="H90" s="72"/>
    </row>
    <row r="91" ht="22.5" customHeight="1">
      <c r="A91" s="72"/>
      <c r="B91" s="72" t="s">
        <v>1407</v>
      </c>
      <c r="C91" s="72"/>
      <c r="D91" s="72"/>
      <c r="E91" s="72"/>
      <c r="F91" s="189"/>
      <c r="G91" s="183"/>
      <c r="H91" s="72"/>
    </row>
    <row r="92" ht="22.5" customHeight="1">
      <c r="A92" s="72"/>
      <c r="B92" s="72" t="s">
        <v>1407</v>
      </c>
      <c r="C92" s="72"/>
      <c r="D92" s="72"/>
      <c r="E92" s="72"/>
      <c r="F92" s="189"/>
      <c r="G92" s="183"/>
      <c r="H92" s="72"/>
    </row>
    <row r="93" ht="22.5" customHeight="1">
      <c r="A93" s="72"/>
      <c r="B93" s="72" t="s">
        <v>1407</v>
      </c>
      <c r="C93" s="72"/>
      <c r="D93" s="72"/>
      <c r="E93" s="72"/>
      <c r="F93" s="189"/>
      <c r="G93" s="183"/>
      <c r="H93" s="72"/>
    </row>
    <row r="94" ht="22.5" customHeight="1">
      <c r="A94" s="72"/>
      <c r="B94" s="72" t="s">
        <v>1407</v>
      </c>
      <c r="C94" s="72"/>
      <c r="D94" s="72"/>
      <c r="E94" s="72"/>
      <c r="F94" s="189"/>
      <c r="G94" s="183"/>
      <c r="H94" s="72"/>
    </row>
    <row r="95" ht="22.5" customHeight="1">
      <c r="A95" s="72"/>
      <c r="B95" s="72" t="s">
        <v>1407</v>
      </c>
      <c r="C95" s="72"/>
      <c r="D95" s="72"/>
      <c r="E95" s="72"/>
      <c r="F95" s="189"/>
      <c r="G95" s="183"/>
      <c r="H95" s="72"/>
    </row>
    <row r="96" ht="22.5" customHeight="1">
      <c r="A96" s="72"/>
      <c r="B96" s="72" t="s">
        <v>1407</v>
      </c>
      <c r="C96" s="72"/>
      <c r="D96" s="72"/>
      <c r="E96" s="72"/>
      <c r="F96" s="189"/>
      <c r="G96" s="183"/>
      <c r="H96" s="72"/>
    </row>
    <row r="97" ht="22.5" customHeight="1">
      <c r="A97" s="72"/>
      <c r="B97" s="72" t="s">
        <v>1407</v>
      </c>
      <c r="C97" s="72"/>
      <c r="D97" s="72"/>
      <c r="E97" s="72"/>
      <c r="F97" s="189"/>
      <c r="G97" s="183"/>
      <c r="H97" s="72"/>
    </row>
    <row r="98" ht="22.5" customHeight="1">
      <c r="A98" s="72"/>
      <c r="B98" s="72" t="s">
        <v>1407</v>
      </c>
      <c r="C98" s="72"/>
      <c r="D98" s="72"/>
      <c r="E98" s="72"/>
      <c r="F98" s="189"/>
      <c r="G98" s="183"/>
      <c r="H98" s="72"/>
    </row>
    <row r="99" ht="22.5" customHeight="1">
      <c r="A99" s="72"/>
      <c r="B99" s="72" t="s">
        <v>1407</v>
      </c>
      <c r="C99" s="72"/>
      <c r="D99" s="72"/>
      <c r="E99" s="72"/>
      <c r="F99" s="189"/>
      <c r="G99" s="183"/>
      <c r="H99" s="72"/>
    </row>
    <row r="100" ht="22.5" customHeight="1">
      <c r="A100" s="72"/>
      <c r="B100" s="72" t="s">
        <v>1407</v>
      </c>
      <c r="C100" s="72"/>
      <c r="D100" s="72"/>
      <c r="E100" s="72"/>
      <c r="F100" s="189"/>
      <c r="G100" s="183"/>
      <c r="H100" s="72"/>
    </row>
    <row r="101" ht="22.5" customHeight="1">
      <c r="A101" s="72"/>
      <c r="B101" s="72" t="s">
        <v>1407</v>
      </c>
      <c r="C101" s="72"/>
      <c r="D101" s="72"/>
      <c r="E101" s="72"/>
      <c r="F101" s="189"/>
      <c r="G101" s="183"/>
      <c r="H101" s="72"/>
    </row>
    <row r="102" ht="22.5" customHeight="1">
      <c r="A102" s="72"/>
      <c r="B102" s="72" t="s">
        <v>1407</v>
      </c>
      <c r="C102" s="72"/>
      <c r="D102" s="72"/>
      <c r="E102" s="72"/>
      <c r="F102" s="189"/>
      <c r="G102" s="183"/>
      <c r="H102" s="72"/>
    </row>
    <row r="103" ht="22.5" customHeight="1">
      <c r="A103" s="72"/>
      <c r="B103" s="72" t="s">
        <v>1407</v>
      </c>
      <c r="C103" s="72"/>
      <c r="D103" s="72"/>
      <c r="E103" s="72"/>
      <c r="F103" s="189"/>
      <c r="G103" s="183"/>
      <c r="H103" s="72"/>
    </row>
    <row r="104" ht="22.5" customHeight="1">
      <c r="A104" s="72"/>
      <c r="B104" s="72" t="s">
        <v>1407</v>
      </c>
      <c r="C104" s="72"/>
      <c r="D104" s="72"/>
      <c r="E104" s="72"/>
      <c r="F104" s="189"/>
      <c r="G104" s="183"/>
      <c r="H104" s="72"/>
    </row>
    <row r="105" ht="22.5" customHeight="1">
      <c r="A105" s="72"/>
      <c r="B105" s="72" t="s">
        <v>1407</v>
      </c>
      <c r="C105" s="72"/>
      <c r="D105" s="72"/>
      <c r="E105" s="72"/>
      <c r="F105" s="189"/>
      <c r="G105" s="183"/>
      <c r="H105" s="72"/>
    </row>
    <row r="106" ht="22.5" customHeight="1">
      <c r="A106" s="72"/>
      <c r="B106" s="72" t="s">
        <v>1407</v>
      </c>
      <c r="C106" s="72"/>
      <c r="D106" s="72"/>
      <c r="E106" s="72"/>
      <c r="F106" s="189"/>
      <c r="G106" s="183"/>
      <c r="H106" s="72"/>
    </row>
    <row r="107" ht="22.5" customHeight="1">
      <c r="A107" s="72"/>
      <c r="B107" s="72" t="s">
        <v>1407</v>
      </c>
      <c r="C107" s="72"/>
      <c r="D107" s="72"/>
      <c r="E107" s="72"/>
      <c r="F107" s="189"/>
      <c r="G107" s="183"/>
      <c r="H107" s="72"/>
    </row>
    <row r="108" ht="22.5" customHeight="1">
      <c r="A108" s="72"/>
      <c r="B108" s="72" t="s">
        <v>1407</v>
      </c>
      <c r="C108" s="72"/>
      <c r="D108" s="72"/>
      <c r="E108" s="72"/>
      <c r="F108" s="189"/>
      <c r="G108" s="183"/>
      <c r="H108" s="72"/>
    </row>
    <row r="109" ht="22.5" customHeight="1">
      <c r="A109" s="72"/>
      <c r="B109" s="72" t="s">
        <v>1407</v>
      </c>
      <c r="C109" s="72"/>
      <c r="D109" s="72"/>
      <c r="E109" s="72"/>
      <c r="F109" s="189"/>
      <c r="G109" s="183"/>
      <c r="H109" s="72"/>
    </row>
    <row r="110" ht="22.5" customHeight="1">
      <c r="A110" s="72"/>
      <c r="B110" s="72" t="s">
        <v>1407</v>
      </c>
      <c r="C110" s="72"/>
      <c r="D110" s="72"/>
      <c r="E110" s="72"/>
      <c r="F110" s="189"/>
      <c r="G110" s="183"/>
      <c r="H110" s="72"/>
    </row>
    <row r="111" ht="22.5" customHeight="1">
      <c r="A111" s="72"/>
      <c r="B111" s="72" t="s">
        <v>1407</v>
      </c>
      <c r="C111" s="72"/>
      <c r="D111" s="72"/>
      <c r="E111" s="72"/>
      <c r="F111" s="189"/>
      <c r="G111" s="183"/>
      <c r="H111" s="72"/>
    </row>
    <row r="112" ht="22.5" customHeight="1">
      <c r="A112" s="72"/>
      <c r="B112" s="72" t="s">
        <v>1407</v>
      </c>
      <c r="C112" s="72"/>
      <c r="D112" s="72"/>
      <c r="E112" s="72"/>
      <c r="F112" s="189"/>
      <c r="G112" s="183"/>
      <c r="H112" s="72"/>
    </row>
    <row r="113" ht="22.5" customHeight="1">
      <c r="A113" s="72"/>
      <c r="B113" s="72" t="s">
        <v>1407</v>
      </c>
      <c r="C113" s="72"/>
      <c r="D113" s="72"/>
      <c r="E113" s="72"/>
      <c r="F113" s="189"/>
      <c r="G113" s="183"/>
      <c r="H113" s="72"/>
    </row>
    <row r="114" ht="22.5" customHeight="1">
      <c r="A114" s="72"/>
      <c r="B114" s="72" t="s">
        <v>1407</v>
      </c>
      <c r="C114" s="72"/>
      <c r="D114" s="72"/>
      <c r="E114" s="72"/>
      <c r="F114" s="189"/>
      <c r="G114" s="183"/>
      <c r="H114" s="72"/>
    </row>
    <row r="115" ht="22.5" customHeight="1">
      <c r="A115" s="72"/>
      <c r="B115" s="72" t="s">
        <v>1407</v>
      </c>
      <c r="C115" s="72"/>
      <c r="D115" s="72"/>
      <c r="E115" s="72"/>
      <c r="F115" s="189"/>
      <c r="G115" s="183"/>
      <c r="H115" s="72"/>
    </row>
    <row r="116" ht="22.5" customHeight="1">
      <c r="A116" s="72"/>
      <c r="B116" s="72" t="s">
        <v>1407</v>
      </c>
      <c r="C116" s="72"/>
      <c r="D116" s="72"/>
      <c r="E116" s="72"/>
      <c r="F116" s="189"/>
      <c r="G116" s="183"/>
      <c r="H116" s="72"/>
    </row>
    <row r="117" ht="22.5" customHeight="1">
      <c r="A117" s="72"/>
      <c r="B117" s="72" t="s">
        <v>1407</v>
      </c>
      <c r="C117" s="72"/>
      <c r="D117" s="72"/>
      <c r="E117" s="72"/>
      <c r="F117" s="189"/>
      <c r="G117" s="183"/>
      <c r="H117" s="72"/>
    </row>
    <row r="118" ht="22.5" customHeight="1">
      <c r="A118" s="72"/>
      <c r="B118" s="72" t="s">
        <v>1407</v>
      </c>
      <c r="C118" s="72"/>
      <c r="D118" s="72"/>
      <c r="E118" s="72"/>
      <c r="F118" s="189"/>
      <c r="G118" s="183"/>
      <c r="H118" s="72"/>
    </row>
    <row r="119" ht="22.5" customHeight="1">
      <c r="A119" s="72"/>
      <c r="B119" s="72" t="s">
        <v>1407</v>
      </c>
      <c r="C119" s="72"/>
      <c r="D119" s="72"/>
      <c r="E119" s="72"/>
      <c r="F119" s="189"/>
      <c r="G119" s="183"/>
      <c r="H119" s="72"/>
    </row>
    <row r="120" ht="22.5" customHeight="1">
      <c r="A120" s="72"/>
      <c r="B120" s="72" t="s">
        <v>1407</v>
      </c>
      <c r="C120" s="72"/>
      <c r="D120" s="72"/>
      <c r="E120" s="72"/>
      <c r="F120" s="189"/>
      <c r="G120" s="183"/>
      <c r="H120" s="72"/>
    </row>
    <row r="121" ht="22.5" customHeight="1">
      <c r="A121" s="72"/>
      <c r="B121" s="72" t="s">
        <v>1407</v>
      </c>
      <c r="C121" s="72"/>
      <c r="D121" s="72"/>
      <c r="E121" s="72"/>
      <c r="F121" s="189"/>
      <c r="G121" s="183"/>
      <c r="H121" s="72"/>
    </row>
    <row r="122" ht="22.5" customHeight="1">
      <c r="A122" s="72"/>
      <c r="B122" s="72" t="s">
        <v>1407</v>
      </c>
      <c r="C122" s="72"/>
      <c r="D122" s="72"/>
      <c r="E122" s="72"/>
      <c r="F122" s="189"/>
      <c r="G122" s="183"/>
      <c r="H122" s="72"/>
    </row>
    <row r="123" ht="22.5" customHeight="1">
      <c r="A123" s="72"/>
      <c r="B123" s="72" t="s">
        <v>1407</v>
      </c>
      <c r="C123" s="72"/>
      <c r="D123" s="72"/>
      <c r="E123" s="72"/>
      <c r="F123" s="189"/>
      <c r="G123" s="183"/>
      <c r="H123" s="72"/>
    </row>
    <row r="124" ht="22.5" customHeight="1">
      <c r="A124" s="72"/>
      <c r="B124" s="72" t="s">
        <v>1407</v>
      </c>
      <c r="C124" s="72"/>
      <c r="D124" s="72"/>
      <c r="E124" s="72"/>
      <c r="F124" s="189"/>
      <c r="G124" s="183"/>
      <c r="H124" s="72"/>
    </row>
    <row r="125" ht="22.5" customHeight="1">
      <c r="A125" s="72"/>
      <c r="B125" s="72" t="s">
        <v>1407</v>
      </c>
      <c r="C125" s="72"/>
      <c r="D125" s="72"/>
      <c r="E125" s="72"/>
      <c r="F125" s="189"/>
      <c r="G125" s="183"/>
      <c r="H125" s="72"/>
    </row>
    <row r="126" ht="22.5" customHeight="1">
      <c r="A126" s="72"/>
      <c r="B126" s="72" t="s">
        <v>1407</v>
      </c>
      <c r="C126" s="72"/>
      <c r="D126" s="72"/>
      <c r="E126" s="72"/>
      <c r="F126" s="189"/>
      <c r="G126" s="183"/>
      <c r="H126" s="72"/>
    </row>
    <row r="127" ht="22.5" customHeight="1">
      <c r="A127" s="72"/>
      <c r="B127" s="72" t="s">
        <v>1407</v>
      </c>
      <c r="C127" s="72"/>
      <c r="D127" s="72"/>
      <c r="E127" s="72"/>
      <c r="F127" s="189"/>
      <c r="G127" s="183"/>
      <c r="H127" s="72"/>
    </row>
    <row r="128" ht="22.5" customHeight="1">
      <c r="A128" s="72"/>
      <c r="B128" s="72" t="s">
        <v>1407</v>
      </c>
      <c r="C128" s="72"/>
      <c r="D128" s="72"/>
      <c r="E128" s="72"/>
      <c r="F128" s="189"/>
      <c r="G128" s="183"/>
      <c r="H128" s="72"/>
    </row>
    <row r="129" ht="22.5" customHeight="1">
      <c r="A129" s="72"/>
      <c r="B129" s="72" t="s">
        <v>1407</v>
      </c>
      <c r="C129" s="72"/>
      <c r="D129" s="72"/>
      <c r="E129" s="72"/>
      <c r="F129" s="189"/>
      <c r="G129" s="183"/>
      <c r="H129" s="72"/>
    </row>
    <row r="130" ht="22.5" customHeight="1">
      <c r="A130" s="72"/>
      <c r="B130" s="72" t="s">
        <v>1407</v>
      </c>
      <c r="C130" s="72"/>
      <c r="D130" s="72"/>
      <c r="E130" s="72"/>
      <c r="F130" s="189"/>
      <c r="G130" s="183"/>
      <c r="H130" s="72"/>
    </row>
    <row r="131" ht="22.5" customHeight="1">
      <c r="A131" s="72"/>
      <c r="B131" s="72" t="s">
        <v>1407</v>
      </c>
      <c r="C131" s="72"/>
      <c r="D131" s="72"/>
      <c r="E131" s="72"/>
      <c r="F131" s="189"/>
      <c r="G131" s="183"/>
      <c r="H131" s="72"/>
    </row>
    <row r="132" ht="22.5" customHeight="1">
      <c r="A132" s="72"/>
      <c r="B132" s="72" t="s">
        <v>1407</v>
      </c>
      <c r="C132" s="72"/>
      <c r="D132" s="72"/>
      <c r="E132" s="72"/>
      <c r="F132" s="189"/>
      <c r="G132" s="183"/>
      <c r="H132" s="72"/>
    </row>
    <row r="133" ht="22.5" customHeight="1">
      <c r="A133" s="72"/>
      <c r="B133" s="72" t="s">
        <v>1407</v>
      </c>
      <c r="C133" s="72"/>
      <c r="D133" s="72"/>
      <c r="E133" s="72"/>
      <c r="F133" s="189"/>
      <c r="G133" s="183"/>
      <c r="H133" s="72"/>
    </row>
    <row r="134" ht="22.5" customHeight="1">
      <c r="A134" s="72"/>
      <c r="B134" s="72" t="s">
        <v>1407</v>
      </c>
      <c r="C134" s="72"/>
      <c r="D134" s="72"/>
      <c r="E134" s="72"/>
      <c r="F134" s="189"/>
      <c r="G134" s="183"/>
      <c r="H134" s="72"/>
    </row>
    <row r="135" ht="22.5" customHeight="1">
      <c r="A135" s="72"/>
      <c r="B135" s="72" t="s">
        <v>1407</v>
      </c>
      <c r="C135" s="72"/>
      <c r="D135" s="72"/>
      <c r="E135" s="72"/>
      <c r="F135" s="189"/>
      <c r="G135" s="183"/>
      <c r="H135" s="72"/>
    </row>
    <row r="136" ht="22.5" customHeight="1">
      <c r="A136" s="72"/>
      <c r="B136" s="72" t="s">
        <v>1407</v>
      </c>
      <c r="C136" s="72"/>
      <c r="D136" s="72"/>
      <c r="E136" s="72"/>
      <c r="F136" s="189"/>
      <c r="G136" s="183"/>
      <c r="H136" s="72"/>
    </row>
    <row r="137" ht="22.5" customHeight="1">
      <c r="A137" s="72"/>
      <c r="B137" s="72" t="s">
        <v>1407</v>
      </c>
      <c r="C137" s="72"/>
      <c r="D137" s="72"/>
      <c r="E137" s="72"/>
      <c r="F137" s="189"/>
      <c r="G137" s="183"/>
      <c r="H137" s="72"/>
    </row>
    <row r="138" ht="22.5" customHeight="1">
      <c r="A138" s="72"/>
      <c r="B138" s="72" t="s">
        <v>1407</v>
      </c>
      <c r="C138" s="72"/>
      <c r="D138" s="72"/>
      <c r="E138" s="72"/>
      <c r="F138" s="189"/>
      <c r="G138" s="183"/>
      <c r="H138" s="72"/>
    </row>
    <row r="139" ht="22.5" customHeight="1">
      <c r="A139" s="72"/>
      <c r="B139" s="72" t="s">
        <v>1407</v>
      </c>
      <c r="C139" s="72"/>
      <c r="D139" s="72"/>
      <c r="E139" s="72"/>
      <c r="F139" s="189"/>
      <c r="G139" s="183"/>
      <c r="H139" s="72"/>
    </row>
    <row r="140" ht="22.5" customHeight="1">
      <c r="A140" s="72"/>
      <c r="B140" s="72" t="s">
        <v>1407</v>
      </c>
      <c r="C140" s="72"/>
      <c r="D140" s="72"/>
      <c r="E140" s="72"/>
      <c r="F140" s="189"/>
      <c r="G140" s="183"/>
      <c r="H140" s="72"/>
    </row>
    <row r="141" ht="22.5" customHeight="1">
      <c r="A141" s="72"/>
      <c r="B141" s="72" t="s">
        <v>1407</v>
      </c>
      <c r="C141" s="72"/>
      <c r="D141" s="72"/>
      <c r="E141" s="72"/>
      <c r="F141" s="189"/>
      <c r="G141" s="183"/>
      <c r="H141" s="72"/>
    </row>
    <row r="142" ht="22.5" customHeight="1">
      <c r="A142" s="72"/>
      <c r="B142" s="72" t="s">
        <v>1407</v>
      </c>
      <c r="C142" s="72"/>
      <c r="D142" s="72"/>
      <c r="E142" s="72"/>
      <c r="F142" s="189"/>
      <c r="G142" s="183"/>
      <c r="H142" s="72"/>
    </row>
    <row r="143" ht="22.5" customHeight="1">
      <c r="A143" s="72"/>
      <c r="B143" s="72" t="s">
        <v>1407</v>
      </c>
      <c r="C143" s="72"/>
      <c r="D143" s="72"/>
      <c r="E143" s="72"/>
      <c r="F143" s="189"/>
      <c r="G143" s="183"/>
      <c r="H143" s="72"/>
    </row>
    <row r="144" ht="22.5" customHeight="1">
      <c r="A144" s="72"/>
      <c r="B144" s="72" t="s">
        <v>1407</v>
      </c>
      <c r="C144" s="72"/>
      <c r="D144" s="72"/>
      <c r="E144" s="72"/>
      <c r="F144" s="189"/>
      <c r="G144" s="183"/>
      <c r="H144" s="72"/>
    </row>
    <row r="145" ht="22.5" customHeight="1">
      <c r="A145" s="72"/>
      <c r="B145" s="72" t="s">
        <v>1407</v>
      </c>
      <c r="C145" s="72"/>
      <c r="D145" s="72"/>
      <c r="E145" s="72"/>
      <c r="F145" s="189"/>
      <c r="G145" s="183"/>
      <c r="H145" s="72"/>
    </row>
    <row r="146" ht="22.5" customHeight="1">
      <c r="A146" s="72"/>
      <c r="B146" s="72" t="s">
        <v>1407</v>
      </c>
      <c r="C146" s="72"/>
      <c r="D146" s="72"/>
      <c r="E146" s="72"/>
      <c r="F146" s="189"/>
      <c r="G146" s="183"/>
      <c r="H146" s="72"/>
    </row>
    <row r="147" ht="22.5" customHeight="1">
      <c r="A147" s="72"/>
      <c r="B147" s="72" t="s">
        <v>1407</v>
      </c>
      <c r="C147" s="72"/>
      <c r="D147" s="72"/>
      <c r="E147" s="72"/>
      <c r="F147" s="189"/>
      <c r="G147" s="183"/>
      <c r="H147" s="72"/>
    </row>
    <row r="148" ht="22.5" customHeight="1">
      <c r="A148" s="72"/>
      <c r="B148" s="72" t="s">
        <v>1407</v>
      </c>
      <c r="C148" s="72"/>
      <c r="D148" s="72"/>
      <c r="E148" s="72"/>
      <c r="F148" s="189"/>
      <c r="G148" s="183"/>
      <c r="H148" s="72"/>
    </row>
    <row r="149" ht="22.5" customHeight="1">
      <c r="A149" s="72"/>
      <c r="B149" s="72" t="s">
        <v>1407</v>
      </c>
      <c r="C149" s="72"/>
      <c r="D149" s="72"/>
      <c r="E149" s="72"/>
      <c r="F149" s="189"/>
      <c r="G149" s="183"/>
      <c r="H149" s="72"/>
    </row>
    <row r="150" ht="22.5" customHeight="1">
      <c r="A150" s="72"/>
      <c r="B150" s="72" t="s">
        <v>1407</v>
      </c>
      <c r="C150" s="72"/>
      <c r="D150" s="72"/>
      <c r="E150" s="72"/>
      <c r="F150" s="189"/>
      <c r="G150" s="183"/>
      <c r="H150" s="72"/>
    </row>
    <row r="151" ht="22.5" customHeight="1">
      <c r="A151" s="72"/>
      <c r="B151" s="72" t="s">
        <v>1407</v>
      </c>
      <c r="C151" s="72"/>
      <c r="D151" s="72"/>
      <c r="E151" s="72"/>
      <c r="F151" s="189"/>
      <c r="G151" s="183"/>
      <c r="H151" s="72"/>
    </row>
    <row r="152" ht="22.5" customHeight="1">
      <c r="A152" s="72"/>
      <c r="B152" s="72" t="s">
        <v>1407</v>
      </c>
      <c r="C152" s="72"/>
      <c r="D152" s="72"/>
      <c r="E152" s="72"/>
      <c r="F152" s="189"/>
      <c r="G152" s="183"/>
      <c r="H152" s="72"/>
    </row>
    <row r="153" ht="22.5" customHeight="1">
      <c r="A153" s="72"/>
      <c r="B153" s="72" t="s">
        <v>1407</v>
      </c>
      <c r="C153" s="72"/>
      <c r="D153" s="72"/>
      <c r="E153" s="72"/>
      <c r="F153" s="189"/>
      <c r="G153" s="183"/>
      <c r="H153" s="72"/>
    </row>
    <row r="154" ht="22.5" customHeight="1">
      <c r="A154" s="72"/>
      <c r="B154" s="72" t="s">
        <v>1407</v>
      </c>
      <c r="C154" s="72"/>
      <c r="D154" s="72"/>
      <c r="E154" s="72"/>
      <c r="F154" s="189"/>
      <c r="G154" s="183"/>
      <c r="H154" s="72"/>
    </row>
    <row r="155" ht="22.5" customHeight="1">
      <c r="A155" s="72"/>
      <c r="B155" s="72" t="s">
        <v>1407</v>
      </c>
      <c r="C155" s="72"/>
      <c r="D155" s="72"/>
      <c r="E155" s="72"/>
      <c r="F155" s="189"/>
      <c r="G155" s="183"/>
      <c r="H155" s="72"/>
    </row>
    <row r="156" ht="22.5" customHeight="1">
      <c r="A156" s="72"/>
      <c r="B156" s="72" t="s">
        <v>1407</v>
      </c>
      <c r="C156" s="72"/>
      <c r="D156" s="72"/>
      <c r="E156" s="72"/>
      <c r="F156" s="189"/>
      <c r="G156" s="183"/>
      <c r="H156" s="72"/>
    </row>
    <row r="157" ht="22.5" customHeight="1">
      <c r="A157" s="72"/>
      <c r="B157" s="72" t="s">
        <v>1407</v>
      </c>
      <c r="C157" s="72"/>
      <c r="D157" s="72"/>
      <c r="E157" s="72"/>
      <c r="F157" s="189"/>
      <c r="G157" s="183"/>
      <c r="H157" s="72"/>
    </row>
    <row r="158" ht="22.5" customHeight="1">
      <c r="A158" s="72"/>
      <c r="B158" s="72" t="s">
        <v>1407</v>
      </c>
      <c r="C158" s="72"/>
      <c r="D158" s="72"/>
      <c r="E158" s="72"/>
      <c r="F158" s="189"/>
      <c r="G158" s="183"/>
      <c r="H158" s="72"/>
    </row>
    <row r="159" ht="22.5" customHeight="1">
      <c r="A159" s="72"/>
      <c r="B159" s="72" t="s">
        <v>1407</v>
      </c>
      <c r="C159" s="72"/>
      <c r="D159" s="72"/>
      <c r="E159" s="72"/>
      <c r="F159" s="189"/>
      <c r="G159" s="183"/>
      <c r="H159" s="72"/>
    </row>
    <row r="160" ht="22.5" customHeight="1">
      <c r="A160" s="72"/>
      <c r="B160" s="72" t="s">
        <v>1407</v>
      </c>
      <c r="C160" s="72"/>
      <c r="D160" s="72"/>
      <c r="E160" s="72"/>
      <c r="F160" s="189"/>
      <c r="G160" s="183"/>
      <c r="H160" s="72"/>
    </row>
    <row r="161" ht="22.5" customHeight="1">
      <c r="A161" s="72"/>
      <c r="B161" s="72" t="s">
        <v>1407</v>
      </c>
      <c r="C161" s="72"/>
      <c r="D161" s="72"/>
      <c r="E161" s="72"/>
      <c r="F161" s="189"/>
      <c r="G161" s="183"/>
      <c r="H161" s="72"/>
    </row>
    <row r="162" ht="22.5" customHeight="1">
      <c r="A162" s="72"/>
      <c r="B162" s="72" t="s">
        <v>1407</v>
      </c>
      <c r="C162" s="72"/>
      <c r="D162" s="72"/>
      <c r="E162" s="72"/>
      <c r="F162" s="189"/>
      <c r="G162" s="183"/>
      <c r="H162" s="72"/>
    </row>
    <row r="163" ht="22.5" customHeight="1">
      <c r="A163" s="72"/>
      <c r="B163" s="72" t="s">
        <v>1407</v>
      </c>
      <c r="C163" s="72"/>
      <c r="D163" s="72"/>
      <c r="E163" s="72"/>
      <c r="F163" s="189"/>
      <c r="G163" s="183"/>
      <c r="H163" s="72"/>
    </row>
    <row r="164" ht="22.5" customHeight="1">
      <c r="A164" s="72"/>
      <c r="B164" s="72" t="s">
        <v>1407</v>
      </c>
      <c r="C164" s="72"/>
      <c r="D164" s="72"/>
      <c r="E164" s="72"/>
      <c r="F164" s="189"/>
      <c r="G164" s="183"/>
      <c r="H164" s="72"/>
    </row>
    <row r="165" ht="22.5" customHeight="1">
      <c r="A165" s="72"/>
      <c r="B165" s="72" t="s">
        <v>1407</v>
      </c>
      <c r="C165" s="72"/>
      <c r="D165" s="72"/>
      <c r="E165" s="72"/>
      <c r="F165" s="189"/>
      <c r="G165" s="183"/>
      <c r="H165" s="72"/>
    </row>
    <row r="166" ht="22.5" customHeight="1">
      <c r="A166" s="72"/>
      <c r="B166" s="72" t="s">
        <v>1407</v>
      </c>
      <c r="C166" s="72"/>
      <c r="D166" s="72"/>
      <c r="E166" s="72"/>
      <c r="F166" s="189"/>
      <c r="G166" s="183"/>
      <c r="H166" s="72"/>
    </row>
    <row r="167" ht="22.5" customHeight="1">
      <c r="A167" s="72"/>
      <c r="B167" s="72" t="s">
        <v>1407</v>
      </c>
      <c r="C167" s="72"/>
      <c r="D167" s="72"/>
      <c r="E167" s="72"/>
      <c r="F167" s="189"/>
      <c r="G167" s="183"/>
      <c r="H167" s="72"/>
    </row>
    <row r="168" ht="22.5" customHeight="1">
      <c r="A168" s="72"/>
      <c r="B168" s="72" t="s">
        <v>1407</v>
      </c>
      <c r="C168" s="72"/>
      <c r="D168" s="72"/>
      <c r="E168" s="72"/>
      <c r="F168" s="189"/>
      <c r="G168" s="183"/>
      <c r="H168" s="72"/>
    </row>
    <row r="169" ht="22.5" customHeight="1">
      <c r="A169" s="72"/>
      <c r="B169" s="72" t="s">
        <v>1407</v>
      </c>
      <c r="C169" s="72"/>
      <c r="D169" s="72"/>
      <c r="E169" s="72"/>
      <c r="F169" s="189"/>
      <c r="G169" s="183"/>
      <c r="H169" s="72"/>
    </row>
    <row r="170" ht="22.5" customHeight="1">
      <c r="A170" s="72"/>
      <c r="B170" s="72" t="s">
        <v>1407</v>
      </c>
      <c r="C170" s="72"/>
      <c r="D170" s="72"/>
      <c r="E170" s="72"/>
      <c r="F170" s="189"/>
      <c r="G170" s="183"/>
      <c r="H170" s="72"/>
    </row>
    <row r="171" ht="22.5" customHeight="1">
      <c r="A171" s="72"/>
      <c r="B171" s="72" t="s">
        <v>1407</v>
      </c>
      <c r="C171" s="72"/>
      <c r="D171" s="72"/>
      <c r="E171" s="72"/>
      <c r="F171" s="189"/>
      <c r="G171" s="183"/>
      <c r="H171" s="72"/>
    </row>
    <row r="172" ht="22.5" customHeight="1">
      <c r="A172" s="72"/>
      <c r="B172" s="72" t="s">
        <v>1407</v>
      </c>
      <c r="C172" s="72"/>
      <c r="D172" s="72"/>
      <c r="E172" s="72"/>
      <c r="F172" s="189"/>
      <c r="G172" s="183"/>
      <c r="H172" s="72"/>
    </row>
    <row r="173" ht="22.5" customHeight="1">
      <c r="A173" s="72"/>
      <c r="B173" s="72" t="s">
        <v>1407</v>
      </c>
      <c r="C173" s="72"/>
      <c r="D173" s="72"/>
      <c r="E173" s="72"/>
      <c r="F173" s="189"/>
      <c r="G173" s="183"/>
      <c r="H173" s="72"/>
    </row>
    <row r="174" ht="22.5" customHeight="1">
      <c r="A174" s="72"/>
      <c r="B174" s="72" t="s">
        <v>1407</v>
      </c>
      <c r="C174" s="72"/>
      <c r="D174" s="72"/>
      <c r="E174" s="72"/>
      <c r="F174" s="189"/>
      <c r="G174" s="183"/>
      <c r="H174" s="72"/>
    </row>
    <row r="175" ht="22.5" customHeight="1">
      <c r="A175" s="72"/>
      <c r="B175" s="72" t="s">
        <v>1407</v>
      </c>
      <c r="C175" s="72"/>
      <c r="D175" s="72"/>
      <c r="E175" s="72"/>
      <c r="F175" s="189"/>
      <c r="G175" s="183"/>
      <c r="H175" s="72"/>
    </row>
    <row r="176" ht="22.5" customHeight="1">
      <c r="A176" s="72"/>
      <c r="B176" s="72" t="s">
        <v>1407</v>
      </c>
      <c r="C176" s="72"/>
      <c r="D176" s="72"/>
      <c r="E176" s="72"/>
      <c r="F176" s="189"/>
      <c r="G176" s="183"/>
      <c r="H176" s="72"/>
    </row>
    <row r="177" ht="22.5" customHeight="1">
      <c r="A177" s="72"/>
      <c r="B177" s="72" t="s">
        <v>1407</v>
      </c>
      <c r="C177" s="72"/>
      <c r="D177" s="72"/>
      <c r="E177" s="72"/>
      <c r="F177" s="189"/>
      <c r="G177" s="183"/>
      <c r="H177" s="72"/>
    </row>
    <row r="178" ht="22.5" customHeight="1">
      <c r="A178" s="72"/>
      <c r="B178" s="72" t="s">
        <v>1407</v>
      </c>
      <c r="C178" s="72"/>
      <c r="D178" s="72"/>
      <c r="E178" s="72"/>
      <c r="F178" s="189"/>
      <c r="G178" s="183"/>
      <c r="H178" s="72"/>
    </row>
    <row r="179" ht="22.5" customHeight="1">
      <c r="A179" s="72"/>
      <c r="B179" s="72" t="s">
        <v>1407</v>
      </c>
      <c r="C179" s="72"/>
      <c r="D179" s="72"/>
      <c r="E179" s="72"/>
      <c r="F179" s="189"/>
      <c r="G179" s="183"/>
      <c r="H179" s="72"/>
    </row>
    <row r="180" ht="22.5" customHeight="1">
      <c r="A180" s="72"/>
      <c r="B180" s="72" t="s">
        <v>1407</v>
      </c>
      <c r="C180" s="72"/>
      <c r="D180" s="72"/>
      <c r="E180" s="72"/>
      <c r="F180" s="189"/>
      <c r="G180" s="183"/>
      <c r="H180" s="72"/>
    </row>
    <row r="181" ht="22.5" customHeight="1">
      <c r="A181" s="72"/>
      <c r="B181" s="72" t="s">
        <v>1407</v>
      </c>
      <c r="C181" s="72"/>
      <c r="D181" s="72"/>
      <c r="E181" s="72"/>
      <c r="F181" s="189"/>
      <c r="G181" s="183"/>
      <c r="H181" s="72"/>
    </row>
    <row r="182" ht="22.5" customHeight="1">
      <c r="A182" s="72"/>
      <c r="B182" s="72" t="s">
        <v>1407</v>
      </c>
      <c r="C182" s="72"/>
      <c r="D182" s="72"/>
      <c r="E182" s="72"/>
      <c r="F182" s="189"/>
      <c r="G182" s="183"/>
      <c r="H182" s="72"/>
    </row>
    <row r="183" ht="22.5" customHeight="1">
      <c r="A183" s="72"/>
      <c r="B183" s="72" t="s">
        <v>1407</v>
      </c>
      <c r="C183" s="72"/>
      <c r="D183" s="72"/>
      <c r="E183" s="72"/>
      <c r="F183" s="189"/>
      <c r="G183" s="183"/>
      <c r="H183" s="72"/>
    </row>
    <row r="184" ht="22.5" customHeight="1">
      <c r="A184" s="72"/>
      <c r="B184" s="72" t="s">
        <v>1407</v>
      </c>
      <c r="C184" s="72"/>
      <c r="D184" s="72"/>
      <c r="E184" s="72"/>
      <c r="F184" s="189"/>
      <c r="G184" s="183"/>
      <c r="H184" s="72"/>
    </row>
    <row r="185" ht="22.5" customHeight="1">
      <c r="A185" s="72"/>
      <c r="B185" s="72" t="s">
        <v>1407</v>
      </c>
      <c r="C185" s="72"/>
      <c r="D185" s="72"/>
      <c r="E185" s="72"/>
      <c r="F185" s="189"/>
      <c r="G185" s="183"/>
      <c r="H185" s="72"/>
    </row>
    <row r="186" ht="22.5" customHeight="1">
      <c r="A186" s="72"/>
      <c r="B186" s="72" t="s">
        <v>1407</v>
      </c>
      <c r="C186" s="72"/>
      <c r="D186" s="72"/>
      <c r="E186" s="72"/>
      <c r="F186" s="189"/>
      <c r="G186" s="183"/>
      <c r="H186" s="72"/>
    </row>
    <row r="187" ht="22.5" customHeight="1">
      <c r="A187" s="72"/>
      <c r="B187" s="72" t="s">
        <v>1407</v>
      </c>
      <c r="C187" s="72"/>
      <c r="D187" s="72"/>
      <c r="E187" s="72"/>
      <c r="F187" s="189"/>
      <c r="G187" s="183"/>
      <c r="H187" s="72"/>
    </row>
    <row r="188" ht="22.5" customHeight="1">
      <c r="A188" s="72"/>
      <c r="B188" s="72" t="s">
        <v>1407</v>
      </c>
      <c r="C188" s="72"/>
      <c r="D188" s="72"/>
      <c r="E188" s="72"/>
      <c r="F188" s="189"/>
      <c r="G188" s="183"/>
      <c r="H188" s="72"/>
    </row>
    <row r="189" ht="22.5" customHeight="1">
      <c r="A189" s="72"/>
      <c r="B189" s="72" t="s">
        <v>1407</v>
      </c>
      <c r="C189" s="72"/>
      <c r="D189" s="72"/>
      <c r="E189" s="72"/>
      <c r="F189" s="189"/>
      <c r="G189" s="183"/>
      <c r="H189" s="72"/>
    </row>
    <row r="190" ht="22.5" customHeight="1">
      <c r="A190" s="72"/>
      <c r="B190" s="72" t="s">
        <v>1407</v>
      </c>
      <c r="C190" s="72"/>
      <c r="D190" s="72"/>
      <c r="E190" s="72"/>
      <c r="F190" s="189"/>
      <c r="G190" s="183"/>
      <c r="H190" s="72"/>
    </row>
    <row r="191" ht="22.5" customHeight="1">
      <c r="A191" s="72"/>
      <c r="B191" s="72" t="s">
        <v>1407</v>
      </c>
      <c r="C191" s="72"/>
      <c r="D191" s="72"/>
      <c r="E191" s="72"/>
      <c r="F191" s="189"/>
      <c r="G191" s="183"/>
      <c r="H191" s="72"/>
    </row>
    <row r="192" ht="22.5" customHeight="1">
      <c r="A192" s="72"/>
      <c r="B192" s="72" t="s">
        <v>1407</v>
      </c>
      <c r="C192" s="72"/>
      <c r="D192" s="72"/>
      <c r="E192" s="72"/>
      <c r="F192" s="189"/>
      <c r="G192" s="183"/>
      <c r="H192" s="72"/>
    </row>
    <row r="193" ht="22.5" customHeight="1">
      <c r="A193" s="72"/>
      <c r="B193" s="72" t="s">
        <v>1407</v>
      </c>
      <c r="C193" s="72"/>
      <c r="D193" s="72"/>
      <c r="E193" s="72"/>
      <c r="F193" s="189"/>
      <c r="G193" s="183"/>
      <c r="H193" s="72"/>
    </row>
    <row r="194" ht="22.5" customHeight="1">
      <c r="A194" s="72"/>
      <c r="B194" s="72" t="s">
        <v>1407</v>
      </c>
      <c r="C194" s="72"/>
      <c r="D194" s="72"/>
      <c r="E194" s="72"/>
      <c r="F194" s="189"/>
      <c r="G194" s="183"/>
      <c r="H194" s="72"/>
    </row>
    <row r="195" ht="22.5" customHeight="1">
      <c r="A195" s="72"/>
      <c r="B195" s="72" t="s">
        <v>1407</v>
      </c>
      <c r="C195" s="72"/>
      <c r="D195" s="72"/>
      <c r="E195" s="72"/>
      <c r="F195" s="189"/>
      <c r="G195" s="183"/>
      <c r="H195" s="72"/>
    </row>
    <row r="196" ht="22.5" customHeight="1">
      <c r="A196" s="72"/>
      <c r="B196" s="72" t="s">
        <v>1407</v>
      </c>
      <c r="C196" s="72"/>
      <c r="D196" s="72"/>
      <c r="E196" s="72"/>
      <c r="F196" s="189"/>
      <c r="G196" s="183"/>
      <c r="H196" s="72"/>
    </row>
    <row r="197" ht="22.5" customHeight="1">
      <c r="A197" s="72"/>
      <c r="B197" s="72" t="s">
        <v>1407</v>
      </c>
      <c r="C197" s="72"/>
      <c r="D197" s="72"/>
      <c r="E197" s="72"/>
      <c r="F197" s="189"/>
      <c r="G197" s="183"/>
      <c r="H197" s="72"/>
    </row>
    <row r="198" ht="22.5" customHeight="1">
      <c r="A198" s="72"/>
      <c r="B198" s="72" t="s">
        <v>1407</v>
      </c>
      <c r="C198" s="72"/>
      <c r="D198" s="72"/>
      <c r="E198" s="72"/>
      <c r="F198" s="189"/>
      <c r="G198" s="183"/>
      <c r="H198" s="72"/>
    </row>
    <row r="199" ht="22.5" customHeight="1">
      <c r="A199" s="72"/>
      <c r="B199" s="72" t="s">
        <v>1407</v>
      </c>
      <c r="C199" s="72"/>
      <c r="D199" s="72"/>
      <c r="E199" s="72"/>
      <c r="F199" s="189"/>
      <c r="G199" s="183"/>
      <c r="H199" s="72"/>
    </row>
    <row r="200" ht="22.5" customHeight="1">
      <c r="A200" s="72"/>
      <c r="B200" s="72" t="s">
        <v>1407</v>
      </c>
      <c r="C200" s="72"/>
      <c r="D200" s="72"/>
      <c r="E200" s="72"/>
      <c r="F200" s="189"/>
      <c r="G200" s="183"/>
      <c r="H200" s="72"/>
    </row>
    <row r="201" ht="22.5" customHeight="1">
      <c r="A201" s="72"/>
      <c r="B201" s="72" t="s">
        <v>1407</v>
      </c>
      <c r="C201" s="72"/>
      <c r="D201" s="72"/>
      <c r="E201" s="72"/>
      <c r="F201" s="189"/>
      <c r="G201" s="183"/>
      <c r="H201" s="72"/>
    </row>
    <row r="202" ht="22.5" customHeight="1">
      <c r="A202" s="72"/>
      <c r="B202" s="72" t="s">
        <v>1407</v>
      </c>
      <c r="C202" s="72"/>
      <c r="D202" s="72"/>
      <c r="E202" s="72"/>
      <c r="F202" s="189"/>
      <c r="G202" s="183"/>
      <c r="H202" s="72"/>
    </row>
    <row r="203" ht="22.5" customHeight="1">
      <c r="A203" s="72"/>
      <c r="B203" s="72" t="s">
        <v>1407</v>
      </c>
      <c r="C203" s="72"/>
      <c r="D203" s="72"/>
      <c r="E203" s="72"/>
      <c r="F203" s="189"/>
      <c r="G203" s="183"/>
      <c r="H203" s="72"/>
    </row>
    <row r="204" ht="22.5" customHeight="1">
      <c r="A204" s="72"/>
      <c r="B204" s="72" t="s">
        <v>1407</v>
      </c>
      <c r="C204" s="72"/>
      <c r="D204" s="72"/>
      <c r="E204" s="72"/>
      <c r="F204" s="189"/>
      <c r="G204" s="183"/>
      <c r="H204" s="72"/>
    </row>
    <row r="205" ht="22.5" customHeight="1">
      <c r="A205" s="72"/>
      <c r="B205" s="72" t="s">
        <v>1407</v>
      </c>
      <c r="C205" s="72"/>
      <c r="D205" s="72"/>
      <c r="E205" s="72"/>
      <c r="F205" s="189"/>
      <c r="G205" s="183"/>
      <c r="H205" s="72"/>
    </row>
    <row r="206" ht="22.5" customHeight="1">
      <c r="A206" s="72"/>
      <c r="B206" s="72" t="s">
        <v>1407</v>
      </c>
      <c r="C206" s="72"/>
      <c r="D206" s="72"/>
      <c r="E206" s="72"/>
      <c r="F206" s="189"/>
      <c r="G206" s="183"/>
      <c r="H206" s="72"/>
    </row>
    <row r="207" ht="22.5" customHeight="1">
      <c r="A207" s="72"/>
      <c r="B207" s="72" t="s">
        <v>1407</v>
      </c>
      <c r="C207" s="72"/>
      <c r="D207" s="72"/>
      <c r="E207" s="72"/>
      <c r="F207" s="189"/>
      <c r="G207" s="183"/>
      <c r="H207" s="72"/>
    </row>
    <row r="208" ht="22.5" customHeight="1">
      <c r="A208" s="72"/>
      <c r="B208" s="72" t="s">
        <v>1407</v>
      </c>
      <c r="C208" s="72"/>
      <c r="D208" s="72"/>
      <c r="E208" s="72"/>
      <c r="F208" s="189"/>
      <c r="G208" s="183"/>
      <c r="H208" s="72"/>
    </row>
    <row r="209" ht="22.5" customHeight="1">
      <c r="A209" s="72"/>
      <c r="B209" s="72" t="s">
        <v>1407</v>
      </c>
      <c r="C209" s="72"/>
      <c r="D209" s="72"/>
      <c r="E209" s="72"/>
      <c r="F209" s="189"/>
      <c r="G209" s="183"/>
      <c r="H209" s="72"/>
    </row>
    <row r="210" ht="22.5" customHeight="1">
      <c r="A210" s="72"/>
      <c r="B210" s="72" t="s">
        <v>1407</v>
      </c>
      <c r="C210" s="72"/>
      <c r="D210" s="72"/>
      <c r="E210" s="72"/>
      <c r="F210" s="189"/>
      <c r="G210" s="183"/>
      <c r="H210" s="72"/>
    </row>
    <row r="211" ht="22.5" customHeight="1">
      <c r="A211" s="72"/>
      <c r="B211" s="72" t="s">
        <v>1407</v>
      </c>
      <c r="C211" s="72"/>
      <c r="D211" s="72"/>
      <c r="E211" s="72"/>
      <c r="F211" s="189"/>
      <c r="G211" s="183"/>
      <c r="H211" s="72"/>
    </row>
    <row r="212" ht="22.5" customHeight="1">
      <c r="A212" s="72"/>
      <c r="B212" s="72" t="s">
        <v>1407</v>
      </c>
      <c r="C212" s="72"/>
      <c r="D212" s="72"/>
      <c r="E212" s="72"/>
      <c r="F212" s="189"/>
      <c r="G212" s="183"/>
      <c r="H212" s="72"/>
    </row>
    <row r="213" ht="22.5" customHeight="1">
      <c r="A213" s="72"/>
      <c r="B213" s="72" t="s">
        <v>1407</v>
      </c>
      <c r="C213" s="72"/>
      <c r="D213" s="72"/>
      <c r="E213" s="72"/>
      <c r="F213" s="189"/>
      <c r="G213" s="183"/>
      <c r="H213" s="72"/>
    </row>
    <row r="214" ht="22.5" customHeight="1">
      <c r="A214" s="72"/>
      <c r="B214" s="72" t="s">
        <v>1407</v>
      </c>
      <c r="C214" s="72"/>
      <c r="D214" s="72"/>
      <c r="E214" s="72"/>
      <c r="F214" s="189"/>
      <c r="G214" s="183"/>
      <c r="H214" s="72"/>
    </row>
    <row r="215" ht="22.5" customHeight="1">
      <c r="A215" s="72"/>
      <c r="B215" s="72" t="s">
        <v>1407</v>
      </c>
      <c r="C215" s="72"/>
      <c r="D215" s="72"/>
      <c r="E215" s="72"/>
      <c r="F215" s="189"/>
      <c r="G215" s="183"/>
      <c r="H215" s="72"/>
    </row>
    <row r="216" ht="22.5" customHeight="1">
      <c r="A216" s="72"/>
      <c r="B216" s="72" t="s">
        <v>1407</v>
      </c>
      <c r="C216" s="72"/>
      <c r="D216" s="72"/>
      <c r="E216" s="72"/>
      <c r="F216" s="189"/>
      <c r="G216" s="183"/>
      <c r="H216" s="72"/>
    </row>
    <row r="217" ht="22.5" customHeight="1">
      <c r="A217" s="72"/>
      <c r="B217" s="72" t="s">
        <v>1407</v>
      </c>
      <c r="C217" s="72"/>
      <c r="D217" s="72"/>
      <c r="E217" s="72"/>
      <c r="F217" s="189"/>
      <c r="G217" s="183"/>
      <c r="H217" s="72"/>
    </row>
    <row r="218" ht="22.5" customHeight="1">
      <c r="A218" s="72"/>
      <c r="B218" s="72" t="s">
        <v>1407</v>
      </c>
      <c r="C218" s="72"/>
      <c r="D218" s="72"/>
      <c r="E218" s="72"/>
      <c r="F218" s="189"/>
      <c r="G218" s="183"/>
      <c r="H218" s="72"/>
    </row>
    <row r="219" ht="22.5" customHeight="1">
      <c r="A219" s="72"/>
      <c r="B219" s="72" t="s">
        <v>1407</v>
      </c>
      <c r="C219" s="72"/>
      <c r="D219" s="72"/>
      <c r="E219" s="72"/>
      <c r="F219" s="189"/>
      <c r="G219" s="183"/>
      <c r="H219" s="72"/>
    </row>
    <row r="220" ht="22.5" customHeight="1">
      <c r="A220" s="72"/>
      <c r="B220" s="72" t="s">
        <v>1407</v>
      </c>
      <c r="C220" s="72"/>
      <c r="D220" s="72"/>
      <c r="E220" s="72"/>
      <c r="F220" s="189"/>
      <c r="G220" s="183"/>
      <c r="H220" s="72"/>
    </row>
    <row r="221" ht="22.5" customHeight="1">
      <c r="A221" s="72"/>
      <c r="B221" s="72" t="s">
        <v>1407</v>
      </c>
      <c r="C221" s="72"/>
      <c r="D221" s="72"/>
      <c r="E221" s="72"/>
      <c r="F221" s="189"/>
      <c r="G221" s="183"/>
      <c r="H221" s="72"/>
    </row>
    <row r="222" ht="22.5" customHeight="1">
      <c r="A222" s="72"/>
      <c r="B222" s="72" t="s">
        <v>1407</v>
      </c>
      <c r="C222" s="72"/>
      <c r="D222" s="72"/>
      <c r="E222" s="72"/>
      <c r="F222" s="189"/>
      <c r="G222" s="183"/>
      <c r="H222" s="72"/>
    </row>
    <row r="223" ht="22.5" customHeight="1">
      <c r="A223" s="72"/>
      <c r="B223" s="72" t="s">
        <v>1407</v>
      </c>
      <c r="C223" s="72"/>
      <c r="D223" s="72"/>
      <c r="E223" s="72"/>
      <c r="F223" s="189"/>
      <c r="G223" s="183"/>
      <c r="H223" s="72"/>
    </row>
    <row r="224" ht="22.5" customHeight="1">
      <c r="A224" s="72"/>
      <c r="B224" s="72" t="s">
        <v>1407</v>
      </c>
      <c r="C224" s="72"/>
      <c r="D224" s="72"/>
      <c r="E224" s="72"/>
      <c r="F224" s="189"/>
      <c r="G224" s="183"/>
      <c r="H224" s="72"/>
    </row>
    <row r="225" ht="22.5" customHeight="1">
      <c r="A225" s="72"/>
      <c r="B225" s="72" t="s">
        <v>1407</v>
      </c>
      <c r="C225" s="72"/>
      <c r="D225" s="72"/>
      <c r="E225" s="72"/>
      <c r="F225" s="189"/>
      <c r="G225" s="183"/>
      <c r="H225" s="72"/>
    </row>
    <row r="226" ht="22.5" customHeight="1">
      <c r="A226" s="72"/>
      <c r="B226" s="72" t="s">
        <v>1407</v>
      </c>
      <c r="C226" s="72"/>
      <c r="D226" s="72"/>
      <c r="E226" s="72"/>
      <c r="F226" s="189"/>
      <c r="G226" s="183"/>
      <c r="H226" s="72"/>
    </row>
    <row r="227" ht="22.5" customHeight="1">
      <c r="A227" s="72"/>
      <c r="B227" s="72" t="s">
        <v>1407</v>
      </c>
      <c r="C227" s="72"/>
      <c r="D227" s="72"/>
      <c r="E227" s="72"/>
      <c r="F227" s="189"/>
      <c r="G227" s="183"/>
      <c r="H227" s="72"/>
    </row>
    <row r="228" ht="22.5" customHeight="1">
      <c r="A228" s="72"/>
      <c r="B228" s="72" t="s">
        <v>1407</v>
      </c>
      <c r="C228" s="72"/>
      <c r="D228" s="72"/>
      <c r="E228" s="72"/>
      <c r="F228" s="189"/>
      <c r="G228" s="183"/>
      <c r="H228" s="72"/>
    </row>
    <row r="229" ht="22.5" customHeight="1">
      <c r="A229" s="72"/>
      <c r="B229" s="72" t="s">
        <v>1407</v>
      </c>
      <c r="C229" s="72"/>
      <c r="D229" s="72"/>
      <c r="E229" s="72"/>
      <c r="F229" s="189"/>
      <c r="G229" s="183"/>
      <c r="H229" s="72"/>
    </row>
    <row r="230" ht="22.5" customHeight="1">
      <c r="A230" s="72"/>
      <c r="B230" s="72" t="s">
        <v>1407</v>
      </c>
      <c r="C230" s="72"/>
      <c r="D230" s="72"/>
      <c r="E230" s="72"/>
      <c r="F230" s="189"/>
      <c r="G230" s="183"/>
      <c r="H230" s="72"/>
    </row>
    <row r="231" ht="22.5" customHeight="1">
      <c r="A231" s="72"/>
      <c r="B231" s="72" t="s">
        <v>1407</v>
      </c>
      <c r="C231" s="72"/>
      <c r="D231" s="72"/>
      <c r="E231" s="72"/>
      <c r="F231" s="189"/>
      <c r="G231" s="183"/>
      <c r="H231" s="72"/>
    </row>
    <row r="232" ht="22.5" customHeight="1">
      <c r="A232" s="72"/>
      <c r="B232" s="72" t="s">
        <v>1407</v>
      </c>
      <c r="C232" s="72"/>
      <c r="D232" s="72"/>
      <c r="E232" s="72"/>
      <c r="F232" s="189"/>
      <c r="G232" s="183"/>
      <c r="H232" s="72"/>
    </row>
    <row r="233" ht="22.5" customHeight="1">
      <c r="A233" s="72"/>
      <c r="B233" s="72" t="s">
        <v>1407</v>
      </c>
      <c r="C233" s="72"/>
      <c r="D233" s="72"/>
      <c r="E233" s="72"/>
      <c r="F233" s="189"/>
      <c r="G233" s="183"/>
      <c r="H233" s="72"/>
    </row>
    <row r="234" ht="22.5" customHeight="1">
      <c r="A234" s="72"/>
      <c r="B234" s="72" t="s">
        <v>1407</v>
      </c>
      <c r="C234" s="72"/>
      <c r="D234" s="72"/>
      <c r="E234" s="72"/>
      <c r="F234" s="189"/>
      <c r="G234" s="183"/>
      <c r="H234" s="72"/>
    </row>
    <row r="235" ht="22.5" customHeight="1">
      <c r="A235" s="72"/>
      <c r="B235" s="72" t="s">
        <v>1407</v>
      </c>
      <c r="C235" s="72"/>
      <c r="D235" s="72"/>
      <c r="E235" s="72"/>
      <c r="F235" s="189"/>
      <c r="G235" s="183"/>
      <c r="H235" s="72"/>
    </row>
    <row r="236" ht="22.5" customHeight="1">
      <c r="A236" s="72"/>
      <c r="B236" s="72" t="s">
        <v>1407</v>
      </c>
      <c r="C236" s="72"/>
      <c r="D236" s="72"/>
      <c r="E236" s="72"/>
      <c r="F236" s="189"/>
      <c r="G236" s="183"/>
      <c r="H236" s="72"/>
    </row>
    <row r="237" ht="22.5" customHeight="1">
      <c r="A237" s="72"/>
      <c r="B237" s="72" t="s">
        <v>1407</v>
      </c>
      <c r="C237" s="72"/>
      <c r="D237" s="72"/>
      <c r="E237" s="72"/>
      <c r="F237" s="189"/>
      <c r="G237" s="183"/>
      <c r="H237" s="72"/>
    </row>
    <row r="238" ht="22.5" customHeight="1">
      <c r="A238" s="72"/>
      <c r="B238" s="72" t="s">
        <v>1407</v>
      </c>
      <c r="C238" s="72"/>
      <c r="D238" s="72"/>
      <c r="E238" s="72"/>
      <c r="F238" s="189"/>
      <c r="G238" s="183"/>
      <c r="H238" s="72"/>
    </row>
    <row r="239" ht="22.5" customHeight="1">
      <c r="A239" s="72"/>
      <c r="B239" s="72" t="s">
        <v>1407</v>
      </c>
      <c r="C239" s="72"/>
      <c r="D239" s="72"/>
      <c r="E239" s="72"/>
      <c r="F239" s="189"/>
      <c r="G239" s="183"/>
      <c r="H239" s="72"/>
    </row>
    <row r="240" ht="22.5" customHeight="1">
      <c r="A240" s="72"/>
      <c r="B240" s="72" t="s">
        <v>1407</v>
      </c>
      <c r="C240" s="72"/>
      <c r="D240" s="72"/>
      <c r="E240" s="72"/>
      <c r="F240" s="189"/>
      <c r="G240" s="183"/>
      <c r="H240" s="72"/>
    </row>
    <row r="241" ht="22.5" customHeight="1">
      <c r="A241" s="72"/>
      <c r="B241" s="72" t="s">
        <v>1407</v>
      </c>
      <c r="C241" s="72"/>
      <c r="D241" s="72"/>
      <c r="E241" s="72"/>
      <c r="F241" s="189"/>
      <c r="G241" s="183"/>
      <c r="H241" s="72"/>
    </row>
    <row r="242" ht="22.5" customHeight="1">
      <c r="A242" s="72"/>
      <c r="B242" s="72" t="s">
        <v>1407</v>
      </c>
      <c r="C242" s="72"/>
      <c r="D242" s="72"/>
      <c r="E242" s="72"/>
      <c r="F242" s="189"/>
      <c r="G242" s="183"/>
      <c r="H242" s="72"/>
    </row>
    <row r="243" ht="22.5" customHeight="1">
      <c r="A243" s="72"/>
      <c r="B243" s="72" t="s">
        <v>1407</v>
      </c>
      <c r="C243" s="72"/>
      <c r="D243" s="72"/>
      <c r="E243" s="72"/>
      <c r="F243" s="189"/>
      <c r="G243" s="183"/>
      <c r="H243" s="72"/>
    </row>
    <row r="244" ht="22.5" customHeight="1">
      <c r="A244" s="72"/>
      <c r="B244" s="72" t="s">
        <v>1407</v>
      </c>
      <c r="C244" s="72"/>
      <c r="D244" s="72"/>
      <c r="E244" s="72"/>
      <c r="F244" s="189"/>
      <c r="G244" s="183"/>
      <c r="H244" s="72"/>
    </row>
    <row r="245" ht="22.5" customHeight="1">
      <c r="A245" s="72"/>
      <c r="B245" s="72" t="s">
        <v>1407</v>
      </c>
      <c r="C245" s="72"/>
      <c r="D245" s="72"/>
      <c r="E245" s="72"/>
      <c r="F245" s="189"/>
      <c r="G245" s="183"/>
      <c r="H245" s="72"/>
    </row>
    <row r="246" ht="22.5" customHeight="1">
      <c r="A246" s="72"/>
      <c r="B246" s="72" t="s">
        <v>1407</v>
      </c>
      <c r="C246" s="72"/>
      <c r="D246" s="72"/>
      <c r="E246" s="72"/>
      <c r="F246" s="189"/>
      <c r="G246" s="183"/>
      <c r="H246" s="72"/>
    </row>
    <row r="247" ht="22.5" customHeight="1">
      <c r="A247" s="72"/>
      <c r="B247" s="72" t="s">
        <v>1407</v>
      </c>
      <c r="C247" s="72"/>
      <c r="D247" s="72"/>
      <c r="E247" s="72"/>
      <c r="F247" s="189"/>
      <c r="G247" s="183"/>
      <c r="H247" s="72"/>
    </row>
    <row r="248" ht="22.5" customHeight="1">
      <c r="A248" s="72"/>
      <c r="B248" s="72" t="s">
        <v>1407</v>
      </c>
      <c r="C248" s="72"/>
      <c r="D248" s="72"/>
      <c r="E248" s="72"/>
      <c r="F248" s="189"/>
      <c r="G248" s="183"/>
      <c r="H248" s="72"/>
    </row>
    <row r="249" ht="22.5" customHeight="1">
      <c r="A249" s="72"/>
      <c r="B249" s="72" t="s">
        <v>1407</v>
      </c>
      <c r="C249" s="72"/>
      <c r="D249" s="72"/>
      <c r="E249" s="72"/>
      <c r="F249" s="189"/>
      <c r="G249" s="183"/>
      <c r="H249" s="72"/>
    </row>
    <row r="250" ht="22.5" customHeight="1">
      <c r="A250" s="72"/>
      <c r="B250" s="72" t="s">
        <v>1407</v>
      </c>
      <c r="C250" s="72"/>
      <c r="D250" s="72"/>
      <c r="E250" s="72"/>
      <c r="F250" s="189"/>
      <c r="G250" s="183"/>
      <c r="H250" s="72"/>
    </row>
    <row r="251" ht="22.5" customHeight="1">
      <c r="A251" s="72"/>
      <c r="B251" s="72" t="s">
        <v>1407</v>
      </c>
      <c r="C251" s="72"/>
      <c r="D251" s="72"/>
      <c r="E251" s="72"/>
      <c r="F251" s="189"/>
      <c r="G251" s="183"/>
      <c r="H251" s="72"/>
    </row>
    <row r="252" ht="22.5" customHeight="1">
      <c r="A252" s="72"/>
      <c r="B252" s="72" t="s">
        <v>1407</v>
      </c>
      <c r="C252" s="72"/>
      <c r="D252" s="72"/>
      <c r="E252" s="72"/>
      <c r="F252" s="189"/>
      <c r="G252" s="183"/>
      <c r="H252" s="72"/>
    </row>
    <row r="253" ht="22.5" customHeight="1">
      <c r="A253" s="72"/>
      <c r="B253" s="72" t="s">
        <v>1407</v>
      </c>
      <c r="C253" s="72"/>
      <c r="D253" s="72"/>
      <c r="E253" s="72"/>
      <c r="F253" s="189"/>
      <c r="G253" s="183"/>
      <c r="H253" s="72"/>
    </row>
    <row r="254" ht="22.5" customHeight="1">
      <c r="A254" s="72"/>
      <c r="B254" s="72" t="s">
        <v>1407</v>
      </c>
      <c r="C254" s="72"/>
      <c r="D254" s="72"/>
      <c r="E254" s="72"/>
      <c r="F254" s="189"/>
      <c r="G254" s="183"/>
      <c r="H254" s="72"/>
    </row>
    <row r="255" ht="22.5" customHeight="1">
      <c r="A255" s="72"/>
      <c r="B255" s="72" t="s">
        <v>1407</v>
      </c>
      <c r="C255" s="72"/>
      <c r="D255" s="72"/>
      <c r="E255" s="72"/>
      <c r="F255" s="189"/>
      <c r="G255" s="183"/>
      <c r="H255" s="72"/>
    </row>
    <row r="256" ht="22.5" customHeight="1">
      <c r="A256" s="72"/>
      <c r="B256" s="72" t="s">
        <v>1407</v>
      </c>
      <c r="C256" s="72"/>
      <c r="D256" s="72"/>
      <c r="E256" s="72"/>
      <c r="F256" s="189"/>
      <c r="G256" s="183"/>
      <c r="H256" s="72"/>
    </row>
    <row r="257" ht="22.5" customHeight="1">
      <c r="A257" s="72"/>
      <c r="B257" s="72" t="s">
        <v>1407</v>
      </c>
      <c r="C257" s="72"/>
      <c r="D257" s="72"/>
      <c r="E257" s="72"/>
      <c r="F257" s="189"/>
      <c r="G257" s="183"/>
      <c r="H257" s="72"/>
    </row>
    <row r="258" ht="22.5" customHeight="1">
      <c r="A258" s="72"/>
      <c r="B258" s="72" t="s">
        <v>1407</v>
      </c>
      <c r="C258" s="72"/>
      <c r="D258" s="72"/>
      <c r="E258" s="72"/>
      <c r="F258" s="189"/>
      <c r="G258" s="183"/>
      <c r="H258" s="72"/>
    </row>
    <row r="259" ht="22.5" customHeight="1">
      <c r="A259" s="72"/>
      <c r="B259" s="72" t="s">
        <v>1407</v>
      </c>
      <c r="C259" s="72"/>
      <c r="D259" s="72"/>
      <c r="E259" s="72"/>
      <c r="F259" s="189"/>
      <c r="G259" s="183"/>
      <c r="H259" s="72"/>
    </row>
    <row r="260" ht="22.5" customHeight="1">
      <c r="A260" s="72"/>
      <c r="B260" s="72" t="s">
        <v>1407</v>
      </c>
      <c r="C260" s="72"/>
      <c r="D260" s="72"/>
      <c r="E260" s="72"/>
      <c r="F260" s="189"/>
      <c r="G260" s="183"/>
      <c r="H260" s="72"/>
    </row>
    <row r="261" ht="22.5" customHeight="1">
      <c r="A261" s="72"/>
      <c r="B261" s="72" t="s">
        <v>1407</v>
      </c>
      <c r="C261" s="72"/>
      <c r="D261" s="72"/>
      <c r="E261" s="72"/>
      <c r="F261" s="189"/>
      <c r="G261" s="183"/>
      <c r="H261" s="72"/>
    </row>
    <row r="262" ht="22.5" customHeight="1">
      <c r="A262" s="72"/>
      <c r="B262" s="72" t="s">
        <v>1407</v>
      </c>
      <c r="C262" s="72"/>
      <c r="D262" s="72"/>
      <c r="E262" s="72"/>
      <c r="F262" s="189"/>
      <c r="G262" s="183"/>
      <c r="H262" s="72"/>
    </row>
    <row r="263" ht="22.5" customHeight="1">
      <c r="A263" s="72"/>
      <c r="B263" s="72" t="s">
        <v>1407</v>
      </c>
      <c r="C263" s="72"/>
      <c r="D263" s="72"/>
      <c r="E263" s="72"/>
      <c r="F263" s="189"/>
      <c r="G263" s="183"/>
      <c r="H263" s="72"/>
    </row>
    <row r="264" ht="22.5" customHeight="1">
      <c r="A264" s="72"/>
      <c r="B264" s="72" t="s">
        <v>1407</v>
      </c>
      <c r="C264" s="72"/>
      <c r="D264" s="72"/>
      <c r="E264" s="72"/>
      <c r="F264" s="189"/>
      <c r="G264" s="183"/>
      <c r="H264" s="72"/>
    </row>
    <row r="265" ht="22.5" customHeight="1">
      <c r="A265" s="72"/>
      <c r="B265" s="72" t="s">
        <v>1407</v>
      </c>
      <c r="C265" s="72"/>
      <c r="D265" s="72"/>
      <c r="E265" s="72"/>
      <c r="F265" s="189"/>
      <c r="G265" s="183"/>
      <c r="H265" s="72"/>
    </row>
    <row r="266" ht="22.5" customHeight="1">
      <c r="A266" s="72"/>
      <c r="B266" s="72" t="s">
        <v>1407</v>
      </c>
      <c r="C266" s="72"/>
      <c r="D266" s="72"/>
      <c r="E266" s="72"/>
      <c r="F266" s="189"/>
      <c r="G266" s="183"/>
      <c r="H266" s="72"/>
    </row>
    <row r="267" ht="22.5" customHeight="1">
      <c r="A267" s="72"/>
      <c r="B267" s="72" t="s">
        <v>1407</v>
      </c>
      <c r="C267" s="72"/>
      <c r="D267" s="72"/>
      <c r="E267" s="72"/>
      <c r="F267" s="189"/>
      <c r="G267" s="183"/>
      <c r="H267" s="72"/>
    </row>
    <row r="268" ht="22.5" customHeight="1">
      <c r="A268" s="72"/>
      <c r="B268" s="72" t="s">
        <v>1407</v>
      </c>
      <c r="C268" s="72"/>
      <c r="D268" s="72"/>
      <c r="E268" s="72"/>
      <c r="F268" s="189"/>
      <c r="G268" s="183"/>
      <c r="H268" s="72"/>
    </row>
    <row r="269" ht="22.5" customHeight="1">
      <c r="A269" s="72"/>
      <c r="B269" s="72" t="s">
        <v>1407</v>
      </c>
      <c r="C269" s="72"/>
      <c r="D269" s="72"/>
      <c r="E269" s="72"/>
      <c r="F269" s="189"/>
      <c r="G269" s="183"/>
      <c r="H269" s="72"/>
    </row>
    <row r="270" ht="22.5" customHeight="1">
      <c r="A270" s="72"/>
      <c r="B270" s="72" t="s">
        <v>1407</v>
      </c>
      <c r="C270" s="72"/>
      <c r="D270" s="72"/>
      <c r="E270" s="72"/>
      <c r="F270" s="189"/>
      <c r="G270" s="183"/>
      <c r="H270" s="72"/>
    </row>
    <row r="271" ht="22.5" customHeight="1">
      <c r="A271" s="72"/>
      <c r="B271" s="72" t="s">
        <v>1407</v>
      </c>
      <c r="C271" s="72"/>
      <c r="D271" s="72"/>
      <c r="E271" s="72"/>
      <c r="F271" s="189"/>
      <c r="G271" s="183"/>
      <c r="H271" s="72"/>
    </row>
    <row r="272" ht="22.5" customHeight="1">
      <c r="A272" s="72"/>
      <c r="B272" s="72" t="s">
        <v>1407</v>
      </c>
      <c r="C272" s="72"/>
      <c r="D272" s="72"/>
      <c r="E272" s="72"/>
      <c r="F272" s="189"/>
      <c r="G272" s="183"/>
      <c r="H272" s="72"/>
    </row>
    <row r="273" ht="22.5" customHeight="1">
      <c r="A273" s="72"/>
      <c r="B273" s="72" t="s">
        <v>1407</v>
      </c>
      <c r="C273" s="72"/>
      <c r="D273" s="72"/>
      <c r="E273" s="72"/>
      <c r="F273" s="189"/>
      <c r="G273" s="183"/>
      <c r="H273" s="72"/>
    </row>
    <row r="274" ht="22.5" customHeight="1">
      <c r="A274" s="72"/>
      <c r="B274" s="72" t="s">
        <v>1407</v>
      </c>
      <c r="C274" s="72"/>
      <c r="D274" s="72"/>
      <c r="E274" s="72"/>
      <c r="F274" s="189"/>
      <c r="G274" s="183"/>
      <c r="H274" s="72"/>
    </row>
    <row r="275" ht="22.5" customHeight="1">
      <c r="A275" s="72"/>
      <c r="B275" s="72" t="s">
        <v>1407</v>
      </c>
      <c r="C275" s="72"/>
      <c r="D275" s="72"/>
      <c r="E275" s="72"/>
      <c r="F275" s="189"/>
      <c r="G275" s="183"/>
      <c r="H275" s="72"/>
    </row>
    <row r="276" ht="22.5" customHeight="1">
      <c r="A276" s="72"/>
      <c r="B276" s="72" t="s">
        <v>1407</v>
      </c>
      <c r="C276" s="72"/>
      <c r="D276" s="72"/>
      <c r="E276" s="72"/>
      <c r="F276" s="189"/>
      <c r="G276" s="183"/>
      <c r="H276" s="72"/>
    </row>
    <row r="277" ht="22.5" customHeight="1">
      <c r="A277" s="72"/>
      <c r="B277" s="72" t="s">
        <v>1407</v>
      </c>
      <c r="C277" s="72"/>
      <c r="D277" s="72"/>
      <c r="E277" s="72"/>
      <c r="F277" s="189"/>
      <c r="G277" s="183"/>
      <c r="H277" s="72"/>
    </row>
    <row r="278" ht="22.5" customHeight="1">
      <c r="A278" s="72"/>
      <c r="B278" s="72" t="s">
        <v>1407</v>
      </c>
      <c r="C278" s="72"/>
      <c r="D278" s="72"/>
      <c r="E278" s="72"/>
      <c r="F278" s="189"/>
      <c r="G278" s="183"/>
      <c r="H278" s="72"/>
    </row>
    <row r="279" ht="22.5" customHeight="1">
      <c r="A279" s="72"/>
      <c r="B279" s="72" t="s">
        <v>1407</v>
      </c>
      <c r="C279" s="72"/>
      <c r="D279" s="72"/>
      <c r="E279" s="72"/>
      <c r="F279" s="189"/>
      <c r="G279" s="183"/>
      <c r="H279" s="72"/>
    </row>
    <row r="280" ht="22.5" customHeight="1">
      <c r="A280" s="72"/>
      <c r="B280" s="72" t="s">
        <v>1407</v>
      </c>
      <c r="C280" s="72"/>
      <c r="D280" s="72"/>
      <c r="E280" s="72"/>
      <c r="F280" s="189"/>
      <c r="G280" s="183"/>
      <c r="H280" s="72"/>
    </row>
    <row r="281" ht="22.5" customHeight="1">
      <c r="A281" s="72"/>
      <c r="B281" s="72" t="s">
        <v>1407</v>
      </c>
      <c r="C281" s="72"/>
      <c r="D281" s="72"/>
      <c r="E281" s="72"/>
      <c r="F281" s="189"/>
      <c r="G281" s="183"/>
      <c r="H281" s="72"/>
    </row>
    <row r="282" ht="22.5" customHeight="1">
      <c r="A282" s="72"/>
      <c r="B282" s="72" t="s">
        <v>1407</v>
      </c>
      <c r="C282" s="72"/>
      <c r="D282" s="72"/>
      <c r="E282" s="72"/>
      <c r="F282" s="189"/>
      <c r="G282" s="183"/>
      <c r="H282" s="72"/>
    </row>
    <row r="283" ht="22.5" customHeight="1">
      <c r="A283" s="72"/>
      <c r="B283" s="72" t="s">
        <v>1407</v>
      </c>
      <c r="C283" s="72"/>
      <c r="D283" s="72"/>
      <c r="E283" s="72"/>
      <c r="F283" s="189"/>
      <c r="G283" s="183"/>
      <c r="H283" s="72"/>
    </row>
    <row r="284" ht="22.5" customHeight="1">
      <c r="A284" s="72"/>
      <c r="B284" s="72" t="s">
        <v>1407</v>
      </c>
      <c r="C284" s="72"/>
      <c r="D284" s="72"/>
      <c r="E284" s="72"/>
      <c r="F284" s="189"/>
      <c r="G284" s="183"/>
      <c r="H284" s="72"/>
    </row>
    <row r="285" ht="22.5" customHeight="1">
      <c r="A285" s="72"/>
      <c r="B285" s="72" t="s">
        <v>1407</v>
      </c>
      <c r="C285" s="72"/>
      <c r="D285" s="72"/>
      <c r="E285" s="72"/>
      <c r="F285" s="189"/>
      <c r="G285" s="183"/>
      <c r="H285" s="72"/>
    </row>
    <row r="286" ht="22.5" customHeight="1">
      <c r="A286" s="72"/>
      <c r="B286" s="72" t="s">
        <v>1407</v>
      </c>
      <c r="C286" s="72"/>
      <c r="D286" s="72"/>
      <c r="E286" s="72"/>
      <c r="F286" s="189"/>
      <c r="G286" s="183"/>
      <c r="H286" s="72"/>
    </row>
    <row r="287" ht="22.5" customHeight="1">
      <c r="A287" s="72"/>
      <c r="B287" s="72" t="s">
        <v>1407</v>
      </c>
      <c r="C287" s="72"/>
      <c r="D287" s="72"/>
      <c r="E287" s="72"/>
      <c r="F287" s="189"/>
      <c r="G287" s="183"/>
      <c r="H287" s="72"/>
    </row>
    <row r="288" ht="22.5" customHeight="1">
      <c r="A288" s="72"/>
      <c r="B288" s="72" t="s">
        <v>1407</v>
      </c>
      <c r="C288" s="72"/>
      <c r="D288" s="72"/>
      <c r="E288" s="72"/>
      <c r="F288" s="189"/>
      <c r="G288" s="183"/>
      <c r="H288" s="72"/>
    </row>
    <row r="289" ht="22.5" customHeight="1">
      <c r="A289" s="72"/>
      <c r="B289" s="72" t="s">
        <v>1407</v>
      </c>
      <c r="C289" s="72"/>
      <c r="D289" s="72"/>
      <c r="E289" s="72"/>
      <c r="F289" s="189"/>
      <c r="G289" s="183"/>
      <c r="H289" s="72"/>
    </row>
    <row r="290" ht="22.5" customHeight="1">
      <c r="A290" s="72"/>
      <c r="B290" s="72" t="s">
        <v>1407</v>
      </c>
      <c r="C290" s="72"/>
      <c r="D290" s="72"/>
      <c r="E290" s="72"/>
      <c r="F290" s="189"/>
      <c r="G290" s="183"/>
      <c r="H290" s="72"/>
    </row>
    <row r="291" ht="22.5" customHeight="1">
      <c r="A291" s="72"/>
      <c r="B291" s="72" t="s">
        <v>1407</v>
      </c>
      <c r="C291" s="72"/>
      <c r="D291" s="72"/>
      <c r="E291" s="72"/>
      <c r="F291" s="189"/>
      <c r="G291" s="183"/>
      <c r="H291" s="72"/>
    </row>
    <row r="292" ht="22.5" customHeight="1">
      <c r="A292" s="72"/>
      <c r="B292" s="72" t="s">
        <v>1407</v>
      </c>
      <c r="C292" s="72"/>
      <c r="D292" s="72"/>
      <c r="E292" s="72"/>
      <c r="F292" s="189"/>
      <c r="G292" s="183"/>
      <c r="H292" s="72"/>
    </row>
    <row r="293" ht="22.5" customHeight="1">
      <c r="A293" s="72"/>
      <c r="B293" s="72" t="s">
        <v>1407</v>
      </c>
      <c r="C293" s="72"/>
      <c r="D293" s="72"/>
      <c r="E293" s="72"/>
      <c r="F293" s="189"/>
      <c r="G293" s="183"/>
      <c r="H293" s="72"/>
    </row>
    <row r="294" ht="22.5" customHeight="1">
      <c r="A294" s="72"/>
      <c r="B294" s="72" t="s">
        <v>1407</v>
      </c>
      <c r="C294" s="72"/>
      <c r="D294" s="72"/>
      <c r="E294" s="72"/>
      <c r="F294" s="189"/>
      <c r="G294" s="183"/>
      <c r="H294" s="72"/>
    </row>
    <row r="295" ht="22.5" customHeight="1">
      <c r="A295" s="72"/>
      <c r="B295" s="72" t="s">
        <v>1407</v>
      </c>
      <c r="C295" s="72"/>
      <c r="D295" s="72"/>
      <c r="E295" s="72"/>
      <c r="F295" s="189"/>
      <c r="G295" s="183"/>
      <c r="H295" s="72"/>
    </row>
    <row r="296" ht="22.5" customHeight="1">
      <c r="A296" s="72"/>
      <c r="B296" s="72" t="s">
        <v>1407</v>
      </c>
      <c r="C296" s="72"/>
      <c r="D296" s="72"/>
      <c r="E296" s="72"/>
      <c r="F296" s="189"/>
      <c r="G296" s="183"/>
      <c r="H296" s="72"/>
    </row>
    <row r="297" ht="22.5" customHeight="1">
      <c r="A297" s="72"/>
      <c r="B297" s="72" t="s">
        <v>1407</v>
      </c>
      <c r="C297" s="72"/>
      <c r="D297" s="72"/>
      <c r="E297" s="72"/>
      <c r="F297" s="189"/>
      <c r="G297" s="183"/>
      <c r="H297" s="72"/>
    </row>
    <row r="298" ht="22.5" customHeight="1">
      <c r="A298" s="72"/>
      <c r="B298" s="72" t="s">
        <v>1407</v>
      </c>
      <c r="C298" s="72"/>
      <c r="D298" s="72"/>
      <c r="E298" s="72"/>
      <c r="F298" s="189"/>
      <c r="G298" s="183"/>
      <c r="H298" s="72"/>
    </row>
    <row r="299" ht="22.5" customHeight="1">
      <c r="A299" s="72"/>
      <c r="B299" s="72" t="s">
        <v>1407</v>
      </c>
      <c r="C299" s="72"/>
      <c r="D299" s="72"/>
      <c r="E299" s="72"/>
      <c r="F299" s="189"/>
      <c r="G299" s="183"/>
      <c r="H299" s="72"/>
    </row>
    <row r="300" ht="22.5" customHeight="1">
      <c r="A300" s="72"/>
      <c r="B300" s="72" t="s">
        <v>1407</v>
      </c>
      <c r="C300" s="72"/>
      <c r="D300" s="72"/>
      <c r="E300" s="72"/>
      <c r="F300" s="189"/>
      <c r="G300" s="183"/>
      <c r="H300" s="72"/>
    </row>
    <row r="301" ht="22.5" customHeight="1">
      <c r="A301" s="72"/>
      <c r="B301" s="72" t="s">
        <v>1407</v>
      </c>
      <c r="C301" s="72"/>
      <c r="D301" s="72"/>
      <c r="E301" s="72"/>
      <c r="F301" s="189"/>
      <c r="G301" s="183"/>
      <c r="H301" s="72"/>
    </row>
    <row r="302" ht="22.5" customHeight="1">
      <c r="A302" s="72"/>
      <c r="B302" s="72" t="s">
        <v>1407</v>
      </c>
      <c r="C302" s="72"/>
      <c r="D302" s="72"/>
      <c r="E302" s="72"/>
      <c r="F302" s="189"/>
      <c r="G302" s="183"/>
      <c r="H302" s="72"/>
    </row>
    <row r="303" ht="22.5" customHeight="1">
      <c r="A303" s="72"/>
      <c r="B303" s="72" t="s">
        <v>1407</v>
      </c>
      <c r="C303" s="72"/>
      <c r="D303" s="72"/>
      <c r="E303" s="72"/>
      <c r="F303" s="189"/>
      <c r="G303" s="183"/>
      <c r="H303" s="72"/>
    </row>
    <row r="304" ht="22.5" customHeight="1">
      <c r="A304" s="72"/>
      <c r="B304" s="72" t="s">
        <v>1407</v>
      </c>
      <c r="C304" s="72"/>
      <c r="D304" s="72"/>
      <c r="E304" s="72"/>
      <c r="F304" s="189"/>
      <c r="G304" s="183"/>
      <c r="H304" s="72"/>
    </row>
    <row r="305" ht="22.5" customHeight="1">
      <c r="A305" s="72"/>
      <c r="B305" s="72" t="s">
        <v>1407</v>
      </c>
      <c r="C305" s="72"/>
      <c r="D305" s="72"/>
      <c r="E305" s="72"/>
      <c r="F305" s="189"/>
      <c r="G305" s="183"/>
      <c r="H305" s="72"/>
    </row>
    <row r="306" ht="22.5" customHeight="1">
      <c r="A306" s="72"/>
      <c r="B306" s="72" t="s">
        <v>1407</v>
      </c>
      <c r="C306" s="72"/>
      <c r="D306" s="72"/>
      <c r="E306" s="72"/>
      <c r="F306" s="189"/>
      <c r="G306" s="183"/>
      <c r="H306" s="72"/>
    </row>
    <row r="307" ht="22.5" customHeight="1">
      <c r="A307" s="72"/>
      <c r="B307" s="72" t="s">
        <v>1407</v>
      </c>
      <c r="C307" s="72"/>
      <c r="D307" s="72"/>
      <c r="E307" s="72"/>
      <c r="F307" s="189"/>
      <c r="G307" s="183"/>
      <c r="H307" s="72"/>
    </row>
    <row r="308" ht="22.5" customHeight="1">
      <c r="A308" s="72"/>
      <c r="B308" s="72" t="s">
        <v>1407</v>
      </c>
      <c r="C308" s="72"/>
      <c r="D308" s="72"/>
      <c r="E308" s="72"/>
      <c r="F308" s="189"/>
      <c r="G308" s="183"/>
      <c r="H308" s="72"/>
    </row>
    <row r="309" ht="22.5" customHeight="1">
      <c r="A309" s="72"/>
      <c r="B309" s="72" t="s">
        <v>1407</v>
      </c>
      <c r="C309" s="72"/>
      <c r="D309" s="72"/>
      <c r="E309" s="72"/>
      <c r="F309" s="189"/>
      <c r="G309" s="183"/>
      <c r="H309" s="72"/>
    </row>
    <row r="310" ht="22.5" customHeight="1">
      <c r="A310" s="72"/>
      <c r="B310" s="72" t="s">
        <v>1407</v>
      </c>
      <c r="C310" s="72"/>
      <c r="D310" s="72"/>
      <c r="E310" s="72"/>
      <c r="F310" s="189"/>
      <c r="G310" s="183"/>
      <c r="H310" s="72"/>
    </row>
    <row r="311" ht="22.5" customHeight="1">
      <c r="A311" s="72"/>
      <c r="B311" s="72" t="s">
        <v>1407</v>
      </c>
      <c r="C311" s="72"/>
      <c r="D311" s="72"/>
      <c r="E311" s="72"/>
      <c r="F311" s="189"/>
      <c r="G311" s="183"/>
      <c r="H311" s="72"/>
    </row>
    <row r="312" ht="22.5" customHeight="1">
      <c r="A312" s="72"/>
      <c r="B312" s="72" t="s">
        <v>1407</v>
      </c>
      <c r="C312" s="72"/>
      <c r="D312" s="72"/>
      <c r="E312" s="72"/>
      <c r="F312" s="189"/>
      <c r="G312" s="183"/>
      <c r="H312" s="72"/>
    </row>
    <row r="313" ht="22.5" customHeight="1">
      <c r="A313" s="72"/>
      <c r="B313" s="72" t="s">
        <v>1407</v>
      </c>
      <c r="C313" s="72"/>
      <c r="D313" s="72"/>
      <c r="E313" s="72"/>
      <c r="F313" s="189"/>
      <c r="G313" s="183"/>
      <c r="H313" s="72"/>
    </row>
    <row r="314" ht="22.5" customHeight="1">
      <c r="A314" s="72"/>
      <c r="B314" s="72" t="s">
        <v>1407</v>
      </c>
      <c r="C314" s="72"/>
      <c r="D314" s="72"/>
      <c r="E314" s="72"/>
      <c r="F314" s="189"/>
      <c r="G314" s="183"/>
      <c r="H314" s="72"/>
    </row>
    <row r="315" ht="22.5" customHeight="1">
      <c r="A315" s="72"/>
      <c r="B315" s="72" t="s">
        <v>1407</v>
      </c>
      <c r="C315" s="72"/>
      <c r="D315" s="72"/>
      <c r="E315" s="72"/>
      <c r="F315" s="189"/>
      <c r="G315" s="183"/>
      <c r="H315" s="72"/>
    </row>
    <row r="316" ht="22.5" customHeight="1">
      <c r="A316" s="72"/>
      <c r="B316" s="72" t="s">
        <v>1407</v>
      </c>
      <c r="C316" s="72"/>
      <c r="D316" s="72"/>
      <c r="E316" s="72"/>
      <c r="F316" s="189"/>
      <c r="G316" s="183"/>
      <c r="H316" s="72"/>
    </row>
    <row r="317" ht="22.5" customHeight="1">
      <c r="A317" s="72"/>
      <c r="B317" s="72" t="s">
        <v>1407</v>
      </c>
      <c r="C317" s="72"/>
      <c r="D317" s="72"/>
      <c r="E317" s="72"/>
      <c r="F317" s="189"/>
      <c r="G317" s="183"/>
      <c r="H317" s="72"/>
    </row>
    <row r="318" ht="22.5" customHeight="1">
      <c r="A318" s="72"/>
      <c r="B318" s="72" t="s">
        <v>1407</v>
      </c>
      <c r="C318" s="72"/>
      <c r="D318" s="72"/>
      <c r="E318" s="72"/>
      <c r="F318" s="189"/>
      <c r="G318" s="183"/>
      <c r="H318" s="72"/>
    </row>
    <row r="319" ht="22.5" customHeight="1">
      <c r="A319" s="72"/>
      <c r="B319" s="72" t="s">
        <v>1407</v>
      </c>
      <c r="C319" s="72"/>
      <c r="D319" s="72"/>
      <c r="E319" s="72"/>
      <c r="F319" s="189"/>
      <c r="G319" s="183"/>
      <c r="H319" s="72"/>
    </row>
    <row r="320" ht="22.5" customHeight="1">
      <c r="A320" s="72"/>
      <c r="B320" s="72" t="s">
        <v>1407</v>
      </c>
      <c r="C320" s="72"/>
      <c r="D320" s="72"/>
      <c r="E320" s="72"/>
      <c r="F320" s="189"/>
      <c r="G320" s="183"/>
      <c r="H320" s="72"/>
    </row>
    <row r="321" ht="22.5" customHeight="1">
      <c r="A321" s="72"/>
      <c r="B321" s="72" t="s">
        <v>1407</v>
      </c>
      <c r="C321" s="72"/>
      <c r="D321" s="72"/>
      <c r="E321" s="72"/>
      <c r="F321" s="189"/>
      <c r="G321" s="183"/>
      <c r="H321" s="72"/>
    </row>
    <row r="322" ht="22.5" customHeight="1">
      <c r="A322" s="72"/>
      <c r="B322" s="72" t="s">
        <v>1407</v>
      </c>
      <c r="C322" s="72"/>
      <c r="D322" s="72"/>
      <c r="E322" s="72"/>
      <c r="F322" s="189"/>
      <c r="G322" s="183"/>
      <c r="H322" s="72"/>
    </row>
    <row r="323" ht="22.5" customHeight="1">
      <c r="A323" s="72"/>
      <c r="B323" s="72" t="s">
        <v>1407</v>
      </c>
      <c r="C323" s="72"/>
      <c r="D323" s="72"/>
      <c r="E323" s="72"/>
      <c r="F323" s="189"/>
      <c r="G323" s="183"/>
      <c r="H323" s="72"/>
    </row>
    <row r="324" ht="22.5" customHeight="1">
      <c r="A324" s="72"/>
      <c r="B324" s="72" t="s">
        <v>1407</v>
      </c>
      <c r="C324" s="72"/>
      <c r="D324" s="72"/>
      <c r="E324" s="72"/>
      <c r="F324" s="189"/>
      <c r="G324" s="183"/>
      <c r="H324" s="72"/>
    </row>
    <row r="325" ht="22.5" customHeight="1">
      <c r="A325" s="72"/>
      <c r="B325" s="72" t="s">
        <v>1407</v>
      </c>
      <c r="C325" s="72"/>
      <c r="D325" s="72"/>
      <c r="E325" s="72"/>
      <c r="F325" s="189"/>
      <c r="G325" s="183"/>
      <c r="H325" s="72"/>
    </row>
    <row r="326" ht="22.5" customHeight="1">
      <c r="A326" s="72"/>
      <c r="B326" s="72" t="s">
        <v>1407</v>
      </c>
      <c r="C326" s="72"/>
      <c r="D326" s="72"/>
      <c r="E326" s="72"/>
      <c r="F326" s="189"/>
      <c r="G326" s="183"/>
      <c r="H326" s="72"/>
    </row>
    <row r="327" ht="22.5" customHeight="1">
      <c r="A327" s="72"/>
      <c r="B327" s="72" t="s">
        <v>1407</v>
      </c>
      <c r="C327" s="72"/>
      <c r="D327" s="72"/>
      <c r="E327" s="72"/>
      <c r="F327" s="189"/>
      <c r="G327" s="183"/>
      <c r="H327" s="72"/>
    </row>
    <row r="328" ht="22.5" customHeight="1">
      <c r="A328" s="72"/>
      <c r="B328" s="72" t="s">
        <v>1407</v>
      </c>
      <c r="C328" s="72"/>
      <c r="D328" s="72"/>
      <c r="E328" s="72"/>
      <c r="F328" s="189"/>
      <c r="G328" s="183"/>
      <c r="H328" s="72"/>
    </row>
    <row r="329" ht="22.5" customHeight="1">
      <c r="A329" s="72"/>
      <c r="B329" s="72" t="s">
        <v>1407</v>
      </c>
      <c r="C329" s="72"/>
      <c r="D329" s="72"/>
      <c r="E329" s="72"/>
      <c r="F329" s="189"/>
      <c r="G329" s="183"/>
      <c r="H329" s="72"/>
    </row>
    <row r="330" ht="22.5" customHeight="1">
      <c r="A330" s="72"/>
      <c r="B330" s="72" t="s">
        <v>1407</v>
      </c>
      <c r="C330" s="72"/>
      <c r="D330" s="72"/>
      <c r="E330" s="72"/>
      <c r="F330" s="189"/>
      <c r="G330" s="183"/>
      <c r="H330" s="72"/>
    </row>
    <row r="331" ht="22.5" customHeight="1">
      <c r="A331" s="72"/>
      <c r="B331" s="72" t="s">
        <v>1407</v>
      </c>
      <c r="C331" s="72"/>
      <c r="D331" s="72"/>
      <c r="E331" s="72"/>
      <c r="F331" s="189"/>
      <c r="G331" s="183"/>
      <c r="H331" s="72"/>
    </row>
    <row r="332" ht="22.5" customHeight="1">
      <c r="A332" s="72"/>
      <c r="B332" s="72" t="s">
        <v>1407</v>
      </c>
      <c r="C332" s="72"/>
      <c r="D332" s="72"/>
      <c r="E332" s="72"/>
      <c r="F332" s="189"/>
      <c r="G332" s="183"/>
      <c r="H332" s="72"/>
    </row>
    <row r="333" ht="22.5" customHeight="1">
      <c r="A333" s="72"/>
      <c r="B333" s="72" t="s">
        <v>1407</v>
      </c>
      <c r="C333" s="72"/>
      <c r="D333" s="72"/>
      <c r="E333" s="72"/>
      <c r="F333" s="189"/>
      <c r="G333" s="183"/>
      <c r="H333" s="72"/>
    </row>
    <row r="334" ht="22.5" customHeight="1">
      <c r="A334" s="72"/>
      <c r="B334" s="72" t="s">
        <v>1407</v>
      </c>
      <c r="C334" s="72"/>
      <c r="D334" s="72"/>
      <c r="E334" s="72"/>
      <c r="F334" s="189"/>
      <c r="G334" s="183"/>
      <c r="H334" s="72"/>
    </row>
    <row r="335" ht="22.5" customHeight="1">
      <c r="A335" s="72"/>
      <c r="B335" s="72" t="s">
        <v>1407</v>
      </c>
      <c r="C335" s="72"/>
      <c r="D335" s="72"/>
      <c r="E335" s="72"/>
      <c r="F335" s="189"/>
      <c r="G335" s="183"/>
      <c r="H335" s="72"/>
    </row>
    <row r="336" ht="22.5" customHeight="1">
      <c r="A336" s="72"/>
      <c r="B336" s="72" t="s">
        <v>1407</v>
      </c>
      <c r="C336" s="72"/>
      <c r="D336" s="72"/>
      <c r="E336" s="72"/>
      <c r="F336" s="189"/>
      <c r="G336" s="183"/>
      <c r="H336" s="72"/>
    </row>
    <row r="337" ht="22.5" customHeight="1">
      <c r="A337" s="72"/>
      <c r="B337" s="72" t="s">
        <v>1407</v>
      </c>
      <c r="C337" s="72"/>
      <c r="D337" s="72"/>
      <c r="E337" s="72"/>
      <c r="F337" s="189"/>
      <c r="G337" s="183"/>
      <c r="H337" s="72"/>
    </row>
    <row r="338" ht="22.5" customHeight="1">
      <c r="A338" s="72"/>
      <c r="B338" s="72" t="s">
        <v>1407</v>
      </c>
      <c r="C338" s="72"/>
      <c r="D338" s="72"/>
      <c r="E338" s="72"/>
      <c r="F338" s="189"/>
      <c r="G338" s="183"/>
      <c r="H338" s="72"/>
    </row>
    <row r="339" ht="22.5" customHeight="1">
      <c r="A339" s="72"/>
      <c r="B339" s="72" t="s">
        <v>1407</v>
      </c>
      <c r="C339" s="72"/>
      <c r="D339" s="72"/>
      <c r="E339" s="72"/>
      <c r="F339" s="189"/>
      <c r="G339" s="183"/>
      <c r="H339" s="72"/>
    </row>
    <row r="340" ht="22.5" customHeight="1">
      <c r="A340" s="72"/>
      <c r="B340" s="72" t="s">
        <v>1407</v>
      </c>
      <c r="C340" s="72"/>
      <c r="D340" s="72"/>
      <c r="E340" s="72"/>
      <c r="F340" s="189"/>
      <c r="G340" s="183"/>
      <c r="H340" s="72"/>
    </row>
    <row r="341" ht="22.5" customHeight="1">
      <c r="A341" s="72"/>
      <c r="B341" s="72" t="s">
        <v>1407</v>
      </c>
      <c r="C341" s="72"/>
      <c r="D341" s="72"/>
      <c r="E341" s="72"/>
      <c r="F341" s="189"/>
      <c r="G341" s="183"/>
      <c r="H341" s="72"/>
    </row>
    <row r="342" ht="22.5" customHeight="1">
      <c r="A342" s="72"/>
      <c r="B342" s="72" t="s">
        <v>1407</v>
      </c>
      <c r="C342" s="72"/>
      <c r="D342" s="72"/>
      <c r="E342" s="72"/>
      <c r="F342" s="189"/>
      <c r="G342" s="183"/>
      <c r="H342" s="72"/>
    </row>
    <row r="343" ht="22.5" customHeight="1">
      <c r="A343" s="72"/>
      <c r="B343" s="72" t="s">
        <v>1407</v>
      </c>
      <c r="C343" s="72"/>
      <c r="D343" s="72"/>
      <c r="E343" s="72"/>
      <c r="F343" s="189"/>
      <c r="G343" s="183"/>
      <c r="H343" s="72"/>
    </row>
    <row r="344" ht="22.5" customHeight="1">
      <c r="A344" s="72"/>
      <c r="B344" s="72" t="s">
        <v>1407</v>
      </c>
      <c r="C344" s="72"/>
      <c r="D344" s="72"/>
      <c r="E344" s="72"/>
      <c r="F344" s="189"/>
      <c r="G344" s="183"/>
      <c r="H344" s="72"/>
    </row>
    <row r="345" ht="22.5" customHeight="1">
      <c r="A345" s="72"/>
      <c r="B345" s="72" t="s">
        <v>1407</v>
      </c>
      <c r="C345" s="72"/>
      <c r="D345" s="72"/>
      <c r="E345" s="72"/>
      <c r="F345" s="189"/>
      <c r="G345" s="183"/>
      <c r="H345" s="72"/>
    </row>
    <row r="346" ht="22.5" customHeight="1">
      <c r="A346" s="72"/>
      <c r="B346" s="72" t="s">
        <v>1407</v>
      </c>
      <c r="C346" s="72"/>
      <c r="D346" s="72"/>
      <c r="E346" s="72"/>
      <c r="F346" s="189"/>
      <c r="G346" s="183"/>
      <c r="H346" s="72"/>
    </row>
    <row r="347" ht="22.5" customHeight="1">
      <c r="A347" s="72"/>
      <c r="B347" s="72" t="s">
        <v>1407</v>
      </c>
      <c r="C347" s="72"/>
      <c r="D347" s="72"/>
      <c r="E347" s="72"/>
      <c r="F347" s="189"/>
      <c r="G347" s="183"/>
      <c r="H347" s="72"/>
    </row>
    <row r="348" ht="22.5" customHeight="1">
      <c r="A348" s="72"/>
      <c r="B348" s="72" t="s">
        <v>1407</v>
      </c>
      <c r="C348" s="72"/>
      <c r="D348" s="72"/>
      <c r="E348" s="72"/>
      <c r="F348" s="189"/>
      <c r="G348" s="183"/>
      <c r="H348" s="72"/>
    </row>
    <row r="349" ht="22.5" customHeight="1">
      <c r="A349" s="72"/>
      <c r="B349" s="72" t="s">
        <v>1407</v>
      </c>
      <c r="C349" s="72"/>
      <c r="D349" s="72"/>
      <c r="E349" s="72"/>
      <c r="F349" s="189"/>
      <c r="G349" s="183"/>
      <c r="H349" s="72"/>
    </row>
    <row r="350" ht="22.5" customHeight="1">
      <c r="A350" s="72"/>
      <c r="B350" s="72" t="s">
        <v>1407</v>
      </c>
      <c r="C350" s="72"/>
      <c r="D350" s="72"/>
      <c r="E350" s="72"/>
      <c r="F350" s="189"/>
      <c r="G350" s="183"/>
      <c r="H350" s="72"/>
    </row>
    <row r="351" ht="22.5" customHeight="1">
      <c r="A351" s="72"/>
      <c r="B351" s="72" t="s">
        <v>1407</v>
      </c>
      <c r="C351" s="72"/>
      <c r="D351" s="72"/>
      <c r="E351" s="72"/>
      <c r="F351" s="189"/>
      <c r="G351" s="183"/>
      <c r="H351" s="72"/>
    </row>
    <row r="352" ht="22.5" customHeight="1">
      <c r="A352" s="72"/>
      <c r="B352" s="72" t="s">
        <v>1407</v>
      </c>
      <c r="C352" s="72"/>
      <c r="D352" s="72"/>
      <c r="E352" s="72"/>
      <c r="F352" s="189"/>
      <c r="G352" s="183"/>
      <c r="H352" s="72"/>
    </row>
    <row r="353" ht="22.5" customHeight="1">
      <c r="A353" s="72"/>
      <c r="B353" s="72" t="s">
        <v>1407</v>
      </c>
      <c r="C353" s="72"/>
      <c r="D353" s="72"/>
      <c r="E353" s="72"/>
      <c r="F353" s="189"/>
      <c r="G353" s="183"/>
      <c r="H353" s="72"/>
    </row>
    <row r="354" ht="22.5" customHeight="1">
      <c r="A354" s="72"/>
      <c r="B354" s="72" t="s">
        <v>1407</v>
      </c>
      <c r="C354" s="72"/>
      <c r="D354" s="72"/>
      <c r="E354" s="72"/>
      <c r="F354" s="189"/>
      <c r="G354" s="183"/>
      <c r="H354" s="72"/>
    </row>
    <row r="355" ht="22.5" customHeight="1">
      <c r="A355" s="72"/>
      <c r="B355" s="72" t="s">
        <v>1407</v>
      </c>
      <c r="C355" s="72"/>
      <c r="D355" s="72"/>
      <c r="E355" s="72"/>
      <c r="F355" s="189"/>
      <c r="G355" s="183"/>
      <c r="H355" s="72"/>
    </row>
    <row r="356" ht="22.5" customHeight="1">
      <c r="A356" s="72"/>
      <c r="B356" s="72" t="s">
        <v>1407</v>
      </c>
      <c r="C356" s="72"/>
      <c r="D356" s="72"/>
      <c r="E356" s="72"/>
      <c r="F356" s="189"/>
      <c r="G356" s="183"/>
      <c r="H356" s="72"/>
    </row>
    <row r="357" ht="22.5" customHeight="1">
      <c r="A357" s="72"/>
      <c r="B357" s="72" t="s">
        <v>1407</v>
      </c>
      <c r="C357" s="72"/>
      <c r="D357" s="72"/>
      <c r="E357" s="72"/>
      <c r="F357" s="189"/>
      <c r="G357" s="183"/>
      <c r="H357" s="72"/>
    </row>
    <row r="358" ht="22.5" customHeight="1">
      <c r="A358" s="72"/>
      <c r="B358" s="72" t="s">
        <v>1407</v>
      </c>
      <c r="C358" s="72"/>
      <c r="D358" s="72"/>
      <c r="E358" s="72"/>
      <c r="F358" s="189"/>
      <c r="G358" s="183"/>
      <c r="H358" s="72"/>
    </row>
    <row r="359" ht="22.5" customHeight="1">
      <c r="A359" s="72"/>
      <c r="B359" s="72" t="s">
        <v>1407</v>
      </c>
      <c r="C359" s="72"/>
      <c r="D359" s="72"/>
      <c r="E359" s="72"/>
      <c r="F359" s="189"/>
      <c r="G359" s="183"/>
      <c r="H359" s="72"/>
    </row>
    <row r="360" ht="22.5" customHeight="1">
      <c r="A360" s="72"/>
      <c r="B360" s="72" t="s">
        <v>1407</v>
      </c>
      <c r="C360" s="72"/>
      <c r="D360" s="72"/>
      <c r="E360" s="72"/>
      <c r="F360" s="189"/>
      <c r="G360" s="183"/>
      <c r="H360" s="72"/>
    </row>
    <row r="361" ht="22.5" customHeight="1">
      <c r="A361" s="72"/>
      <c r="B361" s="72" t="s">
        <v>1407</v>
      </c>
      <c r="C361" s="72"/>
      <c r="D361" s="72"/>
      <c r="E361" s="72"/>
      <c r="F361" s="189"/>
      <c r="G361" s="183"/>
      <c r="H361" s="72"/>
    </row>
    <row r="362" ht="22.5" customHeight="1">
      <c r="A362" s="72"/>
      <c r="B362" s="72" t="s">
        <v>1407</v>
      </c>
      <c r="C362" s="72"/>
      <c r="D362" s="72"/>
      <c r="E362" s="72"/>
      <c r="F362" s="189"/>
      <c r="G362" s="183"/>
      <c r="H362" s="72"/>
    </row>
    <row r="363" ht="22.5" customHeight="1">
      <c r="A363" s="72"/>
      <c r="B363" s="72" t="s">
        <v>1407</v>
      </c>
      <c r="C363" s="72"/>
      <c r="D363" s="72"/>
      <c r="E363" s="72"/>
      <c r="F363" s="189"/>
      <c r="G363" s="183"/>
      <c r="H363" s="72"/>
    </row>
    <row r="364" ht="22.5" customHeight="1">
      <c r="A364" s="72"/>
      <c r="B364" s="72" t="s">
        <v>1407</v>
      </c>
      <c r="C364" s="72"/>
      <c r="D364" s="72"/>
      <c r="E364" s="72"/>
      <c r="F364" s="189"/>
      <c r="G364" s="183"/>
      <c r="H364" s="72"/>
    </row>
    <row r="365" ht="22.5" customHeight="1">
      <c r="A365" s="72"/>
      <c r="B365" s="72" t="s">
        <v>1407</v>
      </c>
      <c r="C365" s="72"/>
      <c r="D365" s="72"/>
      <c r="E365" s="72"/>
      <c r="F365" s="189"/>
      <c r="G365" s="183"/>
      <c r="H365" s="72"/>
    </row>
    <row r="366" ht="22.5" customHeight="1">
      <c r="A366" s="72"/>
      <c r="B366" s="72" t="s">
        <v>1407</v>
      </c>
      <c r="C366" s="72"/>
      <c r="D366" s="72"/>
      <c r="E366" s="72"/>
      <c r="F366" s="189"/>
      <c r="G366" s="183"/>
      <c r="H366" s="72"/>
    </row>
    <row r="367" ht="22.5" customHeight="1">
      <c r="A367" s="72"/>
      <c r="B367" s="72" t="s">
        <v>1407</v>
      </c>
      <c r="C367" s="72"/>
      <c r="D367" s="72"/>
      <c r="E367" s="72"/>
      <c r="F367" s="189"/>
      <c r="G367" s="183"/>
      <c r="H367" s="72"/>
    </row>
    <row r="368" ht="22.5" customHeight="1">
      <c r="A368" s="72"/>
      <c r="B368" s="72" t="s">
        <v>1407</v>
      </c>
      <c r="C368" s="72"/>
      <c r="D368" s="72"/>
      <c r="E368" s="72"/>
      <c r="F368" s="189"/>
      <c r="G368" s="183"/>
      <c r="H368" s="72"/>
    </row>
    <row r="369" ht="22.5" customHeight="1">
      <c r="A369" s="72"/>
      <c r="B369" s="72" t="s">
        <v>1407</v>
      </c>
      <c r="C369" s="72"/>
      <c r="D369" s="72"/>
      <c r="E369" s="72"/>
      <c r="F369" s="189"/>
      <c r="G369" s="183"/>
      <c r="H369" s="72"/>
    </row>
    <row r="370" ht="22.5" customHeight="1">
      <c r="A370" s="72"/>
      <c r="B370" s="72" t="s">
        <v>1407</v>
      </c>
      <c r="C370" s="72"/>
      <c r="D370" s="72"/>
      <c r="E370" s="72"/>
      <c r="F370" s="189"/>
      <c r="G370" s="183"/>
      <c r="H370" s="72"/>
    </row>
    <row r="371" ht="22.5" customHeight="1">
      <c r="A371" s="72"/>
      <c r="B371" s="72" t="s">
        <v>1407</v>
      </c>
      <c r="C371" s="72"/>
      <c r="D371" s="72"/>
      <c r="E371" s="72"/>
      <c r="F371" s="189"/>
      <c r="G371" s="183"/>
      <c r="H371" s="72"/>
    </row>
    <row r="372" ht="22.5" customHeight="1">
      <c r="A372" s="72"/>
      <c r="B372" s="72" t="s">
        <v>1407</v>
      </c>
      <c r="C372" s="72"/>
      <c r="D372" s="72"/>
      <c r="E372" s="72"/>
      <c r="F372" s="189"/>
      <c r="G372" s="183"/>
      <c r="H372" s="72"/>
    </row>
    <row r="373" ht="22.5" customHeight="1">
      <c r="A373" s="72"/>
      <c r="B373" s="72" t="s">
        <v>1407</v>
      </c>
      <c r="C373" s="72"/>
      <c r="D373" s="72"/>
      <c r="E373" s="72"/>
      <c r="F373" s="189"/>
      <c r="G373" s="183"/>
      <c r="H373" s="72"/>
    </row>
    <row r="374" ht="22.5" customHeight="1">
      <c r="A374" s="72"/>
      <c r="B374" s="72" t="s">
        <v>1407</v>
      </c>
      <c r="C374" s="72"/>
      <c r="D374" s="72"/>
      <c r="E374" s="72"/>
      <c r="F374" s="189"/>
      <c r="G374" s="183"/>
      <c r="H374" s="72"/>
    </row>
    <row r="375" ht="22.5" customHeight="1">
      <c r="A375" s="72"/>
      <c r="B375" s="72" t="s">
        <v>1407</v>
      </c>
      <c r="C375" s="72"/>
      <c r="D375" s="72"/>
      <c r="E375" s="72"/>
      <c r="F375" s="189"/>
      <c r="G375" s="183"/>
      <c r="H375" s="72"/>
    </row>
    <row r="376" ht="22.5" customHeight="1">
      <c r="A376" s="72"/>
      <c r="B376" s="72" t="s">
        <v>1407</v>
      </c>
      <c r="C376" s="72"/>
      <c r="D376" s="72"/>
      <c r="E376" s="72"/>
      <c r="F376" s="189"/>
      <c r="G376" s="183"/>
      <c r="H376" s="72"/>
    </row>
    <row r="377" ht="22.5" customHeight="1">
      <c r="A377" s="72"/>
      <c r="B377" s="72" t="s">
        <v>1407</v>
      </c>
      <c r="C377" s="72"/>
      <c r="D377" s="72"/>
      <c r="E377" s="72"/>
      <c r="F377" s="189"/>
      <c r="G377" s="183"/>
      <c r="H377" s="72"/>
    </row>
    <row r="378" ht="22.5" customHeight="1">
      <c r="A378" s="72"/>
      <c r="B378" s="72" t="s">
        <v>1407</v>
      </c>
      <c r="C378" s="72"/>
      <c r="D378" s="72"/>
      <c r="E378" s="72"/>
      <c r="F378" s="189"/>
      <c r="G378" s="183"/>
      <c r="H378" s="72"/>
    </row>
    <row r="379" ht="22.5" customHeight="1">
      <c r="A379" s="72"/>
      <c r="B379" s="72" t="s">
        <v>1407</v>
      </c>
      <c r="C379" s="72"/>
      <c r="D379" s="72"/>
      <c r="E379" s="72"/>
      <c r="F379" s="189"/>
      <c r="G379" s="183"/>
      <c r="H379" s="72"/>
    </row>
    <row r="380" ht="22.5" customHeight="1">
      <c r="A380" s="72"/>
      <c r="B380" s="72" t="s">
        <v>1407</v>
      </c>
      <c r="C380" s="72"/>
      <c r="D380" s="72"/>
      <c r="E380" s="72"/>
      <c r="F380" s="189"/>
      <c r="G380" s="183"/>
      <c r="H380" s="72"/>
    </row>
    <row r="381" ht="22.5" customHeight="1">
      <c r="A381" s="72"/>
      <c r="B381" s="72" t="s">
        <v>1407</v>
      </c>
      <c r="C381" s="72"/>
      <c r="D381" s="72"/>
      <c r="E381" s="72"/>
      <c r="F381" s="189"/>
      <c r="G381" s="183"/>
      <c r="H381" s="72"/>
    </row>
    <row r="382" ht="22.5" customHeight="1">
      <c r="A382" s="72"/>
      <c r="B382" s="72" t="s">
        <v>1407</v>
      </c>
      <c r="C382" s="72"/>
      <c r="D382" s="72"/>
      <c r="E382" s="72"/>
      <c r="F382" s="189"/>
      <c r="G382" s="183"/>
      <c r="H382" s="72"/>
    </row>
    <row r="383" ht="22.5" customHeight="1">
      <c r="A383" s="72"/>
      <c r="B383" s="72" t="s">
        <v>1407</v>
      </c>
      <c r="C383" s="72"/>
      <c r="D383" s="72"/>
      <c r="E383" s="72"/>
      <c r="F383" s="189"/>
      <c r="G383" s="183"/>
      <c r="H383" s="72"/>
    </row>
    <row r="384" ht="22.5" customHeight="1">
      <c r="A384" s="72"/>
      <c r="B384" s="72" t="s">
        <v>1407</v>
      </c>
      <c r="C384" s="72"/>
      <c r="D384" s="72"/>
      <c r="E384" s="72"/>
      <c r="F384" s="189"/>
      <c r="G384" s="183"/>
      <c r="H384" s="72"/>
    </row>
    <row r="385" ht="22.5" customHeight="1">
      <c r="A385" s="72"/>
      <c r="B385" s="72" t="s">
        <v>1407</v>
      </c>
      <c r="C385" s="72"/>
      <c r="D385" s="72"/>
      <c r="E385" s="72"/>
      <c r="F385" s="189"/>
      <c r="G385" s="183"/>
      <c r="H385" s="72"/>
    </row>
    <row r="386" ht="22.5" customHeight="1">
      <c r="A386" s="72"/>
      <c r="B386" s="72" t="s">
        <v>1407</v>
      </c>
      <c r="C386" s="72"/>
      <c r="D386" s="72"/>
      <c r="E386" s="72"/>
      <c r="F386" s="189"/>
      <c r="G386" s="183"/>
      <c r="H386" s="72"/>
    </row>
    <row r="387" ht="22.5" customHeight="1">
      <c r="A387" s="72"/>
      <c r="B387" s="72" t="s">
        <v>1407</v>
      </c>
      <c r="C387" s="72"/>
      <c r="D387" s="72"/>
      <c r="E387" s="72"/>
      <c r="F387" s="189"/>
      <c r="G387" s="183"/>
      <c r="H387" s="72"/>
    </row>
    <row r="388" ht="22.5" customHeight="1">
      <c r="A388" s="72"/>
      <c r="B388" s="72" t="s">
        <v>1407</v>
      </c>
      <c r="C388" s="72"/>
      <c r="D388" s="72"/>
      <c r="E388" s="72"/>
      <c r="F388" s="189"/>
      <c r="G388" s="183"/>
      <c r="H388" s="72"/>
    </row>
    <row r="389" ht="22.5" customHeight="1">
      <c r="A389" s="72"/>
      <c r="B389" s="72" t="s">
        <v>1407</v>
      </c>
      <c r="C389" s="72"/>
      <c r="D389" s="72"/>
      <c r="E389" s="72"/>
      <c r="F389" s="189"/>
      <c r="G389" s="183"/>
      <c r="H389" s="72"/>
    </row>
    <row r="390" ht="22.5" customHeight="1">
      <c r="A390" s="72"/>
      <c r="B390" s="72" t="s">
        <v>1407</v>
      </c>
      <c r="C390" s="72"/>
      <c r="D390" s="72"/>
      <c r="E390" s="72"/>
      <c r="F390" s="189"/>
      <c r="G390" s="183"/>
      <c r="H390" s="72"/>
    </row>
    <row r="391" ht="22.5" customHeight="1">
      <c r="A391" s="72"/>
      <c r="B391" s="72" t="s">
        <v>1407</v>
      </c>
      <c r="C391" s="72"/>
      <c r="D391" s="72"/>
      <c r="E391" s="72"/>
      <c r="F391" s="189"/>
      <c r="G391" s="183"/>
      <c r="H391" s="72"/>
    </row>
    <row r="392" ht="22.5" customHeight="1">
      <c r="A392" s="72"/>
      <c r="B392" s="72" t="s">
        <v>1407</v>
      </c>
      <c r="C392" s="72"/>
      <c r="D392" s="72"/>
      <c r="E392" s="72"/>
      <c r="F392" s="189"/>
      <c r="G392" s="183"/>
      <c r="H392" s="72"/>
    </row>
    <row r="393" ht="22.5" customHeight="1">
      <c r="A393" s="72"/>
      <c r="B393" s="72" t="s">
        <v>1407</v>
      </c>
      <c r="C393" s="72"/>
      <c r="D393" s="72"/>
      <c r="E393" s="72"/>
      <c r="F393" s="189"/>
      <c r="G393" s="183"/>
      <c r="H393" s="72"/>
    </row>
    <row r="394" ht="22.5" customHeight="1">
      <c r="A394" s="72"/>
      <c r="B394" s="72" t="s">
        <v>1407</v>
      </c>
      <c r="C394" s="72"/>
      <c r="D394" s="72"/>
      <c r="E394" s="72"/>
      <c r="F394" s="189"/>
      <c r="G394" s="183"/>
      <c r="H394" s="72"/>
    </row>
    <row r="395" ht="22.5" customHeight="1">
      <c r="A395" s="72"/>
      <c r="B395" s="72" t="s">
        <v>1407</v>
      </c>
      <c r="C395" s="72"/>
      <c r="D395" s="72"/>
      <c r="E395" s="72"/>
      <c r="F395" s="189"/>
      <c r="G395" s="183"/>
      <c r="H395" s="72"/>
    </row>
    <row r="396" ht="22.5" customHeight="1">
      <c r="A396" s="72"/>
      <c r="B396" s="72" t="s">
        <v>1407</v>
      </c>
      <c r="C396" s="72"/>
      <c r="D396" s="72"/>
      <c r="E396" s="72"/>
      <c r="F396" s="189"/>
      <c r="G396" s="183"/>
      <c r="H396" s="72"/>
    </row>
    <row r="397" ht="22.5" customHeight="1">
      <c r="A397" s="72"/>
      <c r="B397" s="72" t="s">
        <v>1407</v>
      </c>
      <c r="C397" s="72"/>
      <c r="D397" s="72"/>
      <c r="E397" s="72"/>
      <c r="F397" s="189"/>
      <c r="G397" s="183"/>
      <c r="H397" s="72"/>
    </row>
    <row r="398" ht="22.5" customHeight="1">
      <c r="A398" s="72"/>
      <c r="B398" s="72" t="s">
        <v>1407</v>
      </c>
      <c r="C398" s="72"/>
      <c r="D398" s="72"/>
      <c r="E398" s="72"/>
      <c r="F398" s="189"/>
      <c r="G398" s="183"/>
      <c r="H398" s="72"/>
    </row>
    <row r="399" ht="22.5" customHeight="1">
      <c r="A399" s="72"/>
      <c r="B399" s="72" t="s">
        <v>1407</v>
      </c>
      <c r="C399" s="72"/>
      <c r="D399" s="72"/>
      <c r="E399" s="72"/>
      <c r="F399" s="189"/>
      <c r="G399" s="183"/>
      <c r="H399" s="72"/>
    </row>
    <row r="400" ht="22.5" customHeight="1">
      <c r="A400" s="72"/>
      <c r="B400" s="72" t="s">
        <v>1407</v>
      </c>
      <c r="C400" s="72"/>
      <c r="D400" s="72"/>
      <c r="E400" s="72"/>
      <c r="F400" s="189"/>
      <c r="G400" s="183"/>
      <c r="H400" s="72"/>
    </row>
    <row r="401" ht="22.5" customHeight="1">
      <c r="A401" s="72"/>
      <c r="B401" s="72" t="s">
        <v>1407</v>
      </c>
      <c r="C401" s="72"/>
      <c r="D401" s="72"/>
      <c r="E401" s="72"/>
      <c r="F401" s="189"/>
      <c r="G401" s="183"/>
      <c r="H401" s="72"/>
    </row>
    <row r="402" ht="22.5" customHeight="1">
      <c r="A402" s="72"/>
      <c r="B402" s="72" t="s">
        <v>1407</v>
      </c>
      <c r="C402" s="72"/>
      <c r="D402" s="72"/>
      <c r="E402" s="72"/>
      <c r="F402" s="189"/>
      <c r="G402" s="183"/>
      <c r="H402" s="72"/>
    </row>
    <row r="403" ht="22.5" customHeight="1">
      <c r="A403" s="72"/>
      <c r="B403" s="72" t="s">
        <v>1407</v>
      </c>
      <c r="C403" s="72"/>
      <c r="D403" s="72"/>
      <c r="E403" s="72"/>
      <c r="F403" s="189"/>
      <c r="G403" s="183"/>
      <c r="H403" s="72"/>
    </row>
    <row r="404" ht="22.5" customHeight="1">
      <c r="A404" s="72"/>
      <c r="B404" s="72" t="s">
        <v>1407</v>
      </c>
      <c r="C404" s="72"/>
      <c r="D404" s="72"/>
      <c r="E404" s="72"/>
      <c r="F404" s="189"/>
      <c r="G404" s="183"/>
      <c r="H404" s="72"/>
    </row>
    <row r="405" ht="22.5" customHeight="1">
      <c r="A405" s="72"/>
      <c r="B405" s="72" t="s">
        <v>1407</v>
      </c>
      <c r="C405" s="72"/>
      <c r="D405" s="72"/>
      <c r="E405" s="72"/>
      <c r="F405" s="189"/>
      <c r="G405" s="183"/>
      <c r="H405" s="72"/>
    </row>
    <row r="406" ht="22.5" customHeight="1">
      <c r="A406" s="72"/>
      <c r="B406" s="72" t="s">
        <v>1407</v>
      </c>
      <c r="C406" s="72"/>
      <c r="D406" s="72"/>
      <c r="E406" s="72"/>
      <c r="F406" s="189"/>
      <c r="G406" s="183"/>
      <c r="H406" s="72"/>
    </row>
    <row r="407" ht="22.5" customHeight="1">
      <c r="A407" s="72"/>
      <c r="B407" s="72" t="s">
        <v>1407</v>
      </c>
      <c r="C407" s="72"/>
      <c r="D407" s="72"/>
      <c r="E407" s="72"/>
      <c r="F407" s="189"/>
      <c r="G407" s="183"/>
      <c r="H407" s="72"/>
    </row>
    <row r="408" ht="22.5" customHeight="1">
      <c r="A408" s="72"/>
      <c r="B408" s="72" t="s">
        <v>1407</v>
      </c>
      <c r="C408" s="72"/>
      <c r="D408" s="72"/>
      <c r="E408" s="72"/>
      <c r="F408" s="189"/>
      <c r="G408" s="183"/>
      <c r="H408" s="72"/>
    </row>
    <row r="409" ht="22.5" customHeight="1">
      <c r="A409" s="72"/>
      <c r="B409" s="72" t="s">
        <v>1407</v>
      </c>
      <c r="C409" s="72"/>
      <c r="D409" s="72"/>
      <c r="E409" s="72"/>
      <c r="F409" s="189"/>
      <c r="G409" s="183"/>
      <c r="H409" s="72"/>
    </row>
    <row r="410" ht="22.5" customHeight="1">
      <c r="A410" s="72"/>
      <c r="B410" s="72" t="s">
        <v>1407</v>
      </c>
      <c r="C410" s="72"/>
      <c r="D410" s="72"/>
      <c r="E410" s="72"/>
      <c r="F410" s="189"/>
      <c r="G410" s="183"/>
      <c r="H410" s="72"/>
    </row>
    <row r="411" ht="22.5" customHeight="1">
      <c r="A411" s="72"/>
      <c r="B411" s="72" t="s">
        <v>1407</v>
      </c>
      <c r="C411" s="72"/>
      <c r="D411" s="72"/>
      <c r="E411" s="72"/>
      <c r="F411" s="189"/>
      <c r="G411" s="183"/>
      <c r="H411" s="72"/>
    </row>
    <row r="412" ht="22.5" customHeight="1">
      <c r="A412" s="72"/>
      <c r="B412" s="72" t="s">
        <v>1407</v>
      </c>
      <c r="C412" s="72"/>
      <c r="D412" s="72"/>
      <c r="E412" s="72"/>
      <c r="F412" s="189"/>
      <c r="G412" s="183"/>
      <c r="H412" s="72"/>
    </row>
    <row r="413" ht="22.5" customHeight="1">
      <c r="A413" s="72"/>
      <c r="B413" s="72" t="s">
        <v>1407</v>
      </c>
      <c r="C413" s="72"/>
      <c r="D413" s="72"/>
      <c r="E413" s="72"/>
      <c r="F413" s="189"/>
      <c r="G413" s="183"/>
      <c r="H413" s="72"/>
    </row>
    <row r="414" ht="22.5" customHeight="1">
      <c r="A414" s="72"/>
      <c r="B414" s="72" t="s">
        <v>1407</v>
      </c>
      <c r="C414" s="72"/>
      <c r="D414" s="72"/>
      <c r="E414" s="72"/>
      <c r="F414" s="189"/>
      <c r="G414" s="183"/>
      <c r="H414" s="72"/>
    </row>
    <row r="415" ht="22.5" customHeight="1">
      <c r="A415" s="72"/>
      <c r="B415" s="72" t="s">
        <v>1407</v>
      </c>
      <c r="C415" s="72"/>
      <c r="D415" s="72"/>
      <c r="E415" s="72"/>
      <c r="F415" s="189"/>
      <c r="G415" s="183"/>
      <c r="H415" s="72"/>
    </row>
    <row r="416" ht="22.5" customHeight="1">
      <c r="A416" s="72"/>
      <c r="B416" s="72" t="s">
        <v>1407</v>
      </c>
      <c r="C416" s="72"/>
      <c r="D416" s="72"/>
      <c r="E416" s="72"/>
      <c r="F416" s="189"/>
      <c r="G416" s="183"/>
      <c r="H416" s="72"/>
    </row>
    <row r="417" ht="22.5" customHeight="1">
      <c r="A417" s="72"/>
      <c r="B417" s="72" t="s">
        <v>1407</v>
      </c>
      <c r="C417" s="72"/>
      <c r="D417" s="72"/>
      <c r="E417" s="72"/>
      <c r="F417" s="189"/>
      <c r="G417" s="183"/>
      <c r="H417" s="72"/>
    </row>
    <row r="418" ht="22.5" customHeight="1">
      <c r="A418" s="72"/>
      <c r="B418" s="72" t="s">
        <v>1407</v>
      </c>
      <c r="C418" s="72"/>
      <c r="D418" s="72"/>
      <c r="E418" s="72"/>
      <c r="F418" s="189"/>
      <c r="G418" s="183"/>
      <c r="H418" s="72"/>
    </row>
    <row r="419" ht="22.5" customHeight="1">
      <c r="A419" s="72"/>
      <c r="B419" s="72" t="s">
        <v>1407</v>
      </c>
      <c r="C419" s="72"/>
      <c r="D419" s="72"/>
      <c r="E419" s="72"/>
      <c r="F419" s="189"/>
      <c r="G419" s="183"/>
      <c r="H419" s="72"/>
    </row>
    <row r="420" ht="22.5" customHeight="1">
      <c r="A420" s="72"/>
      <c r="B420" s="72" t="s">
        <v>1407</v>
      </c>
      <c r="C420" s="72"/>
      <c r="D420" s="72"/>
      <c r="E420" s="72"/>
      <c r="F420" s="189"/>
      <c r="G420" s="183"/>
      <c r="H420" s="72"/>
    </row>
    <row r="421" ht="22.5" customHeight="1">
      <c r="A421" s="72"/>
      <c r="B421" s="72" t="s">
        <v>1407</v>
      </c>
      <c r="C421" s="72"/>
      <c r="D421" s="72"/>
      <c r="E421" s="72"/>
      <c r="F421" s="189"/>
      <c r="G421" s="183"/>
      <c r="H421" s="72"/>
    </row>
    <row r="422" ht="22.5" customHeight="1">
      <c r="A422" s="72"/>
      <c r="B422" s="72" t="s">
        <v>1407</v>
      </c>
      <c r="C422" s="72"/>
      <c r="D422" s="72"/>
      <c r="E422" s="72"/>
      <c r="F422" s="189"/>
      <c r="G422" s="183"/>
      <c r="H422" s="72"/>
    </row>
    <row r="423" ht="22.5" customHeight="1">
      <c r="A423" s="72"/>
      <c r="B423" s="72" t="s">
        <v>1407</v>
      </c>
      <c r="C423" s="72"/>
      <c r="D423" s="72"/>
      <c r="E423" s="72"/>
      <c r="F423" s="189"/>
      <c r="G423" s="183"/>
      <c r="H423" s="72"/>
    </row>
    <row r="424" ht="22.5" customHeight="1">
      <c r="A424" s="72"/>
      <c r="B424" s="72" t="s">
        <v>1407</v>
      </c>
      <c r="C424" s="72"/>
      <c r="D424" s="72"/>
      <c r="E424" s="72"/>
      <c r="F424" s="189"/>
      <c r="G424" s="183"/>
      <c r="H424" s="72"/>
    </row>
    <row r="425" ht="22.5" customHeight="1">
      <c r="A425" s="72"/>
      <c r="B425" s="72" t="s">
        <v>1407</v>
      </c>
      <c r="C425" s="72"/>
      <c r="D425" s="72"/>
      <c r="E425" s="72"/>
      <c r="F425" s="189"/>
      <c r="G425" s="183"/>
      <c r="H425" s="72"/>
    </row>
    <row r="426" ht="22.5" customHeight="1">
      <c r="A426" s="72"/>
      <c r="B426" s="72" t="s">
        <v>1407</v>
      </c>
      <c r="C426" s="72"/>
      <c r="D426" s="72"/>
      <c r="E426" s="72"/>
      <c r="F426" s="189"/>
      <c r="G426" s="183"/>
      <c r="H426" s="72"/>
    </row>
    <row r="427" ht="22.5" customHeight="1">
      <c r="A427" s="72"/>
      <c r="B427" s="72" t="s">
        <v>1407</v>
      </c>
      <c r="C427" s="72"/>
      <c r="D427" s="72"/>
      <c r="E427" s="72"/>
      <c r="F427" s="189"/>
      <c r="G427" s="183"/>
      <c r="H427" s="72"/>
    </row>
    <row r="428" ht="22.5" customHeight="1">
      <c r="A428" s="72"/>
      <c r="B428" s="72" t="s">
        <v>1407</v>
      </c>
      <c r="C428" s="72"/>
      <c r="D428" s="72"/>
      <c r="E428" s="72"/>
      <c r="F428" s="189"/>
      <c r="G428" s="183"/>
      <c r="H428" s="72"/>
    </row>
    <row r="429" ht="22.5" customHeight="1">
      <c r="A429" s="72"/>
      <c r="B429" s="72" t="s">
        <v>1407</v>
      </c>
      <c r="C429" s="72"/>
      <c r="D429" s="72"/>
      <c r="E429" s="72"/>
      <c r="F429" s="189"/>
      <c r="G429" s="183"/>
      <c r="H429" s="72"/>
    </row>
    <row r="430" ht="22.5" customHeight="1">
      <c r="A430" s="72"/>
      <c r="B430" s="72" t="s">
        <v>1407</v>
      </c>
      <c r="C430" s="72"/>
      <c r="D430" s="72"/>
      <c r="E430" s="72"/>
      <c r="F430" s="189"/>
      <c r="G430" s="183"/>
      <c r="H430" s="72"/>
    </row>
    <row r="431" ht="22.5" customHeight="1">
      <c r="A431" s="72"/>
      <c r="B431" s="72" t="s">
        <v>1407</v>
      </c>
      <c r="C431" s="72"/>
      <c r="D431" s="72"/>
      <c r="E431" s="72"/>
      <c r="F431" s="189"/>
      <c r="G431" s="183"/>
      <c r="H431" s="72"/>
    </row>
    <row r="432" ht="22.5" customHeight="1">
      <c r="A432" s="72"/>
      <c r="B432" s="72" t="s">
        <v>1407</v>
      </c>
      <c r="C432" s="72"/>
      <c r="D432" s="72"/>
      <c r="E432" s="72"/>
      <c r="F432" s="189"/>
      <c r="G432" s="183"/>
      <c r="H432" s="72"/>
    </row>
    <row r="433" ht="22.5" customHeight="1">
      <c r="A433" s="72"/>
      <c r="B433" s="72" t="s">
        <v>1407</v>
      </c>
      <c r="C433" s="72"/>
      <c r="D433" s="72"/>
      <c r="E433" s="72"/>
      <c r="F433" s="189"/>
      <c r="G433" s="183"/>
      <c r="H433" s="72"/>
    </row>
    <row r="434" ht="22.5" customHeight="1">
      <c r="A434" s="72"/>
      <c r="B434" s="72" t="s">
        <v>1407</v>
      </c>
      <c r="C434" s="72"/>
      <c r="D434" s="72"/>
      <c r="E434" s="72"/>
      <c r="F434" s="189"/>
      <c r="G434" s="183"/>
      <c r="H434" s="72"/>
    </row>
    <row r="435" ht="22.5" customHeight="1">
      <c r="A435" s="72"/>
      <c r="B435" s="72" t="s">
        <v>1407</v>
      </c>
      <c r="C435" s="72"/>
      <c r="D435" s="72"/>
      <c r="E435" s="72"/>
      <c r="F435" s="189"/>
      <c r="G435" s="183"/>
      <c r="H435" s="72"/>
    </row>
    <row r="436" ht="22.5" customHeight="1">
      <c r="A436" s="72"/>
      <c r="B436" s="72" t="s">
        <v>1407</v>
      </c>
      <c r="C436" s="72"/>
      <c r="D436" s="72"/>
      <c r="E436" s="72"/>
      <c r="F436" s="189"/>
      <c r="G436" s="183"/>
      <c r="H436" s="72"/>
    </row>
    <row r="437" ht="22.5" customHeight="1">
      <c r="A437" s="72"/>
      <c r="B437" s="72" t="s">
        <v>1407</v>
      </c>
      <c r="C437" s="72"/>
      <c r="D437" s="72"/>
      <c r="E437" s="72"/>
      <c r="F437" s="189"/>
      <c r="G437" s="183"/>
      <c r="H437" s="72"/>
    </row>
    <row r="438" ht="22.5" customHeight="1">
      <c r="A438" s="72"/>
      <c r="B438" s="72" t="s">
        <v>1407</v>
      </c>
      <c r="C438" s="72"/>
      <c r="D438" s="72"/>
      <c r="E438" s="72"/>
      <c r="F438" s="189"/>
      <c r="G438" s="183"/>
      <c r="H438" s="72"/>
    </row>
    <row r="439" ht="22.5" customHeight="1">
      <c r="A439" s="72"/>
      <c r="B439" s="72" t="s">
        <v>1407</v>
      </c>
      <c r="C439" s="72"/>
      <c r="D439" s="72"/>
      <c r="E439" s="72"/>
      <c r="F439" s="189"/>
      <c r="G439" s="183"/>
      <c r="H439" s="72"/>
    </row>
    <row r="440" ht="22.5" customHeight="1">
      <c r="A440" s="72"/>
      <c r="B440" s="72" t="s">
        <v>1407</v>
      </c>
      <c r="C440" s="72"/>
      <c r="D440" s="72"/>
      <c r="E440" s="72"/>
      <c r="F440" s="189"/>
      <c r="G440" s="183"/>
      <c r="H440" s="72"/>
    </row>
    <row r="441" ht="22.5" customHeight="1">
      <c r="A441" s="72"/>
      <c r="B441" s="72" t="s">
        <v>1407</v>
      </c>
      <c r="C441" s="72"/>
      <c r="D441" s="72"/>
      <c r="E441" s="72"/>
      <c r="F441" s="189"/>
      <c r="G441" s="183"/>
      <c r="H441" s="72"/>
    </row>
    <row r="442" ht="22.5" customHeight="1">
      <c r="A442" s="72"/>
      <c r="B442" s="72" t="s">
        <v>1407</v>
      </c>
      <c r="C442" s="72"/>
      <c r="D442" s="72"/>
      <c r="E442" s="72"/>
      <c r="F442" s="189"/>
      <c r="G442" s="183"/>
      <c r="H442" s="72"/>
    </row>
    <row r="443" ht="22.5" customHeight="1">
      <c r="A443" s="72"/>
      <c r="B443" s="72" t="s">
        <v>1407</v>
      </c>
      <c r="C443" s="72"/>
      <c r="D443" s="72"/>
      <c r="E443" s="72"/>
      <c r="F443" s="189"/>
      <c r="G443" s="183"/>
      <c r="H443" s="72"/>
    </row>
    <row r="444" ht="22.5" customHeight="1">
      <c r="A444" s="72"/>
      <c r="B444" s="72" t="s">
        <v>1407</v>
      </c>
      <c r="C444" s="72"/>
      <c r="D444" s="72"/>
      <c r="E444" s="72"/>
      <c r="F444" s="189"/>
      <c r="G444" s="183"/>
      <c r="H444" s="72"/>
    </row>
    <row r="445" ht="22.5" customHeight="1">
      <c r="A445" s="72"/>
      <c r="B445" s="72" t="s">
        <v>1407</v>
      </c>
      <c r="C445" s="72"/>
      <c r="D445" s="72"/>
      <c r="E445" s="72"/>
      <c r="F445" s="189"/>
      <c r="G445" s="183"/>
      <c r="H445" s="72"/>
    </row>
    <row r="446" ht="22.5" customHeight="1">
      <c r="A446" s="72"/>
      <c r="B446" s="72" t="s">
        <v>1407</v>
      </c>
      <c r="C446" s="72"/>
      <c r="D446" s="72"/>
      <c r="E446" s="72"/>
      <c r="F446" s="189"/>
      <c r="G446" s="183"/>
      <c r="H446" s="72"/>
    </row>
    <row r="447" ht="22.5" customHeight="1">
      <c r="A447" s="72"/>
      <c r="B447" s="72" t="s">
        <v>1407</v>
      </c>
      <c r="C447" s="72"/>
      <c r="D447" s="72"/>
      <c r="E447" s="72"/>
      <c r="F447" s="189"/>
      <c r="G447" s="183"/>
      <c r="H447" s="72"/>
    </row>
    <row r="448" ht="22.5" customHeight="1">
      <c r="A448" s="72"/>
      <c r="B448" s="72" t="s">
        <v>1407</v>
      </c>
      <c r="C448" s="72"/>
      <c r="D448" s="72"/>
      <c r="E448" s="72"/>
      <c r="F448" s="189"/>
      <c r="G448" s="183"/>
      <c r="H448" s="72"/>
    </row>
    <row r="449" ht="22.5" customHeight="1">
      <c r="A449" s="72"/>
      <c r="B449" s="72" t="s">
        <v>1407</v>
      </c>
      <c r="C449" s="72"/>
      <c r="D449" s="72"/>
      <c r="E449" s="72"/>
      <c r="F449" s="189"/>
      <c r="G449" s="183"/>
      <c r="H449" s="72"/>
    </row>
    <row r="450" ht="22.5" customHeight="1">
      <c r="A450" s="72"/>
      <c r="B450" s="72" t="s">
        <v>1407</v>
      </c>
      <c r="C450" s="72"/>
      <c r="D450" s="72"/>
      <c r="E450" s="72"/>
      <c r="F450" s="189"/>
      <c r="G450" s="183"/>
      <c r="H450" s="72"/>
    </row>
    <row r="451" ht="22.5" customHeight="1">
      <c r="A451" s="72"/>
      <c r="B451" s="72" t="s">
        <v>1407</v>
      </c>
      <c r="C451" s="72"/>
      <c r="D451" s="72"/>
      <c r="E451" s="72"/>
      <c r="F451" s="189"/>
      <c r="G451" s="183"/>
      <c r="H451" s="72"/>
    </row>
    <row r="452" ht="22.5" customHeight="1">
      <c r="A452" s="72"/>
      <c r="B452" s="72" t="s">
        <v>1407</v>
      </c>
      <c r="C452" s="72"/>
      <c r="D452" s="72"/>
      <c r="E452" s="72"/>
      <c r="F452" s="189"/>
      <c r="G452" s="183"/>
      <c r="H452" s="72"/>
    </row>
    <row r="453" ht="22.5" customHeight="1">
      <c r="A453" s="72"/>
      <c r="B453" s="72" t="s">
        <v>1407</v>
      </c>
      <c r="C453" s="72"/>
      <c r="D453" s="72"/>
      <c r="E453" s="72"/>
      <c r="F453" s="189"/>
      <c r="G453" s="183"/>
      <c r="H453" s="72"/>
    </row>
    <row r="454" ht="22.5" customHeight="1">
      <c r="A454" s="72"/>
      <c r="B454" s="72" t="s">
        <v>1407</v>
      </c>
      <c r="C454" s="72"/>
      <c r="D454" s="72"/>
      <c r="E454" s="72"/>
      <c r="F454" s="189"/>
      <c r="G454" s="183"/>
      <c r="H454" s="72"/>
    </row>
    <row r="455" ht="22.5" customHeight="1">
      <c r="A455" s="72"/>
      <c r="B455" s="72" t="s">
        <v>1407</v>
      </c>
      <c r="C455" s="72"/>
      <c r="D455" s="72"/>
      <c r="E455" s="72"/>
      <c r="F455" s="189"/>
      <c r="G455" s="183"/>
      <c r="H455" s="72"/>
    </row>
    <row r="456" ht="22.5" customHeight="1">
      <c r="A456" s="72"/>
      <c r="B456" s="72" t="s">
        <v>1407</v>
      </c>
      <c r="C456" s="72"/>
      <c r="D456" s="72"/>
      <c r="E456" s="72"/>
      <c r="F456" s="189"/>
      <c r="G456" s="183"/>
      <c r="H456" s="72"/>
    </row>
    <row r="457" ht="22.5" customHeight="1">
      <c r="A457" s="72"/>
      <c r="B457" s="72" t="s">
        <v>1407</v>
      </c>
      <c r="C457" s="72"/>
      <c r="D457" s="72"/>
      <c r="E457" s="72"/>
      <c r="F457" s="189"/>
      <c r="G457" s="183"/>
      <c r="H457" s="72"/>
    </row>
    <row r="458" ht="22.5" customHeight="1">
      <c r="A458" s="72"/>
      <c r="B458" s="72" t="s">
        <v>1407</v>
      </c>
      <c r="C458" s="72"/>
      <c r="D458" s="72"/>
      <c r="E458" s="72"/>
      <c r="F458" s="189"/>
      <c r="G458" s="183"/>
      <c r="H458" s="72"/>
    </row>
    <row r="459" ht="22.5" customHeight="1">
      <c r="A459" s="72"/>
      <c r="B459" s="72" t="s">
        <v>1407</v>
      </c>
      <c r="C459" s="72"/>
      <c r="D459" s="72"/>
      <c r="E459" s="72"/>
      <c r="F459" s="189"/>
      <c r="G459" s="183"/>
      <c r="H459" s="72"/>
    </row>
    <row r="460" ht="22.5" customHeight="1">
      <c r="A460" s="72"/>
      <c r="B460" s="72" t="s">
        <v>1407</v>
      </c>
      <c r="C460" s="72"/>
      <c r="D460" s="72"/>
      <c r="E460" s="72"/>
      <c r="F460" s="189"/>
      <c r="G460" s="183"/>
      <c r="H460" s="72"/>
    </row>
    <row r="461" ht="22.5" customHeight="1">
      <c r="A461" s="72"/>
      <c r="B461" s="72" t="s">
        <v>1407</v>
      </c>
      <c r="C461" s="72"/>
      <c r="D461" s="72"/>
      <c r="E461" s="72"/>
      <c r="F461" s="189"/>
      <c r="G461" s="183"/>
      <c r="H461" s="72"/>
    </row>
    <row r="462" ht="22.5" customHeight="1">
      <c r="A462" s="72"/>
      <c r="B462" s="72" t="s">
        <v>1407</v>
      </c>
      <c r="C462" s="72"/>
      <c r="D462" s="72"/>
      <c r="E462" s="72"/>
      <c r="F462" s="189"/>
      <c r="G462" s="183"/>
      <c r="H462" s="72"/>
    </row>
    <row r="463" ht="22.5" customHeight="1">
      <c r="A463" s="72"/>
      <c r="B463" s="72" t="s">
        <v>1407</v>
      </c>
      <c r="C463" s="72"/>
      <c r="D463" s="72"/>
      <c r="E463" s="72"/>
      <c r="F463" s="189"/>
      <c r="G463" s="183"/>
      <c r="H463" s="72"/>
    </row>
    <row r="464" ht="22.5" customHeight="1">
      <c r="A464" s="72"/>
      <c r="B464" s="72" t="s">
        <v>1407</v>
      </c>
      <c r="C464" s="72"/>
      <c r="D464" s="72"/>
      <c r="E464" s="72"/>
      <c r="F464" s="189"/>
      <c r="G464" s="183"/>
      <c r="H464" s="72"/>
    </row>
    <row r="465" ht="22.5" customHeight="1">
      <c r="A465" s="72"/>
      <c r="B465" s="72" t="s">
        <v>1407</v>
      </c>
      <c r="C465" s="72"/>
      <c r="D465" s="72"/>
      <c r="E465" s="72"/>
      <c r="F465" s="189"/>
      <c r="G465" s="183"/>
      <c r="H465" s="72"/>
    </row>
    <row r="466" ht="22.5" customHeight="1">
      <c r="A466" s="72"/>
      <c r="B466" s="72" t="s">
        <v>1407</v>
      </c>
      <c r="C466" s="72"/>
      <c r="D466" s="72"/>
      <c r="E466" s="72"/>
      <c r="F466" s="189"/>
      <c r="G466" s="183"/>
      <c r="H466" s="72"/>
    </row>
    <row r="467" ht="22.5" customHeight="1">
      <c r="A467" s="72"/>
      <c r="B467" s="72" t="s">
        <v>1407</v>
      </c>
      <c r="C467" s="72"/>
      <c r="D467" s="72"/>
      <c r="E467" s="72"/>
      <c r="F467" s="189"/>
      <c r="G467" s="183"/>
      <c r="H467" s="72"/>
    </row>
    <row r="468" ht="22.5" customHeight="1">
      <c r="A468" s="72"/>
      <c r="B468" s="72" t="s">
        <v>1407</v>
      </c>
      <c r="C468" s="72"/>
      <c r="D468" s="72"/>
      <c r="E468" s="72"/>
      <c r="F468" s="189"/>
      <c r="G468" s="183"/>
      <c r="H468" s="72"/>
    </row>
    <row r="469" ht="22.5" customHeight="1">
      <c r="A469" s="72"/>
      <c r="B469" s="72" t="s">
        <v>1407</v>
      </c>
      <c r="C469" s="72"/>
      <c r="D469" s="72"/>
      <c r="E469" s="72"/>
      <c r="F469" s="189"/>
      <c r="G469" s="183"/>
      <c r="H469" s="72"/>
    </row>
    <row r="470" ht="22.5" customHeight="1">
      <c r="A470" s="72"/>
      <c r="B470" s="72" t="s">
        <v>1407</v>
      </c>
      <c r="C470" s="72"/>
      <c r="D470" s="72"/>
      <c r="E470" s="72"/>
      <c r="F470" s="189"/>
      <c r="G470" s="183"/>
      <c r="H470" s="72"/>
    </row>
    <row r="471" ht="22.5" customHeight="1">
      <c r="A471" s="72"/>
      <c r="B471" s="72" t="s">
        <v>1407</v>
      </c>
      <c r="C471" s="72"/>
      <c r="D471" s="72"/>
      <c r="E471" s="72"/>
      <c r="F471" s="189"/>
      <c r="G471" s="183"/>
      <c r="H471" s="72"/>
    </row>
    <row r="472" ht="22.5" customHeight="1">
      <c r="A472" s="72"/>
      <c r="B472" s="72" t="s">
        <v>1407</v>
      </c>
      <c r="C472" s="72"/>
      <c r="D472" s="72"/>
      <c r="E472" s="72"/>
      <c r="F472" s="189"/>
      <c r="G472" s="183"/>
      <c r="H472" s="72"/>
    </row>
    <row r="473" ht="22.5" customHeight="1">
      <c r="A473" s="72"/>
      <c r="B473" s="72" t="s">
        <v>1407</v>
      </c>
      <c r="C473" s="72"/>
      <c r="D473" s="72"/>
      <c r="E473" s="72"/>
      <c r="F473" s="189"/>
      <c r="G473" s="183"/>
      <c r="H473" s="72"/>
    </row>
    <row r="474" ht="22.5" customHeight="1">
      <c r="A474" s="72"/>
      <c r="B474" s="72" t="s">
        <v>1407</v>
      </c>
      <c r="C474" s="72"/>
      <c r="D474" s="72"/>
      <c r="E474" s="72"/>
      <c r="F474" s="189"/>
      <c r="G474" s="183"/>
      <c r="H474" s="72"/>
    </row>
    <row r="475" ht="22.5" customHeight="1">
      <c r="A475" s="72"/>
      <c r="B475" s="72" t="s">
        <v>1407</v>
      </c>
      <c r="C475" s="72"/>
      <c r="D475" s="72"/>
      <c r="E475" s="72"/>
      <c r="F475" s="189"/>
      <c r="G475" s="183"/>
      <c r="H475" s="72"/>
    </row>
    <row r="476" ht="22.5" customHeight="1">
      <c r="A476" s="72"/>
      <c r="B476" s="72" t="s">
        <v>1407</v>
      </c>
      <c r="C476" s="72"/>
      <c r="D476" s="72"/>
      <c r="E476" s="72"/>
      <c r="F476" s="189"/>
      <c r="G476" s="183"/>
      <c r="H476" s="72"/>
    </row>
    <row r="477" ht="22.5" customHeight="1">
      <c r="A477" s="72"/>
      <c r="B477" s="72" t="s">
        <v>1407</v>
      </c>
      <c r="C477" s="72"/>
      <c r="D477" s="72"/>
      <c r="E477" s="72"/>
      <c r="F477" s="189"/>
      <c r="G477" s="183"/>
      <c r="H477" s="72"/>
    </row>
    <row r="478" ht="22.5" customHeight="1">
      <c r="A478" s="72"/>
      <c r="B478" s="72" t="s">
        <v>1407</v>
      </c>
      <c r="C478" s="72"/>
      <c r="D478" s="72"/>
      <c r="E478" s="72"/>
      <c r="F478" s="189"/>
      <c r="G478" s="183"/>
      <c r="H478" s="72"/>
    </row>
    <row r="479" ht="22.5" customHeight="1">
      <c r="A479" s="72"/>
      <c r="B479" s="72" t="s">
        <v>1407</v>
      </c>
      <c r="C479" s="72"/>
      <c r="D479" s="72"/>
      <c r="E479" s="72"/>
      <c r="F479" s="189"/>
      <c r="G479" s="183"/>
      <c r="H479" s="72"/>
    </row>
    <row r="480" ht="22.5" customHeight="1">
      <c r="A480" s="72"/>
      <c r="B480" s="72" t="s">
        <v>1407</v>
      </c>
      <c r="C480" s="72"/>
      <c r="D480" s="72"/>
      <c r="E480" s="72"/>
      <c r="F480" s="189"/>
      <c r="G480" s="183"/>
      <c r="H480" s="72"/>
    </row>
    <row r="481" ht="22.5" customHeight="1">
      <c r="A481" s="72"/>
      <c r="B481" s="72" t="s">
        <v>1407</v>
      </c>
      <c r="C481" s="72"/>
      <c r="D481" s="72"/>
      <c r="E481" s="72"/>
      <c r="F481" s="189"/>
      <c r="G481" s="183"/>
      <c r="H481" s="72"/>
    </row>
    <row r="482" ht="22.5" customHeight="1">
      <c r="A482" s="72"/>
      <c r="B482" s="72" t="s">
        <v>1407</v>
      </c>
      <c r="C482" s="72"/>
      <c r="D482" s="72"/>
      <c r="E482" s="72"/>
      <c r="F482" s="189"/>
      <c r="G482" s="183"/>
      <c r="H482" s="72"/>
    </row>
    <row r="483" ht="22.5" customHeight="1">
      <c r="A483" s="72"/>
      <c r="B483" s="72" t="s">
        <v>1407</v>
      </c>
      <c r="C483" s="72"/>
      <c r="D483" s="72"/>
      <c r="E483" s="72"/>
      <c r="F483" s="189"/>
      <c r="G483" s="183"/>
      <c r="H483" s="72"/>
    </row>
    <row r="484" ht="22.5" customHeight="1">
      <c r="A484" s="72"/>
      <c r="B484" s="72" t="s">
        <v>1407</v>
      </c>
      <c r="C484" s="72"/>
      <c r="D484" s="72"/>
      <c r="E484" s="72"/>
      <c r="F484" s="189"/>
      <c r="G484" s="183"/>
      <c r="H484" s="72"/>
    </row>
    <row r="485" ht="22.5" customHeight="1">
      <c r="A485" s="72"/>
      <c r="B485" s="72" t="s">
        <v>1407</v>
      </c>
      <c r="C485" s="72"/>
      <c r="D485" s="72"/>
      <c r="E485" s="72"/>
      <c r="F485" s="189"/>
      <c r="G485" s="183"/>
      <c r="H485" s="72"/>
    </row>
    <row r="486" ht="22.5" customHeight="1">
      <c r="A486" s="72"/>
      <c r="B486" s="72" t="s">
        <v>1407</v>
      </c>
      <c r="C486" s="72"/>
      <c r="D486" s="72"/>
      <c r="E486" s="72"/>
      <c r="F486" s="189"/>
      <c r="G486" s="183"/>
      <c r="H486" s="72"/>
    </row>
    <row r="487" ht="22.5" customHeight="1">
      <c r="A487" s="72"/>
      <c r="B487" s="72" t="s">
        <v>1407</v>
      </c>
      <c r="C487" s="72"/>
      <c r="D487" s="72"/>
      <c r="E487" s="72"/>
      <c r="F487" s="189"/>
      <c r="G487" s="183"/>
      <c r="H487" s="72"/>
    </row>
    <row r="488" ht="22.5" customHeight="1">
      <c r="A488" s="72"/>
      <c r="B488" s="72" t="s">
        <v>1407</v>
      </c>
      <c r="C488" s="72"/>
      <c r="D488" s="72"/>
      <c r="E488" s="72"/>
      <c r="F488" s="189"/>
      <c r="G488" s="183"/>
      <c r="H488" s="72"/>
    </row>
    <row r="489" ht="22.5" customHeight="1">
      <c r="A489" s="72"/>
      <c r="B489" s="72" t="s">
        <v>1407</v>
      </c>
      <c r="C489" s="72"/>
      <c r="D489" s="72"/>
      <c r="E489" s="72"/>
      <c r="F489" s="189"/>
      <c r="G489" s="183"/>
      <c r="H489" s="72"/>
    </row>
    <row r="490" ht="22.5" customHeight="1">
      <c r="A490" s="72"/>
      <c r="B490" s="72" t="s">
        <v>1407</v>
      </c>
      <c r="C490" s="72"/>
      <c r="D490" s="72"/>
      <c r="E490" s="72"/>
      <c r="F490" s="189"/>
      <c r="G490" s="183"/>
      <c r="H490" s="72"/>
    </row>
    <row r="491" ht="22.5" customHeight="1">
      <c r="A491" s="72"/>
      <c r="B491" s="72" t="s">
        <v>1407</v>
      </c>
      <c r="C491" s="72"/>
      <c r="D491" s="72"/>
      <c r="E491" s="72"/>
      <c r="F491" s="189"/>
      <c r="G491" s="183"/>
      <c r="H491" s="72"/>
    </row>
    <row r="492" ht="22.5" customHeight="1">
      <c r="A492" s="72"/>
      <c r="B492" s="72" t="s">
        <v>1407</v>
      </c>
      <c r="C492" s="72"/>
      <c r="D492" s="72"/>
      <c r="E492" s="72"/>
      <c r="F492" s="189"/>
      <c r="G492" s="183"/>
      <c r="H492" s="72"/>
    </row>
    <row r="493" ht="22.5" customHeight="1">
      <c r="A493" s="72"/>
      <c r="B493" s="72" t="s">
        <v>1407</v>
      </c>
      <c r="C493" s="72"/>
      <c r="D493" s="72"/>
      <c r="E493" s="72"/>
      <c r="F493" s="189"/>
      <c r="G493" s="183"/>
      <c r="H493" s="72"/>
    </row>
    <row r="494" ht="22.5" customHeight="1">
      <c r="A494" s="72"/>
      <c r="B494" s="72" t="s">
        <v>1407</v>
      </c>
      <c r="C494" s="72"/>
      <c r="D494" s="72"/>
      <c r="E494" s="72"/>
      <c r="F494" s="189"/>
      <c r="G494" s="183"/>
      <c r="H494" s="72"/>
    </row>
    <row r="495" ht="22.5" customHeight="1">
      <c r="A495" s="72"/>
      <c r="B495" s="72" t="s">
        <v>1407</v>
      </c>
      <c r="C495" s="72"/>
      <c r="D495" s="72"/>
      <c r="E495" s="72"/>
      <c r="F495" s="189"/>
      <c r="G495" s="183"/>
      <c r="H495" s="72"/>
    </row>
    <row r="496" ht="22.5" customHeight="1">
      <c r="A496" s="72"/>
      <c r="B496" s="72" t="s">
        <v>1407</v>
      </c>
      <c r="C496" s="72"/>
      <c r="D496" s="72"/>
      <c r="E496" s="72"/>
      <c r="F496" s="189"/>
      <c r="G496" s="183"/>
      <c r="H496" s="72"/>
    </row>
    <row r="497" ht="22.5" customHeight="1">
      <c r="A497" s="72"/>
      <c r="B497" s="72" t="s">
        <v>1407</v>
      </c>
      <c r="C497" s="72"/>
      <c r="D497" s="72"/>
      <c r="E497" s="72"/>
      <c r="F497" s="189"/>
      <c r="G497" s="183"/>
      <c r="H497" s="72"/>
    </row>
    <row r="498" ht="22.5" customHeight="1">
      <c r="A498" s="72"/>
      <c r="B498" s="72" t="s">
        <v>1407</v>
      </c>
      <c r="C498" s="72"/>
      <c r="D498" s="72"/>
      <c r="E498" s="72"/>
      <c r="F498" s="189"/>
      <c r="G498" s="183"/>
      <c r="H498" s="72"/>
    </row>
    <row r="499" ht="22.5" customHeight="1">
      <c r="A499" s="72"/>
      <c r="B499" s="72" t="s">
        <v>1407</v>
      </c>
      <c r="C499" s="72"/>
      <c r="D499" s="72"/>
      <c r="E499" s="72"/>
      <c r="F499" s="189"/>
      <c r="G499" s="183"/>
      <c r="H499" s="72"/>
    </row>
    <row r="500" ht="22.5" customHeight="1">
      <c r="A500" s="72"/>
      <c r="B500" s="72" t="s">
        <v>1407</v>
      </c>
      <c r="C500" s="72"/>
      <c r="D500" s="72"/>
      <c r="E500" s="72"/>
      <c r="F500" s="189"/>
      <c r="G500" s="183"/>
      <c r="H500" s="72"/>
    </row>
    <row r="501" ht="22.5" customHeight="1">
      <c r="A501" s="72"/>
      <c r="B501" s="72" t="s">
        <v>1407</v>
      </c>
      <c r="C501" s="72"/>
      <c r="D501" s="72"/>
      <c r="E501" s="72"/>
      <c r="F501" s="189"/>
      <c r="G501" s="183"/>
      <c r="H501" s="72"/>
    </row>
    <row r="502" ht="22.5" customHeight="1">
      <c r="A502" s="72"/>
      <c r="B502" s="72" t="s">
        <v>1407</v>
      </c>
      <c r="C502" s="72"/>
      <c r="D502" s="72"/>
      <c r="E502" s="72"/>
      <c r="F502" s="189"/>
      <c r="G502" s="183"/>
      <c r="H502" s="72"/>
    </row>
    <row r="503" ht="22.5" customHeight="1">
      <c r="A503" s="72"/>
      <c r="B503" s="72" t="s">
        <v>1407</v>
      </c>
      <c r="C503" s="72"/>
      <c r="D503" s="72"/>
      <c r="E503" s="72"/>
      <c r="F503" s="189"/>
      <c r="G503" s="183"/>
      <c r="H503" s="72"/>
    </row>
    <row r="504" ht="22.5" customHeight="1">
      <c r="A504" s="72"/>
      <c r="B504" s="72" t="s">
        <v>1407</v>
      </c>
      <c r="C504" s="72"/>
      <c r="D504" s="72"/>
      <c r="E504" s="72"/>
      <c r="F504" s="189"/>
      <c r="G504" s="183"/>
      <c r="H504" s="72"/>
    </row>
    <row r="505" ht="22.5" customHeight="1">
      <c r="A505" s="72"/>
      <c r="B505" s="72" t="s">
        <v>1407</v>
      </c>
      <c r="C505" s="72"/>
      <c r="D505" s="72"/>
      <c r="E505" s="72"/>
      <c r="F505" s="189"/>
      <c r="G505" s="183"/>
      <c r="H505" s="72"/>
    </row>
    <row r="506" ht="22.5" customHeight="1">
      <c r="A506" s="72"/>
      <c r="B506" s="72" t="s">
        <v>1407</v>
      </c>
      <c r="C506" s="72"/>
      <c r="D506" s="72"/>
      <c r="E506" s="72"/>
      <c r="F506" s="189"/>
      <c r="G506" s="183"/>
      <c r="H506" s="72"/>
    </row>
    <row r="507" ht="22.5" customHeight="1">
      <c r="A507" s="72"/>
      <c r="B507" s="72" t="s">
        <v>1407</v>
      </c>
      <c r="C507" s="72"/>
      <c r="D507" s="72"/>
      <c r="E507" s="72"/>
      <c r="F507" s="189"/>
      <c r="G507" s="183"/>
      <c r="H507" s="72"/>
    </row>
    <row r="508" ht="22.5" customHeight="1">
      <c r="A508" s="72"/>
      <c r="B508" s="72" t="s">
        <v>1407</v>
      </c>
      <c r="C508" s="72"/>
      <c r="D508" s="72"/>
      <c r="E508" s="72"/>
      <c r="F508" s="189"/>
      <c r="G508" s="183"/>
      <c r="H508" s="72"/>
    </row>
    <row r="509" ht="22.5" customHeight="1">
      <c r="A509" s="72"/>
      <c r="B509" s="72" t="s">
        <v>1407</v>
      </c>
      <c r="C509" s="72"/>
      <c r="D509" s="72"/>
      <c r="E509" s="72"/>
      <c r="F509" s="189"/>
      <c r="G509" s="183"/>
      <c r="H509" s="72"/>
    </row>
    <row r="510" ht="22.5" customHeight="1">
      <c r="A510" s="72"/>
      <c r="B510" s="72" t="s">
        <v>1407</v>
      </c>
      <c r="C510" s="72"/>
      <c r="D510" s="72"/>
      <c r="E510" s="72"/>
      <c r="F510" s="189"/>
      <c r="G510" s="183"/>
      <c r="H510" s="72"/>
    </row>
    <row r="511" ht="22.5" customHeight="1">
      <c r="A511" s="72"/>
      <c r="B511" s="72" t="s">
        <v>1407</v>
      </c>
      <c r="C511" s="72"/>
      <c r="D511" s="72"/>
      <c r="E511" s="72"/>
      <c r="F511" s="189"/>
      <c r="G511" s="183"/>
      <c r="H511" s="72"/>
    </row>
    <row r="512" ht="22.5" customHeight="1">
      <c r="A512" s="72"/>
      <c r="B512" s="72" t="s">
        <v>1407</v>
      </c>
      <c r="C512" s="72"/>
      <c r="D512" s="72"/>
      <c r="E512" s="72"/>
      <c r="F512" s="189"/>
      <c r="G512" s="183"/>
      <c r="H512" s="72"/>
    </row>
    <row r="513" ht="22.5" customHeight="1">
      <c r="A513" s="72"/>
      <c r="B513" s="72" t="s">
        <v>1407</v>
      </c>
      <c r="C513" s="72"/>
      <c r="D513" s="72"/>
      <c r="E513" s="72"/>
      <c r="F513" s="189"/>
      <c r="G513" s="183"/>
      <c r="H513" s="72"/>
    </row>
    <row r="514" ht="22.5" customHeight="1">
      <c r="A514" s="72"/>
      <c r="B514" s="72" t="s">
        <v>1407</v>
      </c>
      <c r="C514" s="72"/>
      <c r="D514" s="72"/>
      <c r="E514" s="72"/>
      <c r="F514" s="189"/>
      <c r="G514" s="183"/>
      <c r="H514" s="72"/>
    </row>
    <row r="515" ht="22.5" customHeight="1">
      <c r="A515" s="72"/>
      <c r="B515" s="72" t="s">
        <v>1407</v>
      </c>
      <c r="C515" s="72"/>
      <c r="D515" s="72"/>
      <c r="E515" s="72"/>
      <c r="F515" s="189"/>
      <c r="G515" s="183"/>
      <c r="H515" s="72"/>
    </row>
    <row r="516" ht="22.5" customHeight="1">
      <c r="A516" s="72"/>
      <c r="B516" s="72" t="s">
        <v>1407</v>
      </c>
      <c r="C516" s="72"/>
      <c r="D516" s="72"/>
      <c r="E516" s="72"/>
      <c r="F516" s="189"/>
      <c r="G516" s="183"/>
      <c r="H516" s="72"/>
    </row>
    <row r="517" ht="22.5" customHeight="1">
      <c r="A517" s="72"/>
      <c r="B517" s="72" t="s">
        <v>1407</v>
      </c>
      <c r="C517" s="72"/>
      <c r="D517" s="72"/>
      <c r="E517" s="72"/>
      <c r="F517" s="189"/>
      <c r="G517" s="183"/>
      <c r="H517" s="72"/>
    </row>
    <row r="518" ht="22.5" customHeight="1">
      <c r="A518" s="72"/>
      <c r="B518" s="72" t="s">
        <v>1407</v>
      </c>
      <c r="C518" s="72"/>
      <c r="D518" s="72"/>
      <c r="E518" s="72"/>
      <c r="F518" s="189"/>
      <c r="G518" s="183"/>
      <c r="H518" s="72"/>
    </row>
    <row r="519" ht="22.5" customHeight="1">
      <c r="A519" s="72"/>
      <c r="B519" s="72" t="s">
        <v>1407</v>
      </c>
      <c r="C519" s="72"/>
      <c r="D519" s="72"/>
      <c r="E519" s="72"/>
      <c r="F519" s="189"/>
      <c r="G519" s="183"/>
      <c r="H519" s="72"/>
    </row>
    <row r="520" ht="22.5" customHeight="1">
      <c r="A520" s="72"/>
      <c r="B520" s="72" t="s">
        <v>1407</v>
      </c>
      <c r="C520" s="72"/>
      <c r="D520" s="72"/>
      <c r="E520" s="72"/>
      <c r="F520" s="189"/>
      <c r="G520" s="183"/>
      <c r="H520" s="72"/>
    </row>
    <row r="521" ht="22.5" customHeight="1">
      <c r="A521" s="72"/>
      <c r="B521" s="72" t="s">
        <v>1407</v>
      </c>
      <c r="C521" s="72"/>
      <c r="D521" s="72"/>
      <c r="E521" s="72"/>
      <c r="F521" s="189"/>
      <c r="G521" s="183"/>
      <c r="H521" s="72"/>
    </row>
    <row r="522" ht="22.5" customHeight="1">
      <c r="A522" s="72"/>
      <c r="B522" s="72" t="s">
        <v>1407</v>
      </c>
      <c r="C522" s="72"/>
      <c r="D522" s="72"/>
      <c r="E522" s="72"/>
      <c r="F522" s="189"/>
      <c r="G522" s="183"/>
      <c r="H522" s="72"/>
    </row>
    <row r="523" ht="22.5" customHeight="1">
      <c r="A523" s="72"/>
      <c r="B523" s="72" t="s">
        <v>1407</v>
      </c>
      <c r="C523" s="72"/>
      <c r="D523" s="72"/>
      <c r="E523" s="72"/>
      <c r="F523" s="189"/>
      <c r="G523" s="183"/>
      <c r="H523" s="72"/>
    </row>
    <row r="524" ht="22.5" customHeight="1">
      <c r="A524" s="72"/>
      <c r="B524" s="72" t="s">
        <v>1407</v>
      </c>
      <c r="C524" s="72"/>
      <c r="D524" s="72"/>
      <c r="E524" s="72"/>
      <c r="F524" s="189"/>
      <c r="G524" s="183"/>
      <c r="H524" s="72"/>
    </row>
    <row r="525" ht="22.5" customHeight="1">
      <c r="A525" s="72"/>
      <c r="B525" s="72" t="s">
        <v>1407</v>
      </c>
      <c r="C525" s="72"/>
      <c r="D525" s="72"/>
      <c r="E525" s="72"/>
      <c r="F525" s="189"/>
      <c r="G525" s="183"/>
      <c r="H525" s="72"/>
    </row>
    <row r="526" ht="22.5" customHeight="1">
      <c r="A526" s="72"/>
      <c r="B526" s="72" t="s">
        <v>1407</v>
      </c>
      <c r="C526" s="72"/>
      <c r="D526" s="72"/>
      <c r="E526" s="72"/>
      <c r="F526" s="189"/>
      <c r="G526" s="183"/>
      <c r="H526" s="72"/>
    </row>
    <row r="527" ht="22.5" customHeight="1">
      <c r="A527" s="72"/>
      <c r="B527" s="72" t="s">
        <v>1407</v>
      </c>
      <c r="C527" s="72"/>
      <c r="D527" s="72"/>
      <c r="E527" s="72"/>
      <c r="F527" s="189"/>
      <c r="G527" s="183"/>
      <c r="H527" s="72"/>
    </row>
    <row r="528" ht="22.5" customHeight="1">
      <c r="A528" s="72"/>
      <c r="B528" s="72" t="s">
        <v>1407</v>
      </c>
      <c r="C528" s="72"/>
      <c r="D528" s="72"/>
      <c r="E528" s="72"/>
      <c r="F528" s="189"/>
      <c r="G528" s="183"/>
      <c r="H528" s="72"/>
    </row>
    <row r="529" ht="22.5" customHeight="1">
      <c r="A529" s="72"/>
      <c r="B529" s="72" t="s">
        <v>1407</v>
      </c>
      <c r="C529" s="72"/>
      <c r="D529" s="72"/>
      <c r="E529" s="72"/>
      <c r="F529" s="189"/>
      <c r="G529" s="183"/>
      <c r="H529" s="72"/>
    </row>
    <row r="530" ht="22.5" customHeight="1">
      <c r="A530" s="72"/>
      <c r="B530" s="72" t="s">
        <v>1407</v>
      </c>
      <c r="C530" s="72"/>
      <c r="D530" s="72"/>
      <c r="E530" s="72"/>
      <c r="F530" s="189"/>
      <c r="G530" s="183"/>
      <c r="H530" s="72"/>
    </row>
    <row r="531" ht="22.5" customHeight="1">
      <c r="A531" s="72"/>
      <c r="B531" s="72" t="s">
        <v>1407</v>
      </c>
      <c r="C531" s="72"/>
      <c r="D531" s="72"/>
      <c r="E531" s="72"/>
      <c r="F531" s="189"/>
      <c r="G531" s="183"/>
      <c r="H531" s="72"/>
    </row>
    <row r="532" ht="22.5" customHeight="1">
      <c r="A532" s="72"/>
      <c r="B532" s="72" t="s">
        <v>1407</v>
      </c>
      <c r="C532" s="72"/>
      <c r="D532" s="72"/>
      <c r="E532" s="72"/>
      <c r="F532" s="189"/>
      <c r="G532" s="183"/>
      <c r="H532" s="72"/>
    </row>
    <row r="533" ht="22.5" customHeight="1">
      <c r="A533" s="72"/>
      <c r="B533" s="72" t="s">
        <v>1407</v>
      </c>
      <c r="C533" s="72"/>
      <c r="D533" s="72"/>
      <c r="E533" s="72"/>
      <c r="F533" s="189"/>
      <c r="G533" s="183"/>
      <c r="H533" s="72"/>
    </row>
    <row r="534" ht="22.5" customHeight="1">
      <c r="A534" s="72"/>
      <c r="B534" s="72" t="s">
        <v>1407</v>
      </c>
      <c r="C534" s="72"/>
      <c r="D534" s="72"/>
      <c r="E534" s="72"/>
      <c r="F534" s="189"/>
      <c r="G534" s="183"/>
      <c r="H534" s="72"/>
    </row>
    <row r="535" ht="22.5" customHeight="1">
      <c r="A535" s="72"/>
      <c r="B535" s="72" t="s">
        <v>1407</v>
      </c>
      <c r="C535" s="72"/>
      <c r="D535" s="72"/>
      <c r="E535" s="72"/>
      <c r="F535" s="189"/>
      <c r="G535" s="183"/>
      <c r="H535" s="72"/>
    </row>
    <row r="536" ht="22.5" customHeight="1">
      <c r="A536" s="72"/>
      <c r="B536" s="72" t="s">
        <v>1407</v>
      </c>
      <c r="C536" s="72"/>
      <c r="D536" s="72"/>
      <c r="E536" s="72"/>
      <c r="F536" s="189"/>
      <c r="G536" s="183"/>
      <c r="H536" s="72"/>
    </row>
    <row r="537" ht="22.5" customHeight="1">
      <c r="A537" s="72"/>
      <c r="B537" s="72" t="s">
        <v>1407</v>
      </c>
      <c r="C537" s="72"/>
      <c r="D537" s="72"/>
      <c r="E537" s="72"/>
      <c r="F537" s="189"/>
      <c r="G537" s="183"/>
      <c r="H537" s="72"/>
    </row>
    <row r="538" ht="22.5" customHeight="1">
      <c r="A538" s="72"/>
      <c r="B538" s="72" t="s">
        <v>1407</v>
      </c>
      <c r="C538" s="72"/>
      <c r="D538" s="72"/>
      <c r="E538" s="72"/>
      <c r="F538" s="189"/>
      <c r="G538" s="183"/>
      <c r="H538" s="72"/>
    </row>
    <row r="539" ht="22.5" customHeight="1">
      <c r="A539" s="72"/>
      <c r="B539" s="72" t="s">
        <v>1407</v>
      </c>
      <c r="C539" s="72"/>
      <c r="D539" s="72"/>
      <c r="E539" s="72"/>
      <c r="F539" s="189"/>
      <c r="G539" s="183"/>
      <c r="H539" s="72"/>
    </row>
    <row r="540" ht="22.5" customHeight="1">
      <c r="A540" s="72"/>
      <c r="B540" s="72" t="s">
        <v>1407</v>
      </c>
      <c r="C540" s="72"/>
      <c r="D540" s="72"/>
      <c r="E540" s="72"/>
      <c r="F540" s="189"/>
      <c r="G540" s="183"/>
      <c r="H540" s="72"/>
    </row>
    <row r="541" ht="22.5" customHeight="1">
      <c r="A541" s="72"/>
      <c r="B541" s="72" t="s">
        <v>1407</v>
      </c>
      <c r="C541" s="72"/>
      <c r="D541" s="72"/>
      <c r="E541" s="72"/>
      <c r="F541" s="189"/>
      <c r="G541" s="183"/>
      <c r="H541" s="72"/>
    </row>
    <row r="542" ht="22.5" customHeight="1">
      <c r="A542" s="72"/>
      <c r="B542" s="72" t="s">
        <v>1407</v>
      </c>
      <c r="C542" s="72"/>
      <c r="D542" s="72"/>
      <c r="E542" s="72"/>
      <c r="F542" s="189"/>
      <c r="G542" s="183"/>
      <c r="H542" s="72"/>
    </row>
    <row r="543" ht="22.5" customHeight="1">
      <c r="A543" s="72"/>
      <c r="B543" s="72" t="s">
        <v>1407</v>
      </c>
      <c r="C543" s="72"/>
      <c r="D543" s="72"/>
      <c r="E543" s="72"/>
      <c r="F543" s="189"/>
      <c r="G543" s="183"/>
      <c r="H543" s="72"/>
    </row>
    <row r="544" ht="22.5" customHeight="1">
      <c r="A544" s="72"/>
      <c r="B544" s="72" t="s">
        <v>1407</v>
      </c>
      <c r="C544" s="72"/>
      <c r="D544" s="72"/>
      <c r="E544" s="72"/>
      <c r="F544" s="189"/>
      <c r="G544" s="183"/>
      <c r="H544" s="72"/>
    </row>
    <row r="545" ht="22.5" customHeight="1">
      <c r="A545" s="72"/>
      <c r="B545" s="72" t="s">
        <v>1407</v>
      </c>
      <c r="C545" s="72"/>
      <c r="D545" s="72"/>
      <c r="E545" s="72"/>
      <c r="F545" s="189"/>
      <c r="G545" s="183"/>
      <c r="H545" s="72"/>
    </row>
    <row r="546" ht="22.5" customHeight="1">
      <c r="A546" s="72"/>
      <c r="B546" s="72" t="s">
        <v>1407</v>
      </c>
      <c r="C546" s="72"/>
      <c r="D546" s="72"/>
      <c r="E546" s="72"/>
      <c r="F546" s="189"/>
      <c r="G546" s="183"/>
      <c r="H546" s="72"/>
    </row>
    <row r="547" ht="22.5" customHeight="1">
      <c r="A547" s="72"/>
      <c r="B547" s="72" t="s">
        <v>1407</v>
      </c>
      <c r="C547" s="72"/>
      <c r="D547" s="72"/>
      <c r="E547" s="72"/>
      <c r="F547" s="189"/>
      <c r="G547" s="183"/>
      <c r="H547" s="72"/>
    </row>
    <row r="548" ht="22.5" customHeight="1">
      <c r="A548" s="72"/>
      <c r="B548" s="72" t="s">
        <v>1407</v>
      </c>
      <c r="C548" s="72"/>
      <c r="D548" s="72"/>
      <c r="E548" s="72"/>
      <c r="F548" s="189"/>
      <c r="G548" s="183"/>
      <c r="H548" s="72"/>
    </row>
    <row r="549" ht="22.5" customHeight="1">
      <c r="A549" s="72"/>
      <c r="B549" s="72" t="s">
        <v>1407</v>
      </c>
      <c r="C549" s="72"/>
      <c r="D549" s="72"/>
      <c r="E549" s="72"/>
      <c r="F549" s="189"/>
      <c r="G549" s="183"/>
      <c r="H549" s="72"/>
    </row>
    <row r="550" ht="22.5" customHeight="1">
      <c r="A550" s="72"/>
      <c r="B550" s="72" t="s">
        <v>1407</v>
      </c>
      <c r="C550" s="72"/>
      <c r="D550" s="72"/>
      <c r="E550" s="72"/>
      <c r="F550" s="189"/>
      <c r="G550" s="183"/>
      <c r="H550" s="72"/>
    </row>
    <row r="551" ht="22.5" customHeight="1">
      <c r="A551" s="72"/>
      <c r="B551" s="72" t="s">
        <v>1407</v>
      </c>
      <c r="C551" s="72"/>
      <c r="D551" s="72"/>
      <c r="E551" s="72"/>
      <c r="F551" s="189"/>
      <c r="G551" s="183"/>
      <c r="H551" s="72"/>
    </row>
    <row r="552" ht="22.5" customHeight="1">
      <c r="A552" s="72"/>
      <c r="B552" s="72" t="s">
        <v>1407</v>
      </c>
      <c r="C552" s="72"/>
      <c r="D552" s="72"/>
      <c r="E552" s="72"/>
      <c r="F552" s="189"/>
      <c r="G552" s="183"/>
      <c r="H552" s="72"/>
    </row>
    <row r="553" ht="22.5" customHeight="1">
      <c r="A553" s="72"/>
      <c r="B553" s="72" t="s">
        <v>1407</v>
      </c>
      <c r="C553" s="72"/>
      <c r="D553" s="72"/>
      <c r="E553" s="72"/>
      <c r="F553" s="189"/>
      <c r="G553" s="183"/>
      <c r="H553" s="72"/>
    </row>
    <row r="554" ht="22.5" customHeight="1">
      <c r="A554" s="72"/>
      <c r="B554" s="72" t="s">
        <v>1407</v>
      </c>
      <c r="C554" s="72"/>
      <c r="D554" s="72"/>
      <c r="E554" s="72"/>
      <c r="F554" s="189"/>
      <c r="G554" s="183"/>
      <c r="H554" s="72"/>
    </row>
    <row r="555" ht="22.5" customHeight="1">
      <c r="A555" s="72"/>
      <c r="B555" s="72" t="s">
        <v>1407</v>
      </c>
      <c r="C555" s="72"/>
      <c r="D555" s="72"/>
      <c r="E555" s="72"/>
      <c r="F555" s="189"/>
      <c r="G555" s="183"/>
      <c r="H555" s="72"/>
    </row>
    <row r="556" ht="22.5" customHeight="1">
      <c r="A556" s="72"/>
      <c r="B556" s="72" t="s">
        <v>1407</v>
      </c>
      <c r="C556" s="72"/>
      <c r="D556" s="72"/>
      <c r="E556" s="72"/>
      <c r="F556" s="189"/>
      <c r="G556" s="183"/>
      <c r="H556" s="72"/>
    </row>
    <row r="557" ht="22.5" customHeight="1">
      <c r="A557" s="72"/>
      <c r="B557" s="72" t="s">
        <v>1407</v>
      </c>
      <c r="C557" s="72"/>
      <c r="D557" s="72"/>
      <c r="E557" s="72"/>
      <c r="F557" s="189"/>
      <c r="G557" s="183"/>
      <c r="H557" s="72"/>
    </row>
    <row r="558" ht="22.5" customHeight="1">
      <c r="A558" s="72"/>
      <c r="B558" s="72" t="s">
        <v>1407</v>
      </c>
      <c r="C558" s="72"/>
      <c r="D558" s="72"/>
      <c r="E558" s="72"/>
      <c r="F558" s="189"/>
      <c r="G558" s="183"/>
      <c r="H558" s="72"/>
    </row>
    <row r="559" ht="22.5" customHeight="1">
      <c r="A559" s="72"/>
      <c r="B559" s="72" t="s">
        <v>1407</v>
      </c>
      <c r="C559" s="72"/>
      <c r="D559" s="72"/>
      <c r="E559" s="72"/>
      <c r="F559" s="189"/>
      <c r="G559" s="183"/>
      <c r="H559" s="72"/>
    </row>
    <row r="560" ht="22.5" customHeight="1">
      <c r="A560" s="72"/>
      <c r="B560" s="72" t="s">
        <v>1407</v>
      </c>
      <c r="C560" s="72"/>
      <c r="D560" s="72"/>
      <c r="E560" s="72"/>
      <c r="F560" s="189"/>
      <c r="G560" s="183"/>
      <c r="H560" s="72"/>
    </row>
    <row r="561" ht="22.5" customHeight="1">
      <c r="A561" s="72"/>
      <c r="B561" s="72" t="s">
        <v>1407</v>
      </c>
      <c r="C561" s="72"/>
      <c r="D561" s="72"/>
      <c r="E561" s="72"/>
      <c r="F561" s="189"/>
      <c r="G561" s="183"/>
      <c r="H561" s="72"/>
    </row>
    <row r="562" ht="22.5" customHeight="1">
      <c r="A562" s="72"/>
      <c r="B562" s="72" t="s">
        <v>1407</v>
      </c>
      <c r="C562" s="72"/>
      <c r="D562" s="72"/>
      <c r="E562" s="72"/>
      <c r="F562" s="189"/>
      <c r="G562" s="183"/>
      <c r="H562" s="72"/>
    </row>
    <row r="563" ht="22.5" customHeight="1">
      <c r="A563" s="72"/>
      <c r="B563" s="72" t="s">
        <v>1407</v>
      </c>
      <c r="C563" s="72"/>
      <c r="D563" s="72"/>
      <c r="E563" s="72"/>
      <c r="F563" s="189"/>
      <c r="G563" s="183"/>
      <c r="H563" s="72"/>
    </row>
    <row r="564" ht="22.5" customHeight="1">
      <c r="A564" s="72"/>
      <c r="B564" s="72" t="s">
        <v>1407</v>
      </c>
      <c r="C564" s="72"/>
      <c r="D564" s="72"/>
      <c r="E564" s="72"/>
      <c r="F564" s="189"/>
      <c r="G564" s="183"/>
      <c r="H564" s="72"/>
    </row>
    <row r="565" ht="22.5" customHeight="1">
      <c r="A565" s="72"/>
      <c r="B565" s="72" t="s">
        <v>1407</v>
      </c>
      <c r="C565" s="72"/>
      <c r="D565" s="72"/>
      <c r="E565" s="72"/>
      <c r="F565" s="189"/>
      <c r="G565" s="183"/>
      <c r="H565" s="72"/>
    </row>
    <row r="566" ht="22.5" customHeight="1">
      <c r="A566" s="72"/>
      <c r="B566" s="72" t="s">
        <v>1407</v>
      </c>
      <c r="C566" s="72"/>
      <c r="D566" s="72"/>
      <c r="E566" s="72"/>
      <c r="F566" s="189"/>
      <c r="G566" s="183"/>
      <c r="H566" s="72"/>
    </row>
    <row r="567" ht="22.5" customHeight="1">
      <c r="A567" s="72"/>
      <c r="B567" s="72" t="s">
        <v>1407</v>
      </c>
      <c r="C567" s="72"/>
      <c r="D567" s="72"/>
      <c r="E567" s="72"/>
      <c r="F567" s="189"/>
      <c r="G567" s="183"/>
      <c r="H567" s="72"/>
    </row>
    <row r="568" ht="22.5" customHeight="1">
      <c r="A568" s="72"/>
      <c r="B568" s="72" t="s">
        <v>1407</v>
      </c>
      <c r="C568" s="72"/>
      <c r="D568" s="72"/>
      <c r="E568" s="72"/>
      <c r="F568" s="189"/>
      <c r="G568" s="183"/>
      <c r="H568" s="72"/>
    </row>
    <row r="569" ht="22.5" customHeight="1">
      <c r="A569" s="72"/>
      <c r="B569" s="72" t="s">
        <v>1407</v>
      </c>
      <c r="C569" s="72"/>
      <c r="D569" s="72"/>
      <c r="E569" s="72"/>
      <c r="F569" s="189"/>
      <c r="G569" s="183"/>
      <c r="H569" s="72"/>
    </row>
    <row r="570" ht="22.5" customHeight="1">
      <c r="A570" s="72"/>
      <c r="B570" s="72" t="s">
        <v>1407</v>
      </c>
      <c r="C570" s="72"/>
      <c r="D570" s="72"/>
      <c r="E570" s="72"/>
      <c r="F570" s="189"/>
      <c r="G570" s="183"/>
      <c r="H570" s="72"/>
    </row>
    <row r="571" ht="22.5" customHeight="1">
      <c r="A571" s="72"/>
      <c r="B571" s="72" t="s">
        <v>1407</v>
      </c>
      <c r="C571" s="72"/>
      <c r="D571" s="72"/>
      <c r="E571" s="72"/>
      <c r="F571" s="189"/>
      <c r="G571" s="183"/>
      <c r="H571" s="72"/>
    </row>
    <row r="572" ht="22.5" customHeight="1">
      <c r="A572" s="72"/>
      <c r="B572" s="72" t="s">
        <v>1407</v>
      </c>
      <c r="C572" s="72"/>
      <c r="D572" s="72"/>
      <c r="E572" s="72"/>
      <c r="F572" s="189"/>
      <c r="G572" s="183"/>
      <c r="H572" s="72"/>
    </row>
    <row r="573" ht="22.5" customHeight="1">
      <c r="A573" s="72"/>
      <c r="B573" s="72" t="s">
        <v>1407</v>
      </c>
      <c r="C573" s="72"/>
      <c r="D573" s="72"/>
      <c r="E573" s="72"/>
      <c r="F573" s="189"/>
      <c r="G573" s="183"/>
      <c r="H573" s="72"/>
    </row>
    <row r="574" ht="22.5" customHeight="1">
      <c r="A574" s="72"/>
      <c r="B574" s="72" t="s">
        <v>1407</v>
      </c>
      <c r="C574" s="72"/>
      <c r="D574" s="72"/>
      <c r="E574" s="72"/>
      <c r="F574" s="189"/>
      <c r="G574" s="183"/>
      <c r="H574" s="72"/>
    </row>
    <row r="575" ht="22.5" customHeight="1">
      <c r="A575" s="72"/>
      <c r="B575" s="72" t="s">
        <v>1407</v>
      </c>
      <c r="C575" s="72"/>
      <c r="D575" s="72"/>
      <c r="E575" s="72"/>
      <c r="F575" s="189"/>
      <c r="G575" s="183"/>
      <c r="H575" s="72"/>
    </row>
    <row r="576" ht="22.5" customHeight="1">
      <c r="A576" s="72"/>
      <c r="B576" s="72" t="s">
        <v>1407</v>
      </c>
      <c r="C576" s="72"/>
      <c r="D576" s="72"/>
      <c r="E576" s="72"/>
      <c r="F576" s="189"/>
      <c r="G576" s="183"/>
      <c r="H576" s="72"/>
    </row>
    <row r="577" ht="22.5" customHeight="1">
      <c r="A577" s="72"/>
      <c r="B577" s="72" t="s">
        <v>1407</v>
      </c>
      <c r="C577" s="72"/>
      <c r="D577" s="72"/>
      <c r="E577" s="72"/>
      <c r="F577" s="189"/>
      <c r="G577" s="183"/>
      <c r="H577" s="72"/>
    </row>
    <row r="578" ht="22.5" customHeight="1">
      <c r="A578" s="72"/>
      <c r="B578" s="72" t="s">
        <v>1407</v>
      </c>
      <c r="C578" s="72"/>
      <c r="D578" s="72"/>
      <c r="E578" s="72"/>
      <c r="F578" s="189"/>
      <c r="G578" s="183"/>
      <c r="H578" s="72"/>
    </row>
    <row r="579" ht="22.5" customHeight="1">
      <c r="A579" s="72"/>
      <c r="B579" s="72" t="s">
        <v>1407</v>
      </c>
      <c r="C579" s="72"/>
      <c r="D579" s="72"/>
      <c r="E579" s="72"/>
      <c r="F579" s="189"/>
      <c r="G579" s="183"/>
      <c r="H579" s="72"/>
    </row>
    <row r="580" ht="22.5" customHeight="1">
      <c r="A580" s="72"/>
      <c r="B580" s="72" t="s">
        <v>1407</v>
      </c>
      <c r="C580" s="72"/>
      <c r="D580" s="72"/>
      <c r="E580" s="72"/>
      <c r="F580" s="189"/>
      <c r="G580" s="183"/>
      <c r="H580" s="72"/>
    </row>
    <row r="581" ht="22.5" customHeight="1">
      <c r="A581" s="72"/>
      <c r="B581" s="72" t="s">
        <v>1407</v>
      </c>
      <c r="C581" s="72"/>
      <c r="D581" s="72"/>
      <c r="E581" s="72"/>
      <c r="F581" s="189"/>
      <c r="G581" s="183"/>
      <c r="H581" s="72"/>
    </row>
    <row r="582" ht="22.5" customHeight="1">
      <c r="A582" s="72"/>
      <c r="B582" s="72" t="s">
        <v>1407</v>
      </c>
      <c r="C582" s="72"/>
      <c r="D582" s="72"/>
      <c r="E582" s="72"/>
      <c r="F582" s="189"/>
      <c r="G582" s="183"/>
      <c r="H582" s="72"/>
    </row>
    <row r="583" ht="22.5" customHeight="1">
      <c r="A583" s="72"/>
      <c r="B583" s="72" t="s">
        <v>1407</v>
      </c>
      <c r="C583" s="72"/>
      <c r="D583" s="72"/>
      <c r="E583" s="72"/>
      <c r="F583" s="189"/>
      <c r="G583" s="183"/>
      <c r="H583" s="72"/>
    </row>
    <row r="584" ht="22.5" customHeight="1">
      <c r="A584" s="72"/>
      <c r="B584" s="72" t="s">
        <v>1407</v>
      </c>
      <c r="C584" s="72"/>
      <c r="D584" s="72"/>
      <c r="E584" s="72"/>
      <c r="F584" s="189"/>
      <c r="G584" s="183"/>
      <c r="H584" s="72"/>
    </row>
    <row r="585" ht="22.5" customHeight="1">
      <c r="A585" s="72"/>
      <c r="B585" s="72" t="s">
        <v>1407</v>
      </c>
      <c r="C585" s="72"/>
      <c r="D585" s="72"/>
      <c r="E585" s="72"/>
      <c r="F585" s="189"/>
      <c r="G585" s="183"/>
      <c r="H585" s="72"/>
    </row>
    <row r="586" ht="22.5" customHeight="1">
      <c r="A586" s="72"/>
      <c r="B586" s="72" t="s">
        <v>1407</v>
      </c>
      <c r="C586" s="72"/>
      <c r="D586" s="72"/>
      <c r="E586" s="72"/>
      <c r="F586" s="189"/>
      <c r="G586" s="183"/>
      <c r="H586" s="72"/>
    </row>
    <row r="587" ht="22.5" customHeight="1">
      <c r="A587" s="72"/>
      <c r="B587" s="72" t="s">
        <v>1407</v>
      </c>
      <c r="C587" s="72"/>
      <c r="D587" s="72"/>
      <c r="E587" s="72"/>
      <c r="F587" s="189"/>
      <c r="G587" s="183"/>
      <c r="H587" s="72"/>
    </row>
    <row r="588" ht="22.5" customHeight="1">
      <c r="A588" s="72"/>
      <c r="B588" s="72" t="s">
        <v>1407</v>
      </c>
      <c r="C588" s="72"/>
      <c r="D588" s="72"/>
      <c r="E588" s="72"/>
      <c r="F588" s="189"/>
      <c r="G588" s="183"/>
      <c r="H588" s="72"/>
    </row>
    <row r="589" ht="22.5" customHeight="1">
      <c r="A589" s="72"/>
      <c r="B589" s="72" t="s">
        <v>1407</v>
      </c>
      <c r="C589" s="72"/>
      <c r="D589" s="72"/>
      <c r="E589" s="72"/>
      <c r="F589" s="189"/>
      <c r="G589" s="183"/>
      <c r="H589" s="72"/>
    </row>
    <row r="590" ht="22.5" customHeight="1">
      <c r="A590" s="72"/>
      <c r="B590" s="72" t="s">
        <v>1407</v>
      </c>
      <c r="C590" s="72"/>
      <c r="D590" s="72"/>
      <c r="E590" s="72"/>
      <c r="F590" s="189"/>
      <c r="G590" s="183"/>
      <c r="H590" s="72"/>
    </row>
    <row r="591" ht="22.5" customHeight="1">
      <c r="A591" s="72"/>
      <c r="B591" s="72" t="s">
        <v>1407</v>
      </c>
      <c r="C591" s="72"/>
      <c r="D591" s="72"/>
      <c r="E591" s="72"/>
      <c r="F591" s="189"/>
      <c r="G591" s="183"/>
      <c r="H591" s="72"/>
    </row>
    <row r="592" ht="22.5" customHeight="1">
      <c r="A592" s="72"/>
      <c r="B592" s="72" t="s">
        <v>1407</v>
      </c>
      <c r="C592" s="72"/>
      <c r="D592" s="72"/>
      <c r="E592" s="72"/>
      <c r="F592" s="189"/>
      <c r="G592" s="183"/>
      <c r="H592" s="72"/>
    </row>
    <row r="593" ht="22.5" customHeight="1">
      <c r="A593" s="72"/>
      <c r="B593" s="72" t="s">
        <v>1407</v>
      </c>
      <c r="C593" s="72"/>
      <c r="D593" s="72"/>
      <c r="E593" s="72"/>
      <c r="F593" s="189"/>
      <c r="G593" s="183"/>
      <c r="H593" s="72"/>
    </row>
    <row r="594" ht="22.5" customHeight="1">
      <c r="A594" s="72"/>
      <c r="B594" s="72" t="s">
        <v>1407</v>
      </c>
      <c r="C594" s="72"/>
      <c r="D594" s="72"/>
      <c r="E594" s="72"/>
      <c r="F594" s="189"/>
      <c r="G594" s="183"/>
      <c r="H594" s="72"/>
    </row>
    <row r="595" ht="22.5" customHeight="1">
      <c r="A595" s="72"/>
      <c r="B595" s="72" t="s">
        <v>1407</v>
      </c>
      <c r="C595" s="72"/>
      <c r="D595" s="72"/>
      <c r="E595" s="72"/>
      <c r="F595" s="189"/>
      <c r="G595" s="183"/>
      <c r="H595" s="72"/>
    </row>
    <row r="596" ht="22.5" customHeight="1">
      <c r="A596" s="72"/>
      <c r="B596" s="72" t="s">
        <v>1407</v>
      </c>
      <c r="C596" s="72"/>
      <c r="D596" s="72"/>
      <c r="E596" s="72"/>
      <c r="F596" s="189"/>
      <c r="G596" s="183"/>
      <c r="H596" s="72"/>
    </row>
    <row r="597" ht="22.5" customHeight="1">
      <c r="A597" s="72"/>
      <c r="B597" s="72" t="s">
        <v>1407</v>
      </c>
      <c r="C597" s="72"/>
      <c r="D597" s="72"/>
      <c r="E597" s="72"/>
      <c r="F597" s="189"/>
      <c r="G597" s="183"/>
      <c r="H597" s="72"/>
    </row>
    <row r="598" ht="22.5" customHeight="1">
      <c r="A598" s="72"/>
      <c r="B598" s="72" t="s">
        <v>1407</v>
      </c>
      <c r="C598" s="72"/>
      <c r="D598" s="72"/>
      <c r="E598" s="72"/>
      <c r="F598" s="189"/>
      <c r="G598" s="183"/>
      <c r="H598" s="72"/>
    </row>
    <row r="599" ht="22.5" customHeight="1">
      <c r="A599" s="72"/>
      <c r="B599" s="72" t="s">
        <v>1407</v>
      </c>
      <c r="C599" s="72"/>
      <c r="D599" s="72"/>
      <c r="E599" s="72"/>
      <c r="F599" s="189"/>
      <c r="G599" s="183"/>
      <c r="H599" s="72"/>
    </row>
    <row r="600" ht="22.5" customHeight="1">
      <c r="A600" s="72"/>
      <c r="B600" s="72" t="s">
        <v>1407</v>
      </c>
      <c r="C600" s="72"/>
      <c r="D600" s="72"/>
      <c r="E600" s="72"/>
      <c r="F600" s="189"/>
      <c r="G600" s="183"/>
      <c r="H600" s="72"/>
    </row>
    <row r="601" ht="22.5" customHeight="1">
      <c r="A601" s="72"/>
      <c r="B601" s="72" t="s">
        <v>1407</v>
      </c>
      <c r="C601" s="72"/>
      <c r="D601" s="72"/>
      <c r="E601" s="72"/>
      <c r="F601" s="189"/>
      <c r="G601" s="183"/>
      <c r="H601" s="72"/>
    </row>
    <row r="602" ht="22.5" customHeight="1">
      <c r="A602" s="72"/>
      <c r="B602" s="72" t="s">
        <v>1407</v>
      </c>
      <c r="C602" s="72"/>
      <c r="D602" s="72"/>
      <c r="E602" s="72"/>
      <c r="F602" s="189"/>
      <c r="G602" s="183"/>
      <c r="H602" s="72"/>
    </row>
    <row r="603" ht="22.5" customHeight="1">
      <c r="A603" s="72"/>
      <c r="B603" s="72" t="s">
        <v>1407</v>
      </c>
      <c r="C603" s="72"/>
      <c r="D603" s="72"/>
      <c r="E603" s="72"/>
      <c r="F603" s="189"/>
      <c r="G603" s="183"/>
      <c r="H603" s="72"/>
    </row>
    <row r="604" ht="22.5" customHeight="1">
      <c r="A604" s="72"/>
      <c r="B604" s="72" t="s">
        <v>1407</v>
      </c>
      <c r="C604" s="72"/>
      <c r="D604" s="72"/>
      <c r="E604" s="72"/>
      <c r="F604" s="189"/>
      <c r="G604" s="183"/>
      <c r="H604" s="72"/>
    </row>
    <row r="605" ht="22.5" customHeight="1">
      <c r="A605" s="72"/>
      <c r="B605" s="72" t="s">
        <v>1407</v>
      </c>
      <c r="C605" s="72"/>
      <c r="D605" s="72"/>
      <c r="E605" s="72"/>
      <c r="F605" s="189"/>
      <c r="G605" s="183"/>
      <c r="H605" s="72"/>
    </row>
    <row r="606" ht="22.5" customHeight="1">
      <c r="A606" s="72"/>
      <c r="B606" s="72" t="s">
        <v>1407</v>
      </c>
      <c r="C606" s="72"/>
      <c r="D606" s="72"/>
      <c r="E606" s="72"/>
      <c r="F606" s="189"/>
      <c r="G606" s="183"/>
      <c r="H606" s="72"/>
    </row>
    <row r="607" ht="22.5" customHeight="1">
      <c r="A607" s="72"/>
      <c r="B607" s="72" t="s">
        <v>1407</v>
      </c>
      <c r="C607" s="72"/>
      <c r="D607" s="72"/>
      <c r="E607" s="72"/>
      <c r="F607" s="189"/>
      <c r="G607" s="183"/>
      <c r="H607" s="72"/>
    </row>
    <row r="608" ht="22.5" customHeight="1">
      <c r="A608" s="72"/>
      <c r="B608" s="72" t="s">
        <v>1407</v>
      </c>
      <c r="C608" s="72"/>
      <c r="D608" s="72"/>
      <c r="E608" s="72"/>
      <c r="F608" s="189"/>
      <c r="G608" s="183"/>
      <c r="H608" s="72"/>
    </row>
    <row r="609" ht="22.5" customHeight="1">
      <c r="A609" s="72"/>
      <c r="B609" s="72" t="s">
        <v>1407</v>
      </c>
      <c r="C609" s="72"/>
      <c r="D609" s="72"/>
      <c r="E609" s="72"/>
      <c r="F609" s="189"/>
      <c r="G609" s="183"/>
      <c r="H609" s="72"/>
    </row>
    <row r="610" ht="22.5" customHeight="1">
      <c r="A610" s="72"/>
      <c r="B610" s="72" t="s">
        <v>1407</v>
      </c>
      <c r="C610" s="72"/>
      <c r="D610" s="72"/>
      <c r="E610" s="72"/>
      <c r="F610" s="189"/>
      <c r="G610" s="183"/>
      <c r="H610" s="72"/>
    </row>
    <row r="611" ht="22.5" customHeight="1">
      <c r="A611" s="72"/>
      <c r="B611" s="72" t="s">
        <v>1407</v>
      </c>
      <c r="C611" s="72"/>
      <c r="D611" s="72"/>
      <c r="E611" s="72"/>
      <c r="F611" s="189"/>
      <c r="G611" s="183"/>
      <c r="H611" s="72"/>
    </row>
    <row r="612" ht="22.5" customHeight="1">
      <c r="A612" s="72"/>
      <c r="B612" s="72" t="s">
        <v>1407</v>
      </c>
      <c r="C612" s="72"/>
      <c r="D612" s="72"/>
      <c r="E612" s="72"/>
      <c r="F612" s="189"/>
      <c r="G612" s="183"/>
      <c r="H612" s="72"/>
    </row>
    <row r="613" ht="22.5" customHeight="1">
      <c r="A613" s="72"/>
      <c r="B613" s="72" t="s">
        <v>1407</v>
      </c>
      <c r="C613" s="72"/>
      <c r="D613" s="72"/>
      <c r="E613" s="72"/>
      <c r="F613" s="189"/>
      <c r="G613" s="183"/>
      <c r="H613" s="72"/>
    </row>
    <row r="614" ht="22.5" customHeight="1">
      <c r="A614" s="72"/>
      <c r="B614" s="72" t="s">
        <v>1407</v>
      </c>
      <c r="C614" s="72"/>
      <c r="D614" s="72"/>
      <c r="E614" s="72"/>
      <c r="F614" s="189"/>
      <c r="G614" s="183"/>
      <c r="H614" s="72"/>
    </row>
    <row r="615" ht="22.5" customHeight="1">
      <c r="A615" s="72"/>
      <c r="B615" s="72" t="s">
        <v>1407</v>
      </c>
      <c r="C615" s="72"/>
      <c r="D615" s="72"/>
      <c r="E615" s="72"/>
      <c r="F615" s="189"/>
      <c r="G615" s="183"/>
      <c r="H615" s="72"/>
    </row>
    <row r="616" ht="22.5" customHeight="1">
      <c r="A616" s="72"/>
      <c r="B616" s="72" t="s">
        <v>1407</v>
      </c>
      <c r="C616" s="72"/>
      <c r="D616" s="72"/>
      <c r="E616" s="72"/>
      <c r="F616" s="189"/>
      <c r="G616" s="183"/>
      <c r="H616" s="72"/>
    </row>
    <row r="617" ht="22.5" customHeight="1">
      <c r="A617" s="72"/>
      <c r="B617" s="72" t="s">
        <v>1407</v>
      </c>
      <c r="C617" s="72"/>
      <c r="D617" s="72"/>
      <c r="E617" s="72"/>
      <c r="F617" s="189"/>
      <c r="G617" s="183"/>
      <c r="H617" s="72"/>
    </row>
    <row r="618" ht="22.5" customHeight="1">
      <c r="A618" s="72"/>
      <c r="B618" s="72" t="s">
        <v>1407</v>
      </c>
      <c r="C618" s="72"/>
      <c r="D618" s="72"/>
      <c r="E618" s="72"/>
      <c r="F618" s="189"/>
      <c r="G618" s="183"/>
      <c r="H618" s="72"/>
    </row>
    <row r="619" ht="22.5" customHeight="1">
      <c r="A619" s="72"/>
      <c r="B619" s="72" t="s">
        <v>1407</v>
      </c>
      <c r="C619" s="72"/>
      <c r="D619" s="72"/>
      <c r="E619" s="72"/>
      <c r="F619" s="189"/>
      <c r="G619" s="183"/>
      <c r="H619" s="72"/>
    </row>
    <row r="620" ht="22.5" customHeight="1">
      <c r="A620" s="72"/>
      <c r="B620" s="72" t="s">
        <v>1407</v>
      </c>
      <c r="C620" s="72"/>
      <c r="D620" s="72"/>
      <c r="E620" s="72"/>
      <c r="F620" s="189"/>
      <c r="G620" s="183"/>
      <c r="H620" s="72"/>
    </row>
    <row r="621" ht="22.5" customHeight="1">
      <c r="A621" s="72"/>
      <c r="B621" s="72" t="s">
        <v>1407</v>
      </c>
      <c r="C621" s="72"/>
      <c r="D621" s="72"/>
      <c r="E621" s="72"/>
      <c r="F621" s="189"/>
      <c r="G621" s="183"/>
      <c r="H621" s="72"/>
    </row>
    <row r="622" ht="22.5" customHeight="1">
      <c r="A622" s="72"/>
      <c r="B622" s="72" t="s">
        <v>1407</v>
      </c>
      <c r="C622" s="72"/>
      <c r="D622" s="72"/>
      <c r="E622" s="72"/>
      <c r="F622" s="189"/>
      <c r="G622" s="183"/>
      <c r="H622" s="72"/>
    </row>
    <row r="623" ht="22.5" customHeight="1">
      <c r="A623" s="72"/>
      <c r="B623" s="72" t="s">
        <v>1407</v>
      </c>
      <c r="C623" s="72"/>
      <c r="D623" s="72"/>
      <c r="E623" s="72"/>
      <c r="F623" s="189"/>
      <c r="G623" s="183"/>
      <c r="H623" s="72"/>
    </row>
    <row r="624" ht="22.5" customHeight="1">
      <c r="A624" s="72"/>
      <c r="B624" s="72" t="s">
        <v>1407</v>
      </c>
      <c r="C624" s="72"/>
      <c r="D624" s="72"/>
      <c r="E624" s="72"/>
      <c r="F624" s="189"/>
      <c r="G624" s="183"/>
      <c r="H624" s="72"/>
    </row>
    <row r="625" ht="22.5" customHeight="1">
      <c r="A625" s="72"/>
      <c r="B625" s="72" t="s">
        <v>1407</v>
      </c>
      <c r="C625" s="72"/>
      <c r="D625" s="72"/>
      <c r="E625" s="72"/>
      <c r="F625" s="189"/>
      <c r="G625" s="183"/>
      <c r="H625" s="72"/>
    </row>
    <row r="626" ht="22.5" customHeight="1">
      <c r="A626" s="72"/>
      <c r="B626" s="72" t="s">
        <v>1407</v>
      </c>
      <c r="C626" s="72"/>
      <c r="D626" s="72"/>
      <c r="E626" s="72"/>
      <c r="F626" s="189"/>
      <c r="G626" s="183"/>
      <c r="H626" s="72"/>
    </row>
    <row r="627" ht="22.5" customHeight="1">
      <c r="A627" s="72"/>
      <c r="B627" s="72" t="s">
        <v>1407</v>
      </c>
      <c r="C627" s="72"/>
      <c r="D627" s="72"/>
      <c r="E627" s="72"/>
      <c r="F627" s="189"/>
      <c r="G627" s="183"/>
      <c r="H627" s="72"/>
    </row>
    <row r="628" ht="22.5" customHeight="1">
      <c r="A628" s="72"/>
      <c r="B628" s="72" t="s">
        <v>1407</v>
      </c>
      <c r="C628" s="72"/>
      <c r="D628" s="72"/>
      <c r="E628" s="72"/>
      <c r="F628" s="189"/>
      <c r="G628" s="183"/>
      <c r="H628" s="72"/>
    </row>
    <row r="629" ht="22.5" customHeight="1">
      <c r="A629" s="72"/>
      <c r="B629" s="72" t="s">
        <v>1407</v>
      </c>
      <c r="C629" s="72"/>
      <c r="D629" s="72"/>
      <c r="E629" s="72"/>
      <c r="F629" s="189"/>
      <c r="G629" s="183"/>
      <c r="H629" s="72"/>
    </row>
    <row r="630" ht="22.5" customHeight="1">
      <c r="A630" s="72"/>
      <c r="B630" s="72" t="s">
        <v>1407</v>
      </c>
      <c r="C630" s="72"/>
      <c r="D630" s="72"/>
      <c r="E630" s="72"/>
      <c r="F630" s="189"/>
      <c r="G630" s="183"/>
      <c r="H630" s="72"/>
    </row>
    <row r="631" ht="22.5" customHeight="1">
      <c r="A631" s="72"/>
      <c r="B631" s="72" t="s">
        <v>1407</v>
      </c>
      <c r="C631" s="72"/>
      <c r="D631" s="72"/>
      <c r="E631" s="72"/>
      <c r="F631" s="189"/>
      <c r="G631" s="183"/>
      <c r="H631" s="72"/>
    </row>
    <row r="632" ht="22.5" customHeight="1">
      <c r="A632" s="72"/>
      <c r="B632" s="72" t="s">
        <v>1407</v>
      </c>
      <c r="C632" s="72"/>
      <c r="D632" s="72"/>
      <c r="E632" s="72"/>
      <c r="F632" s="189"/>
      <c r="G632" s="183"/>
      <c r="H632" s="72"/>
    </row>
    <row r="633" ht="22.5" customHeight="1">
      <c r="A633" s="72"/>
      <c r="B633" s="72" t="s">
        <v>1407</v>
      </c>
      <c r="C633" s="72"/>
      <c r="D633" s="72"/>
      <c r="E633" s="72"/>
      <c r="F633" s="189"/>
      <c r="G633" s="183"/>
      <c r="H633" s="72"/>
    </row>
    <row r="634" ht="22.5" customHeight="1">
      <c r="A634" s="72"/>
      <c r="B634" s="72" t="s">
        <v>1407</v>
      </c>
      <c r="C634" s="72"/>
      <c r="D634" s="72"/>
      <c r="E634" s="72"/>
      <c r="F634" s="189"/>
      <c r="G634" s="183"/>
      <c r="H634" s="72"/>
    </row>
    <row r="635" ht="22.5" customHeight="1">
      <c r="A635" s="72"/>
      <c r="B635" s="72" t="s">
        <v>1407</v>
      </c>
      <c r="C635" s="72"/>
      <c r="D635" s="72"/>
      <c r="E635" s="72"/>
      <c r="F635" s="189"/>
      <c r="G635" s="183"/>
      <c r="H635" s="72"/>
    </row>
    <row r="636" ht="22.5" customHeight="1">
      <c r="A636" s="72"/>
      <c r="B636" s="72" t="s">
        <v>1407</v>
      </c>
      <c r="C636" s="72"/>
      <c r="D636" s="72"/>
      <c r="E636" s="72"/>
      <c r="F636" s="189"/>
      <c r="G636" s="183"/>
      <c r="H636" s="72"/>
    </row>
    <row r="637" ht="22.5" customHeight="1">
      <c r="A637" s="72"/>
      <c r="B637" s="72" t="s">
        <v>1407</v>
      </c>
      <c r="C637" s="72"/>
      <c r="D637" s="72"/>
      <c r="E637" s="72"/>
      <c r="F637" s="189"/>
      <c r="G637" s="183"/>
      <c r="H637" s="72"/>
    </row>
    <row r="638" ht="22.5" customHeight="1">
      <c r="A638" s="72"/>
      <c r="B638" s="72" t="s">
        <v>1407</v>
      </c>
      <c r="C638" s="72"/>
      <c r="D638" s="72"/>
      <c r="E638" s="72"/>
      <c r="F638" s="189"/>
      <c r="G638" s="183"/>
      <c r="H638" s="72"/>
    </row>
    <row r="639" ht="22.5" customHeight="1">
      <c r="A639" s="72"/>
      <c r="B639" s="72" t="s">
        <v>1407</v>
      </c>
      <c r="C639" s="72"/>
      <c r="D639" s="72"/>
      <c r="E639" s="72"/>
      <c r="F639" s="189"/>
      <c r="G639" s="183"/>
      <c r="H639" s="72"/>
    </row>
    <row r="640" ht="22.5" customHeight="1">
      <c r="A640" s="72"/>
      <c r="B640" s="72" t="s">
        <v>1407</v>
      </c>
      <c r="C640" s="72"/>
      <c r="D640" s="72"/>
      <c r="E640" s="72"/>
      <c r="F640" s="189"/>
      <c r="G640" s="183"/>
      <c r="H640" s="72"/>
    </row>
    <row r="641" ht="22.5" customHeight="1">
      <c r="A641" s="72"/>
      <c r="B641" s="72" t="s">
        <v>1407</v>
      </c>
      <c r="C641" s="72"/>
      <c r="D641" s="72"/>
      <c r="E641" s="72"/>
      <c r="F641" s="189"/>
      <c r="G641" s="183"/>
      <c r="H641" s="72"/>
    </row>
    <row r="642" ht="22.5" customHeight="1">
      <c r="A642" s="72"/>
      <c r="B642" s="72" t="s">
        <v>1407</v>
      </c>
      <c r="C642" s="72"/>
      <c r="D642" s="72"/>
      <c r="E642" s="72"/>
      <c r="F642" s="189"/>
      <c r="G642" s="183"/>
      <c r="H642" s="72"/>
    </row>
    <row r="643" ht="22.5" customHeight="1">
      <c r="A643" s="72"/>
      <c r="B643" s="72" t="s">
        <v>1407</v>
      </c>
      <c r="C643" s="72"/>
      <c r="D643" s="72"/>
      <c r="E643" s="72"/>
      <c r="F643" s="189"/>
      <c r="G643" s="183"/>
      <c r="H643" s="72"/>
    </row>
    <row r="644" ht="22.5" customHeight="1">
      <c r="A644" s="72"/>
      <c r="B644" s="72" t="s">
        <v>1407</v>
      </c>
      <c r="C644" s="72"/>
      <c r="D644" s="72"/>
      <c r="E644" s="72"/>
      <c r="F644" s="189"/>
      <c r="G644" s="183"/>
      <c r="H644" s="72"/>
    </row>
    <row r="645" ht="22.5" customHeight="1">
      <c r="A645" s="72"/>
      <c r="B645" s="72" t="s">
        <v>1407</v>
      </c>
      <c r="C645" s="72"/>
      <c r="D645" s="72"/>
      <c r="E645" s="72"/>
      <c r="F645" s="189"/>
      <c r="G645" s="183"/>
      <c r="H645" s="72"/>
    </row>
    <row r="646" ht="22.5" customHeight="1">
      <c r="A646" s="72"/>
      <c r="B646" s="72" t="s">
        <v>1407</v>
      </c>
      <c r="C646" s="72"/>
      <c r="D646" s="72"/>
      <c r="E646" s="72"/>
      <c r="F646" s="189"/>
      <c r="G646" s="183"/>
      <c r="H646" s="72"/>
    </row>
    <row r="647" ht="22.5" customHeight="1">
      <c r="A647" s="72"/>
      <c r="B647" s="72" t="s">
        <v>1407</v>
      </c>
      <c r="C647" s="72"/>
      <c r="D647" s="72"/>
      <c r="E647" s="72"/>
      <c r="F647" s="189"/>
      <c r="G647" s="183"/>
      <c r="H647" s="72"/>
    </row>
    <row r="648" ht="22.5" customHeight="1">
      <c r="A648" s="72"/>
      <c r="B648" s="72" t="s">
        <v>1407</v>
      </c>
      <c r="C648" s="72"/>
      <c r="D648" s="72"/>
      <c r="E648" s="72"/>
      <c r="F648" s="189"/>
      <c r="G648" s="183"/>
      <c r="H648" s="72"/>
    </row>
    <row r="649" ht="22.5" customHeight="1">
      <c r="A649" s="72"/>
      <c r="B649" s="72" t="s">
        <v>1407</v>
      </c>
      <c r="C649" s="72"/>
      <c r="D649" s="72"/>
      <c r="E649" s="72"/>
      <c r="F649" s="189"/>
      <c r="G649" s="183"/>
      <c r="H649" s="72"/>
    </row>
    <row r="650" ht="22.5" customHeight="1">
      <c r="A650" s="72"/>
      <c r="B650" s="72" t="s">
        <v>1407</v>
      </c>
      <c r="C650" s="72"/>
      <c r="D650" s="72"/>
      <c r="E650" s="72"/>
      <c r="F650" s="189"/>
      <c r="G650" s="183"/>
      <c r="H650" s="72"/>
    </row>
    <row r="651" ht="22.5" customHeight="1">
      <c r="A651" s="72"/>
      <c r="B651" s="72" t="s">
        <v>1407</v>
      </c>
      <c r="C651" s="72"/>
      <c r="D651" s="72"/>
      <c r="E651" s="72"/>
      <c r="F651" s="189"/>
      <c r="G651" s="183"/>
      <c r="H651" s="72"/>
    </row>
    <row r="652" ht="22.5" customHeight="1">
      <c r="A652" s="72"/>
      <c r="B652" s="72" t="s">
        <v>1407</v>
      </c>
      <c r="C652" s="72"/>
      <c r="D652" s="72"/>
      <c r="E652" s="72"/>
      <c r="F652" s="189"/>
      <c r="G652" s="183"/>
      <c r="H652" s="72"/>
    </row>
    <row r="653" ht="22.5" customHeight="1">
      <c r="A653" s="72"/>
      <c r="B653" s="72" t="s">
        <v>1407</v>
      </c>
      <c r="C653" s="72"/>
      <c r="D653" s="72"/>
      <c r="E653" s="72"/>
      <c r="F653" s="189"/>
      <c r="G653" s="183"/>
      <c r="H653" s="72"/>
    </row>
    <row r="654" ht="22.5" customHeight="1">
      <c r="A654" s="72"/>
      <c r="B654" s="72" t="s">
        <v>1407</v>
      </c>
      <c r="C654" s="72"/>
      <c r="D654" s="72"/>
      <c r="E654" s="72"/>
      <c r="F654" s="189"/>
      <c r="G654" s="183"/>
      <c r="H654" s="72"/>
    </row>
    <row r="655" ht="22.5" customHeight="1">
      <c r="A655" s="72"/>
      <c r="B655" s="72" t="s">
        <v>1407</v>
      </c>
      <c r="C655" s="72"/>
      <c r="D655" s="72"/>
      <c r="E655" s="72"/>
      <c r="F655" s="189"/>
      <c r="G655" s="183"/>
      <c r="H655" s="72"/>
    </row>
    <row r="656" ht="22.5" customHeight="1">
      <c r="A656" s="72"/>
      <c r="B656" s="72" t="s">
        <v>1407</v>
      </c>
      <c r="C656" s="72"/>
      <c r="D656" s="72"/>
      <c r="E656" s="72"/>
      <c r="F656" s="189"/>
      <c r="G656" s="183"/>
      <c r="H656" s="72"/>
    </row>
    <row r="657" ht="22.5" customHeight="1">
      <c r="A657" s="72"/>
      <c r="B657" s="72" t="s">
        <v>1407</v>
      </c>
      <c r="C657" s="72"/>
      <c r="D657" s="72"/>
      <c r="E657" s="72"/>
      <c r="F657" s="189"/>
      <c r="G657" s="183"/>
      <c r="H657" s="72"/>
    </row>
    <row r="658" ht="22.5" customHeight="1">
      <c r="A658" s="72"/>
      <c r="B658" s="72" t="s">
        <v>1407</v>
      </c>
      <c r="C658" s="72"/>
      <c r="D658" s="72"/>
      <c r="E658" s="72"/>
      <c r="F658" s="189"/>
      <c r="G658" s="183"/>
      <c r="H658" s="72"/>
    </row>
    <row r="659" ht="22.5" customHeight="1">
      <c r="A659" s="72"/>
      <c r="B659" s="72" t="s">
        <v>1407</v>
      </c>
      <c r="C659" s="72"/>
      <c r="D659" s="72"/>
      <c r="E659" s="72"/>
      <c r="F659" s="189"/>
      <c r="G659" s="183"/>
      <c r="H659" s="72"/>
    </row>
    <row r="660" ht="22.5" customHeight="1">
      <c r="A660" s="72"/>
      <c r="B660" s="72" t="s">
        <v>1407</v>
      </c>
      <c r="C660" s="72"/>
      <c r="D660" s="72"/>
      <c r="E660" s="72"/>
      <c r="F660" s="189"/>
      <c r="G660" s="183"/>
      <c r="H660" s="72"/>
    </row>
    <row r="661" ht="22.5" customHeight="1">
      <c r="A661" s="72"/>
      <c r="B661" s="72" t="s">
        <v>1407</v>
      </c>
      <c r="C661" s="72"/>
      <c r="D661" s="72"/>
      <c r="E661" s="72"/>
      <c r="F661" s="189"/>
      <c r="G661" s="183"/>
      <c r="H661" s="72"/>
    </row>
    <row r="662" ht="22.5" customHeight="1">
      <c r="A662" s="72"/>
      <c r="B662" s="72" t="s">
        <v>1407</v>
      </c>
      <c r="C662" s="72"/>
      <c r="D662" s="72"/>
      <c r="E662" s="72"/>
      <c r="F662" s="189"/>
      <c r="G662" s="183"/>
      <c r="H662" s="72"/>
    </row>
    <row r="663" ht="22.5" customHeight="1">
      <c r="A663" s="72"/>
      <c r="B663" s="72" t="s">
        <v>1407</v>
      </c>
      <c r="C663" s="72"/>
      <c r="D663" s="72"/>
      <c r="E663" s="72"/>
      <c r="F663" s="189"/>
      <c r="G663" s="183"/>
      <c r="H663" s="72"/>
    </row>
    <row r="664" ht="22.5" customHeight="1">
      <c r="A664" s="72"/>
      <c r="B664" s="72" t="s">
        <v>1407</v>
      </c>
      <c r="C664" s="72"/>
      <c r="D664" s="72"/>
      <c r="E664" s="72"/>
      <c r="F664" s="189"/>
      <c r="G664" s="183"/>
      <c r="H664" s="72"/>
    </row>
    <row r="665" ht="22.5" customHeight="1">
      <c r="A665" s="72"/>
      <c r="B665" s="72" t="s">
        <v>1407</v>
      </c>
      <c r="C665" s="72"/>
      <c r="D665" s="72"/>
      <c r="E665" s="72"/>
      <c r="F665" s="189"/>
      <c r="G665" s="183"/>
      <c r="H665" s="72"/>
    </row>
    <row r="666" ht="22.5" customHeight="1">
      <c r="A666" s="72"/>
      <c r="B666" s="72" t="s">
        <v>1407</v>
      </c>
      <c r="C666" s="72"/>
      <c r="D666" s="72"/>
      <c r="E666" s="72"/>
      <c r="F666" s="189"/>
      <c r="G666" s="183"/>
      <c r="H666" s="72"/>
    </row>
    <row r="667" ht="22.5" customHeight="1">
      <c r="A667" s="72"/>
      <c r="B667" s="72" t="s">
        <v>1407</v>
      </c>
      <c r="C667" s="72"/>
      <c r="D667" s="72"/>
      <c r="E667" s="72"/>
      <c r="F667" s="189"/>
      <c r="G667" s="183"/>
      <c r="H667" s="72"/>
    </row>
    <row r="668" ht="22.5" customHeight="1">
      <c r="A668" s="72"/>
      <c r="B668" s="72" t="s">
        <v>1407</v>
      </c>
      <c r="C668" s="72"/>
      <c r="D668" s="72"/>
      <c r="E668" s="72"/>
      <c r="F668" s="189"/>
      <c r="G668" s="183"/>
      <c r="H668" s="72"/>
    </row>
    <row r="669" ht="22.5" customHeight="1">
      <c r="A669" s="72"/>
      <c r="B669" s="72" t="s">
        <v>1407</v>
      </c>
      <c r="C669" s="72"/>
      <c r="D669" s="72"/>
      <c r="E669" s="72"/>
      <c r="F669" s="189"/>
      <c r="G669" s="183"/>
      <c r="H669" s="72"/>
    </row>
    <row r="670" ht="22.5" customHeight="1">
      <c r="A670" s="72"/>
      <c r="B670" s="72" t="s">
        <v>1407</v>
      </c>
      <c r="C670" s="72"/>
      <c r="D670" s="72"/>
      <c r="E670" s="72"/>
      <c r="F670" s="189"/>
      <c r="G670" s="183"/>
      <c r="H670" s="72"/>
    </row>
    <row r="671" ht="22.5" customHeight="1">
      <c r="A671" s="72"/>
      <c r="B671" s="72" t="s">
        <v>1407</v>
      </c>
      <c r="C671" s="72"/>
      <c r="D671" s="72"/>
      <c r="E671" s="72"/>
      <c r="F671" s="189"/>
      <c r="G671" s="183"/>
      <c r="H671" s="72"/>
    </row>
    <row r="672" ht="22.5" customHeight="1">
      <c r="A672" s="72"/>
      <c r="B672" s="72" t="s">
        <v>1407</v>
      </c>
      <c r="C672" s="72"/>
      <c r="D672" s="72"/>
      <c r="E672" s="72"/>
      <c r="F672" s="189"/>
      <c r="G672" s="183"/>
      <c r="H672" s="72"/>
    </row>
    <row r="673" ht="22.5" customHeight="1">
      <c r="A673" s="72"/>
      <c r="B673" s="72" t="s">
        <v>1407</v>
      </c>
      <c r="C673" s="72"/>
      <c r="D673" s="72"/>
      <c r="E673" s="72"/>
      <c r="F673" s="189"/>
      <c r="G673" s="183"/>
      <c r="H673" s="72"/>
    </row>
    <row r="674" ht="22.5" customHeight="1">
      <c r="A674" s="72"/>
      <c r="B674" s="72" t="s">
        <v>1407</v>
      </c>
      <c r="C674" s="72"/>
      <c r="D674" s="72"/>
      <c r="E674" s="72"/>
      <c r="F674" s="189"/>
      <c r="G674" s="183"/>
      <c r="H674" s="72"/>
    </row>
    <row r="675" ht="22.5" customHeight="1">
      <c r="A675" s="72"/>
      <c r="B675" s="72" t="s">
        <v>1407</v>
      </c>
      <c r="C675" s="72"/>
      <c r="D675" s="72"/>
      <c r="E675" s="72"/>
      <c r="F675" s="189"/>
      <c r="G675" s="183"/>
      <c r="H675" s="72"/>
    </row>
    <row r="676" ht="22.5" customHeight="1">
      <c r="A676" s="72"/>
      <c r="B676" s="72" t="s">
        <v>1407</v>
      </c>
      <c r="C676" s="72"/>
      <c r="D676" s="72"/>
      <c r="E676" s="72"/>
      <c r="F676" s="189"/>
      <c r="G676" s="183"/>
      <c r="H676" s="72"/>
    </row>
    <row r="677" ht="22.5" customHeight="1">
      <c r="A677" s="72"/>
      <c r="B677" s="72" t="s">
        <v>1407</v>
      </c>
      <c r="C677" s="72"/>
      <c r="D677" s="72"/>
      <c r="E677" s="72"/>
      <c r="F677" s="189"/>
      <c r="G677" s="183"/>
      <c r="H677" s="72"/>
    </row>
    <row r="678" ht="22.5" customHeight="1">
      <c r="A678" s="72"/>
      <c r="B678" s="72" t="s">
        <v>1407</v>
      </c>
      <c r="C678" s="72"/>
      <c r="D678" s="72"/>
      <c r="E678" s="72"/>
      <c r="F678" s="189"/>
      <c r="G678" s="183"/>
      <c r="H678" s="72"/>
    </row>
    <row r="679" ht="22.5" customHeight="1">
      <c r="A679" s="72"/>
      <c r="B679" s="72" t="s">
        <v>1407</v>
      </c>
      <c r="C679" s="72"/>
      <c r="D679" s="72"/>
      <c r="E679" s="72"/>
      <c r="F679" s="189"/>
      <c r="G679" s="183"/>
      <c r="H679" s="72"/>
    </row>
    <row r="680" ht="22.5" customHeight="1">
      <c r="A680" s="72"/>
      <c r="B680" s="72" t="s">
        <v>1407</v>
      </c>
      <c r="C680" s="72"/>
      <c r="D680" s="72"/>
      <c r="E680" s="72"/>
      <c r="F680" s="189"/>
      <c r="G680" s="183"/>
      <c r="H680" s="72"/>
    </row>
    <row r="681" ht="22.5" customHeight="1">
      <c r="A681" s="72"/>
      <c r="B681" s="72" t="s">
        <v>1407</v>
      </c>
      <c r="C681" s="72"/>
      <c r="D681" s="72"/>
      <c r="E681" s="72"/>
      <c r="F681" s="189"/>
      <c r="G681" s="183"/>
      <c r="H681" s="72"/>
    </row>
    <row r="682" ht="22.5" customHeight="1">
      <c r="A682" s="72"/>
      <c r="B682" s="72" t="s">
        <v>1407</v>
      </c>
      <c r="C682" s="72"/>
      <c r="D682" s="72"/>
      <c r="E682" s="72"/>
      <c r="F682" s="189"/>
      <c r="G682" s="183"/>
      <c r="H682" s="72"/>
    </row>
    <row r="683" ht="22.5" customHeight="1">
      <c r="A683" s="72"/>
      <c r="B683" s="72" t="s">
        <v>1407</v>
      </c>
      <c r="C683" s="72"/>
      <c r="D683" s="72"/>
      <c r="E683" s="72"/>
      <c r="F683" s="189"/>
      <c r="G683" s="183"/>
      <c r="H683" s="72"/>
    </row>
    <row r="684" ht="22.5" customHeight="1">
      <c r="A684" s="72"/>
      <c r="B684" s="72" t="s">
        <v>1407</v>
      </c>
      <c r="C684" s="72"/>
      <c r="D684" s="72"/>
      <c r="E684" s="72"/>
      <c r="F684" s="189"/>
      <c r="G684" s="183"/>
      <c r="H684" s="72"/>
    </row>
    <row r="685" ht="22.5" customHeight="1">
      <c r="A685" s="72"/>
      <c r="B685" s="72" t="s">
        <v>1407</v>
      </c>
      <c r="C685" s="72"/>
      <c r="D685" s="72"/>
      <c r="E685" s="72"/>
      <c r="F685" s="189"/>
      <c r="G685" s="183"/>
      <c r="H685" s="72"/>
    </row>
    <row r="686" ht="22.5" customHeight="1">
      <c r="A686" s="72"/>
      <c r="B686" s="72" t="s">
        <v>1407</v>
      </c>
      <c r="C686" s="72"/>
      <c r="D686" s="72"/>
      <c r="E686" s="72"/>
      <c r="F686" s="189"/>
      <c r="G686" s="183"/>
      <c r="H686" s="72"/>
    </row>
    <row r="687" ht="22.5" customHeight="1">
      <c r="A687" s="72"/>
      <c r="B687" s="72" t="s">
        <v>1407</v>
      </c>
      <c r="C687" s="72"/>
      <c r="D687" s="72"/>
      <c r="E687" s="72"/>
      <c r="F687" s="189"/>
      <c r="G687" s="183"/>
      <c r="H687" s="72"/>
    </row>
    <row r="688" ht="22.5" customHeight="1">
      <c r="A688" s="72"/>
      <c r="B688" s="72" t="s">
        <v>1407</v>
      </c>
      <c r="C688" s="72"/>
      <c r="D688" s="72"/>
      <c r="E688" s="72"/>
      <c r="F688" s="189"/>
      <c r="G688" s="183"/>
      <c r="H688" s="72"/>
    </row>
    <row r="689" ht="22.5" customHeight="1">
      <c r="A689" s="72"/>
      <c r="B689" s="72" t="s">
        <v>1407</v>
      </c>
      <c r="C689" s="72"/>
      <c r="D689" s="72"/>
      <c r="E689" s="72"/>
      <c r="F689" s="189"/>
      <c r="G689" s="183"/>
      <c r="H689" s="72"/>
    </row>
    <row r="690" ht="22.5" customHeight="1">
      <c r="A690" s="72"/>
      <c r="B690" s="72" t="s">
        <v>1407</v>
      </c>
      <c r="C690" s="72"/>
      <c r="D690" s="72"/>
      <c r="E690" s="72"/>
      <c r="F690" s="189"/>
      <c r="G690" s="183"/>
      <c r="H690" s="72"/>
    </row>
    <row r="691" ht="22.5" customHeight="1">
      <c r="A691" s="72"/>
      <c r="B691" s="72" t="s">
        <v>1407</v>
      </c>
      <c r="C691" s="72"/>
      <c r="D691" s="72"/>
      <c r="E691" s="72"/>
      <c r="F691" s="189"/>
      <c r="G691" s="183"/>
      <c r="H691" s="72"/>
    </row>
    <row r="692" ht="22.5" customHeight="1">
      <c r="A692" s="72"/>
      <c r="B692" s="72" t="s">
        <v>1407</v>
      </c>
      <c r="C692" s="72"/>
      <c r="D692" s="72"/>
      <c r="E692" s="72"/>
      <c r="F692" s="189"/>
      <c r="G692" s="183"/>
      <c r="H692" s="72"/>
    </row>
    <row r="693" ht="22.5" customHeight="1">
      <c r="A693" s="72"/>
      <c r="B693" s="72" t="s">
        <v>1407</v>
      </c>
      <c r="C693" s="72"/>
      <c r="D693" s="72"/>
      <c r="E693" s="72"/>
      <c r="F693" s="189"/>
      <c r="G693" s="183"/>
      <c r="H693" s="72"/>
    </row>
    <row r="694" ht="22.5" customHeight="1">
      <c r="A694" s="72"/>
      <c r="B694" s="72" t="s">
        <v>1407</v>
      </c>
      <c r="C694" s="72"/>
      <c r="D694" s="72"/>
      <c r="E694" s="72"/>
      <c r="F694" s="189"/>
      <c r="G694" s="183"/>
      <c r="H694" s="72"/>
    </row>
    <row r="695" ht="22.5" customHeight="1">
      <c r="A695" s="72"/>
      <c r="B695" s="72" t="s">
        <v>1407</v>
      </c>
      <c r="C695" s="72"/>
      <c r="D695" s="72"/>
      <c r="E695" s="72"/>
      <c r="F695" s="189"/>
      <c r="G695" s="183"/>
      <c r="H695" s="72"/>
    </row>
    <row r="696" ht="22.5" customHeight="1">
      <c r="A696" s="72"/>
      <c r="B696" s="72" t="s">
        <v>1407</v>
      </c>
      <c r="C696" s="72"/>
      <c r="D696" s="72"/>
      <c r="E696" s="72"/>
      <c r="F696" s="189"/>
      <c r="G696" s="183"/>
      <c r="H696" s="72"/>
    </row>
    <row r="697" ht="22.5" customHeight="1">
      <c r="A697" s="72"/>
      <c r="B697" s="72" t="s">
        <v>1407</v>
      </c>
      <c r="C697" s="72"/>
      <c r="D697" s="72"/>
      <c r="E697" s="72"/>
      <c r="F697" s="189"/>
      <c r="G697" s="183"/>
      <c r="H697" s="72"/>
    </row>
    <row r="698" ht="22.5" customHeight="1">
      <c r="A698" s="72"/>
      <c r="B698" s="72" t="s">
        <v>1407</v>
      </c>
      <c r="C698" s="72"/>
      <c r="D698" s="72"/>
      <c r="E698" s="72"/>
      <c r="F698" s="189"/>
      <c r="G698" s="183"/>
      <c r="H698" s="72"/>
    </row>
    <row r="699" ht="22.5" customHeight="1">
      <c r="A699" s="72"/>
      <c r="B699" s="72" t="s">
        <v>1407</v>
      </c>
      <c r="C699" s="72"/>
      <c r="D699" s="72"/>
      <c r="E699" s="72"/>
      <c r="F699" s="189"/>
      <c r="G699" s="183"/>
      <c r="H699" s="72"/>
    </row>
    <row r="700" ht="22.5" customHeight="1">
      <c r="A700" s="72"/>
      <c r="B700" s="72" t="s">
        <v>1407</v>
      </c>
      <c r="C700" s="72"/>
      <c r="D700" s="72"/>
      <c r="E700" s="72"/>
      <c r="F700" s="189"/>
      <c r="G700" s="183"/>
      <c r="H700" s="72"/>
    </row>
    <row r="701" ht="22.5" customHeight="1">
      <c r="A701" s="72"/>
      <c r="B701" s="72" t="s">
        <v>1407</v>
      </c>
      <c r="C701" s="72"/>
      <c r="D701" s="72"/>
      <c r="E701" s="72"/>
      <c r="F701" s="189"/>
      <c r="G701" s="183"/>
      <c r="H701" s="72"/>
    </row>
    <row r="702" ht="22.5" customHeight="1">
      <c r="A702" s="72"/>
      <c r="B702" s="72" t="s">
        <v>1407</v>
      </c>
      <c r="C702" s="72"/>
      <c r="D702" s="72"/>
      <c r="E702" s="72"/>
      <c r="F702" s="189"/>
      <c r="G702" s="183"/>
      <c r="H702" s="72"/>
    </row>
    <row r="703" ht="22.5" customHeight="1">
      <c r="A703" s="72"/>
      <c r="B703" s="72" t="s">
        <v>1407</v>
      </c>
      <c r="C703" s="72"/>
      <c r="D703" s="72"/>
      <c r="E703" s="72"/>
      <c r="F703" s="189"/>
      <c r="G703" s="183"/>
      <c r="H703" s="72"/>
    </row>
    <row r="704" ht="22.5" customHeight="1">
      <c r="A704" s="72"/>
      <c r="B704" s="72" t="s">
        <v>1407</v>
      </c>
      <c r="C704" s="72"/>
      <c r="D704" s="72"/>
      <c r="E704" s="72"/>
      <c r="F704" s="189"/>
      <c r="G704" s="183"/>
      <c r="H704" s="72"/>
    </row>
    <row r="705" ht="22.5" customHeight="1">
      <c r="A705" s="72"/>
      <c r="B705" s="72" t="s">
        <v>1407</v>
      </c>
      <c r="C705" s="72"/>
      <c r="D705" s="72"/>
      <c r="E705" s="72"/>
      <c r="F705" s="189"/>
      <c r="G705" s="183"/>
      <c r="H705" s="72"/>
    </row>
    <row r="706" ht="22.5" customHeight="1">
      <c r="A706" s="72"/>
      <c r="B706" s="72" t="s">
        <v>1407</v>
      </c>
      <c r="C706" s="72"/>
      <c r="D706" s="72"/>
      <c r="E706" s="72"/>
      <c r="F706" s="189"/>
      <c r="G706" s="183"/>
      <c r="H706" s="72"/>
    </row>
    <row r="707" ht="22.5" customHeight="1">
      <c r="A707" s="72"/>
      <c r="B707" s="72" t="s">
        <v>1407</v>
      </c>
      <c r="C707" s="72"/>
      <c r="D707" s="72"/>
      <c r="E707" s="72"/>
      <c r="F707" s="189"/>
      <c r="G707" s="183"/>
      <c r="H707" s="72"/>
    </row>
    <row r="708" ht="22.5" customHeight="1">
      <c r="A708" s="72"/>
      <c r="B708" s="72" t="s">
        <v>1407</v>
      </c>
      <c r="C708" s="72"/>
      <c r="D708" s="72"/>
      <c r="E708" s="72"/>
      <c r="F708" s="189"/>
      <c r="G708" s="183"/>
      <c r="H708" s="72"/>
    </row>
    <row r="709" ht="22.5" customHeight="1">
      <c r="A709" s="72"/>
      <c r="B709" s="72" t="s">
        <v>1407</v>
      </c>
      <c r="C709" s="72"/>
      <c r="D709" s="72"/>
      <c r="E709" s="72"/>
      <c r="F709" s="189"/>
      <c r="G709" s="183"/>
      <c r="H709" s="72"/>
    </row>
    <row r="710" ht="22.5" customHeight="1">
      <c r="A710" s="72"/>
      <c r="B710" s="72" t="s">
        <v>1407</v>
      </c>
      <c r="C710" s="72"/>
      <c r="D710" s="72"/>
      <c r="E710" s="72"/>
      <c r="F710" s="189"/>
      <c r="G710" s="183"/>
      <c r="H710" s="72"/>
    </row>
    <row r="711" ht="22.5" customHeight="1">
      <c r="A711" s="72"/>
      <c r="B711" s="72" t="s">
        <v>1407</v>
      </c>
      <c r="C711" s="72"/>
      <c r="D711" s="72"/>
      <c r="E711" s="72"/>
      <c r="F711" s="189"/>
      <c r="G711" s="183"/>
      <c r="H711" s="72"/>
    </row>
    <row r="712" ht="22.5" customHeight="1">
      <c r="A712" s="72"/>
      <c r="B712" s="72" t="s">
        <v>1407</v>
      </c>
      <c r="C712" s="72"/>
      <c r="D712" s="72"/>
      <c r="E712" s="72"/>
      <c r="F712" s="189"/>
      <c r="G712" s="183"/>
      <c r="H712" s="72"/>
    </row>
    <row r="713" ht="22.5" customHeight="1">
      <c r="A713" s="72"/>
      <c r="B713" s="72" t="s">
        <v>1407</v>
      </c>
      <c r="C713" s="72"/>
      <c r="D713" s="72"/>
      <c r="E713" s="72"/>
      <c r="F713" s="189"/>
      <c r="G713" s="183"/>
      <c r="H713" s="72"/>
    </row>
    <row r="714" ht="22.5" customHeight="1">
      <c r="A714" s="72"/>
      <c r="B714" s="72" t="s">
        <v>1407</v>
      </c>
      <c r="C714" s="72"/>
      <c r="D714" s="72"/>
      <c r="E714" s="72"/>
      <c r="F714" s="189"/>
      <c r="G714" s="183"/>
      <c r="H714" s="72"/>
    </row>
    <row r="715" ht="22.5" customHeight="1">
      <c r="A715" s="72"/>
      <c r="B715" s="72" t="s">
        <v>1407</v>
      </c>
      <c r="C715" s="72"/>
      <c r="D715" s="72"/>
      <c r="E715" s="72"/>
      <c r="F715" s="189"/>
      <c r="G715" s="183"/>
      <c r="H715" s="72"/>
    </row>
    <row r="716" ht="22.5" customHeight="1">
      <c r="A716" s="72"/>
      <c r="B716" s="72" t="s">
        <v>1407</v>
      </c>
      <c r="C716" s="72"/>
      <c r="D716" s="72"/>
      <c r="E716" s="72"/>
      <c r="F716" s="189"/>
      <c r="G716" s="183"/>
      <c r="H716" s="72"/>
    </row>
    <row r="717" ht="22.5" customHeight="1">
      <c r="A717" s="72"/>
      <c r="B717" s="72" t="s">
        <v>1407</v>
      </c>
      <c r="C717" s="72"/>
      <c r="D717" s="72"/>
      <c r="E717" s="72"/>
      <c r="F717" s="189"/>
      <c r="G717" s="183"/>
      <c r="H717" s="72"/>
    </row>
    <row r="718" ht="22.5" customHeight="1">
      <c r="A718" s="72"/>
      <c r="B718" s="72" t="s">
        <v>1407</v>
      </c>
      <c r="C718" s="72"/>
      <c r="D718" s="72"/>
      <c r="E718" s="72"/>
      <c r="F718" s="189"/>
      <c r="G718" s="183"/>
      <c r="H718" s="72"/>
    </row>
    <row r="719" ht="22.5" customHeight="1">
      <c r="A719" s="72"/>
      <c r="B719" s="72" t="s">
        <v>1407</v>
      </c>
      <c r="C719" s="72"/>
      <c r="D719" s="72"/>
      <c r="E719" s="72"/>
      <c r="F719" s="189"/>
      <c r="G719" s="183"/>
      <c r="H719" s="72"/>
    </row>
    <row r="720" ht="22.5" customHeight="1">
      <c r="A720" s="72"/>
      <c r="B720" s="72" t="s">
        <v>1407</v>
      </c>
      <c r="C720" s="72"/>
      <c r="D720" s="72"/>
      <c r="E720" s="72"/>
      <c r="F720" s="189"/>
      <c r="G720" s="183"/>
      <c r="H720" s="72"/>
    </row>
    <row r="721" ht="22.5" customHeight="1">
      <c r="A721" s="72"/>
      <c r="B721" s="72" t="s">
        <v>1407</v>
      </c>
      <c r="C721" s="72"/>
      <c r="D721" s="72"/>
      <c r="E721" s="72"/>
      <c r="F721" s="189"/>
      <c r="G721" s="183"/>
      <c r="H721" s="72"/>
    </row>
    <row r="722" ht="22.5" customHeight="1">
      <c r="A722" s="72"/>
      <c r="B722" s="72" t="s">
        <v>1407</v>
      </c>
      <c r="C722" s="72"/>
      <c r="D722" s="72"/>
      <c r="E722" s="72"/>
      <c r="F722" s="189"/>
      <c r="G722" s="183"/>
      <c r="H722" s="72"/>
    </row>
    <row r="723" ht="22.5" customHeight="1">
      <c r="A723" s="72"/>
      <c r="B723" s="72" t="s">
        <v>1407</v>
      </c>
      <c r="C723" s="72"/>
      <c r="D723" s="72"/>
      <c r="E723" s="72"/>
      <c r="F723" s="189"/>
      <c r="G723" s="183"/>
      <c r="H723" s="72"/>
    </row>
    <row r="724" ht="22.5" customHeight="1">
      <c r="A724" s="72"/>
      <c r="B724" s="72" t="s">
        <v>1407</v>
      </c>
      <c r="C724" s="72"/>
      <c r="D724" s="72"/>
      <c r="E724" s="72"/>
      <c r="F724" s="189"/>
      <c r="G724" s="183"/>
      <c r="H724" s="72"/>
    </row>
    <row r="725" ht="22.5" customHeight="1">
      <c r="A725" s="72"/>
      <c r="B725" s="72" t="s">
        <v>1407</v>
      </c>
      <c r="C725" s="72"/>
      <c r="D725" s="72"/>
      <c r="E725" s="72"/>
      <c r="F725" s="189"/>
      <c r="G725" s="183"/>
      <c r="H725" s="72"/>
    </row>
    <row r="726" ht="22.5" customHeight="1">
      <c r="A726" s="72"/>
      <c r="B726" s="72" t="s">
        <v>1407</v>
      </c>
      <c r="C726" s="72"/>
      <c r="D726" s="72"/>
      <c r="E726" s="72"/>
      <c r="F726" s="189"/>
      <c r="G726" s="183"/>
      <c r="H726" s="72"/>
    </row>
    <row r="727" ht="22.5" customHeight="1">
      <c r="A727" s="72"/>
      <c r="B727" s="72" t="s">
        <v>1407</v>
      </c>
      <c r="C727" s="72"/>
      <c r="D727" s="72"/>
      <c r="E727" s="72"/>
      <c r="F727" s="189"/>
      <c r="G727" s="183"/>
      <c r="H727" s="72"/>
    </row>
    <row r="728" ht="22.5" customHeight="1">
      <c r="A728" s="72"/>
      <c r="B728" s="72" t="s">
        <v>1407</v>
      </c>
      <c r="C728" s="72"/>
      <c r="D728" s="72"/>
      <c r="E728" s="72"/>
      <c r="F728" s="189"/>
      <c r="G728" s="183"/>
      <c r="H728" s="72"/>
    </row>
    <row r="729" ht="22.5" customHeight="1">
      <c r="A729" s="72"/>
      <c r="B729" s="72" t="s">
        <v>1407</v>
      </c>
      <c r="C729" s="72"/>
      <c r="D729" s="72"/>
      <c r="E729" s="72"/>
      <c r="F729" s="189"/>
      <c r="G729" s="183"/>
      <c r="H729" s="72"/>
    </row>
    <row r="730" ht="22.5" customHeight="1">
      <c r="A730" s="72"/>
      <c r="B730" s="72" t="s">
        <v>1407</v>
      </c>
      <c r="C730" s="72"/>
      <c r="D730" s="72"/>
      <c r="E730" s="72"/>
      <c r="F730" s="189"/>
      <c r="G730" s="183"/>
      <c r="H730" s="72"/>
    </row>
    <row r="731" ht="22.5" customHeight="1">
      <c r="A731" s="72"/>
      <c r="B731" s="72" t="s">
        <v>1407</v>
      </c>
      <c r="C731" s="72"/>
      <c r="D731" s="72"/>
      <c r="E731" s="72"/>
      <c r="F731" s="189"/>
      <c r="G731" s="183"/>
      <c r="H731" s="72"/>
    </row>
    <row r="732" ht="22.5" customHeight="1">
      <c r="A732" s="72"/>
      <c r="B732" s="72" t="s">
        <v>1407</v>
      </c>
      <c r="C732" s="72"/>
      <c r="D732" s="72"/>
      <c r="E732" s="72"/>
      <c r="F732" s="189"/>
      <c r="G732" s="183"/>
      <c r="H732" s="72"/>
    </row>
    <row r="733" ht="22.5" customHeight="1">
      <c r="A733" s="72"/>
      <c r="B733" s="72" t="s">
        <v>1407</v>
      </c>
      <c r="C733" s="72"/>
      <c r="D733" s="72"/>
      <c r="E733" s="72"/>
      <c r="F733" s="189"/>
      <c r="G733" s="183"/>
      <c r="H733" s="72"/>
    </row>
    <row r="734" ht="22.5" customHeight="1">
      <c r="A734" s="72"/>
      <c r="B734" s="72" t="s">
        <v>1407</v>
      </c>
      <c r="C734" s="72"/>
      <c r="D734" s="72"/>
      <c r="E734" s="72"/>
      <c r="F734" s="189"/>
      <c r="G734" s="183"/>
      <c r="H734" s="72"/>
    </row>
    <row r="735" ht="22.5" customHeight="1">
      <c r="A735" s="72"/>
      <c r="B735" s="72" t="s">
        <v>1407</v>
      </c>
      <c r="C735" s="72"/>
      <c r="D735" s="72"/>
      <c r="E735" s="72"/>
      <c r="F735" s="189"/>
      <c r="G735" s="183"/>
      <c r="H735" s="72"/>
    </row>
    <row r="736" ht="22.5" customHeight="1">
      <c r="A736" s="72"/>
      <c r="B736" s="72" t="s">
        <v>1407</v>
      </c>
      <c r="C736" s="72"/>
      <c r="D736" s="72"/>
      <c r="E736" s="72"/>
      <c r="F736" s="189"/>
      <c r="G736" s="183"/>
      <c r="H736" s="72"/>
    </row>
    <row r="737" ht="22.5" customHeight="1">
      <c r="A737" s="72"/>
      <c r="B737" s="72" t="s">
        <v>1407</v>
      </c>
      <c r="C737" s="72"/>
      <c r="D737" s="72"/>
      <c r="E737" s="72"/>
      <c r="F737" s="189"/>
      <c r="G737" s="183"/>
      <c r="H737" s="72"/>
    </row>
    <row r="738" ht="22.5" customHeight="1">
      <c r="A738" s="72"/>
      <c r="B738" s="72" t="s">
        <v>1407</v>
      </c>
      <c r="C738" s="72"/>
      <c r="D738" s="72"/>
      <c r="E738" s="72"/>
      <c r="F738" s="189"/>
      <c r="G738" s="183"/>
      <c r="H738" s="72"/>
    </row>
    <row r="739" ht="22.5" customHeight="1">
      <c r="A739" s="72"/>
      <c r="B739" s="72" t="s">
        <v>1407</v>
      </c>
      <c r="C739" s="72"/>
      <c r="D739" s="72"/>
      <c r="E739" s="72"/>
      <c r="F739" s="189"/>
      <c r="G739" s="183"/>
      <c r="H739" s="72"/>
    </row>
    <row r="740" ht="22.5" customHeight="1">
      <c r="A740" s="72"/>
      <c r="B740" s="72" t="s">
        <v>1407</v>
      </c>
      <c r="C740" s="72"/>
      <c r="D740" s="72"/>
      <c r="E740" s="72"/>
      <c r="F740" s="189"/>
      <c r="G740" s="183"/>
      <c r="H740" s="72"/>
    </row>
    <row r="741" ht="22.5" customHeight="1">
      <c r="A741" s="72"/>
      <c r="B741" s="72" t="s">
        <v>1407</v>
      </c>
      <c r="C741" s="72"/>
      <c r="D741" s="72"/>
      <c r="E741" s="72"/>
      <c r="F741" s="189"/>
      <c r="G741" s="183"/>
      <c r="H741" s="72"/>
    </row>
    <row r="742" ht="22.5" customHeight="1">
      <c r="A742" s="72"/>
      <c r="B742" s="72" t="s">
        <v>1407</v>
      </c>
      <c r="C742" s="72"/>
      <c r="D742" s="72"/>
      <c r="E742" s="72"/>
      <c r="F742" s="189"/>
      <c r="G742" s="183"/>
      <c r="H742" s="72"/>
    </row>
    <row r="743" ht="22.5" customHeight="1">
      <c r="A743" s="72"/>
      <c r="B743" s="72" t="s">
        <v>1407</v>
      </c>
      <c r="C743" s="72"/>
      <c r="D743" s="72"/>
      <c r="E743" s="72"/>
      <c r="F743" s="189"/>
      <c r="G743" s="183"/>
      <c r="H743" s="72"/>
    </row>
    <row r="744" ht="22.5" customHeight="1">
      <c r="A744" s="72"/>
      <c r="B744" s="72" t="s">
        <v>1407</v>
      </c>
      <c r="C744" s="72"/>
      <c r="D744" s="72"/>
      <c r="E744" s="72"/>
      <c r="F744" s="189"/>
      <c r="G744" s="183"/>
      <c r="H744" s="72"/>
    </row>
    <row r="745" ht="22.5" customHeight="1">
      <c r="A745" s="72"/>
      <c r="B745" s="72" t="s">
        <v>1407</v>
      </c>
      <c r="C745" s="72"/>
      <c r="D745" s="72"/>
      <c r="E745" s="72"/>
      <c r="F745" s="189"/>
      <c r="G745" s="183"/>
      <c r="H745" s="72"/>
    </row>
    <row r="746" ht="22.5" customHeight="1">
      <c r="A746" s="72"/>
      <c r="B746" s="72" t="s">
        <v>1407</v>
      </c>
      <c r="C746" s="72"/>
      <c r="D746" s="72"/>
      <c r="E746" s="72"/>
      <c r="F746" s="189"/>
      <c r="G746" s="183"/>
      <c r="H746" s="72"/>
    </row>
    <row r="747" ht="22.5" customHeight="1">
      <c r="A747" s="72"/>
      <c r="B747" s="72" t="s">
        <v>1407</v>
      </c>
      <c r="C747" s="72"/>
      <c r="D747" s="72"/>
      <c r="E747" s="72"/>
      <c r="F747" s="189"/>
      <c r="G747" s="183"/>
      <c r="H747" s="72"/>
    </row>
    <row r="748" ht="22.5" customHeight="1">
      <c r="A748" s="72"/>
      <c r="B748" s="72" t="s">
        <v>1407</v>
      </c>
      <c r="C748" s="72"/>
      <c r="D748" s="72"/>
      <c r="E748" s="72"/>
      <c r="F748" s="189"/>
      <c r="G748" s="183"/>
      <c r="H748" s="72"/>
    </row>
    <row r="749" ht="22.5" customHeight="1">
      <c r="A749" s="72"/>
      <c r="B749" s="72" t="s">
        <v>1407</v>
      </c>
      <c r="C749" s="72"/>
      <c r="D749" s="72"/>
      <c r="E749" s="72"/>
      <c r="F749" s="189"/>
      <c r="G749" s="183"/>
      <c r="H749" s="72"/>
    </row>
    <row r="750" ht="22.5" customHeight="1">
      <c r="A750" s="72"/>
      <c r="B750" s="72" t="s">
        <v>1407</v>
      </c>
      <c r="C750" s="72"/>
      <c r="D750" s="72"/>
      <c r="E750" s="72"/>
      <c r="F750" s="189"/>
      <c r="G750" s="183"/>
      <c r="H750" s="72"/>
    </row>
    <row r="751" ht="22.5" customHeight="1">
      <c r="A751" s="72"/>
      <c r="B751" s="72" t="s">
        <v>1407</v>
      </c>
      <c r="C751" s="72"/>
      <c r="D751" s="72"/>
      <c r="E751" s="72"/>
      <c r="F751" s="189"/>
      <c r="G751" s="183"/>
      <c r="H751" s="72"/>
    </row>
    <row r="752" ht="22.5" customHeight="1">
      <c r="A752" s="72"/>
      <c r="B752" s="72" t="s">
        <v>1407</v>
      </c>
      <c r="C752" s="72"/>
      <c r="D752" s="72"/>
      <c r="E752" s="72"/>
      <c r="F752" s="189"/>
      <c r="G752" s="183"/>
      <c r="H752" s="72"/>
    </row>
    <row r="753" ht="22.5" customHeight="1">
      <c r="A753" s="72"/>
      <c r="B753" s="72" t="s">
        <v>1407</v>
      </c>
      <c r="C753" s="72"/>
      <c r="D753" s="72"/>
      <c r="E753" s="72"/>
      <c r="F753" s="189"/>
      <c r="G753" s="183"/>
      <c r="H753" s="72"/>
    </row>
    <row r="754" ht="22.5" customHeight="1">
      <c r="A754" s="72"/>
      <c r="B754" s="72" t="s">
        <v>1407</v>
      </c>
      <c r="C754" s="72"/>
      <c r="D754" s="72"/>
      <c r="E754" s="72"/>
      <c r="F754" s="189"/>
      <c r="G754" s="183"/>
      <c r="H754" s="72"/>
    </row>
    <row r="755" ht="22.5" customHeight="1">
      <c r="A755" s="72"/>
      <c r="B755" s="72" t="s">
        <v>1407</v>
      </c>
      <c r="C755" s="72"/>
      <c r="D755" s="72"/>
      <c r="E755" s="72"/>
      <c r="F755" s="189"/>
      <c r="G755" s="183"/>
      <c r="H755" s="72"/>
    </row>
    <row r="756" ht="22.5" customHeight="1">
      <c r="A756" s="72"/>
      <c r="B756" s="72" t="s">
        <v>1407</v>
      </c>
      <c r="C756" s="72"/>
      <c r="D756" s="72"/>
      <c r="E756" s="72"/>
      <c r="F756" s="189"/>
      <c r="G756" s="183"/>
      <c r="H756" s="72"/>
    </row>
    <row r="757" ht="22.5" customHeight="1">
      <c r="A757" s="72"/>
      <c r="B757" s="72" t="s">
        <v>1407</v>
      </c>
      <c r="C757" s="72"/>
      <c r="D757" s="72"/>
      <c r="E757" s="72"/>
      <c r="F757" s="189"/>
      <c r="G757" s="183"/>
      <c r="H757" s="72"/>
    </row>
    <row r="758" ht="22.5" customHeight="1">
      <c r="A758" s="72"/>
      <c r="B758" s="72" t="s">
        <v>1407</v>
      </c>
      <c r="C758" s="72"/>
      <c r="D758" s="72"/>
      <c r="E758" s="72"/>
      <c r="F758" s="189"/>
      <c r="G758" s="183"/>
      <c r="H758" s="72"/>
    </row>
    <row r="759" ht="22.5" customHeight="1">
      <c r="A759" s="72"/>
      <c r="B759" s="72" t="s">
        <v>1407</v>
      </c>
      <c r="C759" s="72"/>
      <c r="D759" s="72"/>
      <c r="E759" s="72"/>
      <c r="F759" s="189"/>
      <c r="G759" s="183"/>
      <c r="H759" s="72"/>
    </row>
    <row r="760" ht="22.5" customHeight="1">
      <c r="A760" s="72"/>
      <c r="B760" s="72" t="s">
        <v>1407</v>
      </c>
      <c r="C760" s="72"/>
      <c r="D760" s="72"/>
      <c r="E760" s="72"/>
      <c r="F760" s="189"/>
      <c r="G760" s="183"/>
      <c r="H760" s="72"/>
    </row>
    <row r="761" ht="22.5" customHeight="1">
      <c r="A761" s="72"/>
      <c r="B761" s="72" t="s">
        <v>1407</v>
      </c>
      <c r="C761" s="72"/>
      <c r="D761" s="72"/>
      <c r="E761" s="72"/>
      <c r="F761" s="189"/>
      <c r="G761" s="183"/>
      <c r="H761" s="72"/>
    </row>
    <row r="762" ht="22.5" customHeight="1">
      <c r="A762" s="72"/>
      <c r="B762" s="72" t="s">
        <v>1407</v>
      </c>
      <c r="C762" s="72"/>
      <c r="D762" s="72"/>
      <c r="E762" s="72"/>
      <c r="F762" s="189"/>
      <c r="G762" s="183"/>
      <c r="H762" s="72"/>
    </row>
    <row r="763" ht="22.5" customHeight="1">
      <c r="A763" s="72"/>
      <c r="B763" s="72" t="s">
        <v>1407</v>
      </c>
      <c r="C763" s="72"/>
      <c r="D763" s="72"/>
      <c r="E763" s="72"/>
      <c r="F763" s="189"/>
      <c r="G763" s="183"/>
      <c r="H763" s="72"/>
    </row>
    <row r="764" ht="22.5" customHeight="1">
      <c r="A764" s="72"/>
      <c r="B764" s="72" t="s">
        <v>1407</v>
      </c>
      <c r="C764" s="72"/>
      <c r="D764" s="72"/>
      <c r="E764" s="72"/>
      <c r="F764" s="189"/>
      <c r="G764" s="183"/>
      <c r="H764" s="72"/>
    </row>
    <row r="765" ht="22.5" customHeight="1">
      <c r="A765" s="72"/>
      <c r="B765" s="72" t="s">
        <v>1407</v>
      </c>
      <c r="C765" s="72"/>
      <c r="D765" s="72"/>
      <c r="E765" s="72"/>
      <c r="F765" s="189"/>
      <c r="G765" s="183"/>
      <c r="H765" s="72"/>
    </row>
    <row r="766" ht="22.5" customHeight="1">
      <c r="A766" s="72"/>
      <c r="B766" s="72" t="s">
        <v>1407</v>
      </c>
      <c r="C766" s="72"/>
      <c r="D766" s="72"/>
      <c r="E766" s="72"/>
      <c r="F766" s="189"/>
      <c r="G766" s="183"/>
      <c r="H766" s="72"/>
    </row>
    <row r="767" ht="22.5" customHeight="1">
      <c r="A767" s="72"/>
      <c r="B767" s="72" t="s">
        <v>1407</v>
      </c>
      <c r="C767" s="72"/>
      <c r="D767" s="72"/>
      <c r="E767" s="72"/>
      <c r="F767" s="189"/>
      <c r="G767" s="183"/>
      <c r="H767" s="72"/>
    </row>
    <row r="768" ht="22.5" customHeight="1">
      <c r="A768" s="72"/>
      <c r="B768" s="72" t="s">
        <v>1407</v>
      </c>
      <c r="C768" s="72"/>
      <c r="D768" s="72"/>
      <c r="E768" s="72"/>
      <c r="F768" s="189"/>
      <c r="G768" s="183"/>
      <c r="H768" s="72"/>
    </row>
    <row r="769" ht="22.5" customHeight="1">
      <c r="A769" s="72"/>
      <c r="B769" s="72" t="s">
        <v>1407</v>
      </c>
      <c r="C769" s="72"/>
      <c r="D769" s="72"/>
      <c r="E769" s="72"/>
      <c r="F769" s="189"/>
      <c r="G769" s="183"/>
      <c r="H769" s="72"/>
    </row>
    <row r="770" ht="22.5" customHeight="1">
      <c r="A770" s="72"/>
      <c r="B770" s="72" t="s">
        <v>1407</v>
      </c>
      <c r="C770" s="72"/>
      <c r="D770" s="72"/>
      <c r="E770" s="72"/>
      <c r="F770" s="189"/>
      <c r="G770" s="183"/>
      <c r="H770" s="72"/>
    </row>
    <row r="771" ht="22.5" customHeight="1">
      <c r="A771" s="72"/>
      <c r="B771" s="72" t="s">
        <v>1407</v>
      </c>
      <c r="C771" s="72"/>
      <c r="D771" s="72"/>
      <c r="E771" s="72"/>
      <c r="F771" s="189"/>
      <c r="G771" s="183"/>
      <c r="H771" s="72"/>
    </row>
    <row r="772" ht="22.5" customHeight="1">
      <c r="A772" s="72"/>
      <c r="B772" s="72" t="s">
        <v>1407</v>
      </c>
      <c r="C772" s="72"/>
      <c r="D772" s="72"/>
      <c r="E772" s="72"/>
      <c r="F772" s="189"/>
      <c r="G772" s="183"/>
      <c r="H772" s="72"/>
    </row>
    <row r="773" ht="22.5" customHeight="1">
      <c r="A773" s="72"/>
      <c r="B773" s="72" t="s">
        <v>1407</v>
      </c>
      <c r="C773" s="72"/>
      <c r="D773" s="72"/>
      <c r="E773" s="72"/>
      <c r="F773" s="189"/>
      <c r="G773" s="183"/>
      <c r="H773" s="72"/>
    </row>
    <row r="774" ht="22.5" customHeight="1">
      <c r="A774" s="72"/>
      <c r="B774" s="72" t="s">
        <v>1407</v>
      </c>
      <c r="C774" s="72"/>
      <c r="D774" s="72"/>
      <c r="E774" s="72"/>
      <c r="F774" s="189"/>
      <c r="G774" s="183"/>
      <c r="H774" s="72"/>
    </row>
    <row r="775" ht="22.5" customHeight="1">
      <c r="A775" s="72"/>
      <c r="B775" s="72" t="s">
        <v>1407</v>
      </c>
      <c r="C775" s="72"/>
      <c r="D775" s="72"/>
      <c r="E775" s="72"/>
      <c r="F775" s="189"/>
      <c r="G775" s="183"/>
      <c r="H775" s="72"/>
    </row>
    <row r="776" ht="22.5" customHeight="1">
      <c r="A776" s="72"/>
      <c r="B776" s="72" t="s">
        <v>1407</v>
      </c>
      <c r="C776" s="72"/>
      <c r="D776" s="72"/>
      <c r="E776" s="72"/>
      <c r="F776" s="189"/>
      <c r="G776" s="183"/>
      <c r="H776" s="72"/>
    </row>
    <row r="777" ht="22.5" customHeight="1">
      <c r="A777" s="72"/>
      <c r="B777" s="72" t="s">
        <v>1407</v>
      </c>
      <c r="C777" s="72"/>
      <c r="D777" s="72"/>
      <c r="E777" s="72"/>
      <c r="F777" s="189"/>
      <c r="G777" s="183"/>
      <c r="H777" s="72"/>
    </row>
    <row r="778" ht="22.5" customHeight="1">
      <c r="A778" s="72"/>
      <c r="B778" s="72" t="s">
        <v>1407</v>
      </c>
      <c r="C778" s="72"/>
      <c r="D778" s="72"/>
      <c r="E778" s="72"/>
      <c r="F778" s="189"/>
      <c r="G778" s="183"/>
      <c r="H778" s="72"/>
    </row>
    <row r="779" ht="22.5" customHeight="1">
      <c r="A779" s="72"/>
      <c r="B779" s="72" t="s">
        <v>1407</v>
      </c>
      <c r="C779" s="72"/>
      <c r="D779" s="72"/>
      <c r="E779" s="72"/>
      <c r="F779" s="189"/>
      <c r="G779" s="183"/>
      <c r="H779" s="72"/>
    </row>
    <row r="780" ht="22.5" customHeight="1">
      <c r="A780" s="72"/>
      <c r="B780" s="72" t="s">
        <v>1407</v>
      </c>
      <c r="C780" s="72"/>
      <c r="D780" s="72"/>
      <c r="E780" s="72"/>
      <c r="F780" s="189"/>
      <c r="G780" s="183"/>
      <c r="H780" s="72"/>
    </row>
    <row r="781" ht="22.5" customHeight="1">
      <c r="A781" s="72"/>
      <c r="B781" s="72" t="s">
        <v>1407</v>
      </c>
      <c r="C781" s="72"/>
      <c r="D781" s="72"/>
      <c r="E781" s="72"/>
      <c r="F781" s="189"/>
      <c r="G781" s="183"/>
      <c r="H781" s="72"/>
    </row>
    <row r="782" ht="22.5" customHeight="1">
      <c r="A782" s="72"/>
      <c r="B782" s="72" t="s">
        <v>1407</v>
      </c>
      <c r="C782" s="72"/>
      <c r="D782" s="72"/>
      <c r="E782" s="72"/>
      <c r="F782" s="189"/>
      <c r="G782" s="183"/>
      <c r="H782" s="72"/>
    </row>
    <row r="783" ht="22.5" customHeight="1">
      <c r="A783" s="72"/>
      <c r="B783" s="72" t="s">
        <v>1407</v>
      </c>
      <c r="C783" s="72"/>
      <c r="D783" s="72"/>
      <c r="E783" s="72"/>
      <c r="F783" s="189"/>
      <c r="G783" s="183"/>
      <c r="H783" s="72"/>
    </row>
    <row r="784" ht="22.5" customHeight="1">
      <c r="A784" s="72"/>
      <c r="B784" s="72" t="s">
        <v>1407</v>
      </c>
      <c r="C784" s="72"/>
      <c r="D784" s="72"/>
      <c r="E784" s="72"/>
      <c r="F784" s="189"/>
      <c r="G784" s="183"/>
      <c r="H784" s="72"/>
    </row>
    <row r="785" ht="22.5" customHeight="1">
      <c r="A785" s="72"/>
      <c r="B785" s="72" t="s">
        <v>1407</v>
      </c>
      <c r="C785" s="72"/>
      <c r="D785" s="72"/>
      <c r="E785" s="72"/>
      <c r="F785" s="189"/>
      <c r="G785" s="183"/>
      <c r="H785" s="72"/>
    </row>
    <row r="786" ht="22.5" customHeight="1">
      <c r="A786" s="72"/>
      <c r="B786" s="72" t="s">
        <v>1407</v>
      </c>
      <c r="C786" s="72"/>
      <c r="D786" s="72"/>
      <c r="E786" s="72"/>
      <c r="F786" s="189"/>
      <c r="G786" s="183"/>
      <c r="H786" s="72"/>
    </row>
    <row r="787" ht="22.5" customHeight="1">
      <c r="A787" s="72"/>
      <c r="B787" s="72" t="s">
        <v>1407</v>
      </c>
      <c r="C787" s="72"/>
      <c r="D787" s="72"/>
      <c r="E787" s="72"/>
      <c r="F787" s="189"/>
      <c r="G787" s="183"/>
      <c r="H787" s="72"/>
    </row>
    <row r="788" ht="22.5" customHeight="1">
      <c r="A788" s="72"/>
      <c r="B788" s="72" t="s">
        <v>1407</v>
      </c>
      <c r="C788" s="72"/>
      <c r="D788" s="72"/>
      <c r="E788" s="72"/>
      <c r="F788" s="189"/>
      <c r="G788" s="183"/>
      <c r="H788" s="72"/>
    </row>
    <row r="789" ht="22.5" customHeight="1">
      <c r="A789" s="72"/>
      <c r="B789" s="72" t="s">
        <v>1407</v>
      </c>
      <c r="C789" s="72"/>
      <c r="D789" s="72"/>
      <c r="E789" s="72"/>
      <c r="F789" s="189"/>
      <c r="G789" s="183"/>
      <c r="H789" s="72"/>
    </row>
    <row r="790" ht="22.5" customHeight="1">
      <c r="A790" s="72"/>
      <c r="B790" s="72" t="s">
        <v>1407</v>
      </c>
      <c r="C790" s="72"/>
      <c r="D790" s="72"/>
      <c r="E790" s="72"/>
      <c r="F790" s="189"/>
      <c r="G790" s="183"/>
      <c r="H790" s="72"/>
    </row>
    <row r="791" ht="22.5" customHeight="1">
      <c r="A791" s="72"/>
      <c r="B791" s="72" t="s">
        <v>1407</v>
      </c>
      <c r="C791" s="72"/>
      <c r="D791" s="72"/>
      <c r="E791" s="72"/>
      <c r="F791" s="189"/>
      <c r="G791" s="183"/>
      <c r="H791" s="72"/>
    </row>
    <row r="792" ht="22.5" customHeight="1">
      <c r="A792" s="72"/>
      <c r="B792" s="72" t="s">
        <v>1407</v>
      </c>
      <c r="C792" s="72"/>
      <c r="D792" s="72"/>
      <c r="E792" s="72"/>
      <c r="F792" s="189"/>
      <c r="G792" s="183"/>
      <c r="H792" s="72"/>
    </row>
    <row r="793" ht="22.5" customHeight="1">
      <c r="A793" s="72"/>
      <c r="B793" s="72" t="s">
        <v>1407</v>
      </c>
      <c r="C793" s="72"/>
      <c r="D793" s="72"/>
      <c r="E793" s="72"/>
      <c r="F793" s="189"/>
      <c r="G793" s="183"/>
      <c r="H793" s="72"/>
    </row>
    <row r="794" ht="22.5" customHeight="1">
      <c r="A794" s="72"/>
      <c r="B794" s="72" t="s">
        <v>1407</v>
      </c>
      <c r="C794" s="72"/>
      <c r="D794" s="72"/>
      <c r="E794" s="72"/>
      <c r="F794" s="189"/>
      <c r="G794" s="183"/>
      <c r="H794" s="72"/>
    </row>
    <row r="795" ht="22.5" customHeight="1">
      <c r="A795" s="72"/>
      <c r="B795" s="72" t="s">
        <v>1407</v>
      </c>
      <c r="C795" s="72"/>
      <c r="D795" s="72"/>
      <c r="E795" s="72"/>
      <c r="F795" s="189"/>
      <c r="G795" s="183"/>
      <c r="H795" s="72"/>
    </row>
    <row r="796" ht="22.5" customHeight="1">
      <c r="A796" s="72"/>
      <c r="B796" s="72" t="s">
        <v>1407</v>
      </c>
      <c r="C796" s="72"/>
      <c r="D796" s="72"/>
      <c r="E796" s="72"/>
      <c r="F796" s="189"/>
      <c r="G796" s="183"/>
      <c r="H796" s="72"/>
    </row>
    <row r="797" ht="22.5" customHeight="1">
      <c r="A797" s="72"/>
      <c r="B797" s="72" t="s">
        <v>1407</v>
      </c>
      <c r="C797" s="72"/>
      <c r="D797" s="72"/>
      <c r="E797" s="72"/>
      <c r="F797" s="189"/>
      <c r="G797" s="183"/>
      <c r="H797" s="72"/>
    </row>
    <row r="798" ht="22.5" customHeight="1">
      <c r="A798" s="72"/>
      <c r="B798" s="72" t="s">
        <v>1407</v>
      </c>
      <c r="C798" s="72"/>
      <c r="D798" s="72"/>
      <c r="E798" s="72"/>
      <c r="F798" s="189"/>
      <c r="G798" s="183"/>
      <c r="H798" s="72"/>
    </row>
    <row r="799" ht="22.5" customHeight="1">
      <c r="A799" s="72"/>
      <c r="B799" s="72" t="s">
        <v>1407</v>
      </c>
      <c r="C799" s="72"/>
      <c r="D799" s="72"/>
      <c r="E799" s="72"/>
      <c r="F799" s="189"/>
      <c r="G799" s="183"/>
      <c r="H799" s="72"/>
    </row>
    <row r="800" ht="22.5" customHeight="1">
      <c r="A800" s="72"/>
      <c r="B800" s="72" t="s">
        <v>1407</v>
      </c>
      <c r="C800" s="72"/>
      <c r="D800" s="72"/>
      <c r="E800" s="72"/>
      <c r="F800" s="189"/>
      <c r="G800" s="183"/>
      <c r="H800" s="72"/>
    </row>
    <row r="801" ht="22.5" customHeight="1">
      <c r="A801" s="72"/>
      <c r="B801" s="72" t="s">
        <v>1407</v>
      </c>
      <c r="C801" s="72"/>
      <c r="D801" s="72"/>
      <c r="E801" s="72"/>
      <c r="F801" s="189"/>
      <c r="G801" s="183"/>
      <c r="H801" s="72"/>
    </row>
    <row r="802" ht="22.5" customHeight="1">
      <c r="A802" s="72"/>
      <c r="B802" s="72" t="s">
        <v>1407</v>
      </c>
      <c r="C802" s="72"/>
      <c r="D802" s="72"/>
      <c r="E802" s="72"/>
      <c r="F802" s="189"/>
      <c r="G802" s="183"/>
      <c r="H802" s="72"/>
    </row>
    <row r="803" ht="22.5" customHeight="1">
      <c r="A803" s="72"/>
      <c r="B803" s="72" t="s">
        <v>1407</v>
      </c>
      <c r="C803" s="72"/>
      <c r="D803" s="72"/>
      <c r="E803" s="72"/>
      <c r="F803" s="189"/>
      <c r="G803" s="183"/>
      <c r="H803" s="72"/>
    </row>
    <row r="804" ht="22.5" customHeight="1">
      <c r="A804" s="72"/>
      <c r="B804" s="72" t="s">
        <v>1407</v>
      </c>
      <c r="C804" s="72"/>
      <c r="D804" s="72"/>
      <c r="E804" s="72"/>
      <c r="F804" s="189"/>
      <c r="G804" s="183"/>
      <c r="H804" s="72"/>
    </row>
    <row r="805" ht="22.5" customHeight="1">
      <c r="A805" s="72"/>
      <c r="B805" s="72" t="s">
        <v>1407</v>
      </c>
      <c r="C805" s="72"/>
      <c r="D805" s="72"/>
      <c r="E805" s="72"/>
      <c r="F805" s="189"/>
      <c r="G805" s="183"/>
      <c r="H805" s="72"/>
    </row>
    <row r="806" ht="22.5" customHeight="1">
      <c r="A806" s="72"/>
      <c r="B806" s="72" t="s">
        <v>1407</v>
      </c>
      <c r="C806" s="72"/>
      <c r="D806" s="72"/>
      <c r="E806" s="72"/>
      <c r="F806" s="189"/>
      <c r="G806" s="183"/>
      <c r="H806" s="72"/>
    </row>
    <row r="807" ht="22.5" customHeight="1">
      <c r="A807" s="72"/>
      <c r="B807" s="72" t="s">
        <v>1407</v>
      </c>
      <c r="C807" s="72"/>
      <c r="D807" s="72"/>
      <c r="E807" s="72"/>
      <c r="F807" s="189"/>
      <c r="G807" s="183"/>
      <c r="H807" s="72"/>
    </row>
    <row r="808" ht="22.5" customHeight="1">
      <c r="A808" s="72"/>
      <c r="B808" s="72" t="s">
        <v>1407</v>
      </c>
      <c r="C808" s="72"/>
      <c r="D808" s="72"/>
      <c r="E808" s="72"/>
      <c r="F808" s="189"/>
      <c r="G808" s="183"/>
      <c r="H808" s="72"/>
    </row>
    <row r="809" ht="22.5" customHeight="1">
      <c r="A809" s="72"/>
      <c r="B809" s="72" t="s">
        <v>1407</v>
      </c>
      <c r="C809" s="72"/>
      <c r="D809" s="72"/>
      <c r="E809" s="72"/>
      <c r="F809" s="189"/>
      <c r="G809" s="183"/>
      <c r="H809" s="72"/>
    </row>
    <row r="810" ht="22.5" customHeight="1">
      <c r="A810" s="72"/>
      <c r="B810" s="72" t="s">
        <v>1407</v>
      </c>
      <c r="C810" s="72"/>
      <c r="D810" s="72"/>
      <c r="E810" s="72"/>
      <c r="F810" s="189"/>
      <c r="G810" s="183"/>
      <c r="H810" s="72"/>
    </row>
    <row r="811" ht="22.5" customHeight="1">
      <c r="A811" s="72"/>
      <c r="B811" s="72" t="s">
        <v>1407</v>
      </c>
      <c r="C811" s="72"/>
      <c r="D811" s="72"/>
      <c r="E811" s="72"/>
      <c r="F811" s="189"/>
      <c r="G811" s="183"/>
      <c r="H811" s="72"/>
    </row>
    <row r="812" ht="22.5" customHeight="1">
      <c r="A812" s="72"/>
      <c r="B812" s="72" t="s">
        <v>1407</v>
      </c>
      <c r="C812" s="72"/>
      <c r="D812" s="72"/>
      <c r="E812" s="72"/>
      <c r="F812" s="189"/>
      <c r="G812" s="183"/>
      <c r="H812" s="72"/>
    </row>
    <row r="813" ht="22.5" customHeight="1">
      <c r="A813" s="72"/>
      <c r="B813" s="72" t="s">
        <v>1407</v>
      </c>
      <c r="C813" s="72"/>
      <c r="D813" s="72"/>
      <c r="E813" s="72"/>
      <c r="F813" s="189"/>
      <c r="G813" s="183"/>
      <c r="H813" s="72"/>
    </row>
    <row r="814" ht="22.5" customHeight="1">
      <c r="A814" s="72"/>
      <c r="B814" s="72" t="s">
        <v>1407</v>
      </c>
      <c r="C814" s="72"/>
      <c r="D814" s="72"/>
      <c r="E814" s="72"/>
      <c r="F814" s="189"/>
      <c r="G814" s="183"/>
      <c r="H814" s="72"/>
    </row>
    <row r="815" ht="22.5" customHeight="1">
      <c r="A815" s="72"/>
      <c r="B815" s="72" t="s">
        <v>1407</v>
      </c>
      <c r="C815" s="72"/>
      <c r="D815" s="72"/>
      <c r="E815" s="72"/>
      <c r="F815" s="189"/>
      <c r="G815" s="183"/>
      <c r="H815" s="72"/>
    </row>
    <row r="816" ht="22.5" customHeight="1">
      <c r="A816" s="72"/>
      <c r="B816" s="72" t="s">
        <v>1407</v>
      </c>
      <c r="C816" s="72"/>
      <c r="D816" s="72"/>
      <c r="E816" s="72"/>
      <c r="F816" s="189"/>
      <c r="G816" s="183"/>
      <c r="H816" s="72"/>
    </row>
    <row r="817" ht="22.5" customHeight="1">
      <c r="A817" s="72"/>
      <c r="B817" s="72" t="s">
        <v>1407</v>
      </c>
      <c r="C817" s="72"/>
      <c r="D817" s="72"/>
      <c r="E817" s="72"/>
      <c r="F817" s="189"/>
      <c r="G817" s="183"/>
      <c r="H817" s="72"/>
    </row>
    <row r="818" ht="22.5" customHeight="1">
      <c r="A818" s="72"/>
      <c r="B818" s="72" t="s">
        <v>1407</v>
      </c>
      <c r="C818" s="72"/>
      <c r="D818" s="72"/>
      <c r="E818" s="72"/>
      <c r="F818" s="189"/>
      <c r="G818" s="183"/>
      <c r="H818" s="72"/>
    </row>
    <row r="819" ht="22.5" customHeight="1">
      <c r="A819" s="72"/>
      <c r="B819" s="72" t="s">
        <v>1407</v>
      </c>
      <c r="C819" s="72"/>
      <c r="D819" s="72"/>
      <c r="E819" s="72"/>
      <c r="F819" s="189"/>
      <c r="G819" s="183"/>
      <c r="H819" s="72"/>
    </row>
    <row r="820" ht="22.5" customHeight="1">
      <c r="A820" s="72"/>
      <c r="B820" s="72" t="s">
        <v>1407</v>
      </c>
      <c r="C820" s="72"/>
      <c r="D820" s="72"/>
      <c r="E820" s="72"/>
      <c r="F820" s="189"/>
      <c r="G820" s="183"/>
      <c r="H820" s="72"/>
    </row>
    <row r="821" ht="22.5" customHeight="1">
      <c r="A821" s="72"/>
      <c r="B821" s="72" t="s">
        <v>1407</v>
      </c>
      <c r="C821" s="72"/>
      <c r="D821" s="72"/>
      <c r="E821" s="72"/>
      <c r="F821" s="189"/>
      <c r="G821" s="183"/>
      <c r="H821" s="72"/>
    </row>
    <row r="822" ht="22.5" customHeight="1">
      <c r="A822" s="72"/>
      <c r="B822" s="72" t="s">
        <v>1407</v>
      </c>
      <c r="C822" s="72"/>
      <c r="D822" s="72"/>
      <c r="E822" s="72"/>
      <c r="F822" s="189"/>
      <c r="G822" s="183"/>
      <c r="H822" s="72"/>
    </row>
    <row r="823" ht="22.5" customHeight="1">
      <c r="A823" s="72"/>
      <c r="B823" s="72" t="s">
        <v>1407</v>
      </c>
      <c r="C823" s="72"/>
      <c r="D823" s="72"/>
      <c r="E823" s="72"/>
      <c r="F823" s="189"/>
      <c r="G823" s="183"/>
      <c r="H823" s="72"/>
    </row>
    <row r="824" ht="22.5" customHeight="1">
      <c r="A824" s="72"/>
      <c r="B824" s="72" t="s">
        <v>1407</v>
      </c>
      <c r="C824" s="72"/>
      <c r="D824" s="72"/>
      <c r="E824" s="72"/>
      <c r="F824" s="189"/>
      <c r="G824" s="183"/>
      <c r="H824" s="72"/>
    </row>
    <row r="825" ht="22.5" customHeight="1">
      <c r="A825" s="72"/>
      <c r="B825" s="72" t="s">
        <v>1407</v>
      </c>
      <c r="C825" s="72"/>
      <c r="D825" s="72"/>
      <c r="E825" s="72"/>
      <c r="F825" s="189"/>
      <c r="G825" s="183"/>
      <c r="H825" s="72"/>
    </row>
    <row r="826" ht="22.5" customHeight="1">
      <c r="A826" s="72"/>
      <c r="B826" s="72" t="s">
        <v>1407</v>
      </c>
      <c r="C826" s="72"/>
      <c r="D826" s="72"/>
      <c r="E826" s="72"/>
      <c r="F826" s="189"/>
      <c r="G826" s="183"/>
      <c r="H826" s="72"/>
    </row>
    <row r="827" ht="22.5" customHeight="1">
      <c r="A827" s="72"/>
      <c r="B827" s="72" t="s">
        <v>1407</v>
      </c>
      <c r="C827" s="72"/>
      <c r="D827" s="72"/>
      <c r="E827" s="72"/>
      <c r="F827" s="189"/>
      <c r="G827" s="183"/>
      <c r="H827" s="72"/>
    </row>
    <row r="828" ht="22.5" customHeight="1">
      <c r="A828" s="72"/>
      <c r="B828" s="72" t="s">
        <v>1407</v>
      </c>
      <c r="C828" s="72"/>
      <c r="D828" s="72"/>
      <c r="E828" s="72"/>
      <c r="F828" s="189"/>
      <c r="G828" s="183"/>
      <c r="H828" s="72"/>
    </row>
    <row r="829" ht="22.5" customHeight="1">
      <c r="A829" s="72"/>
      <c r="B829" s="72" t="s">
        <v>1407</v>
      </c>
      <c r="C829" s="72"/>
      <c r="D829" s="72"/>
      <c r="E829" s="72"/>
      <c r="F829" s="189"/>
      <c r="G829" s="183"/>
      <c r="H829" s="72"/>
    </row>
    <row r="830" ht="22.5" customHeight="1">
      <c r="A830" s="72"/>
      <c r="B830" s="72" t="s">
        <v>1407</v>
      </c>
      <c r="C830" s="72"/>
      <c r="D830" s="72"/>
      <c r="E830" s="72"/>
      <c r="F830" s="189"/>
      <c r="G830" s="183"/>
      <c r="H830" s="72"/>
    </row>
    <row r="831" ht="22.5" customHeight="1">
      <c r="A831" s="72"/>
      <c r="B831" s="72" t="s">
        <v>1407</v>
      </c>
      <c r="C831" s="72"/>
      <c r="D831" s="72"/>
      <c r="E831" s="72"/>
      <c r="F831" s="189"/>
      <c r="G831" s="183"/>
      <c r="H831" s="72"/>
    </row>
    <row r="832" ht="22.5" customHeight="1">
      <c r="A832" s="72"/>
      <c r="B832" s="72" t="s">
        <v>1407</v>
      </c>
      <c r="C832" s="72"/>
      <c r="D832" s="72"/>
      <c r="E832" s="72"/>
      <c r="F832" s="189"/>
      <c r="G832" s="183"/>
      <c r="H832" s="72"/>
    </row>
    <row r="833" ht="22.5" customHeight="1">
      <c r="A833" s="72"/>
      <c r="B833" s="72" t="s">
        <v>1407</v>
      </c>
      <c r="C833" s="72"/>
      <c r="D833" s="72"/>
      <c r="E833" s="72"/>
      <c r="F833" s="189"/>
      <c r="G833" s="183"/>
      <c r="H833" s="72"/>
    </row>
    <row r="834" ht="22.5" customHeight="1">
      <c r="A834" s="72"/>
      <c r="B834" s="72" t="s">
        <v>1407</v>
      </c>
      <c r="C834" s="72"/>
      <c r="D834" s="72"/>
      <c r="E834" s="72"/>
      <c r="F834" s="189"/>
      <c r="G834" s="183"/>
      <c r="H834" s="72"/>
    </row>
    <row r="835" ht="22.5" customHeight="1">
      <c r="A835" s="72"/>
      <c r="B835" s="72" t="s">
        <v>1407</v>
      </c>
      <c r="C835" s="72"/>
      <c r="D835" s="72"/>
      <c r="E835" s="72"/>
      <c r="F835" s="189"/>
      <c r="G835" s="183"/>
      <c r="H835" s="72"/>
    </row>
    <row r="836" ht="22.5" customHeight="1">
      <c r="A836" s="72"/>
      <c r="B836" s="72" t="s">
        <v>1407</v>
      </c>
      <c r="C836" s="72"/>
      <c r="D836" s="72"/>
      <c r="E836" s="72"/>
      <c r="F836" s="189"/>
      <c r="G836" s="183"/>
      <c r="H836" s="72"/>
    </row>
    <row r="837" ht="22.5" customHeight="1">
      <c r="A837" s="72"/>
      <c r="B837" s="72" t="s">
        <v>1407</v>
      </c>
      <c r="C837" s="72"/>
      <c r="D837" s="72"/>
      <c r="E837" s="72"/>
      <c r="F837" s="189"/>
      <c r="G837" s="183"/>
      <c r="H837" s="72"/>
    </row>
    <row r="838" ht="22.5" customHeight="1">
      <c r="A838" s="72"/>
      <c r="B838" s="72" t="s">
        <v>1407</v>
      </c>
      <c r="C838" s="72"/>
      <c r="D838" s="72"/>
      <c r="E838" s="72"/>
      <c r="F838" s="189"/>
      <c r="G838" s="183"/>
      <c r="H838" s="72"/>
    </row>
    <row r="839" ht="22.5" customHeight="1">
      <c r="A839" s="72"/>
      <c r="B839" s="72" t="s">
        <v>1407</v>
      </c>
      <c r="C839" s="72"/>
      <c r="D839" s="72"/>
      <c r="E839" s="72"/>
      <c r="F839" s="189"/>
      <c r="G839" s="183"/>
      <c r="H839" s="72"/>
    </row>
    <row r="840" ht="22.5" customHeight="1">
      <c r="A840" s="72"/>
      <c r="B840" s="72" t="s">
        <v>1407</v>
      </c>
      <c r="C840" s="72"/>
      <c r="D840" s="72"/>
      <c r="E840" s="72"/>
      <c r="F840" s="189"/>
      <c r="G840" s="183"/>
      <c r="H840" s="72"/>
    </row>
    <row r="841" ht="22.5" customHeight="1">
      <c r="A841" s="72"/>
      <c r="B841" s="72" t="s">
        <v>1407</v>
      </c>
      <c r="C841" s="72"/>
      <c r="D841" s="72"/>
      <c r="E841" s="72"/>
      <c r="F841" s="189"/>
      <c r="G841" s="183"/>
      <c r="H841" s="72"/>
    </row>
    <row r="842" ht="22.5" customHeight="1">
      <c r="A842" s="72"/>
      <c r="B842" s="72" t="s">
        <v>1407</v>
      </c>
      <c r="C842" s="72"/>
      <c r="D842" s="72"/>
      <c r="E842" s="72"/>
      <c r="F842" s="189"/>
      <c r="G842" s="183"/>
      <c r="H842" s="72"/>
    </row>
    <row r="843" ht="22.5" customHeight="1">
      <c r="A843" s="72"/>
      <c r="B843" s="72" t="s">
        <v>1407</v>
      </c>
      <c r="C843" s="72"/>
      <c r="D843" s="72"/>
      <c r="E843" s="72"/>
      <c r="F843" s="189"/>
      <c r="G843" s="183"/>
      <c r="H843" s="72"/>
    </row>
    <row r="844" ht="22.5" customHeight="1">
      <c r="A844" s="72"/>
      <c r="B844" s="72" t="s">
        <v>1407</v>
      </c>
      <c r="C844" s="72"/>
      <c r="D844" s="72"/>
      <c r="E844" s="72"/>
      <c r="F844" s="189"/>
      <c r="G844" s="183"/>
      <c r="H844" s="72"/>
    </row>
    <row r="845" ht="22.5" customHeight="1">
      <c r="A845" s="72"/>
      <c r="B845" s="72" t="s">
        <v>1407</v>
      </c>
      <c r="C845" s="72"/>
      <c r="D845" s="72"/>
      <c r="E845" s="72"/>
      <c r="F845" s="189"/>
      <c r="G845" s="183"/>
      <c r="H845" s="72"/>
    </row>
    <row r="846" ht="22.5" customHeight="1">
      <c r="A846" s="72"/>
      <c r="B846" s="72" t="s">
        <v>1407</v>
      </c>
      <c r="C846" s="72"/>
      <c r="D846" s="72"/>
      <c r="E846" s="72"/>
      <c r="F846" s="189"/>
      <c r="G846" s="183"/>
      <c r="H846" s="72"/>
    </row>
    <row r="847" ht="22.5" customHeight="1">
      <c r="A847" s="72"/>
      <c r="B847" s="72" t="s">
        <v>1407</v>
      </c>
      <c r="C847" s="72"/>
      <c r="D847" s="72"/>
      <c r="E847" s="72"/>
      <c r="F847" s="189"/>
      <c r="G847" s="183"/>
      <c r="H847" s="72"/>
    </row>
    <row r="848" ht="22.5" customHeight="1">
      <c r="A848" s="72"/>
      <c r="B848" s="72" t="s">
        <v>1407</v>
      </c>
      <c r="C848" s="72"/>
      <c r="D848" s="72"/>
      <c r="E848" s="72"/>
      <c r="F848" s="189"/>
      <c r="G848" s="183"/>
      <c r="H848" s="72"/>
    </row>
    <row r="849" ht="22.5" customHeight="1">
      <c r="A849" s="72"/>
      <c r="B849" s="72" t="s">
        <v>1407</v>
      </c>
      <c r="C849" s="72"/>
      <c r="D849" s="72"/>
      <c r="E849" s="72"/>
      <c r="F849" s="189"/>
      <c r="G849" s="183"/>
      <c r="H849" s="72"/>
    </row>
    <row r="850" ht="22.5" customHeight="1">
      <c r="A850" s="72"/>
      <c r="B850" s="72" t="s">
        <v>1407</v>
      </c>
      <c r="C850" s="72"/>
      <c r="D850" s="72"/>
      <c r="E850" s="72"/>
      <c r="F850" s="189"/>
      <c r="G850" s="183"/>
      <c r="H850" s="72"/>
    </row>
    <row r="851" ht="22.5" customHeight="1">
      <c r="A851" s="72"/>
      <c r="B851" s="72" t="s">
        <v>1407</v>
      </c>
      <c r="C851" s="72"/>
      <c r="D851" s="72"/>
      <c r="E851" s="72"/>
      <c r="F851" s="189"/>
      <c r="G851" s="183"/>
      <c r="H851" s="72"/>
    </row>
    <row r="852" ht="22.5" customHeight="1">
      <c r="A852" s="72"/>
      <c r="B852" s="72" t="s">
        <v>1407</v>
      </c>
      <c r="C852" s="72"/>
      <c r="D852" s="72"/>
      <c r="E852" s="72"/>
      <c r="F852" s="189"/>
      <c r="G852" s="183"/>
      <c r="H852" s="72"/>
    </row>
    <row r="853" ht="22.5" customHeight="1">
      <c r="A853" s="72"/>
      <c r="B853" s="72" t="s">
        <v>1407</v>
      </c>
      <c r="C853" s="72"/>
      <c r="D853" s="72"/>
      <c r="E853" s="72"/>
      <c r="F853" s="189"/>
      <c r="G853" s="183"/>
      <c r="H853" s="72"/>
    </row>
    <row r="854" ht="22.5" customHeight="1">
      <c r="A854" s="72"/>
      <c r="B854" s="72" t="s">
        <v>1407</v>
      </c>
      <c r="C854" s="72"/>
      <c r="D854" s="72"/>
      <c r="E854" s="72"/>
      <c r="F854" s="189"/>
      <c r="G854" s="183"/>
      <c r="H854" s="72"/>
    </row>
    <row r="855" ht="22.5" customHeight="1">
      <c r="A855" s="72"/>
      <c r="B855" s="72" t="s">
        <v>1407</v>
      </c>
      <c r="C855" s="72"/>
      <c r="D855" s="72"/>
      <c r="E855" s="72"/>
      <c r="F855" s="189"/>
      <c r="G855" s="183"/>
      <c r="H855" s="72"/>
    </row>
    <row r="856" ht="22.5" customHeight="1">
      <c r="A856" s="72"/>
      <c r="B856" s="72" t="s">
        <v>1407</v>
      </c>
      <c r="C856" s="72"/>
      <c r="D856" s="72"/>
      <c r="E856" s="72"/>
      <c r="F856" s="189"/>
      <c r="G856" s="183"/>
      <c r="H856" s="72"/>
    </row>
    <row r="857" ht="22.5" customHeight="1">
      <c r="A857" s="72"/>
      <c r="B857" s="72" t="s">
        <v>1407</v>
      </c>
      <c r="C857" s="72"/>
      <c r="D857" s="72"/>
      <c r="E857" s="72"/>
      <c r="F857" s="189"/>
      <c r="G857" s="183"/>
      <c r="H857" s="72"/>
    </row>
    <row r="858" ht="22.5" customHeight="1">
      <c r="A858" s="72"/>
      <c r="B858" s="72" t="s">
        <v>1407</v>
      </c>
      <c r="C858" s="72"/>
      <c r="D858" s="72"/>
      <c r="E858" s="72"/>
      <c r="F858" s="189"/>
      <c r="G858" s="183"/>
      <c r="H858" s="72"/>
    </row>
    <row r="859" ht="22.5" customHeight="1">
      <c r="A859" s="72"/>
      <c r="B859" s="72" t="s">
        <v>1407</v>
      </c>
      <c r="C859" s="72"/>
      <c r="D859" s="72"/>
      <c r="E859" s="72"/>
      <c r="F859" s="189"/>
      <c r="G859" s="183"/>
      <c r="H859" s="72"/>
    </row>
    <row r="860" ht="22.5" customHeight="1">
      <c r="A860" s="72"/>
      <c r="B860" s="72" t="s">
        <v>1407</v>
      </c>
      <c r="C860" s="72"/>
      <c r="D860" s="72"/>
      <c r="E860" s="72"/>
      <c r="F860" s="189"/>
      <c r="G860" s="183"/>
      <c r="H860" s="72"/>
    </row>
    <row r="861" ht="22.5" customHeight="1">
      <c r="A861" s="72"/>
      <c r="B861" s="72" t="s">
        <v>1407</v>
      </c>
      <c r="C861" s="72"/>
      <c r="D861" s="72"/>
      <c r="E861" s="72"/>
      <c r="F861" s="189"/>
      <c r="G861" s="183"/>
      <c r="H861" s="72"/>
    </row>
    <row r="862" ht="22.5" customHeight="1">
      <c r="A862" s="72"/>
      <c r="B862" s="72" t="s">
        <v>1407</v>
      </c>
      <c r="C862" s="72"/>
      <c r="D862" s="72"/>
      <c r="E862" s="72"/>
      <c r="F862" s="189"/>
      <c r="G862" s="183"/>
      <c r="H862" s="72"/>
    </row>
    <row r="863" ht="22.5" customHeight="1">
      <c r="A863" s="72"/>
      <c r="B863" s="72" t="s">
        <v>1407</v>
      </c>
      <c r="C863" s="72"/>
      <c r="D863" s="72"/>
      <c r="E863" s="72"/>
      <c r="F863" s="189"/>
      <c r="G863" s="183"/>
      <c r="H863" s="72"/>
    </row>
    <row r="864" ht="22.5" customHeight="1">
      <c r="A864" s="72"/>
      <c r="B864" s="72" t="s">
        <v>1407</v>
      </c>
      <c r="C864" s="72"/>
      <c r="D864" s="72"/>
      <c r="E864" s="72"/>
      <c r="F864" s="189"/>
      <c r="G864" s="183"/>
      <c r="H864" s="72"/>
    </row>
    <row r="865" ht="22.5" customHeight="1">
      <c r="A865" s="72"/>
      <c r="B865" s="72" t="s">
        <v>1407</v>
      </c>
      <c r="C865" s="72"/>
      <c r="D865" s="72"/>
      <c r="E865" s="72"/>
      <c r="F865" s="189"/>
      <c r="G865" s="183"/>
      <c r="H865" s="72"/>
    </row>
    <row r="866" ht="22.5" customHeight="1">
      <c r="A866" s="72"/>
      <c r="B866" s="72" t="s">
        <v>1407</v>
      </c>
      <c r="C866" s="72"/>
      <c r="D866" s="72"/>
      <c r="E866" s="72"/>
      <c r="F866" s="189"/>
      <c r="G866" s="183"/>
      <c r="H866" s="72"/>
    </row>
    <row r="867" ht="22.5" customHeight="1">
      <c r="A867" s="72"/>
      <c r="B867" s="72" t="s">
        <v>1407</v>
      </c>
      <c r="C867" s="72"/>
      <c r="D867" s="72"/>
      <c r="E867" s="72"/>
      <c r="F867" s="189"/>
      <c r="G867" s="183"/>
      <c r="H867" s="72"/>
    </row>
    <row r="868" ht="22.5" customHeight="1">
      <c r="A868" s="72"/>
      <c r="B868" s="72" t="s">
        <v>1407</v>
      </c>
      <c r="C868" s="72"/>
      <c r="D868" s="72"/>
      <c r="E868" s="72"/>
      <c r="F868" s="189"/>
      <c r="G868" s="183"/>
      <c r="H868" s="72"/>
    </row>
    <row r="869" ht="22.5" customHeight="1">
      <c r="A869" s="72"/>
      <c r="B869" s="72" t="s">
        <v>1407</v>
      </c>
      <c r="C869" s="72"/>
      <c r="D869" s="72"/>
      <c r="E869" s="72"/>
      <c r="F869" s="189"/>
      <c r="G869" s="183"/>
      <c r="H869" s="72"/>
    </row>
    <row r="870" ht="22.5" customHeight="1">
      <c r="A870" s="72"/>
      <c r="B870" s="72" t="s">
        <v>1407</v>
      </c>
      <c r="C870" s="72"/>
      <c r="D870" s="72"/>
      <c r="E870" s="72"/>
      <c r="F870" s="189"/>
      <c r="G870" s="183"/>
      <c r="H870" s="72"/>
    </row>
    <row r="871" ht="22.5" customHeight="1">
      <c r="A871" s="72"/>
      <c r="B871" s="72" t="s">
        <v>1407</v>
      </c>
      <c r="C871" s="72"/>
      <c r="D871" s="72"/>
      <c r="E871" s="72"/>
      <c r="F871" s="189"/>
      <c r="G871" s="183"/>
      <c r="H871" s="72"/>
    </row>
    <row r="872" ht="22.5" customHeight="1">
      <c r="A872" s="72"/>
      <c r="B872" s="72" t="s">
        <v>1407</v>
      </c>
      <c r="C872" s="72"/>
      <c r="D872" s="72"/>
      <c r="E872" s="72"/>
      <c r="F872" s="189"/>
      <c r="G872" s="183"/>
      <c r="H872" s="72"/>
    </row>
    <row r="873" ht="22.5" customHeight="1">
      <c r="A873" s="72"/>
      <c r="B873" s="72" t="s">
        <v>1407</v>
      </c>
      <c r="C873" s="72"/>
      <c r="D873" s="72"/>
      <c r="E873" s="72"/>
      <c r="F873" s="189"/>
      <c r="G873" s="183"/>
      <c r="H873" s="72"/>
    </row>
    <row r="874" ht="22.5" customHeight="1">
      <c r="A874" s="72"/>
      <c r="B874" s="72" t="s">
        <v>1407</v>
      </c>
      <c r="C874" s="72"/>
      <c r="D874" s="72"/>
      <c r="E874" s="72"/>
      <c r="F874" s="189"/>
      <c r="G874" s="183"/>
      <c r="H874" s="72"/>
    </row>
    <row r="875" ht="22.5" customHeight="1">
      <c r="A875" s="72"/>
      <c r="B875" s="72" t="s">
        <v>1407</v>
      </c>
      <c r="C875" s="72"/>
      <c r="D875" s="72"/>
      <c r="E875" s="72"/>
      <c r="F875" s="189"/>
      <c r="G875" s="183"/>
      <c r="H875" s="72"/>
    </row>
    <row r="876" ht="22.5" customHeight="1">
      <c r="A876" s="72"/>
      <c r="B876" s="72" t="s">
        <v>1407</v>
      </c>
      <c r="C876" s="72"/>
      <c r="D876" s="72"/>
      <c r="E876" s="72"/>
      <c r="F876" s="189"/>
      <c r="G876" s="183"/>
      <c r="H876" s="72"/>
    </row>
    <row r="877" ht="22.5" customHeight="1">
      <c r="A877" s="72"/>
      <c r="B877" s="72" t="s">
        <v>1407</v>
      </c>
      <c r="C877" s="72"/>
      <c r="D877" s="72"/>
      <c r="E877" s="72"/>
      <c r="F877" s="189"/>
      <c r="G877" s="183"/>
      <c r="H877" s="72"/>
    </row>
    <row r="878" ht="22.5" customHeight="1">
      <c r="A878" s="72"/>
      <c r="B878" s="72" t="s">
        <v>1407</v>
      </c>
      <c r="C878" s="72"/>
      <c r="D878" s="72"/>
      <c r="E878" s="72"/>
      <c r="F878" s="189"/>
      <c r="G878" s="183"/>
      <c r="H878" s="72"/>
    </row>
    <row r="879" ht="22.5" customHeight="1">
      <c r="A879" s="72"/>
      <c r="B879" s="72" t="s">
        <v>1407</v>
      </c>
      <c r="C879" s="72"/>
      <c r="D879" s="72"/>
      <c r="E879" s="72"/>
      <c r="F879" s="189"/>
      <c r="G879" s="183"/>
      <c r="H879" s="72"/>
    </row>
    <row r="880" ht="22.5" customHeight="1">
      <c r="A880" s="72"/>
      <c r="B880" s="72" t="s">
        <v>1407</v>
      </c>
      <c r="C880" s="72"/>
      <c r="D880" s="72"/>
      <c r="E880" s="72"/>
      <c r="F880" s="189"/>
      <c r="G880" s="183"/>
      <c r="H880" s="72"/>
    </row>
    <row r="881" ht="22.5" customHeight="1">
      <c r="A881" s="72"/>
      <c r="B881" s="72" t="s">
        <v>1407</v>
      </c>
      <c r="C881" s="72"/>
      <c r="D881" s="72"/>
      <c r="E881" s="72"/>
      <c r="F881" s="189"/>
      <c r="G881" s="183"/>
      <c r="H881" s="72"/>
    </row>
    <row r="882" ht="22.5" customHeight="1">
      <c r="A882" s="72"/>
      <c r="B882" s="72" t="s">
        <v>1407</v>
      </c>
      <c r="C882" s="72"/>
      <c r="D882" s="72"/>
      <c r="E882" s="72"/>
      <c r="F882" s="189"/>
      <c r="G882" s="183"/>
      <c r="H882" s="72"/>
    </row>
    <row r="883" ht="22.5" customHeight="1">
      <c r="A883" s="72"/>
      <c r="B883" s="72" t="s">
        <v>1407</v>
      </c>
      <c r="C883" s="72"/>
      <c r="D883" s="72"/>
      <c r="E883" s="72"/>
      <c r="F883" s="189"/>
      <c r="G883" s="183"/>
      <c r="H883" s="72"/>
    </row>
    <row r="884" ht="22.5" customHeight="1">
      <c r="A884" s="72"/>
      <c r="B884" s="72" t="s">
        <v>1407</v>
      </c>
      <c r="C884" s="72"/>
      <c r="D884" s="72"/>
      <c r="E884" s="72"/>
      <c r="F884" s="189"/>
      <c r="G884" s="183"/>
      <c r="H884" s="72"/>
    </row>
    <row r="885" ht="22.5" customHeight="1">
      <c r="A885" s="72"/>
      <c r="B885" s="72" t="s">
        <v>1407</v>
      </c>
      <c r="C885" s="72"/>
      <c r="D885" s="72"/>
      <c r="E885" s="72"/>
      <c r="F885" s="189"/>
      <c r="G885" s="183"/>
      <c r="H885" s="72"/>
    </row>
    <row r="886" ht="22.5" customHeight="1">
      <c r="A886" s="72"/>
      <c r="B886" s="72" t="s">
        <v>1407</v>
      </c>
      <c r="C886" s="72"/>
      <c r="D886" s="72"/>
      <c r="E886" s="72"/>
      <c r="F886" s="189"/>
      <c r="G886" s="183"/>
      <c r="H886" s="72"/>
    </row>
    <row r="887" ht="22.5" customHeight="1">
      <c r="A887" s="72"/>
      <c r="B887" s="72" t="s">
        <v>1407</v>
      </c>
      <c r="C887" s="72"/>
      <c r="D887" s="72"/>
      <c r="E887" s="72"/>
      <c r="F887" s="189"/>
      <c r="G887" s="183"/>
      <c r="H887" s="72"/>
    </row>
    <row r="888" ht="22.5" customHeight="1">
      <c r="A888" s="72"/>
      <c r="B888" s="72" t="s">
        <v>1407</v>
      </c>
      <c r="C888" s="72"/>
      <c r="D888" s="72"/>
      <c r="E888" s="72"/>
      <c r="F888" s="189"/>
      <c r="G888" s="183"/>
      <c r="H888" s="72"/>
    </row>
    <row r="889" ht="22.5" customHeight="1">
      <c r="A889" s="72"/>
      <c r="B889" s="72" t="s">
        <v>1407</v>
      </c>
      <c r="C889" s="72"/>
      <c r="D889" s="72"/>
      <c r="E889" s="72"/>
      <c r="F889" s="189"/>
      <c r="G889" s="183"/>
      <c r="H889" s="72"/>
    </row>
    <row r="890" ht="22.5" customHeight="1">
      <c r="A890" s="72"/>
      <c r="B890" s="72" t="s">
        <v>1407</v>
      </c>
      <c r="C890" s="72"/>
      <c r="D890" s="72"/>
      <c r="E890" s="72"/>
      <c r="F890" s="189"/>
      <c r="G890" s="183"/>
      <c r="H890" s="72"/>
    </row>
    <row r="891" ht="22.5" customHeight="1">
      <c r="A891" s="72"/>
      <c r="B891" s="72" t="s">
        <v>1407</v>
      </c>
      <c r="C891" s="72"/>
      <c r="D891" s="72"/>
      <c r="E891" s="72"/>
      <c r="F891" s="189"/>
      <c r="G891" s="183"/>
      <c r="H891" s="72"/>
    </row>
    <row r="892" ht="22.5" customHeight="1">
      <c r="A892" s="72"/>
      <c r="B892" s="72" t="s">
        <v>1407</v>
      </c>
      <c r="C892" s="72"/>
      <c r="D892" s="72"/>
      <c r="E892" s="72"/>
      <c r="F892" s="189"/>
      <c r="G892" s="183"/>
      <c r="H892" s="72"/>
    </row>
    <row r="893" ht="22.5" customHeight="1">
      <c r="A893" s="72"/>
      <c r="B893" s="72" t="s">
        <v>1407</v>
      </c>
      <c r="C893" s="72"/>
      <c r="D893" s="72"/>
      <c r="E893" s="72"/>
      <c r="F893" s="189"/>
      <c r="G893" s="183"/>
      <c r="H893" s="72"/>
    </row>
    <row r="894" ht="22.5" customHeight="1">
      <c r="A894" s="72"/>
      <c r="B894" s="72" t="s">
        <v>1407</v>
      </c>
      <c r="C894" s="72"/>
      <c r="D894" s="72"/>
      <c r="E894" s="72"/>
      <c r="F894" s="189"/>
      <c r="G894" s="183"/>
      <c r="H894" s="72"/>
    </row>
    <row r="895" ht="22.5" customHeight="1">
      <c r="A895" s="72"/>
      <c r="B895" s="72" t="s">
        <v>1407</v>
      </c>
      <c r="C895" s="72"/>
      <c r="D895" s="72"/>
      <c r="E895" s="72"/>
      <c r="F895" s="189"/>
      <c r="G895" s="183"/>
      <c r="H895" s="72"/>
    </row>
    <row r="896" ht="22.5" customHeight="1">
      <c r="A896" s="72"/>
      <c r="B896" s="72" t="s">
        <v>1407</v>
      </c>
      <c r="C896" s="72"/>
      <c r="D896" s="72"/>
      <c r="E896" s="72"/>
      <c r="F896" s="189"/>
      <c r="G896" s="183"/>
      <c r="H896" s="72"/>
    </row>
    <row r="897" ht="22.5" customHeight="1">
      <c r="A897" s="72"/>
      <c r="B897" s="72" t="s">
        <v>1407</v>
      </c>
      <c r="C897" s="72"/>
      <c r="D897" s="72"/>
      <c r="E897" s="72"/>
      <c r="F897" s="189"/>
      <c r="G897" s="183"/>
      <c r="H897" s="72"/>
    </row>
    <row r="898" ht="22.5" customHeight="1">
      <c r="A898" s="72"/>
      <c r="B898" s="72" t="s">
        <v>1407</v>
      </c>
      <c r="C898" s="72"/>
      <c r="D898" s="72"/>
      <c r="E898" s="72"/>
      <c r="F898" s="189"/>
      <c r="G898" s="183"/>
      <c r="H898" s="72"/>
    </row>
    <row r="899" ht="22.5" customHeight="1">
      <c r="A899" s="72"/>
      <c r="B899" s="72" t="s">
        <v>1407</v>
      </c>
      <c r="C899" s="72"/>
      <c r="D899" s="72"/>
      <c r="E899" s="72"/>
      <c r="F899" s="189"/>
      <c r="G899" s="183"/>
      <c r="H899" s="72"/>
    </row>
    <row r="900" ht="22.5" customHeight="1">
      <c r="A900" s="72"/>
      <c r="B900" s="72" t="s">
        <v>1407</v>
      </c>
      <c r="C900" s="72"/>
      <c r="D900" s="72"/>
      <c r="E900" s="72"/>
      <c r="F900" s="189"/>
      <c r="G900" s="183"/>
      <c r="H900" s="72"/>
    </row>
    <row r="901" ht="22.5" customHeight="1">
      <c r="A901" s="72"/>
      <c r="B901" s="72" t="s">
        <v>1407</v>
      </c>
      <c r="C901" s="72"/>
      <c r="D901" s="72"/>
      <c r="E901" s="72"/>
      <c r="F901" s="189"/>
      <c r="G901" s="183"/>
      <c r="H901" s="72"/>
    </row>
    <row r="902" ht="22.5" customHeight="1">
      <c r="A902" s="72"/>
      <c r="B902" s="72" t="s">
        <v>1407</v>
      </c>
      <c r="C902" s="72"/>
      <c r="D902" s="72"/>
      <c r="E902" s="72"/>
      <c r="F902" s="189"/>
      <c r="G902" s="183"/>
      <c r="H902" s="72"/>
    </row>
    <row r="903" ht="22.5" customHeight="1">
      <c r="A903" s="72"/>
      <c r="B903" s="72" t="s">
        <v>1407</v>
      </c>
      <c r="C903" s="72"/>
      <c r="D903" s="72"/>
      <c r="E903" s="72"/>
      <c r="F903" s="189"/>
      <c r="G903" s="183"/>
      <c r="H903" s="72"/>
    </row>
    <row r="904" ht="22.5" customHeight="1">
      <c r="A904" s="72"/>
      <c r="B904" s="72" t="s">
        <v>1407</v>
      </c>
      <c r="C904" s="72"/>
      <c r="D904" s="72"/>
      <c r="E904" s="72"/>
      <c r="F904" s="189"/>
      <c r="G904" s="183"/>
      <c r="H904" s="72"/>
    </row>
    <row r="905" ht="22.5" customHeight="1">
      <c r="A905" s="72"/>
      <c r="B905" s="72" t="s">
        <v>1407</v>
      </c>
      <c r="C905" s="72"/>
      <c r="D905" s="72"/>
      <c r="E905" s="72"/>
      <c r="F905" s="189"/>
      <c r="G905" s="183"/>
      <c r="H905" s="72"/>
    </row>
    <row r="906" ht="22.5" customHeight="1">
      <c r="A906" s="72"/>
      <c r="B906" s="72" t="s">
        <v>1407</v>
      </c>
      <c r="C906" s="72"/>
      <c r="D906" s="72"/>
      <c r="E906" s="72"/>
      <c r="F906" s="189"/>
      <c r="G906" s="183"/>
      <c r="H906" s="72"/>
    </row>
    <row r="907" ht="22.5" customHeight="1">
      <c r="A907" s="72"/>
      <c r="B907" s="72" t="s">
        <v>1407</v>
      </c>
      <c r="C907" s="72"/>
      <c r="D907" s="72"/>
      <c r="E907" s="72"/>
      <c r="F907" s="189"/>
      <c r="G907" s="183"/>
      <c r="H907" s="72"/>
    </row>
    <row r="908" ht="22.5" customHeight="1">
      <c r="A908" s="72"/>
      <c r="B908" s="72" t="s">
        <v>1407</v>
      </c>
      <c r="C908" s="72"/>
      <c r="D908" s="72"/>
      <c r="E908" s="72"/>
      <c r="F908" s="189"/>
      <c r="G908" s="183"/>
      <c r="H908" s="72"/>
    </row>
    <row r="909" ht="22.5" customHeight="1">
      <c r="A909" s="72"/>
      <c r="B909" s="72" t="s">
        <v>1407</v>
      </c>
      <c r="C909" s="72"/>
      <c r="D909" s="72"/>
      <c r="E909" s="72"/>
      <c r="F909" s="189"/>
      <c r="G909" s="183"/>
      <c r="H909" s="72"/>
    </row>
    <row r="910" ht="22.5" customHeight="1">
      <c r="A910" s="72"/>
      <c r="B910" s="72" t="s">
        <v>1407</v>
      </c>
      <c r="C910" s="72"/>
      <c r="D910" s="72"/>
      <c r="E910" s="72"/>
      <c r="F910" s="189"/>
      <c r="G910" s="183"/>
      <c r="H910" s="72"/>
    </row>
    <row r="911" ht="22.5" customHeight="1">
      <c r="A911" s="72"/>
      <c r="B911" s="72" t="s">
        <v>1407</v>
      </c>
      <c r="C911" s="72"/>
      <c r="D911" s="72"/>
      <c r="E911" s="72"/>
      <c r="F911" s="189"/>
      <c r="G911" s="183"/>
      <c r="H911" s="72"/>
    </row>
    <row r="912" ht="22.5" customHeight="1">
      <c r="A912" s="72"/>
      <c r="B912" s="72" t="s">
        <v>1407</v>
      </c>
      <c r="C912" s="72"/>
      <c r="D912" s="72"/>
      <c r="E912" s="72"/>
      <c r="F912" s="189"/>
      <c r="G912" s="183"/>
      <c r="H912" s="72"/>
    </row>
    <row r="913" ht="22.5" customHeight="1">
      <c r="A913" s="72"/>
      <c r="B913" s="72" t="s">
        <v>1407</v>
      </c>
      <c r="C913" s="72"/>
      <c r="D913" s="72"/>
      <c r="E913" s="72"/>
      <c r="F913" s="189"/>
      <c r="G913" s="183"/>
      <c r="H913" s="72"/>
    </row>
    <row r="914" ht="22.5" customHeight="1">
      <c r="A914" s="72"/>
      <c r="B914" s="72" t="s">
        <v>1407</v>
      </c>
      <c r="C914" s="72"/>
      <c r="D914" s="72"/>
      <c r="E914" s="72"/>
      <c r="F914" s="189"/>
      <c r="G914" s="183"/>
      <c r="H914" s="72"/>
    </row>
    <row r="915" ht="22.5" customHeight="1">
      <c r="A915" s="72"/>
      <c r="B915" s="72" t="s">
        <v>1407</v>
      </c>
      <c r="C915" s="72"/>
      <c r="D915" s="72"/>
      <c r="E915" s="72"/>
      <c r="F915" s="189"/>
      <c r="G915" s="183"/>
      <c r="H915" s="72"/>
    </row>
    <row r="916" ht="22.5" customHeight="1">
      <c r="A916" s="72"/>
      <c r="B916" s="72" t="s">
        <v>1407</v>
      </c>
      <c r="C916" s="72"/>
      <c r="D916" s="72"/>
      <c r="E916" s="72"/>
      <c r="F916" s="189"/>
      <c r="G916" s="183"/>
      <c r="H916" s="72"/>
    </row>
    <row r="917" ht="22.5" customHeight="1">
      <c r="A917" s="72"/>
      <c r="B917" s="72" t="s">
        <v>1407</v>
      </c>
      <c r="C917" s="72"/>
      <c r="D917" s="72"/>
      <c r="E917" s="72"/>
      <c r="F917" s="189"/>
      <c r="G917" s="183"/>
      <c r="H917" s="72"/>
    </row>
    <row r="918" ht="22.5" customHeight="1">
      <c r="A918" s="72"/>
      <c r="B918" s="72" t="s">
        <v>1407</v>
      </c>
      <c r="C918" s="72"/>
      <c r="D918" s="72"/>
      <c r="E918" s="72"/>
      <c r="F918" s="189"/>
      <c r="G918" s="183"/>
      <c r="H918" s="72"/>
    </row>
    <row r="919" ht="22.5" customHeight="1">
      <c r="A919" s="72"/>
      <c r="B919" s="72" t="s">
        <v>1407</v>
      </c>
      <c r="C919" s="72"/>
      <c r="D919" s="72"/>
      <c r="E919" s="72"/>
      <c r="F919" s="189"/>
      <c r="G919" s="183"/>
      <c r="H919" s="72"/>
    </row>
    <row r="920" ht="22.5" customHeight="1">
      <c r="A920" s="72"/>
      <c r="B920" s="72" t="s">
        <v>1407</v>
      </c>
      <c r="C920" s="72"/>
      <c r="D920" s="72"/>
      <c r="E920" s="72"/>
      <c r="F920" s="189"/>
      <c r="G920" s="183"/>
      <c r="H920" s="72"/>
    </row>
    <row r="921" ht="22.5" customHeight="1">
      <c r="A921" s="72"/>
      <c r="B921" s="72" t="s">
        <v>1407</v>
      </c>
      <c r="C921" s="72"/>
      <c r="D921" s="72"/>
      <c r="E921" s="72"/>
      <c r="F921" s="189"/>
      <c r="G921" s="183"/>
      <c r="H921" s="72"/>
    </row>
    <row r="922" ht="22.5" customHeight="1">
      <c r="A922" s="72"/>
      <c r="B922" s="72" t="s">
        <v>1407</v>
      </c>
      <c r="C922" s="72"/>
      <c r="D922" s="72"/>
      <c r="E922" s="72"/>
      <c r="F922" s="189"/>
      <c r="G922" s="183"/>
      <c r="H922" s="72"/>
    </row>
    <row r="923" ht="22.5" customHeight="1">
      <c r="A923" s="72"/>
      <c r="B923" s="72" t="s">
        <v>1407</v>
      </c>
      <c r="C923" s="72"/>
      <c r="D923" s="72"/>
      <c r="E923" s="72"/>
      <c r="F923" s="189"/>
      <c r="G923" s="183"/>
      <c r="H923" s="72"/>
    </row>
    <row r="924" ht="22.5" customHeight="1">
      <c r="A924" s="72"/>
      <c r="B924" s="72" t="s">
        <v>1407</v>
      </c>
      <c r="C924" s="72"/>
      <c r="D924" s="72"/>
      <c r="E924" s="72"/>
      <c r="F924" s="189"/>
      <c r="G924" s="183"/>
      <c r="H924" s="72"/>
    </row>
    <row r="925" ht="22.5" customHeight="1">
      <c r="A925" s="72"/>
      <c r="B925" s="72" t="s">
        <v>1407</v>
      </c>
      <c r="C925" s="72"/>
      <c r="D925" s="72"/>
      <c r="E925" s="72"/>
      <c r="F925" s="189"/>
      <c r="G925" s="183"/>
      <c r="H925" s="72"/>
    </row>
    <row r="926" ht="22.5" customHeight="1">
      <c r="A926" s="72"/>
      <c r="B926" s="72" t="s">
        <v>1407</v>
      </c>
      <c r="C926" s="72"/>
      <c r="D926" s="72"/>
      <c r="E926" s="72"/>
      <c r="F926" s="189"/>
      <c r="G926" s="183"/>
      <c r="H926" s="72"/>
    </row>
    <row r="927" ht="22.5" customHeight="1">
      <c r="A927" s="72"/>
      <c r="B927" s="72" t="s">
        <v>1407</v>
      </c>
      <c r="C927" s="72"/>
      <c r="D927" s="72"/>
      <c r="E927" s="72"/>
      <c r="F927" s="189"/>
      <c r="G927" s="183"/>
      <c r="H927" s="72"/>
    </row>
    <row r="928" ht="22.5" customHeight="1">
      <c r="A928" s="72"/>
      <c r="B928" s="72" t="s">
        <v>1407</v>
      </c>
      <c r="C928" s="72"/>
      <c r="D928" s="72"/>
      <c r="E928" s="72"/>
      <c r="F928" s="189"/>
      <c r="G928" s="183"/>
      <c r="H928" s="72"/>
    </row>
    <row r="929" ht="22.5" customHeight="1">
      <c r="A929" s="72"/>
      <c r="B929" s="72" t="s">
        <v>1407</v>
      </c>
      <c r="C929" s="72"/>
      <c r="D929" s="72"/>
      <c r="E929" s="72"/>
      <c r="F929" s="189"/>
      <c r="G929" s="183"/>
      <c r="H929" s="72"/>
    </row>
    <row r="930" ht="22.5" customHeight="1">
      <c r="A930" s="72"/>
      <c r="B930" s="72" t="s">
        <v>1407</v>
      </c>
      <c r="C930" s="72"/>
      <c r="D930" s="72"/>
      <c r="E930" s="72"/>
      <c r="F930" s="189"/>
      <c r="G930" s="183"/>
      <c r="H930" s="72"/>
    </row>
    <row r="931" ht="22.5" customHeight="1">
      <c r="A931" s="72"/>
      <c r="B931" s="72" t="s">
        <v>1407</v>
      </c>
      <c r="C931" s="72"/>
      <c r="D931" s="72"/>
      <c r="E931" s="72"/>
      <c r="F931" s="189"/>
      <c r="G931" s="183"/>
      <c r="H931" s="72"/>
    </row>
    <row r="932" ht="22.5" customHeight="1">
      <c r="A932" s="72"/>
      <c r="B932" s="72" t="s">
        <v>1407</v>
      </c>
      <c r="C932" s="72"/>
      <c r="D932" s="72"/>
      <c r="E932" s="72"/>
      <c r="F932" s="189"/>
      <c r="G932" s="183"/>
      <c r="H932" s="72"/>
    </row>
    <row r="933" ht="22.5" customHeight="1">
      <c r="A933" s="72"/>
      <c r="B933" s="72" t="s">
        <v>1407</v>
      </c>
      <c r="C933" s="72"/>
      <c r="D933" s="72"/>
      <c r="E933" s="72"/>
      <c r="F933" s="189"/>
      <c r="G933" s="183"/>
      <c r="H933" s="72"/>
    </row>
    <row r="934" ht="22.5" customHeight="1">
      <c r="A934" s="72"/>
      <c r="B934" s="72" t="s">
        <v>1407</v>
      </c>
      <c r="C934" s="72"/>
      <c r="D934" s="72"/>
      <c r="E934" s="72"/>
      <c r="F934" s="189"/>
      <c r="G934" s="183"/>
      <c r="H934" s="72"/>
    </row>
    <row r="935" ht="22.5" customHeight="1">
      <c r="A935" s="72"/>
      <c r="B935" s="72" t="s">
        <v>1407</v>
      </c>
      <c r="C935" s="72"/>
      <c r="D935" s="72"/>
      <c r="E935" s="72"/>
      <c r="F935" s="189"/>
      <c r="G935" s="183"/>
      <c r="H935" s="72"/>
    </row>
    <row r="936" ht="22.5" customHeight="1">
      <c r="A936" s="72"/>
      <c r="B936" s="72" t="s">
        <v>1407</v>
      </c>
      <c r="C936" s="72"/>
      <c r="D936" s="72"/>
      <c r="E936" s="72"/>
      <c r="F936" s="189"/>
      <c r="G936" s="183"/>
      <c r="H936" s="72"/>
    </row>
    <row r="937" ht="22.5" customHeight="1">
      <c r="A937" s="72"/>
      <c r="B937" s="72" t="s">
        <v>1407</v>
      </c>
      <c r="C937" s="72"/>
      <c r="D937" s="72"/>
      <c r="E937" s="72"/>
      <c r="F937" s="189"/>
      <c r="G937" s="183"/>
      <c r="H937" s="72"/>
    </row>
    <row r="938" ht="22.5" customHeight="1">
      <c r="A938" s="72"/>
      <c r="B938" s="72" t="s">
        <v>1407</v>
      </c>
      <c r="C938" s="72"/>
      <c r="D938" s="72"/>
      <c r="E938" s="72"/>
      <c r="F938" s="189"/>
      <c r="G938" s="183"/>
      <c r="H938" s="72"/>
    </row>
    <row r="939" ht="22.5" customHeight="1">
      <c r="A939" s="72"/>
      <c r="B939" s="72" t="s">
        <v>1407</v>
      </c>
      <c r="C939" s="72"/>
      <c r="D939" s="72"/>
      <c r="E939" s="72"/>
      <c r="F939" s="189"/>
      <c r="G939" s="183"/>
      <c r="H939" s="72"/>
    </row>
    <row r="940" ht="22.5" customHeight="1">
      <c r="A940" s="72"/>
      <c r="B940" s="72" t="s">
        <v>1407</v>
      </c>
      <c r="C940" s="72"/>
      <c r="D940" s="72"/>
      <c r="E940" s="72"/>
      <c r="F940" s="189"/>
      <c r="G940" s="183"/>
      <c r="H940" s="72"/>
    </row>
    <row r="941" ht="22.5" customHeight="1">
      <c r="A941" s="72"/>
      <c r="B941" s="72" t="s">
        <v>1407</v>
      </c>
      <c r="C941" s="72"/>
      <c r="D941" s="72"/>
      <c r="E941" s="72"/>
      <c r="F941" s="189"/>
      <c r="G941" s="183"/>
      <c r="H941" s="72"/>
    </row>
    <row r="942" ht="22.5" customHeight="1">
      <c r="A942" s="72"/>
      <c r="B942" s="72" t="s">
        <v>1407</v>
      </c>
      <c r="C942" s="72"/>
      <c r="D942" s="72"/>
      <c r="E942" s="72"/>
      <c r="F942" s="189"/>
      <c r="G942" s="183"/>
      <c r="H942" s="72"/>
    </row>
    <row r="943" ht="22.5" customHeight="1">
      <c r="A943" s="72"/>
      <c r="B943" s="72" t="s">
        <v>1407</v>
      </c>
      <c r="C943" s="72"/>
      <c r="D943" s="72"/>
      <c r="E943" s="72"/>
      <c r="F943" s="189"/>
      <c r="G943" s="183"/>
      <c r="H943" s="72"/>
    </row>
    <row r="944" ht="22.5" customHeight="1">
      <c r="A944" s="72"/>
      <c r="B944" s="72" t="s">
        <v>1407</v>
      </c>
      <c r="C944" s="72"/>
      <c r="D944" s="72"/>
      <c r="E944" s="72"/>
      <c r="F944" s="189"/>
      <c r="G944" s="183"/>
      <c r="H944" s="72"/>
    </row>
    <row r="945" ht="22.5" customHeight="1">
      <c r="A945" s="72"/>
      <c r="B945" s="72" t="s">
        <v>1407</v>
      </c>
      <c r="C945" s="72"/>
      <c r="D945" s="72"/>
      <c r="E945" s="72"/>
      <c r="F945" s="189"/>
      <c r="G945" s="183"/>
      <c r="H945" s="72"/>
    </row>
    <row r="946" ht="22.5" customHeight="1">
      <c r="A946" s="72"/>
      <c r="B946" s="72" t="s">
        <v>1407</v>
      </c>
      <c r="C946" s="72"/>
      <c r="D946" s="72"/>
      <c r="E946" s="72"/>
      <c r="F946" s="189"/>
      <c r="G946" s="183"/>
      <c r="H946" s="72"/>
    </row>
    <row r="947" ht="22.5" customHeight="1">
      <c r="A947" s="72"/>
      <c r="B947" s="72" t="s">
        <v>1407</v>
      </c>
      <c r="C947" s="72"/>
      <c r="D947" s="72"/>
      <c r="E947" s="72"/>
      <c r="F947" s="189"/>
      <c r="G947" s="183"/>
      <c r="H947" s="72"/>
    </row>
    <row r="948" ht="22.5" customHeight="1">
      <c r="A948" s="72"/>
      <c r="B948" s="72" t="s">
        <v>1407</v>
      </c>
      <c r="C948" s="72"/>
      <c r="D948" s="72"/>
      <c r="E948" s="72"/>
      <c r="F948" s="189"/>
      <c r="G948" s="183"/>
      <c r="H948" s="72"/>
    </row>
    <row r="949" ht="22.5" customHeight="1">
      <c r="A949" s="72"/>
      <c r="B949" s="72" t="s">
        <v>1407</v>
      </c>
      <c r="C949" s="72"/>
      <c r="D949" s="72"/>
      <c r="E949" s="72"/>
      <c r="F949" s="189"/>
      <c r="G949" s="183"/>
      <c r="H949" s="72"/>
    </row>
    <row r="950" ht="22.5" customHeight="1">
      <c r="A950" s="72"/>
      <c r="B950" s="72" t="s">
        <v>1407</v>
      </c>
      <c r="C950" s="72"/>
      <c r="D950" s="72"/>
      <c r="E950" s="72"/>
      <c r="F950" s="189"/>
      <c r="G950" s="183"/>
      <c r="H950" s="72"/>
    </row>
    <row r="951" ht="22.5" customHeight="1">
      <c r="A951" s="72"/>
      <c r="B951" s="72" t="s">
        <v>1407</v>
      </c>
      <c r="C951" s="72"/>
      <c r="D951" s="72"/>
      <c r="E951" s="72"/>
      <c r="F951" s="189"/>
      <c r="G951" s="183"/>
      <c r="H951" s="72"/>
    </row>
    <row r="952" ht="22.5" customHeight="1">
      <c r="A952" s="72"/>
      <c r="B952" s="72" t="s">
        <v>1407</v>
      </c>
      <c r="C952" s="72"/>
      <c r="D952" s="72"/>
      <c r="E952" s="72"/>
      <c r="F952" s="189"/>
      <c r="G952" s="183"/>
      <c r="H952" s="72"/>
    </row>
    <row r="953" ht="22.5" customHeight="1">
      <c r="A953" s="72"/>
      <c r="B953" s="72" t="s">
        <v>1407</v>
      </c>
      <c r="C953" s="72"/>
      <c r="D953" s="72"/>
      <c r="E953" s="72"/>
      <c r="F953" s="189"/>
      <c r="G953" s="183"/>
      <c r="H953" s="72"/>
    </row>
    <row r="954" ht="22.5" customHeight="1">
      <c r="A954" s="72"/>
      <c r="B954" s="72" t="s">
        <v>1407</v>
      </c>
      <c r="C954" s="72"/>
      <c r="D954" s="72"/>
      <c r="E954" s="72"/>
      <c r="F954" s="189"/>
      <c r="G954" s="183"/>
      <c r="H954" s="72"/>
    </row>
    <row r="955" ht="22.5" customHeight="1">
      <c r="A955" s="72"/>
      <c r="B955" s="72" t="s">
        <v>1407</v>
      </c>
      <c r="C955" s="72"/>
      <c r="D955" s="72"/>
      <c r="E955" s="72"/>
      <c r="F955" s="189"/>
      <c r="G955" s="183"/>
      <c r="H955" s="72"/>
    </row>
    <row r="956" ht="22.5" customHeight="1">
      <c r="A956" s="72"/>
      <c r="B956" s="72" t="s">
        <v>1407</v>
      </c>
      <c r="C956" s="72"/>
      <c r="D956" s="72"/>
      <c r="E956" s="72"/>
      <c r="F956" s="189"/>
      <c r="G956" s="183"/>
      <c r="H956" s="72"/>
    </row>
    <row r="957" ht="22.5" customHeight="1">
      <c r="A957" s="72"/>
      <c r="B957" s="72" t="s">
        <v>1407</v>
      </c>
      <c r="C957" s="72"/>
      <c r="D957" s="72"/>
      <c r="E957" s="72"/>
      <c r="F957" s="189"/>
      <c r="G957" s="183"/>
      <c r="H957" s="72"/>
    </row>
    <row r="958" ht="22.5" customHeight="1">
      <c r="A958" s="72"/>
      <c r="B958" s="72" t="s">
        <v>1407</v>
      </c>
      <c r="C958" s="72"/>
      <c r="D958" s="72"/>
      <c r="E958" s="72"/>
      <c r="F958" s="189"/>
      <c r="G958" s="183"/>
      <c r="H958" s="72"/>
    </row>
    <row r="959" ht="22.5" customHeight="1">
      <c r="A959" s="72"/>
      <c r="B959" s="72" t="s">
        <v>1407</v>
      </c>
      <c r="C959" s="72"/>
      <c r="D959" s="72"/>
      <c r="E959" s="72"/>
      <c r="F959" s="189"/>
      <c r="G959" s="183"/>
      <c r="H959" s="72"/>
    </row>
    <row r="960" ht="22.5" customHeight="1">
      <c r="A960" s="72"/>
      <c r="B960" s="72" t="s">
        <v>1407</v>
      </c>
      <c r="C960" s="72"/>
      <c r="D960" s="72"/>
      <c r="E960" s="72"/>
      <c r="F960" s="189"/>
      <c r="G960" s="183"/>
      <c r="H960" s="72"/>
    </row>
    <row r="961" ht="22.5" customHeight="1">
      <c r="A961" s="72"/>
      <c r="B961" s="72" t="s">
        <v>1407</v>
      </c>
      <c r="C961" s="72"/>
      <c r="D961" s="72"/>
      <c r="E961" s="72"/>
      <c r="F961" s="189"/>
      <c r="G961" s="183"/>
      <c r="H961" s="72"/>
    </row>
    <row r="962" ht="22.5" customHeight="1">
      <c r="A962" s="72"/>
      <c r="B962" s="72" t="s">
        <v>1407</v>
      </c>
      <c r="C962" s="72"/>
      <c r="D962" s="72"/>
      <c r="E962" s="72"/>
      <c r="F962" s="189"/>
      <c r="G962" s="183"/>
      <c r="H962" s="72"/>
    </row>
    <row r="963" ht="22.5" customHeight="1">
      <c r="A963" s="72"/>
      <c r="B963" s="72" t="s">
        <v>1407</v>
      </c>
      <c r="C963" s="72"/>
      <c r="D963" s="72"/>
      <c r="E963" s="72"/>
      <c r="F963" s="189"/>
      <c r="G963" s="183"/>
      <c r="H963" s="72"/>
    </row>
    <row r="964" ht="22.5" customHeight="1">
      <c r="A964" s="72"/>
      <c r="B964" s="72" t="s">
        <v>1407</v>
      </c>
      <c r="C964" s="72"/>
      <c r="D964" s="72"/>
      <c r="E964" s="72"/>
      <c r="F964" s="189"/>
      <c r="G964" s="183"/>
      <c r="H964" s="72"/>
    </row>
    <row r="965" ht="22.5" customHeight="1">
      <c r="A965" s="72"/>
      <c r="B965" s="72" t="s">
        <v>1407</v>
      </c>
      <c r="C965" s="72"/>
      <c r="D965" s="72"/>
      <c r="E965" s="72"/>
      <c r="F965" s="189"/>
      <c r="G965" s="183"/>
      <c r="H965" s="72"/>
    </row>
    <row r="966" ht="22.5" customHeight="1">
      <c r="A966" s="72"/>
      <c r="B966" s="72" t="s">
        <v>1407</v>
      </c>
      <c r="C966" s="72"/>
      <c r="D966" s="72"/>
      <c r="E966" s="72"/>
      <c r="F966" s="189"/>
      <c r="G966" s="183"/>
      <c r="H966" s="72"/>
    </row>
    <row r="967" ht="22.5" customHeight="1">
      <c r="A967" s="72"/>
      <c r="B967" s="72" t="s">
        <v>1407</v>
      </c>
      <c r="C967" s="72"/>
      <c r="D967" s="72"/>
      <c r="E967" s="72"/>
      <c r="F967" s="189"/>
      <c r="G967" s="183"/>
      <c r="H967" s="72"/>
    </row>
    <row r="968" ht="22.5" customHeight="1">
      <c r="A968" s="72"/>
      <c r="B968" s="72" t="s">
        <v>1407</v>
      </c>
      <c r="C968" s="72"/>
      <c r="D968" s="72"/>
      <c r="E968" s="72"/>
      <c r="F968" s="189"/>
      <c r="G968" s="183"/>
      <c r="H968" s="72"/>
    </row>
    <row r="969" ht="22.5" customHeight="1">
      <c r="A969" s="72"/>
      <c r="B969" s="72" t="s">
        <v>1407</v>
      </c>
      <c r="C969" s="72"/>
      <c r="D969" s="72"/>
      <c r="E969" s="72"/>
      <c r="F969" s="189"/>
      <c r="G969" s="183"/>
      <c r="H969" s="72"/>
    </row>
    <row r="970" ht="22.5" customHeight="1">
      <c r="A970" s="72"/>
      <c r="B970" s="72" t="s">
        <v>1407</v>
      </c>
      <c r="C970" s="72"/>
      <c r="D970" s="72"/>
      <c r="E970" s="72"/>
      <c r="F970" s="189"/>
      <c r="G970" s="183"/>
      <c r="H970" s="72"/>
    </row>
    <row r="971" ht="22.5" customHeight="1">
      <c r="A971" s="72"/>
      <c r="B971" s="72" t="s">
        <v>1407</v>
      </c>
      <c r="C971" s="72"/>
      <c r="D971" s="72"/>
      <c r="E971" s="72"/>
      <c r="F971" s="189"/>
      <c r="G971" s="183"/>
      <c r="H971" s="72"/>
    </row>
    <row r="972" ht="22.5" customHeight="1">
      <c r="A972" s="72"/>
      <c r="B972" s="72" t="s">
        <v>1407</v>
      </c>
      <c r="C972" s="72"/>
      <c r="D972" s="72"/>
      <c r="E972" s="72"/>
      <c r="F972" s="189"/>
      <c r="G972" s="183"/>
      <c r="H972" s="72"/>
    </row>
    <row r="973" ht="22.5" customHeight="1">
      <c r="A973" s="72"/>
      <c r="B973" s="72" t="s">
        <v>1407</v>
      </c>
      <c r="C973" s="72"/>
      <c r="D973" s="72"/>
      <c r="E973" s="72"/>
      <c r="F973" s="189"/>
      <c r="G973" s="183"/>
      <c r="H973" s="72"/>
    </row>
    <row r="974" ht="22.5" customHeight="1">
      <c r="A974" s="72"/>
      <c r="B974" s="72" t="s">
        <v>1407</v>
      </c>
      <c r="C974" s="72"/>
      <c r="D974" s="72"/>
      <c r="E974" s="72"/>
      <c r="F974" s="189"/>
      <c r="G974" s="183"/>
      <c r="H974" s="72"/>
    </row>
    <row r="975" ht="22.5" customHeight="1">
      <c r="A975" s="72"/>
      <c r="B975" s="72" t="s">
        <v>1407</v>
      </c>
      <c r="C975" s="72"/>
      <c r="D975" s="72"/>
      <c r="E975" s="72"/>
      <c r="F975" s="189"/>
      <c r="G975" s="183"/>
      <c r="H975" s="72"/>
    </row>
    <row r="976" ht="22.5" customHeight="1">
      <c r="A976" s="72"/>
      <c r="B976" s="72" t="s">
        <v>1407</v>
      </c>
      <c r="C976" s="72"/>
      <c r="D976" s="72"/>
      <c r="E976" s="72"/>
      <c r="F976" s="189"/>
      <c r="G976" s="183"/>
      <c r="H976" s="72"/>
    </row>
    <row r="977" ht="22.5" customHeight="1">
      <c r="A977" s="72"/>
      <c r="B977" s="72" t="s">
        <v>1407</v>
      </c>
      <c r="C977" s="72"/>
      <c r="D977" s="72"/>
      <c r="E977" s="72"/>
      <c r="F977" s="189"/>
      <c r="G977" s="183"/>
      <c r="H977" s="72"/>
    </row>
    <row r="978" ht="22.5" customHeight="1">
      <c r="A978" s="72"/>
      <c r="B978" s="72" t="s">
        <v>1407</v>
      </c>
      <c r="C978" s="72"/>
      <c r="D978" s="72"/>
      <c r="E978" s="72"/>
      <c r="F978" s="189"/>
      <c r="G978" s="183"/>
      <c r="H978" s="72"/>
    </row>
    <row r="979" ht="22.5" customHeight="1">
      <c r="A979" s="72"/>
      <c r="B979" s="72" t="s">
        <v>1407</v>
      </c>
      <c r="C979" s="72"/>
      <c r="D979" s="72"/>
      <c r="E979" s="72"/>
      <c r="F979" s="189"/>
      <c r="G979" s="183"/>
      <c r="H979" s="72"/>
    </row>
    <row r="980" ht="22.5" customHeight="1">
      <c r="A980" s="72"/>
      <c r="B980" s="72" t="s">
        <v>1407</v>
      </c>
      <c r="C980" s="72"/>
      <c r="D980" s="72"/>
      <c r="E980" s="72"/>
      <c r="F980" s="189"/>
      <c r="G980" s="183"/>
      <c r="H980" s="72"/>
    </row>
    <row r="981" ht="22.5" customHeight="1">
      <c r="A981" s="72"/>
      <c r="B981" s="72" t="s">
        <v>1407</v>
      </c>
      <c r="C981" s="72"/>
      <c r="D981" s="72"/>
      <c r="E981" s="72"/>
      <c r="F981" s="189"/>
      <c r="G981" s="183"/>
      <c r="H981" s="72"/>
    </row>
    <row r="982" ht="22.5" customHeight="1">
      <c r="A982" s="72"/>
      <c r="B982" s="72" t="s">
        <v>1407</v>
      </c>
      <c r="C982" s="72"/>
      <c r="D982" s="72"/>
      <c r="E982" s="72"/>
      <c r="F982" s="189"/>
      <c r="G982" s="183"/>
      <c r="H982" s="72"/>
    </row>
    <row r="983" ht="22.5" customHeight="1">
      <c r="A983" s="72"/>
      <c r="B983" s="72" t="s">
        <v>1407</v>
      </c>
      <c r="C983" s="72"/>
      <c r="D983" s="72"/>
      <c r="E983" s="72"/>
      <c r="F983" s="189"/>
      <c r="G983" s="183"/>
      <c r="H983" s="72"/>
    </row>
    <row r="984" ht="22.5" customHeight="1">
      <c r="A984" s="72"/>
      <c r="B984" s="72" t="s">
        <v>1407</v>
      </c>
      <c r="C984" s="72"/>
      <c r="D984" s="72"/>
      <c r="E984" s="72"/>
      <c r="F984" s="189"/>
      <c r="G984" s="183"/>
      <c r="H984" s="72"/>
    </row>
    <row r="985" ht="22.5" customHeight="1">
      <c r="A985" s="72"/>
      <c r="B985" s="72" t="s">
        <v>1407</v>
      </c>
      <c r="C985" s="72"/>
      <c r="D985" s="72"/>
      <c r="E985" s="72"/>
      <c r="F985" s="189"/>
      <c r="G985" s="183"/>
      <c r="H985" s="72"/>
    </row>
    <row r="986" ht="22.5" customHeight="1">
      <c r="A986" s="72"/>
      <c r="B986" s="72" t="s">
        <v>1407</v>
      </c>
      <c r="C986" s="72"/>
      <c r="D986" s="72"/>
      <c r="E986" s="72"/>
      <c r="F986" s="189"/>
      <c r="G986" s="183"/>
      <c r="H986" s="72"/>
    </row>
    <row r="987" ht="22.5" customHeight="1">
      <c r="A987" s="72"/>
      <c r="B987" s="72" t="s">
        <v>1407</v>
      </c>
      <c r="C987" s="72"/>
      <c r="D987" s="72"/>
      <c r="E987" s="72"/>
      <c r="F987" s="189"/>
      <c r="G987" s="183"/>
      <c r="H987" s="72"/>
    </row>
    <row r="988" ht="22.5" customHeight="1">
      <c r="A988" s="72"/>
      <c r="B988" s="72" t="s">
        <v>1407</v>
      </c>
      <c r="C988" s="72"/>
      <c r="D988" s="72"/>
      <c r="E988" s="72"/>
      <c r="F988" s="189"/>
      <c r="G988" s="183"/>
      <c r="H988" s="72"/>
    </row>
    <row r="989" ht="22.5" customHeight="1">
      <c r="A989" s="72"/>
      <c r="B989" s="72" t="s">
        <v>1407</v>
      </c>
      <c r="C989" s="72"/>
      <c r="D989" s="72"/>
      <c r="E989" s="72"/>
      <c r="F989" s="189"/>
      <c r="G989" s="183"/>
      <c r="H989" s="72"/>
    </row>
    <row r="990" ht="22.5" customHeight="1">
      <c r="A990" s="72"/>
      <c r="B990" s="72" t="s">
        <v>1407</v>
      </c>
      <c r="C990" s="72"/>
      <c r="D990" s="72"/>
      <c r="E990" s="72"/>
      <c r="F990" s="189"/>
      <c r="G990" s="183"/>
      <c r="H990" s="72"/>
    </row>
    <row r="991" ht="22.5" customHeight="1">
      <c r="A991" s="72"/>
      <c r="B991" s="72" t="s">
        <v>1407</v>
      </c>
      <c r="C991" s="72"/>
      <c r="D991" s="72"/>
      <c r="E991" s="72"/>
      <c r="F991" s="189"/>
      <c r="G991" s="183"/>
      <c r="H991" s="72"/>
    </row>
    <row r="992" ht="22.5" customHeight="1">
      <c r="A992" s="72"/>
      <c r="B992" s="72" t="s">
        <v>1407</v>
      </c>
      <c r="C992" s="72"/>
      <c r="D992" s="72"/>
      <c r="E992" s="72"/>
      <c r="F992" s="189"/>
      <c r="G992" s="183"/>
      <c r="H992" s="72"/>
    </row>
    <row r="993" ht="22.5" customHeight="1">
      <c r="A993" s="72"/>
      <c r="B993" s="72" t="s">
        <v>1407</v>
      </c>
      <c r="C993" s="72"/>
      <c r="D993" s="72"/>
      <c r="E993" s="72"/>
      <c r="F993" s="189"/>
      <c r="G993" s="183"/>
      <c r="H993" s="72"/>
    </row>
    <row r="994" ht="22.5" customHeight="1">
      <c r="A994" s="72"/>
      <c r="B994" s="72" t="s">
        <v>1407</v>
      </c>
      <c r="C994" s="72"/>
      <c r="D994" s="72"/>
      <c r="E994" s="72"/>
      <c r="F994" s="189"/>
      <c r="G994" s="183"/>
      <c r="H994" s="72"/>
    </row>
    <row r="995" ht="22.5" customHeight="1">
      <c r="A995" s="72"/>
      <c r="B995" s="72" t="s">
        <v>1407</v>
      </c>
      <c r="C995" s="72"/>
      <c r="D995" s="72"/>
      <c r="E995" s="72"/>
      <c r="F995" s="189"/>
      <c r="G995" s="183"/>
      <c r="H995" s="72"/>
    </row>
    <row r="996" ht="22.5" customHeight="1">
      <c r="A996" s="72"/>
      <c r="B996" s="72" t="s">
        <v>1407</v>
      </c>
      <c r="C996" s="72"/>
      <c r="D996" s="72"/>
      <c r="E996" s="72"/>
      <c r="F996" s="189"/>
      <c r="G996" s="183"/>
      <c r="H996" s="72"/>
    </row>
    <row r="997" ht="22.5" customHeight="1">
      <c r="A997" s="72"/>
      <c r="B997" s="72" t="s">
        <v>1407</v>
      </c>
      <c r="C997" s="72"/>
      <c r="D997" s="72"/>
      <c r="E997" s="72"/>
      <c r="F997" s="189"/>
      <c r="G997" s="183"/>
      <c r="H997" s="72"/>
    </row>
    <row r="998" ht="22.5" customHeight="1">
      <c r="A998" s="72"/>
      <c r="B998" s="72" t="s">
        <v>1407</v>
      </c>
      <c r="C998" s="72"/>
      <c r="D998" s="72"/>
      <c r="E998" s="72"/>
      <c r="F998" s="189"/>
      <c r="G998" s="183"/>
      <c r="H998" s="72"/>
    </row>
    <row r="999" ht="22.5" customHeight="1">
      <c r="A999" s="72"/>
      <c r="B999" s="72" t="s">
        <v>1407</v>
      </c>
      <c r="C999" s="72"/>
      <c r="D999" s="72"/>
      <c r="E999" s="72"/>
      <c r="F999" s="189"/>
      <c r="G999" s="183"/>
      <c r="H999" s="72"/>
    </row>
    <row r="1000" ht="22.5" customHeight="1">
      <c r="A1000" s="72"/>
      <c r="B1000" s="72" t="s">
        <v>1407</v>
      </c>
      <c r="C1000" s="72"/>
      <c r="D1000" s="72"/>
      <c r="E1000" s="72"/>
      <c r="F1000" s="189"/>
      <c r="G1000" s="183"/>
      <c r="H1000" s="72"/>
    </row>
  </sheetData>
  <conditionalFormatting sqref="A2">
    <cfRule type="expression" dxfId="8" priority="1">
      <formula>AND($A2&lt;&gt;"", $I2="", $C2&lt;&gt;"CANCELLED", $E2&lt;&gt;"CANCELLED", ($A2 + INT(SUBSTITUTE($J2, " DAYS", ""))) &lt; TODAY())</formula>
    </cfRule>
  </conditionalFormatting>
  <dataValidations>
    <dataValidation type="list" allowBlank="1" sqref="G2:G1000">
      <formula1>"PDC,CLEARED,BOUNCED"</formula1>
    </dataValidation>
    <dataValidation type="custom" allowBlank="1" showDropDown="1" sqref="F2:F1000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